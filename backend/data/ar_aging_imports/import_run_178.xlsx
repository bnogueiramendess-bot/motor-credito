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T:\Financeiro\Inadimplência\Overdue\2026\04-2026\"/>
    </mc:Choice>
  </mc:AlternateContent>
  <xr:revisionPtr revIDLastSave="0" documentId="13_ncr:1_{6D5E5B48-995A-41F3-BE54-2650AFC99655}" xr6:coauthVersionLast="47" xr6:coauthVersionMax="47" xr10:uidLastSave="{00000000-0000-0000-0000-000000000000}"/>
  <bookViews>
    <workbookView xWindow="28665" yWindow="-135" windowWidth="29070" windowHeight="15750" firstSheet="5" activeTab="8" xr2:uid="{00000000-000D-0000-FFFF-FFFF00000000}"/>
  </bookViews>
  <sheets>
    <sheet name="AR - slide BoD" sheetId="38" r:id="rId1"/>
    <sheet name="AR - slide" sheetId="37" state="hidden" r:id="rId2"/>
    <sheet name="AR" sheetId="26" state="hidden" r:id="rId3"/>
    <sheet name="freight debit notes" sheetId="39" r:id="rId4"/>
    <sheet name="Data total" sheetId="8" r:id="rId5"/>
    <sheet name="Data Additive" sheetId="1" r:id="rId6"/>
    <sheet name="Data International" sheetId="24" r:id="rId7"/>
    <sheet name="Data Fertilizers" sheetId="11" r:id="rId8"/>
    <sheet name="Clientes Consolidado" sheetId="36" r:id="rId9"/>
    <sheet name="Planilha1" sheetId="41" state="hidden" r:id="rId10"/>
    <sheet name="Painel Additive" sheetId="6" r:id="rId11"/>
    <sheet name="Painel Fertilizers" sheetId="14" r:id="rId12"/>
    <sheet name="Cliente Aditivo" sheetId="32" state="hidden" r:id="rId13"/>
    <sheet name="Cliente Fertilizante" sheetId="33" state="hidden" r:id="rId14"/>
    <sheet name="Cliente Internacional" sheetId="34" state="hidden" r:id="rId15"/>
    <sheet name="Painel International" sheetId="23" r:id="rId16"/>
    <sheet name="Bad Debt Provision" sheetId="17" r:id="rId17"/>
    <sheet name="Limite de crédito" sheetId="28" r:id="rId18"/>
    <sheet name="Sheet1" sheetId="40" r:id="rId19"/>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BoD'!$A$21:$T$138</definedName>
    <definedName name="_xlnm._FilterDatabase" localSheetId="16" hidden="1">'Bad Debt Provision'!$A$3:$AE$607</definedName>
    <definedName name="_xlnm._FilterDatabase" localSheetId="12" hidden="1">'Cliente Aditivo'!$A$3:$AL$172</definedName>
    <definedName name="_xlnm._FilterDatabase" localSheetId="13" hidden="1">'Cliente Fertilizante'!$A$3:$AL$62</definedName>
    <definedName name="_xlnm._FilterDatabase" localSheetId="14" hidden="1">'Cliente Internacional'!$A$3:$AL$37</definedName>
    <definedName name="_xlnm._FilterDatabase" localSheetId="8" hidden="1">'Clientes Consolidado'!$A$3:$AL$86</definedName>
    <definedName name="_xlnm._FilterDatabase" localSheetId="5" hidden="1">'Data Additive'!$A$2:$R$288</definedName>
    <definedName name="_xlnm._FilterDatabase" localSheetId="7" hidden="1">'Data Fertilizers'!$A$2:$S$391</definedName>
    <definedName name="_xlnm._FilterDatabase" localSheetId="6" hidden="1">'Data International'!$A$2:$S$41</definedName>
    <definedName name="_xlnm._FilterDatabase" localSheetId="4" hidden="1">'Data total'!$A$2:$R$780</definedName>
    <definedName name="_xlnm._FilterDatabase" localSheetId="3" hidden="1">'freight debit notes'!$A$2:$Q$2</definedName>
    <definedName name="_xlnm._FilterDatabase" localSheetId="17" hidden="1">'Limite de crédito'!$A$1:$Q$176</definedName>
    <definedName name="_xlnm._FilterDatabase" localSheetId="10" hidden="1">'Painel Additive'!$A$3:$AK$135</definedName>
    <definedName name="_xlnm._FilterDatabase" localSheetId="11" hidden="1">'Painel Fertilizers'!$A$3:$AK$48</definedName>
    <definedName name="_xlnm._FilterDatabase" localSheetId="15" hidden="1">'Painel International'!$A$3:$AL$28</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0"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8" i="36" l="1"/>
  <c r="AH27" i="36"/>
  <c r="AH49" i="36"/>
  <c r="AH40" i="36"/>
  <c r="AH57" i="36"/>
  <c r="AH17" i="36"/>
  <c r="AH83" i="36"/>
  <c r="AH69" i="36"/>
  <c r="AH81" i="36"/>
  <c r="AH80" i="36"/>
  <c r="AH4" i="36"/>
  <c r="AH10" i="36"/>
  <c r="AH11" i="36"/>
  <c r="AH12" i="36"/>
  <c r="AH13" i="36"/>
  <c r="AH14" i="36"/>
  <c r="AH19" i="36"/>
  <c r="AH30" i="36"/>
  <c r="AH41" i="36"/>
  <c r="AH20" i="36"/>
  <c r="AH15" i="36"/>
  <c r="AH55" i="36"/>
  <c r="AH18" i="36"/>
  <c r="AH45" i="36"/>
  <c r="AH78" i="36"/>
  <c r="AH38" i="36"/>
  <c r="AH39" i="36"/>
  <c r="AH47" i="36"/>
  <c r="AH33" i="36"/>
  <c r="AH23" i="36"/>
  <c r="AH76" i="36"/>
  <c r="AH24" i="36"/>
  <c r="AH31" i="36"/>
  <c r="AH36" i="36"/>
  <c r="AH56" i="36"/>
  <c r="AH64" i="36"/>
  <c r="AH77" i="36"/>
  <c r="AH43" i="36"/>
  <c r="AH9" i="36"/>
  <c r="AH42" i="36"/>
  <c r="AH35" i="36"/>
  <c r="AH59" i="36"/>
  <c r="AH73" i="36"/>
  <c r="AH32" i="36"/>
  <c r="AH54" i="36"/>
  <c r="AH68" i="36"/>
  <c r="AH62" i="36"/>
  <c r="AH79" i="36"/>
  <c r="AH52" i="36"/>
  <c r="AH25" i="36"/>
  <c r="AH70" i="36"/>
  <c r="Q9" i="39"/>
  <c r="AH37" i="36"/>
  <c r="AH67" i="36"/>
  <c r="Q1" i="36"/>
  <c r="P1" i="36"/>
  <c r="AH75" i="36"/>
  <c r="AH85" i="36"/>
  <c r="AH66" i="36"/>
  <c r="AH82" i="36"/>
  <c r="AH50" i="36"/>
  <c r="AH61" i="36"/>
  <c r="AH71" i="36"/>
  <c r="AH7" i="36"/>
  <c r="AH22" i="36"/>
  <c r="AH26" i="36"/>
  <c r="AH46" i="36"/>
  <c r="AH86" i="36"/>
  <c r="AH65" i="36"/>
  <c r="AH34" i="36"/>
  <c r="AH21" i="36"/>
  <c r="AH74" i="36"/>
  <c r="AH84" i="36"/>
  <c r="AH51" i="36"/>
  <c r="AH6" i="36"/>
  <c r="AH48" i="36"/>
  <c r="AH58" i="36"/>
  <c r="AH72" i="36"/>
  <c r="AH60" i="36"/>
  <c r="AH63" i="36"/>
  <c r="AH53" i="36"/>
  <c r="AH16" i="36"/>
  <c r="D1" i="39"/>
  <c r="AH29" i="36"/>
  <c r="AH44" i="36"/>
  <c r="AH28" i="36"/>
  <c r="D1" i="8"/>
  <c r="D1" i="1"/>
  <c r="Q50" i="39"/>
  <c r="Q51" i="39"/>
  <c r="Q52" i="39"/>
  <c r="Q53" i="39"/>
  <c r="Q54" i="39"/>
  <c r="AH5" i="36" l="1"/>
  <c r="Q3" i="8"/>
  <c r="R3" i="8"/>
  <c r="Q4" i="8"/>
  <c r="R4" i="8"/>
  <c r="Q5" i="8"/>
  <c r="R5" i="8"/>
  <c r="Q6" i="8"/>
  <c r="R6" i="8"/>
  <c r="Q7" i="8"/>
  <c r="R7" i="8"/>
  <c r="Q8" i="8"/>
  <c r="R8" i="8"/>
  <c r="Q9" i="8"/>
  <c r="R9" i="8"/>
  <c r="Q10" i="8"/>
  <c r="R10" i="8"/>
  <c r="Q11" i="8"/>
  <c r="R11" i="8"/>
  <c r="Q12" i="8"/>
  <c r="R12" i="8"/>
  <c r="Q13" i="8"/>
  <c r="R13" i="8"/>
  <c r="Q14" i="8"/>
  <c r="R14" i="8"/>
  <c r="Q15" i="8"/>
  <c r="R15" i="8"/>
  <c r="Q16" i="8"/>
  <c r="R16" i="8"/>
  <c r="Q17" i="8"/>
  <c r="R17" i="8"/>
  <c r="Q18" i="8"/>
  <c r="R18" i="8"/>
  <c r="Q19" i="8"/>
  <c r="R19" i="8"/>
  <c r="Q20" i="8"/>
  <c r="R20" i="8"/>
  <c r="Q21" i="8"/>
  <c r="R21" i="8"/>
  <c r="Q22" i="8"/>
  <c r="R22" i="8"/>
  <c r="Q23" i="8"/>
  <c r="R23" i="8"/>
  <c r="Q24" i="8"/>
  <c r="R24" i="8"/>
  <c r="Q25" i="8"/>
  <c r="R25" i="8"/>
  <c r="Q26" i="8"/>
  <c r="R26" i="8"/>
  <c r="Q27" i="8"/>
  <c r="R27" i="8"/>
  <c r="Q28" i="8"/>
  <c r="R28" i="8"/>
  <c r="Q29" i="8"/>
  <c r="R29" i="8"/>
  <c r="Q30" i="8"/>
  <c r="R30" i="8"/>
  <c r="Q31" i="8"/>
  <c r="R31" i="8"/>
  <c r="Q32" i="8"/>
  <c r="R32" i="8"/>
  <c r="Q33" i="8"/>
  <c r="R33" i="8"/>
  <c r="Q34" i="8"/>
  <c r="R34" i="8"/>
  <c r="Q35" i="8"/>
  <c r="R35" i="8"/>
  <c r="Q36" i="8"/>
  <c r="R36" i="8"/>
  <c r="Q37" i="8"/>
  <c r="R37" i="8"/>
  <c r="Q38" i="8"/>
  <c r="R38" i="8"/>
  <c r="Q39" i="8"/>
  <c r="R39" i="8"/>
  <c r="Q40" i="8"/>
  <c r="R40" i="8"/>
  <c r="Q41" i="8"/>
  <c r="R41" i="8"/>
  <c r="Q42" i="8"/>
  <c r="R42" i="8"/>
  <c r="Q43" i="8"/>
  <c r="R43" i="8"/>
  <c r="Q44" i="8"/>
  <c r="R44" i="8"/>
  <c r="Q45" i="8"/>
  <c r="R45" i="8"/>
  <c r="Q46" i="8"/>
  <c r="R46" i="8"/>
  <c r="Q47" i="8"/>
  <c r="R47" i="8"/>
  <c r="Q48" i="8"/>
  <c r="R48" i="8"/>
  <c r="Q49" i="8"/>
  <c r="R49" i="8"/>
  <c r="Q50" i="8"/>
  <c r="R50" i="8"/>
  <c r="Q51" i="8"/>
  <c r="R51" i="8"/>
  <c r="Q52" i="8"/>
  <c r="R52" i="8"/>
  <c r="Q53" i="8"/>
  <c r="R53" i="8"/>
  <c r="Q54" i="8"/>
  <c r="R54" i="8"/>
  <c r="Q55" i="8"/>
  <c r="R55" i="8"/>
  <c r="Q56" i="8"/>
  <c r="R56" i="8"/>
  <c r="Q57" i="8"/>
  <c r="R57" i="8"/>
  <c r="Q58" i="8"/>
  <c r="R58" i="8"/>
  <c r="Q59" i="8"/>
  <c r="R59" i="8"/>
  <c r="Q60" i="8"/>
  <c r="R60" i="8"/>
  <c r="Q61" i="8"/>
  <c r="R61" i="8"/>
  <c r="Q62" i="8"/>
  <c r="R62" i="8"/>
  <c r="Q63" i="8"/>
  <c r="R63" i="8"/>
  <c r="Q64" i="8"/>
  <c r="R64" i="8"/>
  <c r="Q65" i="8"/>
  <c r="R65" i="8"/>
  <c r="Q66" i="8"/>
  <c r="R66" i="8"/>
  <c r="Q67" i="8"/>
  <c r="R67" i="8"/>
  <c r="Q68" i="8"/>
  <c r="R68" i="8"/>
  <c r="Q69" i="8"/>
  <c r="R69" i="8"/>
  <c r="Q70" i="8"/>
  <c r="R70" i="8"/>
  <c r="Q71" i="8"/>
  <c r="R71" i="8"/>
  <c r="Q72" i="8"/>
  <c r="R72" i="8"/>
  <c r="Q73" i="8"/>
  <c r="R73" i="8"/>
  <c r="Q74" i="8"/>
  <c r="R74" i="8"/>
  <c r="Q75" i="8"/>
  <c r="R75" i="8"/>
  <c r="Q76" i="8"/>
  <c r="R76" i="8"/>
  <c r="Q77" i="8"/>
  <c r="R77" i="8"/>
  <c r="Q78" i="8"/>
  <c r="R78" i="8"/>
  <c r="Q79" i="8"/>
  <c r="R79" i="8"/>
  <c r="Q80" i="8"/>
  <c r="R80" i="8"/>
  <c r="Q81" i="8"/>
  <c r="R81" i="8"/>
  <c r="Q82" i="8"/>
  <c r="R82" i="8"/>
  <c r="Q83" i="8"/>
  <c r="R83" i="8"/>
  <c r="Q84" i="8"/>
  <c r="R84" i="8"/>
  <c r="Q85" i="8"/>
  <c r="R85" i="8"/>
  <c r="Q86" i="8"/>
  <c r="R86" i="8"/>
  <c r="Q87" i="8"/>
  <c r="R87" i="8"/>
  <c r="Q88" i="8"/>
  <c r="R88" i="8"/>
  <c r="Q89" i="8"/>
  <c r="R89" i="8"/>
  <c r="Q90" i="8"/>
  <c r="R90" i="8"/>
  <c r="Q91" i="8"/>
  <c r="R91" i="8"/>
  <c r="Q92" i="8"/>
  <c r="R92" i="8"/>
  <c r="Q93" i="8"/>
  <c r="R93" i="8"/>
  <c r="Q94" i="8"/>
  <c r="R94" i="8"/>
  <c r="Q95" i="8"/>
  <c r="R95" i="8"/>
  <c r="Q96" i="8"/>
  <c r="R96" i="8"/>
  <c r="Q97" i="8"/>
  <c r="R97" i="8"/>
  <c r="Q98" i="8"/>
  <c r="R98" i="8"/>
  <c r="Q99" i="8"/>
  <c r="R99" i="8"/>
  <c r="Q100" i="8"/>
  <c r="R100" i="8"/>
  <c r="Q101" i="8"/>
  <c r="R101" i="8"/>
  <c r="Q102" i="8"/>
  <c r="R102" i="8"/>
  <c r="Q103" i="8"/>
  <c r="R103" i="8"/>
  <c r="Q104" i="8"/>
  <c r="R104" i="8"/>
  <c r="Q105" i="8"/>
  <c r="R105" i="8"/>
  <c r="Q106" i="8"/>
  <c r="R106" i="8"/>
  <c r="Q107" i="8"/>
  <c r="R107" i="8"/>
  <c r="Q108" i="8"/>
  <c r="R108" i="8"/>
  <c r="Q109" i="8"/>
  <c r="R109" i="8"/>
  <c r="Q110" i="8"/>
  <c r="R110" i="8"/>
  <c r="Q111" i="8"/>
  <c r="R111" i="8"/>
  <c r="Q112" i="8"/>
  <c r="R112" i="8"/>
  <c r="Q113" i="8"/>
  <c r="R113" i="8"/>
  <c r="Q114" i="8"/>
  <c r="R114" i="8"/>
  <c r="Q115" i="8"/>
  <c r="R115" i="8"/>
  <c r="Q116" i="8"/>
  <c r="R116" i="8"/>
  <c r="Q117" i="8"/>
  <c r="R117" i="8"/>
  <c r="Q118" i="8"/>
  <c r="R118" i="8"/>
  <c r="Q119" i="8"/>
  <c r="R119" i="8"/>
  <c r="Q120" i="8"/>
  <c r="R120" i="8"/>
  <c r="Q121" i="8"/>
  <c r="R121" i="8"/>
  <c r="Q122" i="8"/>
  <c r="R122" i="8"/>
  <c r="Q123" i="8"/>
  <c r="R123" i="8"/>
  <c r="Q124" i="8"/>
  <c r="R124" i="8"/>
  <c r="Q125" i="8"/>
  <c r="R125" i="8"/>
  <c r="Q126" i="8"/>
  <c r="R126" i="8"/>
  <c r="Q127" i="8"/>
  <c r="R127" i="8"/>
  <c r="Q128" i="8"/>
  <c r="R128" i="8"/>
  <c r="Q129" i="8"/>
  <c r="R129" i="8"/>
  <c r="Q130" i="8"/>
  <c r="R130" i="8"/>
  <c r="Q131" i="8"/>
  <c r="R131" i="8"/>
  <c r="Q132" i="8"/>
  <c r="R132" i="8"/>
  <c r="Q133" i="8"/>
  <c r="R133" i="8"/>
  <c r="Q134" i="8"/>
  <c r="R134" i="8"/>
  <c r="Q135" i="8"/>
  <c r="R135" i="8"/>
  <c r="Q136" i="8"/>
  <c r="R136" i="8"/>
  <c r="Q137" i="8"/>
  <c r="R137" i="8"/>
  <c r="Q138" i="8"/>
  <c r="R138" i="8"/>
  <c r="Q139" i="8"/>
  <c r="R139" i="8"/>
  <c r="Q140" i="8"/>
  <c r="R140" i="8"/>
  <c r="Q141" i="8"/>
  <c r="R141" i="8"/>
  <c r="Q142" i="8"/>
  <c r="R142" i="8"/>
  <c r="Q143" i="8"/>
  <c r="R143" i="8"/>
  <c r="Q144" i="8"/>
  <c r="R144" i="8"/>
  <c r="Q145" i="8"/>
  <c r="R145" i="8"/>
  <c r="Q146" i="8"/>
  <c r="R146" i="8"/>
  <c r="Q147" i="8"/>
  <c r="R147" i="8"/>
  <c r="Q148" i="8"/>
  <c r="R148" i="8"/>
  <c r="Q149" i="8"/>
  <c r="R149" i="8"/>
  <c r="Q150" i="8"/>
  <c r="R150" i="8"/>
  <c r="Q151" i="8"/>
  <c r="R151" i="8"/>
  <c r="Q152" i="8"/>
  <c r="R152" i="8"/>
  <c r="Q153" i="8"/>
  <c r="R153" i="8"/>
  <c r="Q154" i="8"/>
  <c r="R154" i="8"/>
  <c r="Q155" i="8"/>
  <c r="R155" i="8"/>
  <c r="Q156" i="8"/>
  <c r="R156" i="8"/>
  <c r="Q157" i="8"/>
  <c r="R157" i="8"/>
  <c r="Q158" i="8"/>
  <c r="R158" i="8"/>
  <c r="Q159" i="8"/>
  <c r="R159" i="8"/>
  <c r="Q160" i="8"/>
  <c r="R160" i="8"/>
  <c r="Q161" i="8"/>
  <c r="R161" i="8"/>
  <c r="Q162" i="8"/>
  <c r="R162" i="8"/>
  <c r="Q163" i="8"/>
  <c r="R163" i="8"/>
  <c r="Q164" i="8"/>
  <c r="R164" i="8"/>
  <c r="Q165" i="8"/>
  <c r="R165" i="8"/>
  <c r="Q166" i="8"/>
  <c r="R166" i="8"/>
  <c r="Q167" i="8"/>
  <c r="R167" i="8"/>
  <c r="Q168" i="8"/>
  <c r="R168" i="8"/>
  <c r="Q169" i="8"/>
  <c r="R169" i="8"/>
  <c r="Q170" i="8"/>
  <c r="R170" i="8"/>
  <c r="Q171" i="8"/>
  <c r="R171" i="8"/>
  <c r="Q172" i="8"/>
  <c r="R172" i="8"/>
  <c r="Q173" i="8"/>
  <c r="R173" i="8"/>
  <c r="Q174" i="8"/>
  <c r="R174" i="8"/>
  <c r="Q175" i="8"/>
  <c r="R175" i="8"/>
  <c r="Q176" i="8"/>
  <c r="R176" i="8"/>
  <c r="Q177" i="8"/>
  <c r="R177" i="8"/>
  <c r="Q178" i="8"/>
  <c r="R178" i="8"/>
  <c r="Q179" i="8"/>
  <c r="R179" i="8"/>
  <c r="Q180" i="8"/>
  <c r="R180" i="8"/>
  <c r="Q181" i="8"/>
  <c r="R181" i="8"/>
  <c r="Q182" i="8"/>
  <c r="R182" i="8"/>
  <c r="Q183" i="8"/>
  <c r="R183" i="8"/>
  <c r="Q184" i="8"/>
  <c r="R184" i="8"/>
  <c r="Q185" i="8"/>
  <c r="R185" i="8"/>
  <c r="Q186" i="8"/>
  <c r="R186" i="8"/>
  <c r="Q187" i="8"/>
  <c r="R187" i="8"/>
  <c r="Q188" i="8"/>
  <c r="R188" i="8"/>
  <c r="Q189" i="8"/>
  <c r="R189" i="8"/>
  <c r="Q190" i="8"/>
  <c r="R190" i="8"/>
  <c r="Q191" i="8"/>
  <c r="R191" i="8"/>
  <c r="Q192" i="8"/>
  <c r="R192" i="8"/>
  <c r="Q193" i="8"/>
  <c r="R193" i="8"/>
  <c r="Q194" i="8"/>
  <c r="R194" i="8"/>
  <c r="Q195" i="8"/>
  <c r="R195" i="8"/>
  <c r="Q196" i="8"/>
  <c r="R196" i="8"/>
  <c r="Q197" i="8"/>
  <c r="R197" i="8"/>
  <c r="Q198" i="8"/>
  <c r="R198" i="8"/>
  <c r="Q199" i="8"/>
  <c r="R199" i="8"/>
  <c r="Q200" i="8"/>
  <c r="R200" i="8"/>
  <c r="Q201" i="8"/>
  <c r="R201" i="8"/>
  <c r="Q202" i="8"/>
  <c r="R202" i="8"/>
  <c r="Q203" i="8"/>
  <c r="R203" i="8"/>
  <c r="Q204" i="8"/>
  <c r="R204" i="8"/>
  <c r="Q205" i="8"/>
  <c r="R205" i="8"/>
  <c r="Q206" i="8"/>
  <c r="R206" i="8"/>
  <c r="Q207" i="8"/>
  <c r="R207" i="8"/>
  <c r="Q208" i="8"/>
  <c r="R208" i="8"/>
  <c r="Q209" i="8"/>
  <c r="R209" i="8"/>
  <c r="Q210" i="8"/>
  <c r="R210" i="8"/>
  <c r="Q211" i="8"/>
  <c r="R211" i="8"/>
  <c r="Q212" i="8"/>
  <c r="R212" i="8"/>
  <c r="Q213" i="8"/>
  <c r="R213" i="8"/>
  <c r="Q214" i="8"/>
  <c r="R214" i="8"/>
  <c r="Q215" i="8"/>
  <c r="R215" i="8"/>
  <c r="Q216" i="8"/>
  <c r="R216" i="8"/>
  <c r="Q217" i="8"/>
  <c r="R217" i="8"/>
  <c r="Q218" i="8"/>
  <c r="R218" i="8"/>
  <c r="Q219" i="8"/>
  <c r="R219" i="8"/>
  <c r="Q220" i="8"/>
  <c r="R220" i="8"/>
  <c r="Q221" i="8"/>
  <c r="R221" i="8"/>
  <c r="Q222" i="8"/>
  <c r="R222" i="8"/>
  <c r="Q223" i="8"/>
  <c r="R223" i="8"/>
  <c r="Q224" i="8"/>
  <c r="R224" i="8"/>
  <c r="Q225" i="8"/>
  <c r="R225" i="8"/>
  <c r="Q226" i="8"/>
  <c r="R226" i="8"/>
  <c r="Q227" i="8"/>
  <c r="R227" i="8"/>
  <c r="Q228" i="8"/>
  <c r="R228" i="8"/>
  <c r="Q229" i="8"/>
  <c r="R229" i="8"/>
  <c r="Q230" i="8"/>
  <c r="R230" i="8"/>
  <c r="Q231" i="8"/>
  <c r="R231" i="8"/>
  <c r="Q232" i="8"/>
  <c r="R232" i="8"/>
  <c r="Q233" i="8"/>
  <c r="R233" i="8"/>
  <c r="Q234" i="8"/>
  <c r="R234" i="8"/>
  <c r="Q235" i="8"/>
  <c r="R235" i="8"/>
  <c r="Q236" i="8"/>
  <c r="R236" i="8"/>
  <c r="Q237" i="8"/>
  <c r="R237" i="8"/>
  <c r="Q238" i="8"/>
  <c r="R238" i="8"/>
  <c r="Q239" i="8"/>
  <c r="R239" i="8"/>
  <c r="Q240" i="8"/>
  <c r="R240" i="8"/>
  <c r="Q241" i="8"/>
  <c r="R241" i="8"/>
  <c r="Q242" i="8"/>
  <c r="R242" i="8"/>
  <c r="Q243" i="8"/>
  <c r="R243" i="8"/>
  <c r="Q244" i="8"/>
  <c r="R244" i="8"/>
  <c r="Q245" i="8"/>
  <c r="R245" i="8"/>
  <c r="Q246" i="8"/>
  <c r="R246" i="8"/>
  <c r="Q247" i="8"/>
  <c r="R247" i="8"/>
  <c r="Q248" i="8"/>
  <c r="R248" i="8"/>
  <c r="Q249" i="8"/>
  <c r="R249" i="8"/>
  <c r="Q250" i="8"/>
  <c r="R250" i="8"/>
  <c r="Q251" i="8"/>
  <c r="R251" i="8"/>
  <c r="Q252" i="8"/>
  <c r="R252" i="8"/>
  <c r="Q253" i="8"/>
  <c r="R253" i="8"/>
  <c r="Q254" i="8"/>
  <c r="R254" i="8"/>
  <c r="Q255" i="8"/>
  <c r="R255" i="8"/>
  <c r="Q256" i="8"/>
  <c r="R256" i="8"/>
  <c r="Q257" i="8"/>
  <c r="R257" i="8"/>
  <c r="Q258" i="8"/>
  <c r="R258" i="8"/>
  <c r="Q259" i="8"/>
  <c r="R259" i="8"/>
  <c r="Q260" i="8"/>
  <c r="R260" i="8"/>
  <c r="Q261" i="8"/>
  <c r="R261" i="8"/>
  <c r="Q262" i="8"/>
  <c r="R262" i="8"/>
  <c r="Q263" i="8"/>
  <c r="R263" i="8"/>
  <c r="Q264" i="8"/>
  <c r="R264" i="8"/>
  <c r="Q265" i="8"/>
  <c r="R265" i="8"/>
  <c r="Q266" i="8"/>
  <c r="R266" i="8"/>
  <c r="Q267" i="8"/>
  <c r="R267" i="8"/>
  <c r="Q268" i="8"/>
  <c r="R268" i="8"/>
  <c r="Q269" i="8"/>
  <c r="R269" i="8"/>
  <c r="Q270" i="8"/>
  <c r="R270" i="8"/>
  <c r="Q271" i="8"/>
  <c r="R271" i="8"/>
  <c r="Q272" i="8"/>
  <c r="R272" i="8"/>
  <c r="Q273" i="8"/>
  <c r="R273" i="8"/>
  <c r="Q274" i="8"/>
  <c r="R274" i="8"/>
  <c r="Q275" i="8"/>
  <c r="R275" i="8"/>
  <c r="Q276" i="8"/>
  <c r="R276" i="8"/>
  <c r="Q277" i="8"/>
  <c r="R277" i="8"/>
  <c r="Q278" i="8"/>
  <c r="R278" i="8"/>
  <c r="Q279" i="8"/>
  <c r="R279" i="8"/>
  <c r="Q280" i="8"/>
  <c r="R280" i="8"/>
  <c r="Q281" i="8"/>
  <c r="R281" i="8"/>
  <c r="Q282" i="8"/>
  <c r="R282" i="8"/>
  <c r="Q283" i="8"/>
  <c r="R283" i="8"/>
  <c r="Q284" i="8"/>
  <c r="R284" i="8"/>
  <c r="Q285" i="8"/>
  <c r="R285" i="8"/>
  <c r="Q286" i="8"/>
  <c r="R286" i="8"/>
  <c r="Q287" i="8"/>
  <c r="R287" i="8"/>
  <c r="Q288" i="8"/>
  <c r="R288" i="8"/>
  <c r="Q289" i="8"/>
  <c r="R289" i="8"/>
  <c r="Q290" i="8"/>
  <c r="R290" i="8"/>
  <c r="Q291" i="8"/>
  <c r="R291" i="8"/>
  <c r="Q292" i="8"/>
  <c r="R292" i="8"/>
  <c r="Q293" i="8"/>
  <c r="R293" i="8"/>
  <c r="Q294" i="8"/>
  <c r="R294" i="8"/>
  <c r="Q295" i="8"/>
  <c r="R295" i="8"/>
  <c r="Q296" i="8"/>
  <c r="R296" i="8"/>
  <c r="Q297" i="8"/>
  <c r="R297" i="8"/>
  <c r="Q298" i="8"/>
  <c r="R298" i="8"/>
  <c r="Q299" i="8"/>
  <c r="R299" i="8"/>
  <c r="Q300" i="8"/>
  <c r="R300" i="8"/>
  <c r="Q301" i="8"/>
  <c r="R301" i="8"/>
  <c r="Q302" i="8"/>
  <c r="R302" i="8"/>
  <c r="Q303" i="8"/>
  <c r="R303" i="8"/>
  <c r="Q304" i="8"/>
  <c r="R304" i="8"/>
  <c r="Q305" i="8"/>
  <c r="R305" i="8"/>
  <c r="Q306" i="8"/>
  <c r="R306" i="8"/>
  <c r="Q307" i="8"/>
  <c r="R307" i="8"/>
  <c r="Q308" i="8"/>
  <c r="R308" i="8"/>
  <c r="Q309" i="8"/>
  <c r="R309" i="8"/>
  <c r="Q310" i="8"/>
  <c r="R310" i="8"/>
  <c r="Q311" i="8"/>
  <c r="R311" i="8"/>
  <c r="Q312" i="8"/>
  <c r="R312" i="8"/>
  <c r="Q313" i="8"/>
  <c r="R313" i="8"/>
  <c r="Q314" i="8"/>
  <c r="R314" i="8"/>
  <c r="Q315" i="8"/>
  <c r="R315" i="8"/>
  <c r="Q316" i="8"/>
  <c r="R316" i="8"/>
  <c r="Q317" i="8"/>
  <c r="R317" i="8"/>
  <c r="Q318" i="8"/>
  <c r="R318" i="8"/>
  <c r="Q319" i="8"/>
  <c r="R319" i="8"/>
  <c r="Q320" i="8"/>
  <c r="R320" i="8"/>
  <c r="Q321" i="8"/>
  <c r="R321" i="8"/>
  <c r="Q322" i="8"/>
  <c r="R322" i="8"/>
  <c r="Q323" i="8"/>
  <c r="R323" i="8"/>
  <c r="Q324" i="8"/>
  <c r="R324" i="8"/>
  <c r="Q325" i="8"/>
  <c r="R325" i="8"/>
  <c r="Q326" i="8"/>
  <c r="R326" i="8"/>
  <c r="Q327" i="8"/>
  <c r="R327" i="8"/>
  <c r="Q328" i="8"/>
  <c r="R328" i="8"/>
  <c r="Q329" i="8"/>
  <c r="R329" i="8"/>
  <c r="Q330" i="8"/>
  <c r="R330" i="8"/>
  <c r="Q331" i="8"/>
  <c r="R331" i="8"/>
  <c r="Q332" i="8"/>
  <c r="R332" i="8"/>
  <c r="Q333" i="8"/>
  <c r="R333" i="8"/>
  <c r="Q334" i="8"/>
  <c r="R334" i="8"/>
  <c r="Q335" i="8"/>
  <c r="R335" i="8"/>
  <c r="Q336" i="8"/>
  <c r="R336" i="8"/>
  <c r="Q337" i="8"/>
  <c r="R337" i="8"/>
  <c r="Q338" i="8"/>
  <c r="R338" i="8"/>
  <c r="Q339" i="8"/>
  <c r="R339" i="8"/>
  <c r="Q340" i="8"/>
  <c r="R340" i="8"/>
  <c r="Q341" i="8"/>
  <c r="R341" i="8"/>
  <c r="Q342" i="8"/>
  <c r="R342" i="8"/>
  <c r="Q343" i="8"/>
  <c r="R343" i="8"/>
  <c r="Q344" i="8"/>
  <c r="R344" i="8"/>
  <c r="Q345" i="8"/>
  <c r="R345" i="8"/>
  <c r="Q346" i="8"/>
  <c r="R346" i="8"/>
  <c r="Q347" i="8"/>
  <c r="R347" i="8"/>
  <c r="Q348" i="8"/>
  <c r="R348" i="8"/>
  <c r="Q349" i="8"/>
  <c r="R349" i="8"/>
  <c r="Q350" i="8"/>
  <c r="R350" i="8"/>
  <c r="Q351" i="8"/>
  <c r="R351" i="8"/>
  <c r="Q352" i="8"/>
  <c r="R352" i="8"/>
  <c r="Q353" i="8"/>
  <c r="R353" i="8"/>
  <c r="Q354" i="8"/>
  <c r="R354" i="8"/>
  <c r="Q355" i="8"/>
  <c r="R355" i="8"/>
  <c r="Q356" i="8"/>
  <c r="R356" i="8"/>
  <c r="Q357" i="8"/>
  <c r="R357" i="8"/>
  <c r="Q358" i="8"/>
  <c r="R358" i="8"/>
  <c r="Q359" i="8"/>
  <c r="R359" i="8"/>
  <c r="Q360" i="8"/>
  <c r="R360" i="8"/>
  <c r="Q361" i="8"/>
  <c r="R361" i="8"/>
  <c r="Q362" i="8"/>
  <c r="R362" i="8"/>
  <c r="Q363" i="8"/>
  <c r="R363" i="8"/>
  <c r="Q364" i="8"/>
  <c r="R364" i="8"/>
  <c r="Q365" i="8"/>
  <c r="R365" i="8"/>
  <c r="Q366" i="8"/>
  <c r="R366" i="8"/>
  <c r="Q367" i="8"/>
  <c r="R367" i="8"/>
  <c r="Q368" i="8"/>
  <c r="R368" i="8"/>
  <c r="Q369" i="8"/>
  <c r="R369" i="8"/>
  <c r="Q370" i="8"/>
  <c r="R370" i="8"/>
  <c r="Q371" i="8"/>
  <c r="R371" i="8"/>
  <c r="Q372" i="8"/>
  <c r="R372" i="8"/>
  <c r="Q373" i="8"/>
  <c r="R373" i="8"/>
  <c r="Q374" i="8"/>
  <c r="R374" i="8"/>
  <c r="Q375" i="8"/>
  <c r="R375" i="8"/>
  <c r="Q376" i="8"/>
  <c r="R376" i="8"/>
  <c r="Q377" i="8"/>
  <c r="R377" i="8"/>
  <c r="Q378" i="8"/>
  <c r="R378" i="8"/>
  <c r="Q379" i="8"/>
  <c r="R379" i="8"/>
  <c r="Q380" i="8"/>
  <c r="R380" i="8"/>
  <c r="Q381" i="8"/>
  <c r="R381" i="8"/>
  <c r="Q382" i="8"/>
  <c r="R382" i="8"/>
  <c r="Q383" i="8"/>
  <c r="R383" i="8"/>
  <c r="Q384" i="8"/>
  <c r="R384" i="8"/>
  <c r="Q385" i="8"/>
  <c r="R385" i="8"/>
  <c r="Q386" i="8"/>
  <c r="R386" i="8"/>
  <c r="Q387" i="8"/>
  <c r="R387" i="8"/>
  <c r="Q388" i="8"/>
  <c r="R388" i="8"/>
  <c r="Q389" i="8"/>
  <c r="R389" i="8"/>
  <c r="Q390" i="8"/>
  <c r="R390" i="8"/>
  <c r="Q391" i="8"/>
  <c r="R391" i="8"/>
  <c r="Q392" i="8"/>
  <c r="R392" i="8"/>
  <c r="Q393" i="8"/>
  <c r="R393" i="8"/>
  <c r="Q394" i="8"/>
  <c r="R394" i="8"/>
  <c r="Q395" i="8"/>
  <c r="R395" i="8"/>
  <c r="Q396" i="8"/>
  <c r="R396" i="8"/>
  <c r="Q397" i="8"/>
  <c r="R397" i="8"/>
  <c r="Q398" i="8"/>
  <c r="R398" i="8"/>
  <c r="Q399" i="8"/>
  <c r="R399" i="8"/>
  <c r="Q400" i="8"/>
  <c r="R400" i="8"/>
  <c r="Q401" i="8"/>
  <c r="R401" i="8"/>
  <c r="Q402" i="8"/>
  <c r="R402" i="8"/>
  <c r="Q403" i="8"/>
  <c r="R403" i="8"/>
  <c r="Q404" i="8"/>
  <c r="R404" i="8"/>
  <c r="Q405" i="8"/>
  <c r="R405" i="8"/>
  <c r="Q406" i="8"/>
  <c r="R406" i="8"/>
  <c r="Q407" i="8"/>
  <c r="R407" i="8"/>
  <c r="Q408" i="8"/>
  <c r="R408" i="8"/>
  <c r="Q409" i="8"/>
  <c r="R409" i="8"/>
  <c r="Q410" i="8"/>
  <c r="R410" i="8"/>
  <c r="Q411" i="8"/>
  <c r="R411" i="8"/>
  <c r="Q412" i="8"/>
  <c r="R412" i="8"/>
  <c r="Q413" i="8"/>
  <c r="R413" i="8"/>
  <c r="Q414" i="8"/>
  <c r="R414" i="8"/>
  <c r="Q415" i="8"/>
  <c r="R415" i="8"/>
  <c r="Q416" i="8"/>
  <c r="R416" i="8"/>
  <c r="Q417" i="8"/>
  <c r="R417" i="8"/>
  <c r="Q418" i="8"/>
  <c r="R418" i="8"/>
  <c r="Q419" i="8"/>
  <c r="R419" i="8"/>
  <c r="Q420" i="8"/>
  <c r="R420" i="8"/>
  <c r="Q421" i="8"/>
  <c r="R421" i="8"/>
  <c r="Q422" i="8"/>
  <c r="R422" i="8"/>
  <c r="Q423" i="8"/>
  <c r="R423" i="8"/>
  <c r="Q424" i="8"/>
  <c r="R424" i="8"/>
  <c r="Q425" i="8"/>
  <c r="R425" i="8"/>
  <c r="Q426" i="8"/>
  <c r="R426" i="8"/>
  <c r="Q427" i="8"/>
  <c r="R427" i="8"/>
  <c r="Q428" i="8"/>
  <c r="R428" i="8"/>
  <c r="Q429" i="8"/>
  <c r="R429" i="8"/>
  <c r="Q430" i="8"/>
  <c r="R430" i="8"/>
  <c r="Q431" i="8"/>
  <c r="R431" i="8"/>
  <c r="Q432" i="8"/>
  <c r="R432" i="8"/>
  <c r="Q433" i="8"/>
  <c r="R433" i="8"/>
  <c r="Q434" i="8"/>
  <c r="R434" i="8"/>
  <c r="Q435" i="8"/>
  <c r="R435" i="8"/>
  <c r="Q436" i="8"/>
  <c r="R436" i="8"/>
  <c r="Q437" i="8"/>
  <c r="R437" i="8"/>
  <c r="Q438" i="8"/>
  <c r="R438" i="8"/>
  <c r="Q439" i="8"/>
  <c r="R439" i="8"/>
  <c r="Q440" i="8"/>
  <c r="R440" i="8"/>
  <c r="Q441" i="8"/>
  <c r="R441" i="8"/>
  <c r="Q442" i="8"/>
  <c r="R442" i="8"/>
  <c r="Q443" i="8"/>
  <c r="R443" i="8"/>
  <c r="Q444" i="8"/>
  <c r="R444" i="8"/>
  <c r="Q445" i="8"/>
  <c r="R445" i="8"/>
  <c r="Q446" i="8"/>
  <c r="R446" i="8"/>
  <c r="Q447" i="8"/>
  <c r="R447" i="8"/>
  <c r="Q448" i="8"/>
  <c r="R448" i="8"/>
  <c r="Q449" i="8"/>
  <c r="R449" i="8"/>
  <c r="Q450" i="8"/>
  <c r="R450" i="8"/>
  <c r="Q451" i="8"/>
  <c r="R451" i="8"/>
  <c r="Q452" i="8"/>
  <c r="R452" i="8"/>
  <c r="Q453" i="8"/>
  <c r="R453" i="8"/>
  <c r="Q454" i="8"/>
  <c r="R454" i="8"/>
  <c r="Q455" i="8"/>
  <c r="R455" i="8"/>
  <c r="Q456" i="8"/>
  <c r="R456" i="8"/>
  <c r="Q457" i="8"/>
  <c r="R457" i="8"/>
  <c r="Q458" i="8"/>
  <c r="R458" i="8"/>
  <c r="Q459" i="8"/>
  <c r="R459" i="8"/>
  <c r="Q460" i="8"/>
  <c r="R460" i="8"/>
  <c r="Q461" i="8"/>
  <c r="R461" i="8"/>
  <c r="Q462" i="8"/>
  <c r="R462" i="8"/>
  <c r="Q463" i="8"/>
  <c r="R463" i="8"/>
  <c r="Q464" i="8"/>
  <c r="R464" i="8"/>
  <c r="Q465" i="8"/>
  <c r="R465" i="8"/>
  <c r="Q466" i="8"/>
  <c r="R466" i="8"/>
  <c r="Q467" i="8"/>
  <c r="R467" i="8"/>
  <c r="Q468" i="8"/>
  <c r="R468" i="8"/>
  <c r="Q469" i="8"/>
  <c r="R469" i="8"/>
  <c r="Q470" i="8"/>
  <c r="R470" i="8"/>
  <c r="Q471" i="8"/>
  <c r="R471" i="8"/>
  <c r="Q472" i="8"/>
  <c r="R472" i="8"/>
  <c r="Q473" i="8"/>
  <c r="R473" i="8"/>
  <c r="Q474" i="8"/>
  <c r="R474" i="8"/>
  <c r="Q475" i="8"/>
  <c r="R475" i="8"/>
  <c r="Q476" i="8"/>
  <c r="R476" i="8"/>
  <c r="Q477" i="8"/>
  <c r="R477" i="8"/>
  <c r="Q478" i="8"/>
  <c r="R478" i="8"/>
  <c r="Q479" i="8"/>
  <c r="R479" i="8"/>
  <c r="Q480" i="8"/>
  <c r="R480" i="8"/>
  <c r="Q481" i="8"/>
  <c r="R481" i="8"/>
  <c r="Q482" i="8"/>
  <c r="R482" i="8"/>
  <c r="Q483" i="8"/>
  <c r="R483" i="8"/>
  <c r="Q484" i="8"/>
  <c r="R484" i="8"/>
  <c r="Q485" i="8"/>
  <c r="R485" i="8"/>
  <c r="Q486" i="8"/>
  <c r="R486" i="8"/>
  <c r="Q487" i="8"/>
  <c r="R487" i="8"/>
  <c r="Q488" i="8"/>
  <c r="R488" i="8"/>
  <c r="Q489" i="8"/>
  <c r="R489" i="8"/>
  <c r="Q490" i="8"/>
  <c r="R490" i="8"/>
  <c r="Q491" i="8"/>
  <c r="R491" i="8"/>
  <c r="Q492" i="8"/>
  <c r="R492" i="8"/>
  <c r="Q493" i="8"/>
  <c r="R493" i="8"/>
  <c r="Q494" i="8"/>
  <c r="R494" i="8"/>
  <c r="Q495" i="8"/>
  <c r="R495" i="8"/>
  <c r="Q496" i="8"/>
  <c r="R496" i="8"/>
  <c r="Q497" i="8"/>
  <c r="R497" i="8"/>
  <c r="Q498" i="8"/>
  <c r="R498" i="8"/>
  <c r="Q499" i="8"/>
  <c r="R499" i="8"/>
  <c r="Q500" i="8"/>
  <c r="R500" i="8"/>
  <c r="Q501" i="8"/>
  <c r="R501" i="8"/>
  <c r="Q502" i="8"/>
  <c r="R502" i="8"/>
  <c r="Q503" i="8"/>
  <c r="R503" i="8"/>
  <c r="Q504" i="8"/>
  <c r="R504" i="8"/>
  <c r="Q505" i="8"/>
  <c r="R505" i="8"/>
  <c r="Q506" i="8"/>
  <c r="R506" i="8"/>
  <c r="Q507" i="8"/>
  <c r="R507" i="8"/>
  <c r="Q508" i="8"/>
  <c r="R508" i="8"/>
  <c r="Q509" i="8"/>
  <c r="R509" i="8"/>
  <c r="Q510" i="8"/>
  <c r="R510" i="8"/>
  <c r="Q511" i="8"/>
  <c r="R511" i="8"/>
  <c r="Q512" i="8"/>
  <c r="R512" i="8"/>
  <c r="Q513" i="8"/>
  <c r="R513" i="8"/>
  <c r="Q514" i="8"/>
  <c r="R514" i="8"/>
  <c r="Q515" i="8"/>
  <c r="R515" i="8"/>
  <c r="Q516" i="8"/>
  <c r="R516" i="8"/>
  <c r="Q517" i="8"/>
  <c r="R517" i="8"/>
  <c r="Q518" i="8"/>
  <c r="R518" i="8"/>
  <c r="Q519" i="8"/>
  <c r="R519" i="8"/>
  <c r="Q520" i="8"/>
  <c r="R520" i="8"/>
  <c r="Q521" i="8"/>
  <c r="R521" i="8"/>
  <c r="Q522" i="8"/>
  <c r="R522" i="8"/>
  <c r="Q523" i="8"/>
  <c r="R523" i="8"/>
  <c r="Q524" i="8"/>
  <c r="R524" i="8"/>
  <c r="Q525" i="8"/>
  <c r="R525" i="8"/>
  <c r="Q526" i="8"/>
  <c r="R526" i="8"/>
  <c r="Q527" i="8"/>
  <c r="R527" i="8"/>
  <c r="Q528" i="8"/>
  <c r="R528" i="8"/>
  <c r="Q529" i="8"/>
  <c r="R529" i="8"/>
  <c r="Q530" i="8"/>
  <c r="R530" i="8"/>
  <c r="Q531" i="8"/>
  <c r="R531" i="8"/>
  <c r="Q532" i="8"/>
  <c r="R532" i="8"/>
  <c r="Q533" i="8"/>
  <c r="R533" i="8"/>
  <c r="Q534" i="8"/>
  <c r="R534" i="8"/>
  <c r="Q535" i="8"/>
  <c r="R535" i="8"/>
  <c r="Q536" i="8"/>
  <c r="R536" i="8"/>
  <c r="Q537" i="8"/>
  <c r="R537" i="8"/>
  <c r="Q538" i="8"/>
  <c r="R538" i="8"/>
  <c r="Q539" i="8"/>
  <c r="R539" i="8"/>
  <c r="Q540" i="8"/>
  <c r="R540" i="8"/>
  <c r="Q541" i="8"/>
  <c r="R541" i="8"/>
  <c r="Q542" i="8"/>
  <c r="R542" i="8"/>
  <c r="Q543" i="8"/>
  <c r="R543" i="8"/>
  <c r="Q544" i="8"/>
  <c r="R544" i="8"/>
  <c r="Q545" i="8"/>
  <c r="R545" i="8"/>
  <c r="Q546" i="8"/>
  <c r="R546" i="8"/>
  <c r="Q547" i="8"/>
  <c r="R547" i="8"/>
  <c r="Q548" i="8"/>
  <c r="R548" i="8"/>
  <c r="Q549" i="8"/>
  <c r="R549" i="8"/>
  <c r="Q550" i="8"/>
  <c r="R550" i="8"/>
  <c r="Q551" i="8"/>
  <c r="R551" i="8"/>
  <c r="Q552" i="8"/>
  <c r="R552" i="8"/>
  <c r="Q553" i="8"/>
  <c r="R553" i="8"/>
  <c r="Q554" i="8"/>
  <c r="R554" i="8"/>
  <c r="Q555" i="8"/>
  <c r="R555" i="8"/>
  <c r="Q556" i="8"/>
  <c r="R556" i="8"/>
  <c r="Q557" i="8"/>
  <c r="R557" i="8"/>
  <c r="Q558" i="8"/>
  <c r="R558" i="8"/>
  <c r="Q559" i="8"/>
  <c r="R559" i="8"/>
  <c r="Q560" i="8"/>
  <c r="R560" i="8"/>
  <c r="Q561" i="8"/>
  <c r="R561" i="8"/>
  <c r="Q562" i="8"/>
  <c r="R562" i="8"/>
  <c r="Q563" i="8"/>
  <c r="R563" i="8"/>
  <c r="Q564" i="8"/>
  <c r="R564" i="8"/>
  <c r="Q565" i="8"/>
  <c r="R565" i="8"/>
  <c r="Q566" i="8"/>
  <c r="R566" i="8"/>
  <c r="Q567" i="8"/>
  <c r="R567" i="8"/>
  <c r="Q568" i="8"/>
  <c r="R568" i="8"/>
  <c r="Q569" i="8"/>
  <c r="R569" i="8"/>
  <c r="Q570" i="8"/>
  <c r="R570" i="8"/>
  <c r="Q571" i="8"/>
  <c r="R571" i="8"/>
  <c r="Q572" i="8"/>
  <c r="R572" i="8"/>
  <c r="Q573" i="8"/>
  <c r="R573" i="8"/>
  <c r="Q574" i="8"/>
  <c r="R574" i="8"/>
  <c r="Q575" i="8"/>
  <c r="R575" i="8"/>
  <c r="Q576" i="8"/>
  <c r="R576" i="8"/>
  <c r="Q577" i="8"/>
  <c r="R577" i="8"/>
  <c r="Q578" i="8"/>
  <c r="R578" i="8"/>
  <c r="Q579" i="8"/>
  <c r="R579" i="8"/>
  <c r="AA136" i="6"/>
  <c r="X136" i="6"/>
  <c r="E136" i="6"/>
  <c r="C136" i="6"/>
  <c r="N49" i="38"/>
  <c r="N50" i="38"/>
  <c r="N51" i="38"/>
  <c r="N52" i="38"/>
  <c r="N53" i="38"/>
  <c r="N54" i="38"/>
  <c r="N55" i="38"/>
  <c r="N47" i="38"/>
  <c r="L46" i="38"/>
  <c r="J46" i="38"/>
  <c r="I46" i="38"/>
  <c r="G46" i="38"/>
  <c r="E46" i="38"/>
  <c r="N48" i="38"/>
  <c r="G48" i="38"/>
  <c r="E39" i="38"/>
  <c r="M27" i="38"/>
  <c r="M28" i="38"/>
  <c r="M29" i="38"/>
  <c r="M30" i="38"/>
  <c r="M31" i="38"/>
  <c r="M32" i="38"/>
  <c r="M33" i="38"/>
  <c r="M34" i="38"/>
  <c r="M35" i="38"/>
  <c r="M36" i="38"/>
  <c r="M37" i="38"/>
  <c r="M26" i="38"/>
  <c r="I136" i="38"/>
  <c r="I134" i="38"/>
  <c r="G141" i="38"/>
  <c r="E141" i="38"/>
  <c r="G86" i="38"/>
  <c r="F136" i="38"/>
  <c r="G126" i="38"/>
  <c r="G127" i="38"/>
  <c r="G128"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7" i="38"/>
  <c r="G88" i="38"/>
  <c r="G89" i="38"/>
  <c r="G90" i="38"/>
  <c r="G91" i="38"/>
  <c r="G92" i="38"/>
  <c r="G93" i="38"/>
  <c r="G94" i="38"/>
  <c r="G95" i="38"/>
  <c r="G96" i="38"/>
  <c r="G97" i="38"/>
  <c r="G98" i="38"/>
  <c r="G99" i="38"/>
  <c r="G100" i="38"/>
  <c r="G101" i="38"/>
  <c r="G102" i="38"/>
  <c r="G103" i="38"/>
  <c r="G104" i="38"/>
  <c r="G105" i="38"/>
  <c r="G106" i="38"/>
  <c r="G107" i="38"/>
  <c r="G108" i="38"/>
  <c r="G109" i="38"/>
  <c r="G110" i="38"/>
  <c r="G111" i="38"/>
  <c r="G112" i="38"/>
  <c r="G113" i="38"/>
  <c r="G114" i="38"/>
  <c r="G115" i="38"/>
  <c r="G116" i="38"/>
  <c r="G117" i="38"/>
  <c r="G118" i="38"/>
  <c r="G119" i="38"/>
  <c r="G120" i="38"/>
  <c r="G121" i="38"/>
  <c r="G122" i="38"/>
  <c r="G123" i="38"/>
  <c r="G124" i="38"/>
  <c r="G125" i="38"/>
  <c r="G129" i="38"/>
  <c r="G130" i="38"/>
  <c r="G131" i="38"/>
  <c r="F46" i="38"/>
  <c r="G49" i="38"/>
  <c r="G50" i="38"/>
  <c r="G51" i="38"/>
  <c r="G52" i="38"/>
  <c r="G53" i="38"/>
  <c r="G54" i="38"/>
  <c r="G55" i="38"/>
  <c r="G56" i="38"/>
  <c r="E134" i="38"/>
  <c r="F45" i="38"/>
  <c r="E45" i="38"/>
  <c r="I39" i="38"/>
  <c r="L40" i="38"/>
  <c r="G33" i="38"/>
  <c r="L36" i="38"/>
  <c r="G37" i="38"/>
  <c r="G36" i="38"/>
  <c r="G35" i="38"/>
  <c r="G34" i="38"/>
  <c r="E132" i="38" l="1"/>
  <c r="E142" i="38" s="1"/>
  <c r="L35" i="38"/>
  <c r="L34" i="38"/>
  <c r="L37" i="38"/>
  <c r="L33" i="38"/>
  <c r="AA7" i="23" l="1"/>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4" i="2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4" i="6"/>
  <c r="X1" i="17"/>
  <c r="Y1" i="17"/>
  <c r="Z1" i="17"/>
  <c r="AA1" i="17"/>
  <c r="AB1" i="17"/>
  <c r="C1" i="17"/>
  <c r="D1" i="17"/>
  <c r="AB1" i="36" l="1"/>
  <c r="H1" i="36"/>
  <c r="D1" i="11"/>
  <c r="AA49" i="23"/>
  <c r="X49" i="23"/>
  <c r="C49" i="23"/>
  <c r="AJ1" i="36" l="1"/>
  <c r="AH1" i="36"/>
  <c r="AA62" i="14"/>
  <c r="X62" i="14"/>
  <c r="E62" i="14"/>
  <c r="C62" i="14"/>
  <c r="AA61" i="14"/>
  <c r="X61" i="14"/>
  <c r="E61" i="14"/>
  <c r="C61" i="14"/>
  <c r="X135" i="6"/>
  <c r="C135" i="6"/>
  <c r="X134" i="6"/>
  <c r="C134" i="6"/>
  <c r="X133" i="6" l="1"/>
  <c r="C133" i="6"/>
  <c r="X132" i="6"/>
  <c r="C132" i="6"/>
  <c r="AA48" i="23"/>
  <c r="X48" i="23"/>
  <c r="C48" i="23"/>
  <c r="X131" i="6" l="1"/>
  <c r="C131" i="6"/>
  <c r="AA47" i="23"/>
  <c r="X47" i="23"/>
  <c r="C47" i="23"/>
  <c r="X130" i="6"/>
  <c r="C130" i="6"/>
  <c r="I135" i="38"/>
  <c r="I137" i="38" s="1"/>
  <c r="H142" i="38"/>
  <c r="N56" i="38"/>
  <c r="I45" i="38"/>
  <c r="X129" i="6" l="1"/>
  <c r="C129" i="6"/>
  <c r="D1" i="24" l="1"/>
  <c r="F1" i="8" l="1"/>
  <c r="E1" i="8"/>
  <c r="I9" i="41"/>
  <c r="X128" i="6" l="1"/>
  <c r="C128" i="6"/>
  <c r="J16" i="41"/>
  <c r="I16" i="41"/>
  <c r="H16" i="41"/>
  <c r="J15" i="41"/>
  <c r="H15" i="41"/>
  <c r="I15" i="41"/>
  <c r="X127" i="6"/>
  <c r="C127" i="6"/>
  <c r="I23" i="41"/>
  <c r="J20" i="41"/>
  <c r="I20" i="41"/>
  <c r="H20" i="41"/>
  <c r="E36" i="41" l="1"/>
  <c r="I8" i="41" l="1"/>
  <c r="J8" i="41"/>
  <c r="H8" i="41"/>
  <c r="X126" i="6"/>
  <c r="C126" i="6"/>
  <c r="I26" i="41" l="1"/>
  <c r="I25" i="41"/>
  <c r="H25" i="41"/>
  <c r="J27" i="41"/>
  <c r="J26" i="41"/>
  <c r="J25" i="41"/>
  <c r="J24" i="41"/>
  <c r="J23" i="41"/>
  <c r="J22" i="41"/>
  <c r="J21" i="41"/>
  <c r="J19" i="41"/>
  <c r="J18" i="41"/>
  <c r="J17" i="41"/>
  <c r="J14" i="41"/>
  <c r="J13" i="41"/>
  <c r="J12" i="41"/>
  <c r="J11" i="41"/>
  <c r="J10" i="41"/>
  <c r="J9" i="41"/>
  <c r="J7" i="41"/>
  <c r="J6" i="41"/>
  <c r="J5" i="41"/>
  <c r="J4" i="41"/>
  <c r="H9" i="41"/>
  <c r="E30" i="41"/>
  <c r="I6" i="41"/>
  <c r="H6" i="41"/>
  <c r="X125" i="6"/>
  <c r="C125" i="6"/>
  <c r="X124" i="6"/>
  <c r="C124" i="6"/>
  <c r="X123" i="6"/>
  <c r="C123" i="6"/>
  <c r="X122" i="6"/>
  <c r="C122" i="6"/>
  <c r="X121" i="6"/>
  <c r="C121" i="6"/>
  <c r="X120" i="6"/>
  <c r="C120" i="6"/>
  <c r="F43" i="41" l="1"/>
  <c r="F41" i="41"/>
  <c r="D32" i="41"/>
  <c r="E32" i="41"/>
  <c r="F32" i="41"/>
  <c r="J32" i="41"/>
  <c r="J30" i="41"/>
  <c r="E31" i="41"/>
  <c r="E37" i="41"/>
  <c r="J2" i="41"/>
  <c r="I21" i="41"/>
  <c r="I22" i="41"/>
  <c r="I24" i="41"/>
  <c r="I27" i="41"/>
  <c r="I18" i="41"/>
  <c r="I19" i="41"/>
  <c r="I17" i="41"/>
  <c r="I7" i="41"/>
  <c r="E47" i="41" s="1"/>
  <c r="I10" i="41"/>
  <c r="I11" i="41"/>
  <c r="I12" i="41"/>
  <c r="I13" i="41"/>
  <c r="I14" i="41"/>
  <c r="I5" i="41"/>
  <c r="I4" i="41"/>
  <c r="H19" i="41"/>
  <c r="H27" i="41"/>
  <c r="H26" i="41"/>
  <c r="H24" i="41"/>
  <c r="H23" i="41"/>
  <c r="H22" i="41"/>
  <c r="H21" i="41"/>
  <c r="H18" i="41"/>
  <c r="H17" i="41"/>
  <c r="H10" i="41"/>
  <c r="H11" i="41"/>
  <c r="H12" i="41"/>
  <c r="H13" i="41"/>
  <c r="H14" i="41"/>
  <c r="H7" i="41"/>
  <c r="H5" i="41"/>
  <c r="H4" i="41"/>
  <c r="F31" i="41"/>
  <c r="E2" i="41"/>
  <c r="F2" i="41"/>
  <c r="F135" i="38"/>
  <c r="X5" i="14"/>
  <c r="X119" i="6"/>
  <c r="C119" i="6"/>
  <c r="X118" i="6"/>
  <c r="C118" i="6"/>
  <c r="X117" i="6"/>
  <c r="C117" i="6"/>
  <c r="D2" i="41"/>
  <c r="F42" i="41"/>
  <c r="J31" i="41"/>
  <c r="D31" i="41"/>
  <c r="F30" i="41"/>
  <c r="D30" i="41"/>
  <c r="E48" i="41" l="1"/>
  <c r="I30" i="41"/>
  <c r="F45" i="41"/>
  <c r="I31" i="41"/>
  <c r="I32" i="41"/>
  <c r="I36" i="41"/>
  <c r="D42" i="41"/>
  <c r="D43" i="41"/>
  <c r="E41" i="41"/>
  <c r="E42" i="41"/>
  <c r="D41" i="41"/>
  <c r="E43" i="41"/>
  <c r="I37" i="41"/>
  <c r="I2" i="41"/>
  <c r="H2" i="41"/>
  <c r="E34" i="41"/>
  <c r="E38" i="41" s="1"/>
  <c r="H32" i="41"/>
  <c r="H31" i="41"/>
  <c r="H30" i="41"/>
  <c r="J34" i="41"/>
  <c r="F34" i="41"/>
  <c r="D34" i="41"/>
  <c r="E45" i="41" l="1"/>
  <c r="E49" i="41" s="1"/>
  <c r="D45" i="41"/>
  <c r="I34" i="41"/>
  <c r="I38" i="41" s="1"/>
  <c r="H34" i="41"/>
  <c r="X116" i="6"/>
  <c r="C116" i="6"/>
  <c r="AA46" i="23" l="1"/>
  <c r="X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X115" i="6"/>
  <c r="C115" i="6"/>
  <c r="Q37" i="24"/>
  <c r="R37"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3" i="1"/>
  <c r="Q37" i="39"/>
  <c r="Q4" i="39"/>
  <c r="Q5" i="39"/>
  <c r="Q6" i="39"/>
  <c r="Q7" i="39"/>
  <c r="Q8"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Q3" i="39"/>
  <c r="N45" i="38"/>
  <c r="N39" i="38"/>
  <c r="J39" i="38"/>
  <c r="E135" i="38"/>
  <c r="Q49" i="23" l="1"/>
  <c r="H49" i="23"/>
  <c r="N49" i="23"/>
  <c r="O49" i="23"/>
  <c r="W49" i="23"/>
  <c r="V49" i="23"/>
  <c r="M49" i="23"/>
  <c r="J49" i="23"/>
  <c r="U49" i="23"/>
  <c r="L49" i="23"/>
  <c r="K49" i="23"/>
  <c r="T49" i="23"/>
  <c r="S49" i="23"/>
  <c r="R49" i="23"/>
  <c r="I49" i="23"/>
  <c r="R48" i="23"/>
  <c r="I48" i="23"/>
  <c r="Q48" i="23"/>
  <c r="H48" i="23"/>
  <c r="S48" i="23"/>
  <c r="O48" i="23"/>
  <c r="T48" i="23"/>
  <c r="W48" i="23"/>
  <c r="N48" i="23"/>
  <c r="K48" i="23"/>
  <c r="V48" i="23"/>
  <c r="M48" i="23"/>
  <c r="J48" i="23"/>
  <c r="U48" i="23"/>
  <c r="L48" i="23"/>
  <c r="Q47" i="23"/>
  <c r="O47" i="23"/>
  <c r="W47" i="23"/>
  <c r="V47" i="23"/>
  <c r="M47" i="23"/>
  <c r="J47" i="23"/>
  <c r="U47" i="23"/>
  <c r="L47" i="23"/>
  <c r="K47" i="23"/>
  <c r="T47" i="23"/>
  <c r="S47" i="23"/>
  <c r="R47" i="23"/>
  <c r="I47" i="23"/>
  <c r="H47" i="23"/>
  <c r="N47" i="23"/>
  <c r="AA5" i="23"/>
  <c r="AA6"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9" i="23" l="1"/>
  <c r="G49" i="23" s="1"/>
  <c r="P48" i="23"/>
  <c r="G48" i="23" s="1"/>
  <c r="P47" i="23"/>
  <c r="G47" i="23" s="1"/>
  <c r="F47" i="23" s="1"/>
  <c r="AA56" i="14"/>
  <c r="AA57" i="14"/>
  <c r="AA58" i="14"/>
  <c r="AA59" i="14"/>
  <c r="AA60" i="14"/>
  <c r="C114" i="6"/>
  <c r="C113" i="6"/>
  <c r="C112" i="6"/>
  <c r="C111" i="6"/>
  <c r="C110" i="6"/>
  <c r="E60" i="14"/>
  <c r="C60" i="14"/>
  <c r="C45" i="23"/>
  <c r="C44" i="23"/>
  <c r="C109" i="6"/>
  <c r="F39" i="38"/>
  <c r="AE1" i="17"/>
  <c r="W1" i="17"/>
  <c r="U1" i="17"/>
  <c r="T1" i="17"/>
  <c r="S1" i="17"/>
  <c r="R1" i="17"/>
  <c r="Q1" i="17"/>
  <c r="O1" i="17"/>
  <c r="H1" i="17"/>
  <c r="F49" i="23" l="1"/>
  <c r="AG49" i="23"/>
  <c r="F48" i="23"/>
  <c r="AG48" i="23"/>
  <c r="AG47" i="23"/>
  <c r="M1" i="17"/>
  <c r="F134" i="38" l="1"/>
  <c r="L26" i="38" l="1"/>
  <c r="C108" i="6" l="1"/>
  <c r="C107" i="6"/>
  <c r="H107" i="6"/>
  <c r="I107" i="6"/>
  <c r="J107" i="6"/>
  <c r="K107" i="6"/>
  <c r="L107" i="6"/>
  <c r="M107" i="6"/>
  <c r="N107" i="6"/>
  <c r="O107" i="6"/>
  <c r="Q107" i="6"/>
  <c r="R107" i="6"/>
  <c r="S107" i="6"/>
  <c r="T107" i="6"/>
  <c r="U107" i="6"/>
  <c r="V107" i="6"/>
  <c r="W107" i="6"/>
  <c r="C106" i="6"/>
  <c r="W105" i="6"/>
  <c r="V105" i="6"/>
  <c r="U105" i="6"/>
  <c r="T105" i="6"/>
  <c r="S105" i="6"/>
  <c r="R105" i="6"/>
  <c r="Q105" i="6"/>
  <c r="O105" i="6"/>
  <c r="N105" i="6"/>
  <c r="M105" i="6"/>
  <c r="L105" i="6"/>
  <c r="K105" i="6"/>
  <c r="J105" i="6"/>
  <c r="I105" i="6"/>
  <c r="H105" i="6"/>
  <c r="C105" i="6"/>
  <c r="P107" i="6" l="1"/>
  <c r="G107" i="6" s="1"/>
  <c r="F107" i="6" s="1"/>
  <c r="P105" i="6"/>
  <c r="G105" i="6" s="1"/>
  <c r="F105" i="6" s="1"/>
  <c r="C43" i="23"/>
  <c r="W59" i="14"/>
  <c r="V59" i="14"/>
  <c r="U59" i="14"/>
  <c r="T59" i="14"/>
  <c r="S59" i="14"/>
  <c r="R59" i="14"/>
  <c r="Q59" i="14"/>
  <c r="O59" i="14"/>
  <c r="N59" i="14"/>
  <c r="M59" i="14"/>
  <c r="L59" i="14"/>
  <c r="K59" i="14"/>
  <c r="J59" i="14"/>
  <c r="I59" i="14"/>
  <c r="H59" i="14"/>
  <c r="E59" i="14"/>
  <c r="C59" i="14"/>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E58" i="14"/>
  <c r="C58" i="14"/>
  <c r="AG107" i="6" l="1"/>
  <c r="AG105" i="6"/>
  <c r="P59" i="14"/>
  <c r="G59" i="14" s="1"/>
  <c r="AG59" i="14" s="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E57" i="14"/>
  <c r="C57" i="14"/>
  <c r="C104" i="6"/>
  <c r="C103" i="6"/>
  <c r="C102" i="6"/>
  <c r="C101"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E56" i="14"/>
  <c r="C56" i="14"/>
  <c r="C99" i="6"/>
  <c r="G1" i="8" l="1"/>
  <c r="F59" i="14"/>
  <c r="J57" i="14"/>
  <c r="T57" i="14"/>
  <c r="I57" i="14"/>
  <c r="R57" i="14"/>
  <c r="L57" i="14"/>
  <c r="U57" i="14"/>
  <c r="M57" i="14"/>
  <c r="V57" i="14"/>
  <c r="N57" i="14"/>
  <c r="W57" i="14"/>
  <c r="O57" i="14"/>
  <c r="S57" i="14"/>
  <c r="K57" i="14"/>
  <c r="H57" i="14"/>
  <c r="C7" i="14"/>
  <c r="E7" i="14"/>
  <c r="P57" i="14" l="1"/>
  <c r="G57" i="14" s="1"/>
  <c r="F57" i="14" l="1"/>
  <c r="AG57" i="14"/>
  <c r="R38" i="24" l="1"/>
  <c r="R39" i="24"/>
  <c r="R40" i="24"/>
  <c r="R41" i="24"/>
  <c r="C42" i="23"/>
  <c r="C98" i="6"/>
  <c r="C97" i="6"/>
  <c r="C96" i="6"/>
  <c r="C95" i="6"/>
  <c r="D5" i="40"/>
  <c r="J45" i="38" l="1"/>
  <c r="F132" i="38"/>
  <c r="F142" i="38" s="1"/>
  <c r="M46" i="38"/>
  <c r="M40" i="38"/>
  <c r="L41" i="38"/>
  <c r="M41" i="38" s="1"/>
  <c r="L42" i="38"/>
  <c r="M42" i="38" s="1"/>
  <c r="L43" i="38"/>
  <c r="M43" i="38" s="1"/>
  <c r="N46" i="38"/>
  <c r="M39" i="38" l="1"/>
  <c r="L45" i="38"/>
  <c r="C41" i="23" l="1"/>
  <c r="C40" i="23"/>
  <c r="C94" i="6"/>
  <c r="C93" i="6"/>
  <c r="S3" i="1"/>
  <c r="C39" i="23"/>
  <c r="H39" i="23"/>
  <c r="I39" i="23"/>
  <c r="J39" i="23"/>
  <c r="K39" i="23"/>
  <c r="L39" i="23"/>
  <c r="M39" i="23"/>
  <c r="N39" i="23"/>
  <c r="O39" i="23"/>
  <c r="Q39" i="23"/>
  <c r="R39" i="23"/>
  <c r="S39" i="23"/>
  <c r="T39" i="23"/>
  <c r="U39" i="23"/>
  <c r="V39" i="23"/>
  <c r="W39" i="23"/>
  <c r="E55" i="14"/>
  <c r="C55" i="14"/>
  <c r="P39" i="23" l="1"/>
  <c r="G39" i="23" s="1"/>
  <c r="AG39" i="23" s="1"/>
  <c r="C92" i="6"/>
  <c r="E54" i="14"/>
  <c r="C54" i="14"/>
  <c r="C91" i="6"/>
  <c r="Q251" i="1"/>
  <c r="S251" i="1"/>
  <c r="Q252" i="1"/>
  <c r="S252" i="1"/>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C38" i="23"/>
  <c r="C37" i="23"/>
  <c r="C36" i="23"/>
  <c r="C90" i="6"/>
  <c r="C89" i="6"/>
  <c r="G26" i="38"/>
  <c r="L31" i="38"/>
  <c r="L32" i="38"/>
  <c r="L27" i="38"/>
  <c r="L28" i="38"/>
  <c r="L29" i="38"/>
  <c r="L30" i="38"/>
  <c r="L39" i="38" l="1"/>
  <c r="L132"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E45" i="14" l="1"/>
  <c r="E50" i="14"/>
  <c r="E51" i="14"/>
  <c r="E53" i="14"/>
  <c r="C53" i="14"/>
  <c r="C88" i="6"/>
  <c r="C33" i="23"/>
  <c r="C87" i="6"/>
  <c r="Q230" i="1"/>
  <c r="S230" i="1"/>
  <c r="Q231" i="1"/>
  <c r="S231" i="1"/>
  <c r="Q232" i="1"/>
  <c r="S232" i="1"/>
  <c r="Q233" i="1"/>
  <c r="S233" i="1"/>
  <c r="Q234" i="1"/>
  <c r="S234" i="1"/>
  <c r="Q235" i="1"/>
  <c r="S235" i="1"/>
  <c r="Q236" i="1"/>
  <c r="S236" i="1"/>
  <c r="Q237" i="1"/>
  <c r="S237" i="1"/>
  <c r="Q238" i="1"/>
  <c r="S238" i="1"/>
  <c r="Q239" i="1"/>
  <c r="S239" i="1"/>
  <c r="Q240" i="1"/>
  <c r="S240" i="1"/>
  <c r="Q241" i="1"/>
  <c r="S241" i="1"/>
  <c r="Q242" i="1"/>
  <c r="S242" i="1"/>
  <c r="Q243" i="1"/>
  <c r="S243" i="1"/>
  <c r="Q244" i="1"/>
  <c r="S244" i="1"/>
  <c r="Q245" i="1"/>
  <c r="S245" i="1"/>
  <c r="Q246" i="1"/>
  <c r="S246" i="1"/>
  <c r="Q247" i="1"/>
  <c r="S247" i="1"/>
  <c r="Q248" i="1"/>
  <c r="S248" i="1"/>
  <c r="Q249" i="1"/>
  <c r="S249" i="1"/>
  <c r="Q250" i="1"/>
  <c r="S250" i="1"/>
  <c r="Q783" i="8"/>
  <c r="R783" i="8"/>
  <c r="Q784" i="8"/>
  <c r="R784" i="8"/>
  <c r="Q785" i="8"/>
  <c r="R785" i="8"/>
  <c r="Q786" i="8"/>
  <c r="R786" i="8"/>
  <c r="Q787" i="8"/>
  <c r="R787" i="8"/>
  <c r="Q788" i="8"/>
  <c r="R788" i="8"/>
  <c r="Q789" i="8"/>
  <c r="R789" i="8"/>
  <c r="Q790" i="8"/>
  <c r="R790" i="8"/>
  <c r="Q791" i="8"/>
  <c r="R791" i="8"/>
  <c r="Q792" i="8"/>
  <c r="R792" i="8"/>
  <c r="Q793" i="8"/>
  <c r="R793" i="8"/>
  <c r="Q794" i="8"/>
  <c r="R794" i="8"/>
  <c r="Q795" i="8"/>
  <c r="R795" i="8"/>
  <c r="Q796" i="8"/>
  <c r="R796" i="8"/>
  <c r="Q797" i="8"/>
  <c r="R797" i="8"/>
  <c r="Q798" i="8"/>
  <c r="R798" i="8"/>
  <c r="Q799" i="8"/>
  <c r="R799" i="8"/>
  <c r="Q800" i="8"/>
  <c r="R800" i="8"/>
  <c r="AA4" i="14"/>
  <c r="Q228" i="1"/>
  <c r="S228" i="1"/>
  <c r="Q229" i="1"/>
  <c r="S229" i="1"/>
  <c r="C86" i="6"/>
  <c r="Q218" i="1"/>
  <c r="S218" i="1"/>
  <c r="Q219" i="1"/>
  <c r="S219" i="1"/>
  <c r="Q220" i="1"/>
  <c r="S220" i="1"/>
  <c r="Q221" i="1"/>
  <c r="S221" i="1"/>
  <c r="Q222" i="1"/>
  <c r="S222" i="1"/>
  <c r="Q223" i="1"/>
  <c r="S223" i="1"/>
  <c r="Q224" i="1"/>
  <c r="S224" i="1"/>
  <c r="Q225" i="1"/>
  <c r="S225" i="1"/>
  <c r="Q226" i="1"/>
  <c r="S226" i="1"/>
  <c r="Q227" i="1"/>
  <c r="S227" i="1"/>
  <c r="E52" i="14"/>
  <c r="C52" i="14"/>
  <c r="C85" i="6"/>
  <c r="C84" i="6"/>
  <c r="T136" i="6" l="1"/>
  <c r="S136" i="6"/>
  <c r="R136" i="6"/>
  <c r="I136" i="6"/>
  <c r="H136" i="6"/>
  <c r="N136" i="6"/>
  <c r="M136" i="6"/>
  <c r="L136" i="6"/>
  <c r="Q136" i="6"/>
  <c r="J136" i="6"/>
  <c r="O136" i="6"/>
  <c r="W136" i="6"/>
  <c r="K136" i="6"/>
  <c r="V136" i="6"/>
  <c r="U136" i="6"/>
  <c r="W131" i="6"/>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X1" i="23"/>
  <c r="C83" i="6"/>
  <c r="P136" i="6" l="1"/>
  <c r="G136" i="6" s="1"/>
  <c r="P131" i="6"/>
  <c r="G131" i="6" s="1"/>
  <c r="P91" i="6"/>
  <c r="G91" i="6" s="1"/>
  <c r="G32" i="38"/>
  <c r="G31" i="38"/>
  <c r="G29" i="38"/>
  <c r="G28" i="38"/>
  <c r="C82" i="6"/>
  <c r="C32" i="23"/>
  <c r="T192" i="1"/>
  <c r="T193" i="1"/>
  <c r="T191" i="1"/>
  <c r="S191" i="1"/>
  <c r="Q781" i="8"/>
  <c r="R781" i="8"/>
  <c r="Q782" i="8"/>
  <c r="R782" i="8"/>
  <c r="Q204" i="1"/>
  <c r="S204" i="1"/>
  <c r="Q205" i="1"/>
  <c r="S205" i="1"/>
  <c r="Q206" i="1"/>
  <c r="S206" i="1"/>
  <c r="Q207" i="1"/>
  <c r="S207" i="1"/>
  <c r="Q208" i="1"/>
  <c r="S208" i="1"/>
  <c r="Q209" i="1"/>
  <c r="S209" i="1"/>
  <c r="Q210" i="1"/>
  <c r="S210" i="1"/>
  <c r="Q211" i="1"/>
  <c r="S211" i="1"/>
  <c r="Q212" i="1"/>
  <c r="S212" i="1"/>
  <c r="Q213" i="1"/>
  <c r="S213" i="1"/>
  <c r="Q214" i="1"/>
  <c r="S214" i="1"/>
  <c r="Q215" i="1"/>
  <c r="S215" i="1"/>
  <c r="Q216" i="1"/>
  <c r="S216" i="1"/>
  <c r="Q217" i="1"/>
  <c r="S217" i="1"/>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Q773" i="8"/>
  <c r="Q774" i="8"/>
  <c r="Q775" i="8"/>
  <c r="Q776" i="8"/>
  <c r="Q777" i="8"/>
  <c r="Q778" i="8"/>
  <c r="Q779" i="8"/>
  <c r="Q780" i="8"/>
  <c r="F136" i="6" l="1"/>
  <c r="AG136" i="6"/>
  <c r="L90" i="6"/>
  <c r="R90" i="6"/>
  <c r="S90" i="6"/>
  <c r="O90" i="6"/>
  <c r="I90" i="6"/>
  <c r="K90" i="6"/>
  <c r="W90" i="6"/>
  <c r="N90" i="6"/>
  <c r="J90" i="6"/>
  <c r="V90" i="6"/>
  <c r="M90" i="6"/>
  <c r="Q90" i="6"/>
  <c r="U90" i="6"/>
  <c r="H90" i="6"/>
  <c r="T90"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C31" i="23"/>
  <c r="C51" i="14"/>
  <c r="C81" i="6"/>
  <c r="Q202" i="1"/>
  <c r="S202" i="1"/>
  <c r="Q203" i="1"/>
  <c r="S203" i="1"/>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W25" i="23"/>
  <c r="V25" i="23"/>
  <c r="U25" i="23"/>
  <c r="T25" i="23"/>
  <c r="S25" i="23"/>
  <c r="R25" i="23"/>
  <c r="Q25" i="23"/>
  <c r="O25" i="23"/>
  <c r="N25" i="23"/>
  <c r="M25" i="23"/>
  <c r="L25" i="23"/>
  <c r="K25" i="23"/>
  <c r="J25" i="23"/>
  <c r="I25" i="23"/>
  <c r="H25" i="23"/>
  <c r="W20" i="23"/>
  <c r="V20" i="23"/>
  <c r="U20" i="23"/>
  <c r="T20" i="23"/>
  <c r="S20" i="23"/>
  <c r="R20" i="23"/>
  <c r="Q20" i="23"/>
  <c r="O20" i="23"/>
  <c r="N20" i="23"/>
  <c r="M20" i="23"/>
  <c r="L20" i="23"/>
  <c r="K20" i="23"/>
  <c r="J20" i="23"/>
  <c r="I20" i="23"/>
  <c r="H20" i="23"/>
  <c r="W4" i="23"/>
  <c r="V4" i="23"/>
  <c r="U4" i="23"/>
  <c r="T4" i="23"/>
  <c r="S4" i="23"/>
  <c r="R4" i="23"/>
  <c r="Q4" i="23"/>
  <c r="O4" i="23"/>
  <c r="N4" i="23"/>
  <c r="M4" i="23"/>
  <c r="L4" i="23"/>
  <c r="K4" i="23"/>
  <c r="W72" i="6"/>
  <c r="V72" i="6"/>
  <c r="U72" i="6"/>
  <c r="T72" i="6"/>
  <c r="S72" i="6"/>
  <c r="R72" i="6"/>
  <c r="Q72" i="6"/>
  <c r="O72" i="6"/>
  <c r="N72" i="6"/>
  <c r="M72" i="6"/>
  <c r="L72" i="6"/>
  <c r="K72" i="6"/>
  <c r="J72" i="6"/>
  <c r="I72" i="6"/>
  <c r="H72" i="6"/>
  <c r="P90" i="6" l="1"/>
  <c r="G90" i="6" s="1"/>
  <c r="T132" i="6"/>
  <c r="K132" i="6"/>
  <c r="S132" i="6"/>
  <c r="J132" i="6"/>
  <c r="I132" i="6"/>
  <c r="R132" i="6"/>
  <c r="H132" i="6"/>
  <c r="Q132" i="6"/>
  <c r="O132" i="6"/>
  <c r="V132" i="6"/>
  <c r="W132" i="6"/>
  <c r="N132" i="6"/>
  <c r="M132" i="6"/>
  <c r="L132" i="6"/>
  <c r="U132" i="6"/>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34" i="38"/>
  <c r="J14" i="38"/>
  <c r="J12" i="38"/>
  <c r="J11" i="38"/>
  <c r="J10" i="38"/>
  <c r="J9" i="38"/>
  <c r="J8" i="38"/>
  <c r="J7" i="38"/>
  <c r="J6" i="38"/>
  <c r="G43" i="38"/>
  <c r="G41" i="38"/>
  <c r="G40" i="38"/>
  <c r="G12" i="38"/>
  <c r="G11" i="38"/>
  <c r="G30" i="38"/>
  <c r="G10" i="38" s="1"/>
  <c r="G9" i="38"/>
  <c r="G8" i="38"/>
  <c r="G27" i="38"/>
  <c r="G6" i="38"/>
  <c r="H136" i="38"/>
  <c r="H135" i="38"/>
  <c r="H134" i="38"/>
  <c r="K136" i="38"/>
  <c r="N135" i="38"/>
  <c r="M135" i="38"/>
  <c r="K135" i="38"/>
  <c r="M134" i="38"/>
  <c r="L134" i="38"/>
  <c r="K134" i="38"/>
  <c r="D13" i="40"/>
  <c r="D31" i="40"/>
  <c r="D41" i="40"/>
  <c r="D35" i="40"/>
  <c r="D33" i="40"/>
  <c r="D22" i="40"/>
  <c r="D20" i="40"/>
  <c r="D19" i="40"/>
  <c r="D17" i="40"/>
  <c r="D9" i="40"/>
  <c r="D8" i="40"/>
  <c r="D26" i="40"/>
  <c r="D32" i="40"/>
  <c r="D18" i="40"/>
  <c r="D27" i="40"/>
  <c r="D10" i="40"/>
  <c r="D24" i="40"/>
  <c r="D14" i="40"/>
  <c r="D36" i="40"/>
  <c r="D12" i="40"/>
  <c r="D37" i="40"/>
  <c r="G39" i="38" l="1"/>
  <c r="AG90" i="6"/>
  <c r="F90" i="6"/>
  <c r="P132" i="6"/>
  <c r="G132" i="6" s="1"/>
  <c r="AG132" i="6" s="1"/>
  <c r="AG103" i="6"/>
  <c r="F103" i="6"/>
  <c r="AG97" i="6"/>
  <c r="F97" i="6"/>
  <c r="F25" i="23"/>
  <c r="AG25" i="23"/>
  <c r="F4" i="23"/>
  <c r="AG4" i="23"/>
  <c r="G7" i="38"/>
  <c r="D23" i="40"/>
  <c r="D30" i="40"/>
  <c r="D39" i="40"/>
  <c r="D42" i="40"/>
  <c r="P85" i="6"/>
  <c r="G85" i="6" s="1"/>
  <c r="D15" i="40"/>
  <c r="G134" i="38"/>
  <c r="H137" i="38"/>
  <c r="H138" i="38" s="1"/>
  <c r="J136" i="38"/>
  <c r="J135" i="38"/>
  <c r="F72" i="6"/>
  <c r="AG72" i="6"/>
  <c r="F20" i="23"/>
  <c r="J16" i="38"/>
  <c r="J15" i="38"/>
  <c r="G135" i="38"/>
  <c r="K137" i="38"/>
  <c r="K138" i="38" s="1"/>
  <c r="D25" i="40"/>
  <c r="D29" i="40"/>
  <c r="D38" i="40"/>
  <c r="D43" i="40"/>
  <c r="D16" i="40"/>
  <c r="D11" i="40"/>
  <c r="D6" i="40"/>
  <c r="D28" i="40"/>
  <c r="D34" i="40"/>
  <c r="D40" i="40"/>
  <c r="F132" i="6" l="1"/>
  <c r="L136" i="38"/>
  <c r="F85" i="6"/>
  <c r="AG85" i="6"/>
  <c r="G16" i="38"/>
  <c r="G17" i="38" s="1"/>
  <c r="J137" i="38"/>
  <c r="J132" i="38"/>
  <c r="J17" i="38"/>
  <c r="E48" i="14"/>
  <c r="J138" i="38" l="1"/>
  <c r="R634" i="8"/>
  <c r="R635" i="8"/>
  <c r="R636" i="8"/>
  <c r="R637" i="8"/>
  <c r="R638" i="8"/>
  <c r="R639" i="8"/>
  <c r="R640" i="8"/>
  <c r="R641" i="8"/>
  <c r="R642" i="8"/>
  <c r="R643" i="8"/>
  <c r="R644" i="8"/>
  <c r="R645" i="8"/>
  <c r="R646" i="8"/>
  <c r="R647" i="8"/>
  <c r="R648" i="8"/>
  <c r="R649" i="8"/>
  <c r="R650" i="8"/>
  <c r="R651" i="8"/>
  <c r="R652" i="8"/>
  <c r="R653" i="8"/>
  <c r="R654" i="8"/>
  <c r="R655" i="8"/>
  <c r="R656" i="8"/>
  <c r="R657" i="8"/>
  <c r="R633" i="8" l="1"/>
  <c r="R632" i="8"/>
  <c r="R631" i="8"/>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M16" i="38" l="1"/>
  <c r="L15" i="38"/>
  <c r="N132" i="38"/>
  <c r="F12" i="38"/>
  <c r="F9" i="38"/>
  <c r="F137" i="38"/>
  <c r="F138" i="38" s="1"/>
  <c r="L16" i="38"/>
  <c r="N12" i="38"/>
  <c r="M12" i="38"/>
  <c r="L12" i="38"/>
  <c r="I12" i="38"/>
  <c r="D4" i="40" s="1"/>
  <c r="E12" i="38"/>
  <c r="N11" i="38"/>
  <c r="M11" i="38"/>
  <c r="L11" i="38"/>
  <c r="I11" i="38"/>
  <c r="F11" i="38"/>
  <c r="E11" i="38"/>
  <c r="N10" i="38"/>
  <c r="M10" i="38"/>
  <c r="L10" i="38"/>
  <c r="I10" i="38"/>
  <c r="D7" i="40" s="1"/>
  <c r="F10" i="38"/>
  <c r="E10" i="38"/>
  <c r="N9" i="38"/>
  <c r="M9" i="38"/>
  <c r="I9" i="38"/>
  <c r="E9" i="38"/>
  <c r="N8" i="38"/>
  <c r="M8" i="38"/>
  <c r="L8" i="38"/>
  <c r="I8" i="38"/>
  <c r="F8" i="38"/>
  <c r="E8" i="38"/>
  <c r="N7" i="38"/>
  <c r="M7" i="38"/>
  <c r="L7" i="38"/>
  <c r="I7" i="38"/>
  <c r="E7" i="38"/>
  <c r="N6" i="38"/>
  <c r="M6" i="38"/>
  <c r="L6" i="38"/>
  <c r="I6" i="38"/>
  <c r="F6" i="38"/>
  <c r="E6" i="38"/>
  <c r="E29" i="37"/>
  <c r="E24" i="37"/>
  <c r="E30" i="37"/>
  <c r="E23" i="37"/>
  <c r="E28" i="37"/>
  <c r="F44" i="37"/>
  <c r="E12" i="37"/>
  <c r="G22" i="37"/>
  <c r="F46" i="37"/>
  <c r="F45" i="37"/>
  <c r="K39" i="37"/>
  <c r="K38" i="37"/>
  <c r="K24" i="37"/>
  <c r="K23" i="37"/>
  <c r="E136" i="38" l="1"/>
  <c r="N134" i="38"/>
  <c r="N136" i="38"/>
  <c r="G42" i="38"/>
  <c r="G45" i="38" s="1"/>
  <c r="E14" i="38"/>
  <c r="L9" i="38"/>
  <c r="L135" i="38"/>
  <c r="L137" i="38" s="1"/>
  <c r="L138" i="38" s="1"/>
  <c r="M14" i="38"/>
  <c r="M17" i="38" s="1"/>
  <c r="I14" i="38"/>
  <c r="I15" i="38"/>
  <c r="F7" i="38"/>
  <c r="Y1" i="36"/>
  <c r="F22" i="37"/>
  <c r="G132" i="38" l="1"/>
  <c r="G142" i="38" s="1"/>
  <c r="E137" i="38"/>
  <c r="E138" i="38" s="1"/>
  <c r="G136" i="38"/>
  <c r="M45" i="38"/>
  <c r="M136" i="38"/>
  <c r="M137" i="38" s="1"/>
  <c r="E15" i="38"/>
  <c r="N137" i="38"/>
  <c r="N138" i="38" s="1"/>
  <c r="X1" i="6"/>
  <c r="F16" i="38"/>
  <c r="F17" i="38" s="1"/>
  <c r="L14" i="38"/>
  <c r="L17" i="38" s="1"/>
  <c r="N16" i="38"/>
  <c r="N17" i="38" s="1"/>
  <c r="G137" i="38" l="1"/>
  <c r="G138" i="38" s="1"/>
  <c r="M132" i="38"/>
  <c r="M138" i="38" s="1"/>
  <c r="M15" i="38"/>
  <c r="J22" i="38"/>
  <c r="J2" i="38" s="1"/>
  <c r="E22" i="37" l="1"/>
  <c r="K21" i="37"/>
  <c r="J21" i="37"/>
  <c r="I21" i="37"/>
  <c r="G21" i="37"/>
  <c r="F21" i="37"/>
  <c r="E21" i="37"/>
  <c r="E102" i="37" s="1"/>
  <c r="K12" i="37"/>
  <c r="J12" i="37"/>
  <c r="G12" i="37"/>
  <c r="I12" i="37"/>
  <c r="F12" i="37" l="1"/>
  <c r="F102" i="37" s="1"/>
  <c r="G102" i="37"/>
  <c r="W32" i="14"/>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W18" i="33"/>
  <c r="D18" i="33" a="1"/>
  <c r="D18" i="33" s="1"/>
  <c r="C18" i="33" a="1"/>
  <c r="C18" i="33" s="1"/>
  <c r="D8" i="34" a="1"/>
  <c r="D8" i="34" s="1"/>
  <c r="H53" i="6" l="1"/>
  <c r="Q129" i="6"/>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R35" i="34"/>
  <c r="W38" i="34"/>
  <c r="D38" i="34" a="1"/>
  <c r="D38" i="34" s="1"/>
  <c r="C38" i="34" a="1"/>
  <c r="C38" i="34" s="1"/>
  <c r="W34" i="34"/>
  <c r="D34" i="34" a="1"/>
  <c r="D34" i="34" s="1"/>
  <c r="C34" i="34" a="1"/>
  <c r="C34" i="34" s="1"/>
  <c r="W11" i="34"/>
  <c r="D11" i="34" a="1"/>
  <c r="D11" i="34" s="1"/>
  <c r="C11" i="34" a="1"/>
  <c r="C11" i="34" s="1"/>
  <c r="W36" i="34"/>
  <c r="D36" i="34" a="1"/>
  <c r="D36" i="34" s="1"/>
  <c r="C36" i="34" a="1"/>
  <c r="C36" i="34" s="1"/>
  <c r="W12" i="34"/>
  <c r="D12" i="34" a="1"/>
  <c r="D12" i="34" s="1"/>
  <c r="C12" i="34" a="1"/>
  <c r="C12" i="34" s="1"/>
  <c r="W35" i="34"/>
  <c r="N35" i="34"/>
  <c r="M35" i="34"/>
  <c r="L35" i="34"/>
  <c r="K35" i="34"/>
  <c r="H35" i="34"/>
  <c r="G35" i="34"/>
  <c r="D35" i="34" a="1"/>
  <c r="D35" i="34" s="1"/>
  <c r="C35" i="34" a="1"/>
  <c r="C35" i="34" s="1"/>
  <c r="W37" i="34"/>
  <c r="D37" i="34" a="1"/>
  <c r="D37" i="34" s="1"/>
  <c r="C37" i="34" a="1"/>
  <c r="C37" i="34" s="1"/>
  <c r="W33" i="34"/>
  <c r="V33" i="34"/>
  <c r="U33" i="34"/>
  <c r="T33" i="34"/>
  <c r="S33" i="34"/>
  <c r="R33" i="34"/>
  <c r="Q33" i="34"/>
  <c r="M33" i="34"/>
  <c r="L33" i="34"/>
  <c r="K33" i="34"/>
  <c r="J33" i="34"/>
  <c r="I33" i="34"/>
  <c r="H33" i="34"/>
  <c r="G33" i="34"/>
  <c r="D33" i="34" a="1"/>
  <c r="D33" i="34" s="1"/>
  <c r="C33" i="34" a="1"/>
  <c r="C33" i="34" s="1"/>
  <c r="W32" i="34"/>
  <c r="V32" i="34"/>
  <c r="U32" i="34"/>
  <c r="T32" i="34"/>
  <c r="S32" i="34"/>
  <c r="R32" i="34"/>
  <c r="Q32" i="34"/>
  <c r="P32" i="34"/>
  <c r="N32" i="34"/>
  <c r="M32" i="34"/>
  <c r="L32" i="34"/>
  <c r="K32" i="34"/>
  <c r="J32" i="34"/>
  <c r="I32" i="34"/>
  <c r="H32" i="34"/>
  <c r="G32" i="34"/>
  <c r="D32" i="34" a="1"/>
  <c r="D32" i="34" s="1"/>
  <c r="C32" i="34" a="1"/>
  <c r="C32" i="34" s="1"/>
  <c r="W31" i="34"/>
  <c r="D31" i="34" a="1"/>
  <c r="D31" i="34" s="1"/>
  <c r="C31" i="34" a="1"/>
  <c r="C31" i="34" s="1"/>
  <c r="W30" i="34"/>
  <c r="V30" i="34"/>
  <c r="U30" i="34"/>
  <c r="T30" i="34"/>
  <c r="S30" i="34"/>
  <c r="R30" i="34"/>
  <c r="Q30" i="34"/>
  <c r="P30" i="34"/>
  <c r="N30" i="34"/>
  <c r="M30" i="34"/>
  <c r="L30" i="34"/>
  <c r="K30" i="34"/>
  <c r="J30" i="34"/>
  <c r="I30" i="34"/>
  <c r="H30" i="34"/>
  <c r="G30" i="34"/>
  <c r="D30" i="34" a="1"/>
  <c r="D30" i="34" s="1"/>
  <c r="C30" i="34" a="1"/>
  <c r="C30" i="34" s="1"/>
  <c r="W22" i="34"/>
  <c r="D22" i="34" a="1"/>
  <c r="D22" i="34" s="1"/>
  <c r="C22" i="34" a="1"/>
  <c r="C22" i="34" s="1"/>
  <c r="W6" i="34"/>
  <c r="D6" i="34" a="1"/>
  <c r="D6" i="34" s="1"/>
  <c r="C6" i="34" a="1"/>
  <c r="C6" i="34" s="1"/>
  <c r="W29" i="34"/>
  <c r="V29" i="34"/>
  <c r="U29" i="34"/>
  <c r="T29" i="34"/>
  <c r="S29" i="34"/>
  <c r="R29" i="34"/>
  <c r="Q29" i="34"/>
  <c r="P29" i="34"/>
  <c r="N29" i="34"/>
  <c r="M29" i="34"/>
  <c r="L29" i="34"/>
  <c r="K29" i="34"/>
  <c r="J29" i="34"/>
  <c r="I29" i="34"/>
  <c r="H29" i="34"/>
  <c r="G29" i="34"/>
  <c r="D29" i="34" a="1"/>
  <c r="D29" i="34" s="1"/>
  <c r="C29" i="34" a="1"/>
  <c r="C29" i="34" s="1"/>
  <c r="W10" i="34"/>
  <c r="D10" i="34" a="1"/>
  <c r="D10" i="34" s="1"/>
  <c r="C10" i="34" a="1"/>
  <c r="C10" i="34" s="1"/>
  <c r="W4" i="34"/>
  <c r="D4" i="34" a="1"/>
  <c r="D4" i="34" s="1"/>
  <c r="C4" i="34" a="1"/>
  <c r="C4" i="34" s="1"/>
  <c r="W26" i="34"/>
  <c r="V26" i="34"/>
  <c r="U26" i="34"/>
  <c r="T26" i="34"/>
  <c r="S26" i="34"/>
  <c r="R26" i="34"/>
  <c r="Q26" i="34"/>
  <c r="P26" i="34"/>
  <c r="N26" i="34"/>
  <c r="M26" i="34"/>
  <c r="L26" i="34"/>
  <c r="K26" i="34"/>
  <c r="J26" i="34"/>
  <c r="I26" i="34"/>
  <c r="H26" i="34"/>
  <c r="G26" i="34"/>
  <c r="D26" i="34" a="1"/>
  <c r="D26" i="34" s="1"/>
  <c r="C26" i="34" a="1"/>
  <c r="C26" i="34" s="1"/>
  <c r="W5" i="34"/>
  <c r="D5" i="34" a="1"/>
  <c r="D5" i="34" s="1"/>
  <c r="C5" i="34" a="1"/>
  <c r="C5" i="34" s="1"/>
  <c r="W25" i="34"/>
  <c r="V25" i="34"/>
  <c r="U25" i="34"/>
  <c r="T25" i="34"/>
  <c r="S25" i="34"/>
  <c r="R25" i="34"/>
  <c r="Q25" i="34"/>
  <c r="P25" i="34"/>
  <c r="N25" i="34"/>
  <c r="M25" i="34"/>
  <c r="L25" i="34"/>
  <c r="K25" i="34"/>
  <c r="J25" i="34"/>
  <c r="I25" i="34"/>
  <c r="H25" i="34"/>
  <c r="G25" i="34"/>
  <c r="D25" i="34" a="1"/>
  <c r="D25" i="34" s="1"/>
  <c r="C25" i="34" a="1"/>
  <c r="C25" i="34" s="1"/>
  <c r="W24" i="34"/>
  <c r="V24" i="34"/>
  <c r="U24" i="34"/>
  <c r="T24" i="34"/>
  <c r="S24" i="34"/>
  <c r="R24" i="34"/>
  <c r="Q24" i="34"/>
  <c r="P24" i="34"/>
  <c r="N24" i="34"/>
  <c r="M24" i="34"/>
  <c r="L24" i="34"/>
  <c r="K24" i="34"/>
  <c r="J24" i="34"/>
  <c r="I24" i="34"/>
  <c r="H24" i="34"/>
  <c r="G24" i="34"/>
  <c r="D24" i="34" a="1"/>
  <c r="D24" i="34" s="1"/>
  <c r="C24" i="34" a="1"/>
  <c r="C24" i="34" s="1"/>
  <c r="W23" i="34"/>
  <c r="D23" i="34" a="1"/>
  <c r="D23" i="34" s="1"/>
  <c r="C23" i="34" a="1"/>
  <c r="C23" i="34" s="1"/>
  <c r="W8" i="34"/>
  <c r="C8" i="34" a="1"/>
  <c r="C8" i="34" s="1"/>
  <c r="W7" i="34"/>
  <c r="D7" i="34" a="1"/>
  <c r="D7" i="34" s="1"/>
  <c r="C7" i="34" a="1"/>
  <c r="C7" i="34" s="1"/>
  <c r="W21" i="34"/>
  <c r="D21" i="34" a="1"/>
  <c r="D21" i="34" s="1"/>
  <c r="C21" i="34" a="1"/>
  <c r="C21" i="34" s="1"/>
  <c r="W20" i="34"/>
  <c r="D20" i="34" a="1"/>
  <c r="D20" i="34" s="1"/>
  <c r="C20" i="34" a="1"/>
  <c r="C20" i="34" s="1"/>
  <c r="W19" i="34"/>
  <c r="D19" i="34" a="1"/>
  <c r="D19" i="34" s="1"/>
  <c r="C19" i="34" a="1"/>
  <c r="C19" i="34" s="1"/>
  <c r="W18" i="34"/>
  <c r="D18" i="34" a="1"/>
  <c r="D18" i="34" s="1"/>
  <c r="C18" i="34" a="1"/>
  <c r="C18" i="34" s="1"/>
  <c r="W28" i="34"/>
  <c r="D28" i="34" a="1"/>
  <c r="D28" i="34" s="1"/>
  <c r="C28" i="34" a="1"/>
  <c r="C28" i="34" s="1"/>
  <c r="W17" i="34"/>
  <c r="V17" i="34"/>
  <c r="U17" i="34"/>
  <c r="T17" i="34"/>
  <c r="S17" i="34"/>
  <c r="R17" i="34"/>
  <c r="Q17" i="34"/>
  <c r="P17" i="34"/>
  <c r="N17" i="34"/>
  <c r="M17" i="34"/>
  <c r="L17" i="34"/>
  <c r="K17" i="34"/>
  <c r="J17" i="34"/>
  <c r="I17" i="34"/>
  <c r="H17" i="34"/>
  <c r="G17" i="34"/>
  <c r="D17" i="34" a="1"/>
  <c r="D17" i="34" s="1"/>
  <c r="C17" i="34" a="1"/>
  <c r="C17" i="34" s="1"/>
  <c r="W27" i="34"/>
  <c r="D27" i="34" a="1"/>
  <c r="D27" i="34" s="1"/>
  <c r="C27" i="34" a="1"/>
  <c r="C27" i="34" s="1"/>
  <c r="W16" i="34"/>
  <c r="D16" i="34" a="1"/>
  <c r="D16" i="34" s="1"/>
  <c r="C16" i="34" a="1"/>
  <c r="C16" i="34" s="1"/>
  <c r="W15" i="34"/>
  <c r="D15" i="34" a="1"/>
  <c r="D15" i="34" s="1"/>
  <c r="C15" i="34" a="1"/>
  <c r="C15" i="34" s="1"/>
  <c r="W14" i="34"/>
  <c r="D14" i="34" a="1"/>
  <c r="D14" i="34" s="1"/>
  <c r="C14" i="34" a="1"/>
  <c r="C14" i="34" s="1"/>
  <c r="W9" i="34"/>
  <c r="D9" i="34" a="1"/>
  <c r="D9" i="34" s="1"/>
  <c r="C9" i="34" a="1"/>
  <c r="C9" i="34" s="1"/>
  <c r="W13" i="34"/>
  <c r="D13" i="34" a="1"/>
  <c r="D13" i="34" s="1"/>
  <c r="C13" i="34" a="1"/>
  <c r="C13" i="34" s="1"/>
  <c r="W63" i="33"/>
  <c r="D63" i="33" a="1"/>
  <c r="D63" i="33" s="1"/>
  <c r="C63" i="33" a="1"/>
  <c r="C63" i="33" s="1"/>
  <c r="W19" i="33"/>
  <c r="D19" i="33" a="1"/>
  <c r="D19" i="33" s="1"/>
  <c r="C19" i="33" a="1"/>
  <c r="C19" i="33" s="1"/>
  <c r="W5" i="33"/>
  <c r="D5" i="33" a="1"/>
  <c r="D5" i="33" s="1"/>
  <c r="C5" i="33" a="1"/>
  <c r="C5" i="33" s="1"/>
  <c r="W6" i="33"/>
  <c r="D6" i="33" a="1"/>
  <c r="D6" i="33" s="1"/>
  <c r="W23" i="33"/>
  <c r="D23" i="33" a="1"/>
  <c r="D23" i="33" s="1"/>
  <c r="C23" i="33" a="1"/>
  <c r="C23" i="33" s="1"/>
  <c r="W30" i="33"/>
  <c r="D30" i="33" a="1"/>
  <c r="D30" i="33" s="1"/>
  <c r="C30" i="33" a="1"/>
  <c r="C30" i="33" s="1"/>
  <c r="W17" i="33"/>
  <c r="D17" i="33" a="1"/>
  <c r="D17" i="33" s="1"/>
  <c r="C17" i="33" a="1"/>
  <c r="C17" i="33" s="1"/>
  <c r="W27" i="33"/>
  <c r="D27" i="33" a="1"/>
  <c r="D27" i="33" s="1"/>
  <c r="C27" i="33" a="1"/>
  <c r="C27" i="33" s="1"/>
  <c r="W60" i="33"/>
  <c r="V60" i="33"/>
  <c r="U60" i="33"/>
  <c r="T60" i="33"/>
  <c r="S60" i="33"/>
  <c r="R60" i="33"/>
  <c r="Q60" i="33"/>
  <c r="P60" i="33"/>
  <c r="N60" i="33"/>
  <c r="M60" i="33"/>
  <c r="L60" i="33"/>
  <c r="K60" i="33"/>
  <c r="J60" i="33"/>
  <c r="I60" i="33"/>
  <c r="H60" i="33"/>
  <c r="G60" i="33"/>
  <c r="D60" i="33" a="1"/>
  <c r="D60" i="33" s="1"/>
  <c r="C60" i="33" a="1"/>
  <c r="C60" i="33" s="1"/>
  <c r="W59" i="33"/>
  <c r="V59" i="33"/>
  <c r="U59" i="33"/>
  <c r="T59" i="33"/>
  <c r="S59" i="33"/>
  <c r="R59" i="33"/>
  <c r="Q59" i="33"/>
  <c r="P59" i="33"/>
  <c r="N59" i="33"/>
  <c r="M59" i="33"/>
  <c r="L59" i="33"/>
  <c r="K59" i="33"/>
  <c r="J59" i="33"/>
  <c r="I59" i="33"/>
  <c r="H59" i="33"/>
  <c r="G59" i="33"/>
  <c r="D59" i="33" a="1"/>
  <c r="D59" i="33" s="1"/>
  <c r="C59" i="33" a="1"/>
  <c r="C59" i="33" s="1"/>
  <c r="W32" i="33"/>
  <c r="D32" i="33" a="1"/>
  <c r="D32" i="33" s="1"/>
  <c r="C32" i="33" a="1"/>
  <c r="C32" i="33" s="1"/>
  <c r="W31" i="33"/>
  <c r="D31" i="33" a="1"/>
  <c r="D31" i="33" s="1"/>
  <c r="C31" i="33" a="1"/>
  <c r="C31" i="33" s="1"/>
  <c r="W25" i="33"/>
  <c r="D25" i="33" a="1"/>
  <c r="D25" i="33" s="1"/>
  <c r="C25" i="33" a="1"/>
  <c r="C25" i="33" s="1"/>
  <c r="W58" i="33"/>
  <c r="V58" i="33"/>
  <c r="U58" i="33"/>
  <c r="T58" i="33"/>
  <c r="S58" i="33"/>
  <c r="R58" i="33"/>
  <c r="Q58" i="33"/>
  <c r="P58" i="33"/>
  <c r="N58" i="33"/>
  <c r="M58" i="33"/>
  <c r="L58" i="33"/>
  <c r="K58" i="33"/>
  <c r="J58" i="33"/>
  <c r="I58" i="33"/>
  <c r="H58" i="33"/>
  <c r="G58" i="33"/>
  <c r="D58" i="33" a="1"/>
  <c r="D58" i="33" s="1"/>
  <c r="C58" i="33" a="1"/>
  <c r="C58" i="33" s="1"/>
  <c r="W57" i="33"/>
  <c r="V57" i="33"/>
  <c r="U57" i="33"/>
  <c r="T57" i="33"/>
  <c r="S57" i="33"/>
  <c r="R57" i="33"/>
  <c r="Q57" i="33"/>
  <c r="P57" i="33"/>
  <c r="N57" i="33"/>
  <c r="M57" i="33"/>
  <c r="L57" i="33"/>
  <c r="K57" i="33"/>
  <c r="J57" i="33"/>
  <c r="I57" i="33"/>
  <c r="H57" i="33"/>
  <c r="G57" i="33"/>
  <c r="D57" i="33" a="1"/>
  <c r="D57" i="33" s="1"/>
  <c r="C57" i="33" a="1"/>
  <c r="C57" i="33" s="1"/>
  <c r="W56" i="33"/>
  <c r="V56" i="33"/>
  <c r="U56" i="33"/>
  <c r="T56" i="33"/>
  <c r="S56" i="33"/>
  <c r="R56" i="33"/>
  <c r="Q56" i="33"/>
  <c r="P56" i="33"/>
  <c r="N56" i="33"/>
  <c r="M56" i="33"/>
  <c r="L56" i="33"/>
  <c r="K56" i="33"/>
  <c r="J56" i="33"/>
  <c r="I56" i="33"/>
  <c r="H56" i="33"/>
  <c r="G56" i="33"/>
  <c r="D56" i="33" a="1"/>
  <c r="D56" i="33" s="1"/>
  <c r="C56" i="33" a="1"/>
  <c r="C56" i="33" s="1"/>
  <c r="W55" i="33"/>
  <c r="V55" i="33"/>
  <c r="U55" i="33"/>
  <c r="T55" i="33"/>
  <c r="S55" i="33"/>
  <c r="R55" i="33"/>
  <c r="Q55" i="33"/>
  <c r="P55" i="33"/>
  <c r="N55" i="33"/>
  <c r="M55" i="33"/>
  <c r="L55" i="33"/>
  <c r="K55" i="33"/>
  <c r="J55" i="33"/>
  <c r="I55" i="33"/>
  <c r="H55" i="33"/>
  <c r="G55" i="33"/>
  <c r="D55" i="33" a="1"/>
  <c r="D55" i="33" s="1"/>
  <c r="C55" i="33" a="1"/>
  <c r="C55" i="33" s="1"/>
  <c r="W54" i="33"/>
  <c r="V54" i="33"/>
  <c r="U54" i="33"/>
  <c r="T54" i="33"/>
  <c r="S54" i="33"/>
  <c r="R54" i="33"/>
  <c r="Q54" i="33"/>
  <c r="P54" i="33"/>
  <c r="N54" i="33"/>
  <c r="M54" i="33"/>
  <c r="L54" i="33"/>
  <c r="K54" i="33"/>
  <c r="J54" i="33"/>
  <c r="I54" i="33"/>
  <c r="H54" i="33"/>
  <c r="G54" i="33"/>
  <c r="D54" i="33" a="1"/>
  <c r="D54" i="33" s="1"/>
  <c r="C54" i="33" a="1"/>
  <c r="C54" i="33" s="1"/>
  <c r="W24" i="33"/>
  <c r="D24" i="33" a="1"/>
  <c r="D24" i="33" s="1"/>
  <c r="C24" i="33" a="1"/>
  <c r="C24" i="33" s="1"/>
  <c r="W53" i="33"/>
  <c r="V53" i="33"/>
  <c r="U53" i="33"/>
  <c r="T53" i="33"/>
  <c r="S53" i="33"/>
  <c r="R53" i="33"/>
  <c r="Q53" i="33"/>
  <c r="P53" i="33"/>
  <c r="N53" i="33"/>
  <c r="M53" i="33"/>
  <c r="L53" i="33"/>
  <c r="K53" i="33"/>
  <c r="J53" i="33"/>
  <c r="I53" i="33"/>
  <c r="H53" i="33"/>
  <c r="G53" i="33"/>
  <c r="D53" i="33" a="1"/>
  <c r="D53" i="33" s="1"/>
  <c r="C53" i="33" a="1"/>
  <c r="C53" i="33" s="1"/>
  <c r="W16" i="33"/>
  <c r="D16" i="33" a="1"/>
  <c r="D16" i="33" s="1"/>
  <c r="C16" i="33" a="1"/>
  <c r="C16" i="33" s="1"/>
  <c r="W52" i="33"/>
  <c r="V52" i="33"/>
  <c r="U52" i="33"/>
  <c r="T52" i="33"/>
  <c r="S52" i="33"/>
  <c r="R52" i="33"/>
  <c r="Q52" i="33"/>
  <c r="P52" i="33"/>
  <c r="N52" i="33"/>
  <c r="M52" i="33"/>
  <c r="L52" i="33"/>
  <c r="K52" i="33"/>
  <c r="J52" i="33"/>
  <c r="I52" i="33"/>
  <c r="H52" i="33"/>
  <c r="G52" i="33"/>
  <c r="D52" i="33" a="1"/>
  <c r="D52" i="33" s="1"/>
  <c r="C52" i="33" a="1"/>
  <c r="C52" i="33" s="1"/>
  <c r="W51" i="33"/>
  <c r="V51" i="33"/>
  <c r="U51" i="33"/>
  <c r="T51" i="33"/>
  <c r="S51" i="33"/>
  <c r="R51" i="33"/>
  <c r="Q51" i="33"/>
  <c r="P51" i="33"/>
  <c r="N51" i="33"/>
  <c r="M51" i="33"/>
  <c r="L51" i="33"/>
  <c r="K51" i="33"/>
  <c r="J51" i="33"/>
  <c r="I51" i="33"/>
  <c r="H51" i="33"/>
  <c r="G51" i="33"/>
  <c r="D51" i="33" a="1"/>
  <c r="D51" i="33" s="1"/>
  <c r="C51" i="33" a="1"/>
  <c r="C51" i="33" s="1"/>
  <c r="W50" i="33"/>
  <c r="V50" i="33"/>
  <c r="U50" i="33"/>
  <c r="T50" i="33"/>
  <c r="S50" i="33"/>
  <c r="R50" i="33"/>
  <c r="Q50" i="33"/>
  <c r="P50" i="33"/>
  <c r="N50" i="33"/>
  <c r="M50" i="33"/>
  <c r="L50" i="33"/>
  <c r="K50" i="33"/>
  <c r="J50" i="33"/>
  <c r="I50" i="33"/>
  <c r="H50" i="33"/>
  <c r="G50" i="33"/>
  <c r="D50" i="33" a="1"/>
  <c r="D50" i="33" s="1"/>
  <c r="C50" i="33" a="1"/>
  <c r="C50" i="33" s="1"/>
  <c r="W49" i="33"/>
  <c r="V49" i="33"/>
  <c r="U49" i="33"/>
  <c r="T49" i="33"/>
  <c r="S49" i="33"/>
  <c r="R49" i="33"/>
  <c r="Q49" i="33"/>
  <c r="P49" i="33"/>
  <c r="N49" i="33"/>
  <c r="M49" i="33"/>
  <c r="L49" i="33"/>
  <c r="K49" i="33"/>
  <c r="J49" i="33"/>
  <c r="I49" i="33"/>
  <c r="H49" i="33"/>
  <c r="G49" i="33"/>
  <c r="D49" i="33" a="1"/>
  <c r="D49" i="33" s="1"/>
  <c r="C49" i="33" a="1"/>
  <c r="C49" i="33" s="1"/>
  <c r="W48" i="33"/>
  <c r="V48" i="33"/>
  <c r="U48" i="33"/>
  <c r="T48" i="33"/>
  <c r="S48" i="33"/>
  <c r="R48" i="33"/>
  <c r="Q48" i="33"/>
  <c r="P48" i="33"/>
  <c r="N48" i="33"/>
  <c r="M48" i="33"/>
  <c r="L48" i="33"/>
  <c r="K48" i="33"/>
  <c r="J48" i="33"/>
  <c r="I48" i="33"/>
  <c r="H48" i="33"/>
  <c r="G48" i="33"/>
  <c r="D48" i="33" a="1"/>
  <c r="D48" i="33" s="1"/>
  <c r="C48" i="33" a="1"/>
  <c r="C48" i="33" s="1"/>
  <c r="W22" i="33"/>
  <c r="D22" i="33" a="1"/>
  <c r="D22" i="33" s="1"/>
  <c r="C22" i="33" a="1"/>
  <c r="C22" i="33" s="1"/>
  <c r="W47" i="33"/>
  <c r="V47" i="33"/>
  <c r="U47" i="33"/>
  <c r="T47" i="33"/>
  <c r="S47" i="33"/>
  <c r="R47" i="33"/>
  <c r="Q47" i="33"/>
  <c r="P47" i="33"/>
  <c r="N47" i="33"/>
  <c r="M47" i="33"/>
  <c r="L47" i="33"/>
  <c r="K47" i="33"/>
  <c r="J47" i="33"/>
  <c r="I47" i="33"/>
  <c r="H47" i="33"/>
  <c r="G47" i="33"/>
  <c r="D47" i="33" a="1"/>
  <c r="D47" i="33" s="1"/>
  <c r="C47" i="33" a="1"/>
  <c r="C47" i="33" s="1"/>
  <c r="W46" i="33"/>
  <c r="V46" i="33"/>
  <c r="U46" i="33"/>
  <c r="T46" i="33"/>
  <c r="S46" i="33"/>
  <c r="R46" i="33"/>
  <c r="Q46" i="33"/>
  <c r="P46" i="33"/>
  <c r="N46" i="33"/>
  <c r="M46" i="33"/>
  <c r="L46" i="33"/>
  <c r="K46" i="33"/>
  <c r="J46" i="33"/>
  <c r="I46" i="33"/>
  <c r="H46" i="33"/>
  <c r="G46" i="33"/>
  <c r="D46" i="33" a="1"/>
  <c r="D46" i="33" s="1"/>
  <c r="C46" i="33" a="1"/>
  <c r="C46" i="33" s="1"/>
  <c r="W45" i="33"/>
  <c r="D45" i="33" a="1"/>
  <c r="D45" i="33" s="1"/>
  <c r="C45" i="33" a="1"/>
  <c r="C45" i="33" s="1"/>
  <c r="W44" i="33"/>
  <c r="V44" i="33"/>
  <c r="U44" i="33"/>
  <c r="T44" i="33"/>
  <c r="S44" i="33"/>
  <c r="R44" i="33"/>
  <c r="Q44" i="33"/>
  <c r="P44" i="33"/>
  <c r="N44" i="33"/>
  <c r="M44" i="33"/>
  <c r="L44" i="33"/>
  <c r="K44" i="33"/>
  <c r="J44" i="33"/>
  <c r="I44" i="33"/>
  <c r="H44" i="33"/>
  <c r="G44" i="33"/>
  <c r="D44" i="33" a="1"/>
  <c r="D44" i="33" s="1"/>
  <c r="C44" i="33" a="1"/>
  <c r="C44" i="33" s="1"/>
  <c r="W20" i="33"/>
  <c r="D20" i="33" a="1"/>
  <c r="D20" i="33" s="1"/>
  <c r="C20" i="33" a="1"/>
  <c r="C20" i="33" s="1"/>
  <c r="W43" i="33"/>
  <c r="V43" i="33"/>
  <c r="U43" i="33"/>
  <c r="T43" i="33"/>
  <c r="S43" i="33"/>
  <c r="R43" i="33"/>
  <c r="Q43" i="33"/>
  <c r="P43" i="33"/>
  <c r="N43" i="33"/>
  <c r="M43" i="33"/>
  <c r="L43" i="33"/>
  <c r="K43" i="33"/>
  <c r="J43" i="33"/>
  <c r="I43" i="33"/>
  <c r="H43" i="33"/>
  <c r="G43" i="33"/>
  <c r="D43" i="33" a="1"/>
  <c r="D43" i="33" s="1"/>
  <c r="C43" i="33" a="1"/>
  <c r="C43" i="33" s="1"/>
  <c r="W42" i="33"/>
  <c r="V42" i="33"/>
  <c r="U42" i="33"/>
  <c r="T42" i="33"/>
  <c r="S42" i="33"/>
  <c r="R42" i="33"/>
  <c r="Q42" i="33"/>
  <c r="P42" i="33"/>
  <c r="N42" i="33"/>
  <c r="M42" i="33"/>
  <c r="L42" i="33"/>
  <c r="K42" i="33"/>
  <c r="J42" i="33"/>
  <c r="I42" i="33"/>
  <c r="H42" i="33"/>
  <c r="G42" i="33"/>
  <c r="D42" i="33" a="1"/>
  <c r="D42" i="33" s="1"/>
  <c r="C42" i="33" a="1"/>
  <c r="C42" i="33" s="1"/>
  <c r="W26" i="33"/>
  <c r="D26" i="33" a="1"/>
  <c r="D26" i="33" s="1"/>
  <c r="C26" i="33" a="1"/>
  <c r="C26" i="33" s="1"/>
  <c r="W29" i="33"/>
  <c r="D29" i="33" a="1"/>
  <c r="D29" i="33" s="1"/>
  <c r="C29" i="33" a="1"/>
  <c r="C29" i="33" s="1"/>
  <c r="W41" i="33"/>
  <c r="V41" i="33"/>
  <c r="U41" i="33"/>
  <c r="T41" i="33"/>
  <c r="S41" i="33"/>
  <c r="R41" i="33"/>
  <c r="Q41" i="33"/>
  <c r="P41" i="33"/>
  <c r="N41" i="33"/>
  <c r="M41" i="33"/>
  <c r="L41" i="33"/>
  <c r="K41" i="33"/>
  <c r="J41" i="33"/>
  <c r="I41" i="33"/>
  <c r="H41" i="33"/>
  <c r="G41" i="33"/>
  <c r="D41" i="33" a="1"/>
  <c r="D41" i="33" s="1"/>
  <c r="C41" i="33" a="1"/>
  <c r="C41" i="33" s="1"/>
  <c r="W14" i="33"/>
  <c r="D14" i="33" a="1"/>
  <c r="D14" i="33" s="1"/>
  <c r="C14" i="33" a="1"/>
  <c r="C14" i="33" s="1"/>
  <c r="W21" i="33"/>
  <c r="D21" i="33" a="1"/>
  <c r="D21" i="33" s="1"/>
  <c r="W7" i="33"/>
  <c r="W40" i="33"/>
  <c r="V40" i="33"/>
  <c r="U40" i="33"/>
  <c r="T40" i="33"/>
  <c r="S40" i="33"/>
  <c r="R40" i="33"/>
  <c r="Q40" i="33"/>
  <c r="P40" i="33"/>
  <c r="N40" i="33"/>
  <c r="M40" i="33"/>
  <c r="L40" i="33"/>
  <c r="K40" i="33"/>
  <c r="J40" i="33"/>
  <c r="I40" i="33"/>
  <c r="H40" i="33"/>
  <c r="G40" i="33"/>
  <c r="D40" i="33" a="1"/>
  <c r="D40" i="33" s="1"/>
  <c r="C40" i="33" a="1"/>
  <c r="C40" i="33" s="1"/>
  <c r="W12" i="33"/>
  <c r="D12" i="33" a="1"/>
  <c r="D12" i="33" s="1"/>
  <c r="W13" i="33"/>
  <c r="D13" i="33" a="1"/>
  <c r="D13" i="33" s="1"/>
  <c r="C13" i="33" a="1"/>
  <c r="C13" i="33" s="1"/>
  <c r="W39" i="33"/>
  <c r="V39" i="33"/>
  <c r="U39" i="33"/>
  <c r="T39" i="33"/>
  <c r="S39" i="33"/>
  <c r="R39" i="33"/>
  <c r="Q39" i="33"/>
  <c r="P39" i="33"/>
  <c r="N39" i="33"/>
  <c r="M39" i="33"/>
  <c r="L39" i="33"/>
  <c r="K39" i="33"/>
  <c r="J39" i="33"/>
  <c r="I39" i="33"/>
  <c r="H39" i="33"/>
  <c r="G39" i="33"/>
  <c r="D39" i="33" a="1"/>
  <c r="D39" i="33" s="1"/>
  <c r="C39" i="33" a="1"/>
  <c r="C39" i="33" s="1"/>
  <c r="W38" i="33"/>
  <c r="V38" i="33"/>
  <c r="U38" i="33"/>
  <c r="T38" i="33"/>
  <c r="S38" i="33"/>
  <c r="R38" i="33"/>
  <c r="Q38" i="33"/>
  <c r="P38" i="33"/>
  <c r="N38" i="33"/>
  <c r="M38" i="33"/>
  <c r="L38" i="33"/>
  <c r="K38" i="33"/>
  <c r="J38" i="33"/>
  <c r="I38" i="33"/>
  <c r="H38" i="33"/>
  <c r="G38" i="33"/>
  <c r="D38" i="33" a="1"/>
  <c r="D38" i="33" s="1"/>
  <c r="C38" i="33" a="1"/>
  <c r="C38" i="33" s="1"/>
  <c r="W9" i="33"/>
  <c r="D9" i="33" a="1"/>
  <c r="D9" i="33" s="1"/>
  <c r="C9" i="33" a="1"/>
  <c r="C9" i="33" s="1"/>
  <c r="W37" i="33"/>
  <c r="V37" i="33"/>
  <c r="U37" i="33"/>
  <c r="T37" i="33"/>
  <c r="S37" i="33"/>
  <c r="R37" i="33"/>
  <c r="Q37" i="33"/>
  <c r="P37" i="33"/>
  <c r="N37" i="33"/>
  <c r="M37" i="33"/>
  <c r="L37" i="33"/>
  <c r="K37" i="33"/>
  <c r="J37" i="33"/>
  <c r="I37" i="33"/>
  <c r="H37" i="33"/>
  <c r="G37" i="33"/>
  <c r="D37" i="33" a="1"/>
  <c r="D37" i="33" s="1"/>
  <c r="C37" i="33" a="1"/>
  <c r="C37" i="33" s="1"/>
  <c r="W36" i="33"/>
  <c r="V36" i="33"/>
  <c r="U36" i="33"/>
  <c r="T36" i="33"/>
  <c r="S36" i="33"/>
  <c r="R36" i="33"/>
  <c r="Q36" i="33"/>
  <c r="P36" i="33"/>
  <c r="N36" i="33"/>
  <c r="M36" i="33"/>
  <c r="L36" i="33"/>
  <c r="K36" i="33"/>
  <c r="J36" i="33"/>
  <c r="I36" i="33"/>
  <c r="H36" i="33"/>
  <c r="G36" i="33"/>
  <c r="D36" i="33" a="1"/>
  <c r="D36" i="33" s="1"/>
  <c r="C36" i="33" a="1"/>
  <c r="C36" i="33" s="1"/>
  <c r="W35" i="33"/>
  <c r="V35" i="33"/>
  <c r="U35" i="33"/>
  <c r="T35" i="33"/>
  <c r="S35" i="33"/>
  <c r="R35" i="33"/>
  <c r="Q35" i="33"/>
  <c r="P35" i="33"/>
  <c r="N35" i="33"/>
  <c r="M35" i="33"/>
  <c r="L35" i="33"/>
  <c r="K35" i="33"/>
  <c r="J35" i="33"/>
  <c r="I35" i="33"/>
  <c r="H35" i="33"/>
  <c r="G35" i="33"/>
  <c r="D35" i="33" a="1"/>
  <c r="D35" i="33" s="1"/>
  <c r="C35" i="33" a="1"/>
  <c r="C35" i="33" s="1"/>
  <c r="W15" i="33"/>
  <c r="D15" i="33" a="1"/>
  <c r="D15" i="33" s="1"/>
  <c r="C15" i="33" a="1"/>
  <c r="C15" i="33" s="1"/>
  <c r="W34" i="33"/>
  <c r="V34" i="33"/>
  <c r="U34" i="33"/>
  <c r="T34" i="33"/>
  <c r="S34" i="33"/>
  <c r="R34" i="33"/>
  <c r="Q34" i="33"/>
  <c r="P34" i="33"/>
  <c r="N34" i="33"/>
  <c r="M34" i="33"/>
  <c r="L34" i="33"/>
  <c r="K34" i="33"/>
  <c r="J34" i="33"/>
  <c r="I34" i="33"/>
  <c r="H34" i="33"/>
  <c r="G34" i="33"/>
  <c r="D34" i="33" a="1"/>
  <c r="D34" i="33" s="1"/>
  <c r="C34" i="33" a="1"/>
  <c r="C34" i="33" s="1"/>
  <c r="W33" i="33"/>
  <c r="V33" i="33"/>
  <c r="U33" i="33"/>
  <c r="T33" i="33"/>
  <c r="S33" i="33"/>
  <c r="R33" i="33"/>
  <c r="Q33" i="33"/>
  <c r="P33" i="33"/>
  <c r="N33" i="33"/>
  <c r="M33" i="33"/>
  <c r="L33" i="33"/>
  <c r="K33" i="33"/>
  <c r="J33" i="33"/>
  <c r="I33" i="33"/>
  <c r="H33" i="33"/>
  <c r="G33" i="33"/>
  <c r="D33" i="33" a="1"/>
  <c r="D33" i="33" s="1"/>
  <c r="C33" i="33" a="1"/>
  <c r="C33" i="33" s="1"/>
  <c r="W8" i="33"/>
  <c r="W62" i="33"/>
  <c r="D62" i="33" a="1"/>
  <c r="D62" i="33" s="1"/>
  <c r="C62" i="33" a="1"/>
  <c r="C62" i="33" s="1"/>
  <c r="W61" i="33"/>
  <c r="D61" i="33" a="1"/>
  <c r="D61" i="33" s="1"/>
  <c r="C61" i="33" a="1"/>
  <c r="C61" i="33" s="1"/>
  <c r="W28" i="33"/>
  <c r="D28" i="33" a="1"/>
  <c r="D28" i="33" s="1"/>
  <c r="W11" i="33"/>
  <c r="W10" i="33"/>
  <c r="D10" i="33" a="1"/>
  <c r="D10" i="33" s="1"/>
  <c r="W4" i="33"/>
  <c r="W173" i="32"/>
  <c r="D173" i="32" a="1"/>
  <c r="D173" i="32" s="1"/>
  <c r="C173" i="32" a="1"/>
  <c r="C173" i="32" s="1"/>
  <c r="W172" i="32"/>
  <c r="D172" i="32" a="1"/>
  <c r="D172" i="32" s="1"/>
  <c r="C172" i="32" a="1"/>
  <c r="C172" i="32" s="1"/>
  <c r="W23" i="32"/>
  <c r="D23" i="32" a="1"/>
  <c r="D23" i="32" s="1"/>
  <c r="C23" i="32" a="1"/>
  <c r="C23" i="32" s="1"/>
  <c r="W8" i="32"/>
  <c r="D8" i="32" a="1"/>
  <c r="D8" i="32" s="1"/>
  <c r="C8" i="32" a="1"/>
  <c r="C8" i="32" s="1"/>
  <c r="W29" i="32"/>
  <c r="D29" i="32" a="1"/>
  <c r="D29" i="32" s="1"/>
  <c r="C29" i="32" a="1"/>
  <c r="C29" i="32" s="1"/>
  <c r="W15" i="32"/>
  <c r="D15" i="32" a="1"/>
  <c r="D15" i="32" s="1"/>
  <c r="C15" i="32" a="1"/>
  <c r="C15" i="32" s="1"/>
  <c r="W27" i="32"/>
  <c r="D27" i="32" a="1"/>
  <c r="D27" i="32" s="1"/>
  <c r="C27" i="32" a="1"/>
  <c r="C27" i="32" s="1"/>
  <c r="W43" i="32"/>
  <c r="D43" i="32" a="1"/>
  <c r="D43" i="32" s="1"/>
  <c r="C43" i="32" a="1"/>
  <c r="C43" i="32" s="1"/>
  <c r="W6" i="32"/>
  <c r="D6" i="32" a="1"/>
  <c r="D6" i="32" s="1"/>
  <c r="C6" i="32" a="1"/>
  <c r="C6" i="32" s="1"/>
  <c r="W7" i="32"/>
  <c r="D7" i="32" a="1"/>
  <c r="D7" i="32" s="1"/>
  <c r="W30" i="32"/>
  <c r="D30" i="32" a="1"/>
  <c r="D30" i="32" s="1"/>
  <c r="C30" i="32" a="1"/>
  <c r="C30" i="32" s="1"/>
  <c r="W9" i="32"/>
  <c r="D9" i="32" a="1"/>
  <c r="D9" i="32" s="1"/>
  <c r="W10" i="32"/>
  <c r="D10" i="32" a="1"/>
  <c r="D10" i="32" s="1"/>
  <c r="W17" i="32"/>
  <c r="D17" i="32" a="1"/>
  <c r="D17" i="32" s="1"/>
  <c r="C17" i="32" a="1"/>
  <c r="C17" i="32" s="1"/>
  <c r="W24" i="32"/>
  <c r="D24" i="32" a="1"/>
  <c r="D24" i="32" s="1"/>
  <c r="C24" i="32" a="1"/>
  <c r="C24" i="32" s="1"/>
  <c r="W4" i="32"/>
  <c r="D4" i="32" a="1"/>
  <c r="D4" i="32" s="1"/>
  <c r="W5" i="32"/>
  <c r="D5" i="32" a="1"/>
  <c r="D5" i="32" s="1"/>
  <c r="W18" i="32"/>
  <c r="D18" i="32" a="1"/>
  <c r="D18" i="32" s="1"/>
  <c r="W171" i="32"/>
  <c r="V171" i="32"/>
  <c r="U171" i="32"/>
  <c r="T171" i="32"/>
  <c r="S171" i="32"/>
  <c r="R171" i="32"/>
  <c r="Q171" i="32"/>
  <c r="P171" i="32"/>
  <c r="N171" i="32"/>
  <c r="M171" i="32"/>
  <c r="L171" i="32"/>
  <c r="K171" i="32"/>
  <c r="J171" i="32"/>
  <c r="I171" i="32"/>
  <c r="H171" i="32"/>
  <c r="G171" i="32"/>
  <c r="D171" i="32" a="1"/>
  <c r="D171" i="32" s="1"/>
  <c r="C171" i="32" a="1"/>
  <c r="C171" i="32" s="1"/>
  <c r="W168" i="32"/>
  <c r="V168" i="32"/>
  <c r="U168" i="32"/>
  <c r="T168" i="32"/>
  <c r="S168" i="32"/>
  <c r="R168" i="32"/>
  <c r="Q168" i="32"/>
  <c r="P168" i="32"/>
  <c r="N168" i="32"/>
  <c r="M168" i="32"/>
  <c r="L168" i="32"/>
  <c r="K168" i="32"/>
  <c r="J168" i="32"/>
  <c r="I168" i="32"/>
  <c r="H168" i="32"/>
  <c r="G168" i="32"/>
  <c r="D168" i="32" a="1"/>
  <c r="D168" i="32" s="1"/>
  <c r="C168" i="32" a="1"/>
  <c r="C168" i="32" s="1"/>
  <c r="W167" i="32"/>
  <c r="V167" i="32"/>
  <c r="U167" i="32"/>
  <c r="T167" i="32"/>
  <c r="S167" i="32"/>
  <c r="R167" i="32"/>
  <c r="Q167" i="32"/>
  <c r="P167" i="32"/>
  <c r="N167" i="32"/>
  <c r="M167" i="32"/>
  <c r="L167" i="32"/>
  <c r="K167" i="32"/>
  <c r="J167" i="32"/>
  <c r="I167" i="32"/>
  <c r="H167" i="32"/>
  <c r="G167" i="32"/>
  <c r="D167" i="32" a="1"/>
  <c r="D167" i="32" s="1"/>
  <c r="C167" i="32" a="1"/>
  <c r="C167" i="32" s="1"/>
  <c r="W170" i="32"/>
  <c r="V170" i="32"/>
  <c r="U170" i="32"/>
  <c r="T170" i="32"/>
  <c r="S170" i="32"/>
  <c r="R170" i="32"/>
  <c r="Q170" i="32"/>
  <c r="P170" i="32"/>
  <c r="N170" i="32"/>
  <c r="M170" i="32"/>
  <c r="L170" i="32"/>
  <c r="K170" i="32"/>
  <c r="J170" i="32"/>
  <c r="I170" i="32"/>
  <c r="H170" i="32"/>
  <c r="G170" i="32"/>
  <c r="D170" i="32" a="1"/>
  <c r="D170" i="32" s="1"/>
  <c r="C170" i="32" a="1"/>
  <c r="C170" i="32" s="1"/>
  <c r="W31" i="32"/>
  <c r="D31" i="32" a="1"/>
  <c r="D31" i="32" s="1"/>
  <c r="C31" i="32" a="1"/>
  <c r="C31" i="32" s="1"/>
  <c r="W166" i="32"/>
  <c r="V166" i="32"/>
  <c r="U166" i="32"/>
  <c r="T166" i="32"/>
  <c r="S166" i="32"/>
  <c r="R166" i="32"/>
  <c r="Q166" i="32"/>
  <c r="P166" i="32"/>
  <c r="N166" i="32"/>
  <c r="M166" i="32"/>
  <c r="L166" i="32"/>
  <c r="K166" i="32"/>
  <c r="J166" i="32"/>
  <c r="I166" i="32"/>
  <c r="H166" i="32"/>
  <c r="G166" i="32"/>
  <c r="D166" i="32" a="1"/>
  <c r="D166" i="32" s="1"/>
  <c r="C166" i="32" a="1"/>
  <c r="C166" i="32" s="1"/>
  <c r="W139" i="32"/>
  <c r="D139" i="32" a="1"/>
  <c r="D139" i="32" s="1"/>
  <c r="C139" i="32" a="1"/>
  <c r="C139" i="32" s="1"/>
  <c r="W165" i="32"/>
  <c r="V165" i="32"/>
  <c r="U165" i="32"/>
  <c r="T165" i="32"/>
  <c r="S165" i="32"/>
  <c r="R165" i="32"/>
  <c r="Q165" i="32"/>
  <c r="P165" i="32"/>
  <c r="N165" i="32"/>
  <c r="M165" i="32"/>
  <c r="L165" i="32"/>
  <c r="K165" i="32"/>
  <c r="J165" i="32"/>
  <c r="I165" i="32"/>
  <c r="H165" i="32"/>
  <c r="G165" i="32"/>
  <c r="D165" i="32" a="1"/>
  <c r="D165" i="32" s="1"/>
  <c r="C165" i="32" a="1"/>
  <c r="C165" i="32" s="1"/>
  <c r="W164" i="32"/>
  <c r="V164" i="32"/>
  <c r="U164" i="32"/>
  <c r="T164" i="32"/>
  <c r="S164" i="32"/>
  <c r="R164" i="32"/>
  <c r="Q164" i="32"/>
  <c r="P164" i="32"/>
  <c r="N164" i="32"/>
  <c r="M164" i="32"/>
  <c r="L164" i="32"/>
  <c r="K164" i="32"/>
  <c r="J164" i="32"/>
  <c r="I164" i="32"/>
  <c r="H164" i="32"/>
  <c r="G164" i="32"/>
  <c r="D164" i="32" a="1"/>
  <c r="D164" i="32" s="1"/>
  <c r="C164" i="32" a="1"/>
  <c r="C164" i="32" s="1"/>
  <c r="W163" i="32"/>
  <c r="V163" i="32"/>
  <c r="U163" i="32"/>
  <c r="T163" i="32"/>
  <c r="S163" i="32"/>
  <c r="R163" i="32"/>
  <c r="Q163" i="32"/>
  <c r="P163" i="32"/>
  <c r="N163" i="32"/>
  <c r="M163" i="32"/>
  <c r="L163" i="32"/>
  <c r="K163" i="32"/>
  <c r="J163" i="32"/>
  <c r="I163" i="32"/>
  <c r="H163" i="32"/>
  <c r="G163" i="32"/>
  <c r="D163" i="32" a="1"/>
  <c r="D163" i="32" s="1"/>
  <c r="C163" i="32" a="1"/>
  <c r="C163" i="32" s="1"/>
  <c r="W60" i="32"/>
  <c r="D60" i="32" a="1"/>
  <c r="D60" i="32" s="1"/>
  <c r="C60" i="32" a="1"/>
  <c r="C60" i="32" s="1"/>
  <c r="W162" i="32"/>
  <c r="V162" i="32"/>
  <c r="U162" i="32"/>
  <c r="T162" i="32"/>
  <c r="S162" i="32"/>
  <c r="R162" i="32"/>
  <c r="Q162" i="32"/>
  <c r="P162" i="32"/>
  <c r="N162" i="32"/>
  <c r="M162" i="32"/>
  <c r="L162" i="32"/>
  <c r="K162" i="32"/>
  <c r="J162" i="32"/>
  <c r="I162" i="32"/>
  <c r="H162" i="32"/>
  <c r="G162" i="32"/>
  <c r="D162" i="32" a="1"/>
  <c r="D162" i="32" s="1"/>
  <c r="C162" i="32" a="1"/>
  <c r="C162" i="32" s="1"/>
  <c r="W161" i="32"/>
  <c r="V161" i="32"/>
  <c r="U161" i="32"/>
  <c r="T161" i="32"/>
  <c r="S161" i="32"/>
  <c r="R161" i="32"/>
  <c r="Q161" i="32"/>
  <c r="P161" i="32"/>
  <c r="N161" i="32"/>
  <c r="M161" i="32"/>
  <c r="L161" i="32"/>
  <c r="K161" i="32"/>
  <c r="J161" i="32"/>
  <c r="I161" i="32"/>
  <c r="H161" i="32"/>
  <c r="G161" i="32"/>
  <c r="D161" i="32" a="1"/>
  <c r="D161" i="32" s="1"/>
  <c r="C161" i="32" a="1"/>
  <c r="C161" i="32" s="1"/>
  <c r="W160" i="32"/>
  <c r="V160" i="32"/>
  <c r="U160" i="32"/>
  <c r="T160" i="32"/>
  <c r="S160" i="32"/>
  <c r="R160" i="32"/>
  <c r="Q160" i="32"/>
  <c r="P160" i="32"/>
  <c r="N160" i="32"/>
  <c r="M160" i="32"/>
  <c r="L160" i="32"/>
  <c r="K160" i="32"/>
  <c r="J160" i="32"/>
  <c r="I160" i="32"/>
  <c r="H160" i="32"/>
  <c r="G160" i="32"/>
  <c r="D160" i="32" a="1"/>
  <c r="D160" i="32" s="1"/>
  <c r="C160" i="32" a="1"/>
  <c r="C160" i="32" s="1"/>
  <c r="W159" i="32"/>
  <c r="V159" i="32"/>
  <c r="U159" i="32"/>
  <c r="T159" i="32"/>
  <c r="S159" i="32"/>
  <c r="R159" i="32"/>
  <c r="Q159" i="32"/>
  <c r="P159" i="32"/>
  <c r="N159" i="32"/>
  <c r="M159" i="32"/>
  <c r="L159" i="32"/>
  <c r="K159" i="32"/>
  <c r="J159" i="32"/>
  <c r="I159" i="32"/>
  <c r="H159" i="32"/>
  <c r="G159" i="32"/>
  <c r="D159" i="32" a="1"/>
  <c r="D159" i="32" s="1"/>
  <c r="C159" i="32" a="1"/>
  <c r="C159" i="32" s="1"/>
  <c r="W158" i="32"/>
  <c r="V158" i="32"/>
  <c r="U158" i="32"/>
  <c r="T158" i="32"/>
  <c r="S158" i="32"/>
  <c r="R158" i="32"/>
  <c r="Q158" i="32"/>
  <c r="P158" i="32"/>
  <c r="N158" i="32"/>
  <c r="M158" i="32"/>
  <c r="L158" i="32"/>
  <c r="K158" i="32"/>
  <c r="J158" i="32"/>
  <c r="I158" i="32"/>
  <c r="H158" i="32"/>
  <c r="G158" i="32"/>
  <c r="D158" i="32" a="1"/>
  <c r="D158" i="32" s="1"/>
  <c r="C158" i="32" a="1"/>
  <c r="C158" i="32" s="1"/>
  <c r="W157" i="32"/>
  <c r="V157" i="32"/>
  <c r="U157" i="32"/>
  <c r="T157" i="32"/>
  <c r="S157" i="32"/>
  <c r="R157" i="32"/>
  <c r="Q157" i="32"/>
  <c r="P157" i="32"/>
  <c r="N157" i="32"/>
  <c r="M157" i="32"/>
  <c r="L157" i="32"/>
  <c r="K157" i="32"/>
  <c r="J157" i="32"/>
  <c r="I157" i="32"/>
  <c r="H157" i="32"/>
  <c r="G157" i="32"/>
  <c r="D157" i="32" a="1"/>
  <c r="D157" i="32" s="1"/>
  <c r="C157" i="32" a="1"/>
  <c r="C157" i="32" s="1"/>
  <c r="W11" i="32"/>
  <c r="D11" i="32" a="1"/>
  <c r="D11" i="32" s="1"/>
  <c r="C11" i="32" a="1"/>
  <c r="C11" i="32" s="1"/>
  <c r="W39" i="32"/>
  <c r="V39" i="32"/>
  <c r="U39" i="32"/>
  <c r="T39" i="32"/>
  <c r="S39" i="32"/>
  <c r="R39" i="32"/>
  <c r="Q39" i="32"/>
  <c r="P39" i="32"/>
  <c r="N39" i="32"/>
  <c r="M39" i="32"/>
  <c r="L39" i="32"/>
  <c r="K39" i="32"/>
  <c r="J39" i="32"/>
  <c r="I39" i="32"/>
  <c r="H39" i="32"/>
  <c r="G39" i="32"/>
  <c r="D39" i="32" a="1"/>
  <c r="D39" i="32" s="1"/>
  <c r="C39" i="32" a="1"/>
  <c r="C39" i="32" s="1"/>
  <c r="W154" i="32"/>
  <c r="V154" i="32"/>
  <c r="U154" i="32"/>
  <c r="T154" i="32"/>
  <c r="S154" i="32"/>
  <c r="R154" i="32"/>
  <c r="Q154" i="32"/>
  <c r="P154" i="32"/>
  <c r="N154" i="32"/>
  <c r="M154" i="32"/>
  <c r="L154" i="32"/>
  <c r="K154" i="32"/>
  <c r="J154" i="32"/>
  <c r="I154" i="32"/>
  <c r="H154" i="32"/>
  <c r="G154" i="32"/>
  <c r="D154" i="32" a="1"/>
  <c r="D154" i="32" s="1"/>
  <c r="C154" i="32" a="1"/>
  <c r="C154" i="32" s="1"/>
  <c r="W153" i="32"/>
  <c r="V153" i="32"/>
  <c r="U153" i="32"/>
  <c r="T153" i="32"/>
  <c r="S153" i="32"/>
  <c r="R153" i="32"/>
  <c r="Q153" i="32"/>
  <c r="P153" i="32"/>
  <c r="N153" i="32"/>
  <c r="M153" i="32"/>
  <c r="L153" i="32"/>
  <c r="K153" i="32"/>
  <c r="J153" i="32"/>
  <c r="I153" i="32"/>
  <c r="H153" i="32"/>
  <c r="G153" i="32"/>
  <c r="D153" i="32" a="1"/>
  <c r="D153" i="32" s="1"/>
  <c r="C153" i="32" a="1"/>
  <c r="C153" i="32" s="1"/>
  <c r="W152" i="32"/>
  <c r="V152" i="32"/>
  <c r="U152" i="32"/>
  <c r="T152" i="32"/>
  <c r="S152" i="32"/>
  <c r="R152" i="32"/>
  <c r="Q152" i="32"/>
  <c r="P152" i="32"/>
  <c r="N152" i="32"/>
  <c r="M152" i="32"/>
  <c r="L152" i="32"/>
  <c r="K152" i="32"/>
  <c r="J152" i="32"/>
  <c r="I152" i="32"/>
  <c r="H152" i="32"/>
  <c r="G152" i="32"/>
  <c r="D152" i="32" a="1"/>
  <c r="D152" i="32" s="1"/>
  <c r="C152" i="32" a="1"/>
  <c r="C152" i="32" s="1"/>
  <c r="W151" i="32"/>
  <c r="D151" i="32" a="1"/>
  <c r="D151" i="32" s="1"/>
  <c r="C151" i="32" a="1"/>
  <c r="C151" i="32" s="1"/>
  <c r="W150" i="32"/>
  <c r="V150" i="32"/>
  <c r="U150" i="32"/>
  <c r="T150" i="32"/>
  <c r="S150" i="32"/>
  <c r="R150" i="32"/>
  <c r="Q150" i="32"/>
  <c r="P150" i="32"/>
  <c r="N150" i="32"/>
  <c r="M150" i="32"/>
  <c r="L150" i="32"/>
  <c r="K150" i="32"/>
  <c r="J150" i="32"/>
  <c r="I150" i="32"/>
  <c r="H150" i="32"/>
  <c r="G150" i="32"/>
  <c r="D150" i="32" a="1"/>
  <c r="D150" i="32" s="1"/>
  <c r="C150" i="32" a="1"/>
  <c r="C150" i="32" s="1"/>
  <c r="W149" i="32"/>
  <c r="V149" i="32"/>
  <c r="U149" i="32"/>
  <c r="T149" i="32"/>
  <c r="S149" i="32"/>
  <c r="R149" i="32"/>
  <c r="Q149" i="32"/>
  <c r="P149" i="32"/>
  <c r="N149" i="32"/>
  <c r="M149" i="32"/>
  <c r="L149" i="32"/>
  <c r="K149" i="32"/>
  <c r="J149" i="32"/>
  <c r="I149" i="32"/>
  <c r="H149" i="32"/>
  <c r="G149" i="32"/>
  <c r="D149" i="32" a="1"/>
  <c r="D149" i="32" s="1"/>
  <c r="C149" i="32" a="1"/>
  <c r="C149" i="32" s="1"/>
  <c r="W148" i="32"/>
  <c r="V148" i="32"/>
  <c r="U148" i="32"/>
  <c r="T148" i="32"/>
  <c r="S148" i="32"/>
  <c r="R148" i="32"/>
  <c r="Q148" i="32"/>
  <c r="P148" i="32"/>
  <c r="N148" i="32"/>
  <c r="M148" i="32"/>
  <c r="L148" i="32"/>
  <c r="K148" i="32"/>
  <c r="J148" i="32"/>
  <c r="I148" i="32"/>
  <c r="H148" i="32"/>
  <c r="G148" i="32"/>
  <c r="D148" i="32" a="1"/>
  <c r="D148" i="32" s="1"/>
  <c r="C148" i="32" a="1"/>
  <c r="C148" i="32" s="1"/>
  <c r="W147" i="32"/>
  <c r="V147" i="32"/>
  <c r="U147" i="32"/>
  <c r="T147" i="32"/>
  <c r="S147" i="32"/>
  <c r="R147" i="32"/>
  <c r="Q147" i="32"/>
  <c r="P147" i="32"/>
  <c r="N147" i="32"/>
  <c r="M147" i="32"/>
  <c r="L147" i="32"/>
  <c r="K147" i="32"/>
  <c r="J147" i="32"/>
  <c r="I147" i="32"/>
  <c r="H147" i="32"/>
  <c r="G147" i="32"/>
  <c r="D147" i="32" a="1"/>
  <c r="D147" i="32" s="1"/>
  <c r="C147" i="32" a="1"/>
  <c r="C147" i="32" s="1"/>
  <c r="W169" i="32"/>
  <c r="D169" i="32" a="1"/>
  <c r="D169" i="32" s="1"/>
  <c r="C169" i="32" a="1"/>
  <c r="C169" i="32" s="1"/>
  <c r="W146" i="32"/>
  <c r="V146" i="32"/>
  <c r="U146" i="32"/>
  <c r="T146" i="32"/>
  <c r="S146" i="32"/>
  <c r="R146" i="32"/>
  <c r="Q146" i="32"/>
  <c r="P146" i="32"/>
  <c r="N146" i="32"/>
  <c r="M146" i="32"/>
  <c r="L146" i="32"/>
  <c r="K146" i="32"/>
  <c r="J146" i="32"/>
  <c r="I146" i="32"/>
  <c r="H146" i="32"/>
  <c r="G146" i="32"/>
  <c r="D146" i="32" a="1"/>
  <c r="D146" i="32" s="1"/>
  <c r="C146" i="32" a="1"/>
  <c r="C146" i="32" s="1"/>
  <c r="W145" i="32"/>
  <c r="V145" i="32"/>
  <c r="U145" i="32"/>
  <c r="T145" i="32"/>
  <c r="S145" i="32"/>
  <c r="R145" i="32"/>
  <c r="Q145" i="32"/>
  <c r="P145" i="32"/>
  <c r="N145" i="32"/>
  <c r="M145" i="32"/>
  <c r="L145" i="32"/>
  <c r="K145" i="32"/>
  <c r="J145" i="32"/>
  <c r="I145" i="32"/>
  <c r="H145" i="32"/>
  <c r="G145" i="32"/>
  <c r="D145" i="32" a="1"/>
  <c r="D145" i="32" s="1"/>
  <c r="C145" i="32" a="1"/>
  <c r="C145" i="32" s="1"/>
  <c r="W144" i="32"/>
  <c r="V144" i="32"/>
  <c r="U144" i="32"/>
  <c r="T144" i="32"/>
  <c r="S144" i="32"/>
  <c r="R144" i="32"/>
  <c r="Q144" i="32"/>
  <c r="P144" i="32"/>
  <c r="N144" i="32"/>
  <c r="M144" i="32"/>
  <c r="L144" i="32"/>
  <c r="K144" i="32"/>
  <c r="J144" i="32"/>
  <c r="I144" i="32"/>
  <c r="H144" i="32"/>
  <c r="G144" i="32"/>
  <c r="D144" i="32" a="1"/>
  <c r="D144" i="32" s="1"/>
  <c r="C144" i="32" a="1"/>
  <c r="C144" i="32" s="1"/>
  <c r="W143" i="32"/>
  <c r="V143" i="32"/>
  <c r="U143" i="32"/>
  <c r="T143" i="32"/>
  <c r="S143" i="32"/>
  <c r="R143" i="32"/>
  <c r="Q143" i="32"/>
  <c r="P143" i="32"/>
  <c r="N143" i="32"/>
  <c r="M143" i="32"/>
  <c r="L143" i="32"/>
  <c r="K143" i="32"/>
  <c r="J143" i="32"/>
  <c r="I143" i="32"/>
  <c r="H143" i="32"/>
  <c r="G143" i="32"/>
  <c r="D143" i="32" a="1"/>
  <c r="D143" i="32" s="1"/>
  <c r="C143" i="32" a="1"/>
  <c r="C143" i="32" s="1"/>
  <c r="W142" i="32"/>
  <c r="V142" i="32"/>
  <c r="U142" i="32"/>
  <c r="T142" i="32"/>
  <c r="S142" i="32"/>
  <c r="R142" i="32"/>
  <c r="Q142" i="32"/>
  <c r="P142" i="32"/>
  <c r="N142" i="32"/>
  <c r="M142" i="32"/>
  <c r="L142" i="32"/>
  <c r="K142" i="32"/>
  <c r="J142" i="32"/>
  <c r="I142" i="32"/>
  <c r="H142" i="32"/>
  <c r="G142" i="32"/>
  <c r="D142" i="32" a="1"/>
  <c r="D142" i="32" s="1"/>
  <c r="C142" i="32" a="1"/>
  <c r="C142" i="32" s="1"/>
  <c r="W141" i="32"/>
  <c r="V141" i="32"/>
  <c r="U141" i="32"/>
  <c r="T141" i="32"/>
  <c r="S141" i="32"/>
  <c r="R141" i="32"/>
  <c r="Q141" i="32"/>
  <c r="P141" i="32"/>
  <c r="N141" i="32"/>
  <c r="M141" i="32"/>
  <c r="L141" i="32"/>
  <c r="K141" i="32"/>
  <c r="J141" i="32"/>
  <c r="I141" i="32"/>
  <c r="H141" i="32"/>
  <c r="G141" i="32"/>
  <c r="D141" i="32" a="1"/>
  <c r="D141" i="32" s="1"/>
  <c r="C141" i="32" a="1"/>
  <c r="C141" i="32" s="1"/>
  <c r="W140" i="32"/>
  <c r="V140" i="32"/>
  <c r="U140" i="32"/>
  <c r="T140" i="32"/>
  <c r="S140" i="32"/>
  <c r="R140" i="32"/>
  <c r="Q140" i="32"/>
  <c r="P140" i="32"/>
  <c r="N140" i="32"/>
  <c r="M140" i="32"/>
  <c r="L140" i="32"/>
  <c r="K140" i="32"/>
  <c r="J140" i="32"/>
  <c r="I140" i="32"/>
  <c r="H140" i="32"/>
  <c r="G140" i="32"/>
  <c r="D140" i="32" a="1"/>
  <c r="D140" i="32" s="1"/>
  <c r="C140" i="32" a="1"/>
  <c r="C140" i="32" s="1"/>
  <c r="W22" i="32"/>
  <c r="D22" i="32" a="1"/>
  <c r="D22" i="32" s="1"/>
  <c r="C22" i="32" a="1"/>
  <c r="C22" i="32" s="1"/>
  <c r="W33" i="32"/>
  <c r="D33" i="32" a="1"/>
  <c r="D33" i="32" s="1"/>
  <c r="C33" i="32" a="1"/>
  <c r="C33" i="32" s="1"/>
  <c r="W58" i="32"/>
  <c r="D58" i="32" a="1"/>
  <c r="D58" i="32" s="1"/>
  <c r="C58" i="32" a="1"/>
  <c r="C58" i="32" s="1"/>
  <c r="W40" i="32"/>
  <c r="D40" i="32" a="1"/>
  <c r="D40" i="32" s="1"/>
  <c r="C40" i="32" a="1"/>
  <c r="C40" i="32" s="1"/>
  <c r="W138" i="32"/>
  <c r="V138" i="32"/>
  <c r="U138" i="32"/>
  <c r="T138" i="32"/>
  <c r="S138" i="32"/>
  <c r="R138" i="32"/>
  <c r="Q138" i="32"/>
  <c r="P138" i="32"/>
  <c r="N138" i="32"/>
  <c r="M138" i="32"/>
  <c r="L138" i="32"/>
  <c r="K138" i="32"/>
  <c r="J138" i="32"/>
  <c r="I138" i="32"/>
  <c r="H138" i="32"/>
  <c r="G138" i="32"/>
  <c r="D138" i="32" a="1"/>
  <c r="D138" i="32" s="1"/>
  <c r="C138" i="32" a="1"/>
  <c r="C138" i="32" s="1"/>
  <c r="W137" i="32"/>
  <c r="V137" i="32"/>
  <c r="U137" i="32"/>
  <c r="T137" i="32"/>
  <c r="S137" i="32"/>
  <c r="R137" i="32"/>
  <c r="Q137" i="32"/>
  <c r="P137" i="32"/>
  <c r="N137" i="32"/>
  <c r="M137" i="32"/>
  <c r="L137" i="32"/>
  <c r="K137" i="32"/>
  <c r="J137" i="32"/>
  <c r="I137" i="32"/>
  <c r="H137" i="32"/>
  <c r="G137" i="32"/>
  <c r="D137" i="32" a="1"/>
  <c r="D137" i="32" s="1"/>
  <c r="C137" i="32" a="1"/>
  <c r="C137" i="32" s="1"/>
  <c r="W57" i="32"/>
  <c r="D57" i="32" a="1"/>
  <c r="D57" i="32" s="1"/>
  <c r="C57" i="32" a="1"/>
  <c r="C57" i="32" s="1"/>
  <c r="W35" i="32"/>
  <c r="D35" i="32" a="1"/>
  <c r="D35" i="32" s="1"/>
  <c r="C35" i="32" a="1"/>
  <c r="C35" i="32" s="1"/>
  <c r="W136" i="32"/>
  <c r="V136" i="32"/>
  <c r="U136" i="32"/>
  <c r="T136" i="32"/>
  <c r="S136" i="32"/>
  <c r="R136" i="32"/>
  <c r="Q136" i="32"/>
  <c r="P136" i="32"/>
  <c r="N136" i="32"/>
  <c r="M136" i="32"/>
  <c r="L136" i="32"/>
  <c r="K136" i="32"/>
  <c r="J136" i="32"/>
  <c r="I136" i="32"/>
  <c r="H136" i="32"/>
  <c r="G136" i="32"/>
  <c r="D136" i="32" a="1"/>
  <c r="D136" i="32" s="1"/>
  <c r="C136" i="32" a="1"/>
  <c r="C136" i="32" s="1"/>
  <c r="W156" i="32"/>
  <c r="D156" i="32" a="1"/>
  <c r="D156" i="32" s="1"/>
  <c r="C156" i="32" a="1"/>
  <c r="C156" i="32" s="1"/>
  <c r="W135" i="32"/>
  <c r="V135" i="32"/>
  <c r="U135" i="32"/>
  <c r="T135" i="32"/>
  <c r="S135" i="32"/>
  <c r="R135" i="32"/>
  <c r="Q135" i="32"/>
  <c r="P135" i="32"/>
  <c r="N135" i="32"/>
  <c r="M135" i="32"/>
  <c r="L135" i="32"/>
  <c r="K135" i="32"/>
  <c r="J135" i="32"/>
  <c r="I135" i="32"/>
  <c r="H135" i="32"/>
  <c r="G135" i="32"/>
  <c r="D135" i="32" a="1"/>
  <c r="D135" i="32" s="1"/>
  <c r="C135" i="32" a="1"/>
  <c r="C135" i="32" s="1"/>
  <c r="W28" i="32"/>
  <c r="D28" i="32" a="1"/>
  <c r="D28" i="32" s="1"/>
  <c r="C28" i="32" a="1"/>
  <c r="C28" i="32" s="1"/>
  <c r="W134" i="32"/>
  <c r="V134" i="32"/>
  <c r="U134" i="32"/>
  <c r="T134" i="32"/>
  <c r="S134" i="32"/>
  <c r="R134" i="32"/>
  <c r="Q134" i="32"/>
  <c r="P134" i="32"/>
  <c r="N134" i="32"/>
  <c r="M134" i="32"/>
  <c r="L134" i="32"/>
  <c r="K134" i="32"/>
  <c r="J134" i="32"/>
  <c r="I134" i="32"/>
  <c r="H134" i="32"/>
  <c r="G134" i="32"/>
  <c r="D134" i="32" a="1"/>
  <c r="D134" i="32" s="1"/>
  <c r="C134" i="32" a="1"/>
  <c r="C134" i="32" s="1"/>
  <c r="W26" i="32"/>
  <c r="D26" i="32" a="1"/>
  <c r="D26" i="32" s="1"/>
  <c r="C26" i="32" a="1"/>
  <c r="C26" i="32" s="1"/>
  <c r="W41" i="32"/>
  <c r="D41" i="32" a="1"/>
  <c r="D41" i="32" s="1"/>
  <c r="C41" i="32" a="1"/>
  <c r="C41" i="32" s="1"/>
  <c r="W133" i="32"/>
  <c r="V133" i="32"/>
  <c r="U133" i="32"/>
  <c r="T133" i="32"/>
  <c r="S133" i="32"/>
  <c r="R133" i="32"/>
  <c r="Q133" i="32"/>
  <c r="P133" i="32"/>
  <c r="N133" i="32"/>
  <c r="M133" i="32"/>
  <c r="L133" i="32"/>
  <c r="K133" i="32"/>
  <c r="J133" i="32"/>
  <c r="I133" i="32"/>
  <c r="H133" i="32"/>
  <c r="G133" i="32"/>
  <c r="D133" i="32" a="1"/>
  <c r="D133" i="32" s="1"/>
  <c r="C133" i="32" a="1"/>
  <c r="C133" i="32" s="1"/>
  <c r="W132" i="32"/>
  <c r="V132" i="32"/>
  <c r="U132" i="32"/>
  <c r="T132" i="32"/>
  <c r="S132" i="32"/>
  <c r="R132" i="32"/>
  <c r="Q132" i="32"/>
  <c r="P132" i="32"/>
  <c r="N132" i="32"/>
  <c r="M132" i="32"/>
  <c r="L132" i="32"/>
  <c r="K132" i="32"/>
  <c r="J132" i="32"/>
  <c r="I132" i="32"/>
  <c r="H132" i="32"/>
  <c r="G132" i="32"/>
  <c r="D132" i="32" a="1"/>
  <c r="D132" i="32" s="1"/>
  <c r="C132" i="32" a="1"/>
  <c r="C132" i="32" s="1"/>
  <c r="W131" i="32"/>
  <c r="V131" i="32"/>
  <c r="U131" i="32"/>
  <c r="T131" i="32"/>
  <c r="S131" i="32"/>
  <c r="R131" i="32"/>
  <c r="Q131" i="32"/>
  <c r="P131" i="32"/>
  <c r="N131" i="32"/>
  <c r="M131" i="32"/>
  <c r="L131" i="32"/>
  <c r="K131" i="32"/>
  <c r="J131" i="32"/>
  <c r="I131" i="32"/>
  <c r="H131" i="32"/>
  <c r="G131" i="32"/>
  <c r="D131" i="32" a="1"/>
  <c r="D131" i="32" s="1"/>
  <c r="C131" i="32" a="1"/>
  <c r="C131" i="32" s="1"/>
  <c r="W130" i="32"/>
  <c r="V130" i="32"/>
  <c r="U130" i="32"/>
  <c r="T130" i="32"/>
  <c r="S130" i="32"/>
  <c r="R130" i="32"/>
  <c r="Q130" i="32"/>
  <c r="P130" i="32"/>
  <c r="N130" i="32"/>
  <c r="M130" i="32"/>
  <c r="L130" i="32"/>
  <c r="K130" i="32"/>
  <c r="J130" i="32"/>
  <c r="I130" i="32"/>
  <c r="H130" i="32"/>
  <c r="G130" i="32"/>
  <c r="D130" i="32" a="1"/>
  <c r="D130" i="32" s="1"/>
  <c r="C130" i="32" a="1"/>
  <c r="C130" i="32" s="1"/>
  <c r="W129" i="32"/>
  <c r="V129" i="32"/>
  <c r="U129" i="32"/>
  <c r="T129" i="32"/>
  <c r="S129" i="32"/>
  <c r="R129" i="32"/>
  <c r="Q129" i="32"/>
  <c r="P129" i="32"/>
  <c r="N129" i="32"/>
  <c r="M129" i="32"/>
  <c r="L129" i="32"/>
  <c r="K129" i="32"/>
  <c r="J129" i="32"/>
  <c r="I129" i="32"/>
  <c r="H129" i="32"/>
  <c r="G129" i="32"/>
  <c r="D129" i="32" a="1"/>
  <c r="D129" i="32" s="1"/>
  <c r="C129" i="32" a="1"/>
  <c r="C129" i="32" s="1"/>
  <c r="W128" i="32"/>
  <c r="V128" i="32"/>
  <c r="U128" i="32"/>
  <c r="T128" i="32"/>
  <c r="S128" i="32"/>
  <c r="R128" i="32"/>
  <c r="Q128" i="32"/>
  <c r="P128" i="32"/>
  <c r="N128" i="32"/>
  <c r="M128" i="32"/>
  <c r="L128" i="32"/>
  <c r="K128" i="32"/>
  <c r="J128" i="32"/>
  <c r="I128" i="32"/>
  <c r="H128" i="32"/>
  <c r="G128" i="32"/>
  <c r="D128" i="32" a="1"/>
  <c r="D128" i="32" s="1"/>
  <c r="C128" i="32" a="1"/>
  <c r="C128" i="32" s="1"/>
  <c r="W127" i="32"/>
  <c r="V127" i="32"/>
  <c r="U127" i="32"/>
  <c r="T127" i="32"/>
  <c r="S127" i="32"/>
  <c r="R127" i="32"/>
  <c r="Q127" i="32"/>
  <c r="P127" i="32"/>
  <c r="N127" i="32"/>
  <c r="M127" i="32"/>
  <c r="L127" i="32"/>
  <c r="K127" i="32"/>
  <c r="J127" i="32"/>
  <c r="I127" i="32"/>
  <c r="H127" i="32"/>
  <c r="G127" i="32"/>
  <c r="D127" i="32" a="1"/>
  <c r="D127" i="32" s="1"/>
  <c r="C127" i="32" a="1"/>
  <c r="C127" i="32" s="1"/>
  <c r="W126" i="32"/>
  <c r="V126" i="32"/>
  <c r="U126" i="32"/>
  <c r="T126" i="32"/>
  <c r="S126" i="32"/>
  <c r="R126" i="32"/>
  <c r="Q126" i="32"/>
  <c r="P126" i="32"/>
  <c r="N126" i="32"/>
  <c r="M126" i="32"/>
  <c r="L126" i="32"/>
  <c r="K126" i="32"/>
  <c r="J126" i="32"/>
  <c r="I126" i="32"/>
  <c r="H126" i="32"/>
  <c r="G126" i="32"/>
  <c r="D126" i="32" a="1"/>
  <c r="D126" i="32" s="1"/>
  <c r="C126" i="32" a="1"/>
  <c r="C126" i="32" s="1"/>
  <c r="W125" i="32"/>
  <c r="V125" i="32"/>
  <c r="U125" i="32"/>
  <c r="T125" i="32"/>
  <c r="S125" i="32"/>
  <c r="R125" i="32"/>
  <c r="Q125" i="32"/>
  <c r="P125" i="32"/>
  <c r="N125" i="32"/>
  <c r="M125" i="32"/>
  <c r="L125" i="32"/>
  <c r="K125" i="32"/>
  <c r="J125" i="32"/>
  <c r="I125" i="32"/>
  <c r="H125" i="32"/>
  <c r="G125" i="32"/>
  <c r="D125" i="32" a="1"/>
  <c r="D125" i="32" s="1"/>
  <c r="C125" i="32" a="1"/>
  <c r="C125" i="32" s="1"/>
  <c r="W124" i="32"/>
  <c r="V124" i="32"/>
  <c r="U124" i="32"/>
  <c r="T124" i="32"/>
  <c r="S124" i="32"/>
  <c r="R124" i="32"/>
  <c r="Q124" i="32"/>
  <c r="P124" i="32"/>
  <c r="N124" i="32"/>
  <c r="M124" i="32"/>
  <c r="L124" i="32"/>
  <c r="K124" i="32"/>
  <c r="J124" i="32"/>
  <c r="I124" i="32"/>
  <c r="H124" i="32"/>
  <c r="G124" i="32"/>
  <c r="D124" i="32" a="1"/>
  <c r="D124" i="32" s="1"/>
  <c r="C124" i="32" a="1"/>
  <c r="C124" i="32" s="1"/>
  <c r="W123" i="32"/>
  <c r="V123" i="32"/>
  <c r="U123" i="32"/>
  <c r="T123" i="32"/>
  <c r="S123" i="32"/>
  <c r="R123" i="32"/>
  <c r="Q123" i="32"/>
  <c r="P123" i="32"/>
  <c r="N123" i="32"/>
  <c r="M123" i="32"/>
  <c r="L123" i="32"/>
  <c r="K123" i="32"/>
  <c r="J123" i="32"/>
  <c r="I123" i="32"/>
  <c r="H123" i="32"/>
  <c r="G123" i="32"/>
  <c r="D123" i="32" a="1"/>
  <c r="D123" i="32" s="1"/>
  <c r="C123" i="32" a="1"/>
  <c r="C123" i="32" s="1"/>
  <c r="W122" i="32"/>
  <c r="V122" i="32"/>
  <c r="U122" i="32"/>
  <c r="T122" i="32"/>
  <c r="S122" i="32"/>
  <c r="R122" i="32"/>
  <c r="Q122" i="32"/>
  <c r="P122" i="32"/>
  <c r="N122" i="32"/>
  <c r="M122" i="32"/>
  <c r="L122" i="32"/>
  <c r="K122" i="32"/>
  <c r="J122" i="32"/>
  <c r="I122" i="32"/>
  <c r="H122" i="32"/>
  <c r="G122" i="32"/>
  <c r="D122" i="32" a="1"/>
  <c r="D122" i="32" s="1"/>
  <c r="C122" i="32" a="1"/>
  <c r="C122" i="32" s="1"/>
  <c r="W121" i="32"/>
  <c r="V121" i="32"/>
  <c r="U121" i="32"/>
  <c r="T121" i="32"/>
  <c r="S121" i="32"/>
  <c r="R121" i="32"/>
  <c r="Q121" i="32"/>
  <c r="P121" i="32"/>
  <c r="N121" i="32"/>
  <c r="M121" i="32"/>
  <c r="L121" i="32"/>
  <c r="K121" i="32"/>
  <c r="J121" i="32"/>
  <c r="I121" i="32"/>
  <c r="H121" i="32"/>
  <c r="G121" i="32"/>
  <c r="D121" i="32" a="1"/>
  <c r="D121" i="32" s="1"/>
  <c r="C121" i="32" a="1"/>
  <c r="C121" i="32" s="1"/>
  <c r="W120" i="32"/>
  <c r="V120" i="32"/>
  <c r="U120" i="32"/>
  <c r="T120" i="32"/>
  <c r="S120" i="32"/>
  <c r="R120" i="32"/>
  <c r="Q120" i="32"/>
  <c r="P120" i="32"/>
  <c r="N120" i="32"/>
  <c r="M120" i="32"/>
  <c r="L120" i="32"/>
  <c r="K120" i="32"/>
  <c r="J120" i="32"/>
  <c r="I120" i="32"/>
  <c r="H120" i="32"/>
  <c r="G120" i="32"/>
  <c r="D120" i="32" a="1"/>
  <c r="D120" i="32" s="1"/>
  <c r="C120" i="32" a="1"/>
  <c r="C120" i="32" s="1"/>
  <c r="W119" i="32"/>
  <c r="V119" i="32"/>
  <c r="U119" i="32"/>
  <c r="T119" i="32"/>
  <c r="S119" i="32"/>
  <c r="R119" i="32"/>
  <c r="Q119" i="32"/>
  <c r="P119" i="32"/>
  <c r="N119" i="32"/>
  <c r="M119" i="32"/>
  <c r="L119" i="32"/>
  <c r="K119" i="32"/>
  <c r="J119" i="32"/>
  <c r="I119" i="32"/>
  <c r="H119" i="32"/>
  <c r="G119" i="32"/>
  <c r="D119" i="32" a="1"/>
  <c r="D119" i="32" s="1"/>
  <c r="C119" i="32" a="1"/>
  <c r="C119" i="32" s="1"/>
  <c r="W118" i="32"/>
  <c r="V118" i="32"/>
  <c r="U118" i="32"/>
  <c r="T118" i="32"/>
  <c r="S118" i="32"/>
  <c r="R118" i="32"/>
  <c r="Q118" i="32"/>
  <c r="P118" i="32"/>
  <c r="N118" i="32"/>
  <c r="M118" i="32"/>
  <c r="L118" i="32"/>
  <c r="K118" i="32"/>
  <c r="J118" i="32"/>
  <c r="I118" i="32"/>
  <c r="H118" i="32"/>
  <c r="G118" i="32"/>
  <c r="D118" i="32" a="1"/>
  <c r="D118" i="32" s="1"/>
  <c r="C118" i="32" a="1"/>
  <c r="C118" i="32" s="1"/>
  <c r="W117" i="32"/>
  <c r="V117" i="32"/>
  <c r="U117" i="32"/>
  <c r="T117" i="32"/>
  <c r="S117" i="32"/>
  <c r="R117" i="32"/>
  <c r="Q117" i="32"/>
  <c r="P117" i="32"/>
  <c r="N117" i="32"/>
  <c r="M117" i="32"/>
  <c r="L117" i="32"/>
  <c r="K117" i="32"/>
  <c r="J117" i="32"/>
  <c r="I117" i="32"/>
  <c r="H117" i="32"/>
  <c r="G117" i="32"/>
  <c r="D117" i="32" a="1"/>
  <c r="D117" i="32" s="1"/>
  <c r="C117" i="32" a="1"/>
  <c r="C117" i="32" s="1"/>
  <c r="W116" i="32"/>
  <c r="V116" i="32"/>
  <c r="U116" i="32"/>
  <c r="T116" i="32"/>
  <c r="S116" i="32"/>
  <c r="R116" i="32"/>
  <c r="Q116" i="32"/>
  <c r="P116" i="32"/>
  <c r="N116" i="32"/>
  <c r="M116" i="32"/>
  <c r="L116" i="32"/>
  <c r="K116" i="32"/>
  <c r="J116" i="32"/>
  <c r="I116" i="32"/>
  <c r="H116" i="32"/>
  <c r="G116" i="32"/>
  <c r="D116" i="32" a="1"/>
  <c r="D116" i="32" s="1"/>
  <c r="C116" i="32" a="1"/>
  <c r="C116" i="32" s="1"/>
  <c r="W115" i="32"/>
  <c r="V115" i="32"/>
  <c r="U115" i="32"/>
  <c r="T115" i="32"/>
  <c r="S115" i="32"/>
  <c r="R115" i="32"/>
  <c r="Q115" i="32"/>
  <c r="P115" i="32"/>
  <c r="N115" i="32"/>
  <c r="M115" i="32"/>
  <c r="L115" i="32"/>
  <c r="K115" i="32"/>
  <c r="J115" i="32"/>
  <c r="I115" i="32"/>
  <c r="H115" i="32"/>
  <c r="G115" i="32"/>
  <c r="D115" i="32" a="1"/>
  <c r="D115" i="32" s="1"/>
  <c r="C115" i="32" a="1"/>
  <c r="C115" i="32" s="1"/>
  <c r="W114" i="32"/>
  <c r="V114" i="32"/>
  <c r="U114" i="32"/>
  <c r="T114" i="32"/>
  <c r="S114" i="32"/>
  <c r="R114" i="32"/>
  <c r="Q114" i="32"/>
  <c r="P114" i="32"/>
  <c r="N114" i="32"/>
  <c r="M114" i="32"/>
  <c r="L114" i="32"/>
  <c r="K114" i="32"/>
  <c r="J114" i="32"/>
  <c r="I114" i="32"/>
  <c r="H114" i="32"/>
  <c r="G114" i="32"/>
  <c r="D114" i="32" a="1"/>
  <c r="D114" i="32" s="1"/>
  <c r="C114" i="32" a="1"/>
  <c r="C114" i="32" s="1"/>
  <c r="W113" i="32"/>
  <c r="V113" i="32"/>
  <c r="U113" i="32"/>
  <c r="T113" i="32"/>
  <c r="S113" i="32"/>
  <c r="R113" i="32"/>
  <c r="Q113" i="32"/>
  <c r="P113" i="32"/>
  <c r="N113" i="32"/>
  <c r="M113" i="32"/>
  <c r="L113" i="32"/>
  <c r="K113" i="32"/>
  <c r="J113" i="32"/>
  <c r="I113" i="32"/>
  <c r="H113" i="32"/>
  <c r="G113" i="32"/>
  <c r="D113" i="32" a="1"/>
  <c r="D113" i="32" s="1"/>
  <c r="C113" i="32" a="1"/>
  <c r="C113" i="32" s="1"/>
  <c r="W112" i="32"/>
  <c r="V112" i="32"/>
  <c r="U112" i="32"/>
  <c r="T112" i="32"/>
  <c r="S112" i="32"/>
  <c r="R112" i="32"/>
  <c r="Q112" i="32"/>
  <c r="P112" i="32"/>
  <c r="N112" i="32"/>
  <c r="M112" i="32"/>
  <c r="L112" i="32"/>
  <c r="K112" i="32"/>
  <c r="J112" i="32"/>
  <c r="I112" i="32"/>
  <c r="H112" i="32"/>
  <c r="G112" i="32"/>
  <c r="D112" i="32" a="1"/>
  <c r="D112" i="32" s="1"/>
  <c r="C112" i="32" a="1"/>
  <c r="C112" i="32" s="1"/>
  <c r="W111" i="32"/>
  <c r="V111" i="32"/>
  <c r="U111" i="32"/>
  <c r="T111" i="32"/>
  <c r="S111" i="32"/>
  <c r="R111" i="32"/>
  <c r="Q111" i="32"/>
  <c r="P111" i="32"/>
  <c r="N111" i="32"/>
  <c r="M111" i="32"/>
  <c r="L111" i="32"/>
  <c r="K111" i="32"/>
  <c r="J111" i="32"/>
  <c r="I111" i="32"/>
  <c r="H111" i="32"/>
  <c r="G111" i="32"/>
  <c r="D111" i="32" a="1"/>
  <c r="D111" i="32" s="1"/>
  <c r="C111" i="32" a="1"/>
  <c r="C111" i="32" s="1"/>
  <c r="W110" i="32"/>
  <c r="V110" i="32"/>
  <c r="U110" i="32"/>
  <c r="T110" i="32"/>
  <c r="S110" i="32"/>
  <c r="R110" i="32"/>
  <c r="Q110" i="32"/>
  <c r="P110" i="32"/>
  <c r="N110" i="32"/>
  <c r="M110" i="32"/>
  <c r="L110" i="32"/>
  <c r="K110" i="32"/>
  <c r="J110" i="32"/>
  <c r="I110" i="32"/>
  <c r="H110" i="32"/>
  <c r="G110" i="32"/>
  <c r="D110" i="32" a="1"/>
  <c r="D110" i="32" s="1"/>
  <c r="C110" i="32" a="1"/>
  <c r="C110" i="32" s="1"/>
  <c r="W109" i="32"/>
  <c r="V109" i="32"/>
  <c r="U109" i="32"/>
  <c r="T109" i="32"/>
  <c r="S109" i="32"/>
  <c r="R109" i="32"/>
  <c r="Q109" i="32"/>
  <c r="P109" i="32"/>
  <c r="N109" i="32"/>
  <c r="M109" i="32"/>
  <c r="L109" i="32"/>
  <c r="K109" i="32"/>
  <c r="J109" i="32"/>
  <c r="I109" i="32"/>
  <c r="H109" i="32"/>
  <c r="G109" i="32"/>
  <c r="D109" i="32" a="1"/>
  <c r="D109" i="32" s="1"/>
  <c r="C109" i="32" a="1"/>
  <c r="C109" i="32" s="1"/>
  <c r="W108" i="32"/>
  <c r="V108" i="32"/>
  <c r="U108" i="32"/>
  <c r="T108" i="32"/>
  <c r="S108" i="32"/>
  <c r="R108" i="32"/>
  <c r="Q108" i="32"/>
  <c r="P108" i="32"/>
  <c r="N108" i="32"/>
  <c r="M108" i="32"/>
  <c r="L108" i="32"/>
  <c r="K108" i="32"/>
  <c r="J108" i="32"/>
  <c r="I108" i="32"/>
  <c r="H108" i="32"/>
  <c r="G108" i="32"/>
  <c r="D108" i="32" a="1"/>
  <c r="D108" i="32" s="1"/>
  <c r="C108" i="32" a="1"/>
  <c r="C108" i="32" s="1"/>
  <c r="W107" i="32"/>
  <c r="V107" i="32"/>
  <c r="U107" i="32"/>
  <c r="T107" i="32"/>
  <c r="S107" i="32"/>
  <c r="R107" i="32"/>
  <c r="Q107" i="32"/>
  <c r="P107" i="32"/>
  <c r="N107" i="32"/>
  <c r="M107" i="32"/>
  <c r="L107" i="32"/>
  <c r="K107" i="32"/>
  <c r="J107" i="32"/>
  <c r="I107" i="32"/>
  <c r="H107" i="32"/>
  <c r="G107" i="32"/>
  <c r="D107" i="32" a="1"/>
  <c r="D107" i="32" s="1"/>
  <c r="C107" i="32" a="1"/>
  <c r="C107" i="32" s="1"/>
  <c r="W106" i="32"/>
  <c r="V106" i="32"/>
  <c r="U106" i="32"/>
  <c r="T106" i="32"/>
  <c r="S106" i="32"/>
  <c r="R106" i="32"/>
  <c r="Q106" i="32"/>
  <c r="P106" i="32"/>
  <c r="N106" i="32"/>
  <c r="M106" i="32"/>
  <c r="L106" i="32"/>
  <c r="K106" i="32"/>
  <c r="J106" i="32"/>
  <c r="I106" i="32"/>
  <c r="H106" i="32"/>
  <c r="G106" i="32"/>
  <c r="D106" i="32" a="1"/>
  <c r="D106" i="32" s="1"/>
  <c r="C106" i="32" a="1"/>
  <c r="C106" i="32" s="1"/>
  <c r="W105" i="32"/>
  <c r="V105" i="32"/>
  <c r="U105" i="32"/>
  <c r="T105" i="32"/>
  <c r="S105" i="32"/>
  <c r="R105" i="32"/>
  <c r="Q105" i="32"/>
  <c r="P105" i="32"/>
  <c r="N105" i="32"/>
  <c r="M105" i="32"/>
  <c r="L105" i="32"/>
  <c r="K105" i="32"/>
  <c r="J105" i="32"/>
  <c r="I105" i="32"/>
  <c r="H105" i="32"/>
  <c r="G105" i="32"/>
  <c r="D105" i="32" a="1"/>
  <c r="D105" i="32" s="1"/>
  <c r="C105" i="32" a="1"/>
  <c r="C105" i="32" s="1"/>
  <c r="W104" i="32"/>
  <c r="V104" i="32"/>
  <c r="U104" i="32"/>
  <c r="T104" i="32"/>
  <c r="S104" i="32"/>
  <c r="R104" i="32"/>
  <c r="Q104" i="32"/>
  <c r="P104" i="32"/>
  <c r="N104" i="32"/>
  <c r="M104" i="32"/>
  <c r="L104" i="32"/>
  <c r="K104" i="32"/>
  <c r="J104" i="32"/>
  <c r="I104" i="32"/>
  <c r="H104" i="32"/>
  <c r="G104" i="32"/>
  <c r="D104" i="32" a="1"/>
  <c r="D104" i="32" s="1"/>
  <c r="C104" i="32" a="1"/>
  <c r="C104" i="32" s="1"/>
  <c r="W103" i="32"/>
  <c r="V103" i="32"/>
  <c r="U103" i="32"/>
  <c r="T103" i="32"/>
  <c r="S103" i="32"/>
  <c r="R103" i="32"/>
  <c r="Q103" i="32"/>
  <c r="P103" i="32"/>
  <c r="N103" i="32"/>
  <c r="M103" i="32"/>
  <c r="L103" i="32"/>
  <c r="K103" i="32"/>
  <c r="J103" i="32"/>
  <c r="I103" i="32"/>
  <c r="H103" i="32"/>
  <c r="G103" i="32"/>
  <c r="D103" i="32" a="1"/>
  <c r="D103" i="32" s="1"/>
  <c r="C103" i="32" a="1"/>
  <c r="C103" i="32" s="1"/>
  <c r="W102" i="32"/>
  <c r="D102" i="32" a="1"/>
  <c r="D102" i="32" s="1"/>
  <c r="C102" i="32" a="1"/>
  <c r="C102" i="32" s="1"/>
  <c r="W54" i="32"/>
  <c r="D54" i="32" a="1"/>
  <c r="D54" i="32" s="1"/>
  <c r="C54" i="32" a="1"/>
  <c r="C54" i="32" s="1"/>
  <c r="W101" i="32"/>
  <c r="V101" i="32"/>
  <c r="U101" i="32"/>
  <c r="T101" i="32"/>
  <c r="S101" i="32"/>
  <c r="R101" i="32"/>
  <c r="Q101" i="32"/>
  <c r="P101" i="32"/>
  <c r="N101" i="32"/>
  <c r="M101" i="32"/>
  <c r="L101" i="32"/>
  <c r="K101" i="32"/>
  <c r="J101" i="32"/>
  <c r="I101" i="32"/>
  <c r="H101" i="32"/>
  <c r="G101" i="32"/>
  <c r="D101" i="32" a="1"/>
  <c r="D101" i="32" s="1"/>
  <c r="C101" i="32" a="1"/>
  <c r="C101" i="32" s="1"/>
  <c r="W100" i="32"/>
  <c r="V100" i="32"/>
  <c r="U100" i="32"/>
  <c r="T100" i="32"/>
  <c r="S100" i="32"/>
  <c r="R100" i="32"/>
  <c r="Q100" i="32"/>
  <c r="P100" i="32"/>
  <c r="N100" i="32"/>
  <c r="M100" i="32"/>
  <c r="L100" i="32"/>
  <c r="K100" i="32"/>
  <c r="J100" i="32"/>
  <c r="I100" i="32"/>
  <c r="H100" i="32"/>
  <c r="G100" i="32"/>
  <c r="D100" i="32" a="1"/>
  <c r="D100" i="32" s="1"/>
  <c r="C100" i="32" a="1"/>
  <c r="C100" i="32" s="1"/>
  <c r="W99" i="32"/>
  <c r="V99" i="32"/>
  <c r="U99" i="32"/>
  <c r="T99" i="32"/>
  <c r="S99" i="32"/>
  <c r="R99" i="32"/>
  <c r="Q99" i="32"/>
  <c r="P99" i="32"/>
  <c r="N99" i="32"/>
  <c r="M99" i="32"/>
  <c r="L99" i="32"/>
  <c r="K99" i="32"/>
  <c r="J99" i="32"/>
  <c r="I99" i="32"/>
  <c r="H99" i="32"/>
  <c r="G99" i="32"/>
  <c r="D99" i="32" a="1"/>
  <c r="D99" i="32" s="1"/>
  <c r="C99" i="32" a="1"/>
  <c r="C99" i="32" s="1"/>
  <c r="W51" i="32"/>
  <c r="D51" i="32" a="1"/>
  <c r="D51" i="32" s="1"/>
  <c r="C51" i="32" a="1"/>
  <c r="C51" i="32" s="1"/>
  <c r="W46" i="32"/>
  <c r="D46" i="32" a="1"/>
  <c r="D46" i="32" s="1"/>
  <c r="C46" i="32" a="1"/>
  <c r="C46" i="32" s="1"/>
  <c r="W47" i="32"/>
  <c r="D47" i="32" a="1"/>
  <c r="D47" i="32" s="1"/>
  <c r="C47" i="32" a="1"/>
  <c r="C47" i="32" s="1"/>
  <c r="W49" i="32"/>
  <c r="D49" i="32" a="1"/>
  <c r="D49" i="32" s="1"/>
  <c r="C49" i="32" a="1"/>
  <c r="C49" i="32" s="1"/>
  <c r="W98" i="32"/>
  <c r="D98" i="32" a="1"/>
  <c r="D98" i="32" s="1"/>
  <c r="C98" i="32" a="1"/>
  <c r="C98" i="32" s="1"/>
  <c r="W34" i="32"/>
  <c r="D34" i="32" a="1"/>
  <c r="D34" i="32" s="1"/>
  <c r="C34" i="32" a="1"/>
  <c r="C34" i="32" s="1"/>
  <c r="W42" i="32"/>
  <c r="D42" i="32" a="1"/>
  <c r="D42" i="32" s="1"/>
  <c r="C42" i="32" a="1"/>
  <c r="C42" i="32" s="1"/>
  <c r="W59" i="32"/>
  <c r="D59" i="32" a="1"/>
  <c r="D59" i="32" s="1"/>
  <c r="C59" i="32" a="1"/>
  <c r="C59" i="32" s="1"/>
  <c r="W55" i="32"/>
  <c r="D55" i="32" a="1"/>
  <c r="D55" i="32" s="1"/>
  <c r="C55" i="32" a="1"/>
  <c r="C55" i="32" s="1"/>
  <c r="W44" i="32"/>
  <c r="D44" i="32" a="1"/>
  <c r="D44" i="32" s="1"/>
  <c r="C44" i="32" a="1"/>
  <c r="C44" i="32" s="1"/>
  <c r="W13" i="32"/>
  <c r="D13" i="32" a="1"/>
  <c r="D13" i="32" s="1"/>
  <c r="C13" i="32" a="1"/>
  <c r="C13" i="32" s="1"/>
  <c r="W50" i="32"/>
  <c r="D50" i="32" a="1"/>
  <c r="D50" i="32" s="1"/>
  <c r="C50" i="32" a="1"/>
  <c r="C50" i="32" s="1"/>
  <c r="W97" i="32"/>
  <c r="V97" i="32"/>
  <c r="U97" i="32"/>
  <c r="T97" i="32"/>
  <c r="S97" i="32"/>
  <c r="R97" i="32"/>
  <c r="Q97" i="32"/>
  <c r="P97" i="32"/>
  <c r="N97" i="32"/>
  <c r="M97" i="32"/>
  <c r="L97" i="32"/>
  <c r="K97" i="32"/>
  <c r="J97" i="32"/>
  <c r="I97" i="32"/>
  <c r="H97" i="32"/>
  <c r="G97" i="32"/>
  <c r="D97" i="32" a="1"/>
  <c r="D97" i="32" s="1"/>
  <c r="C97" i="32" a="1"/>
  <c r="C97" i="32" s="1"/>
  <c r="W96" i="32"/>
  <c r="D96" i="32" a="1"/>
  <c r="D96" i="32" s="1"/>
  <c r="C96" i="32" a="1"/>
  <c r="C96" i="32" s="1"/>
  <c r="W95" i="32"/>
  <c r="V95" i="32"/>
  <c r="U95" i="32"/>
  <c r="T95" i="32"/>
  <c r="S95" i="32"/>
  <c r="R95" i="32"/>
  <c r="Q95" i="32"/>
  <c r="P95" i="32"/>
  <c r="N95" i="32"/>
  <c r="M95" i="32"/>
  <c r="L95" i="32"/>
  <c r="K95" i="32"/>
  <c r="J95" i="32"/>
  <c r="I95" i="32"/>
  <c r="H95" i="32"/>
  <c r="G95" i="32"/>
  <c r="D95" i="32" a="1"/>
  <c r="D95" i="32" s="1"/>
  <c r="C95" i="32" a="1"/>
  <c r="C95" i="32" s="1"/>
  <c r="W94" i="32"/>
  <c r="D94" i="32" a="1"/>
  <c r="D94" i="32" s="1"/>
  <c r="C94" i="32" a="1"/>
  <c r="C94" i="32" s="1"/>
  <c r="W93" i="32"/>
  <c r="V93" i="32"/>
  <c r="U93" i="32"/>
  <c r="T93" i="32"/>
  <c r="S93" i="32"/>
  <c r="R93" i="32"/>
  <c r="Q93" i="32"/>
  <c r="P93" i="32"/>
  <c r="N93" i="32"/>
  <c r="M93" i="32"/>
  <c r="L93" i="32"/>
  <c r="K93" i="32"/>
  <c r="J93" i="32"/>
  <c r="I93" i="32"/>
  <c r="H93" i="32"/>
  <c r="G93" i="32"/>
  <c r="D93" i="32" a="1"/>
  <c r="D93" i="32" s="1"/>
  <c r="C93" i="32" a="1"/>
  <c r="C93" i="32" s="1"/>
  <c r="W45" i="32"/>
  <c r="D45" i="32" a="1"/>
  <c r="D45" i="32" s="1"/>
  <c r="C45" i="32" a="1"/>
  <c r="C45" i="32" s="1"/>
  <c r="W48" i="32"/>
  <c r="D48" i="32" a="1"/>
  <c r="D48" i="32" s="1"/>
  <c r="C48" i="32" a="1"/>
  <c r="C48" i="32" s="1"/>
  <c r="W32" i="32"/>
  <c r="D32" i="32" a="1"/>
  <c r="D32" i="32" s="1"/>
  <c r="C32" i="32" a="1"/>
  <c r="C32" i="32" s="1"/>
  <c r="W14" i="32"/>
  <c r="D14" i="32" a="1"/>
  <c r="D14" i="32" s="1"/>
  <c r="C14" i="32" a="1"/>
  <c r="C14" i="32" s="1"/>
  <c r="W92" i="32"/>
  <c r="D92" i="32" a="1"/>
  <c r="D92" i="32" s="1"/>
  <c r="C92" i="32" a="1"/>
  <c r="C92" i="32" s="1"/>
  <c r="W91" i="32"/>
  <c r="D91" i="32" a="1"/>
  <c r="D91" i="32" s="1"/>
  <c r="C91" i="32" a="1"/>
  <c r="C91" i="32" s="1"/>
  <c r="W56" i="32"/>
  <c r="D56" i="32" a="1"/>
  <c r="D56" i="32" s="1"/>
  <c r="C56" i="32" a="1"/>
  <c r="C56" i="32" s="1"/>
  <c r="W36" i="32"/>
  <c r="D36" i="32" a="1"/>
  <c r="D36" i="32" s="1"/>
  <c r="C36" i="32" a="1"/>
  <c r="C36" i="32" s="1"/>
  <c r="W20" i="32"/>
  <c r="D20" i="32" a="1"/>
  <c r="D20" i="32" s="1"/>
  <c r="C20" i="32" a="1"/>
  <c r="C20" i="32" s="1"/>
  <c r="W90" i="32"/>
  <c r="D90" i="32" a="1"/>
  <c r="D90" i="32" s="1"/>
  <c r="C90" i="32" a="1"/>
  <c r="C90" i="32" s="1"/>
  <c r="W89" i="32"/>
  <c r="V89" i="32"/>
  <c r="U89" i="32"/>
  <c r="T89" i="32"/>
  <c r="S89" i="32"/>
  <c r="R89" i="32"/>
  <c r="Q89" i="32"/>
  <c r="P89" i="32"/>
  <c r="N89" i="32"/>
  <c r="M89" i="32"/>
  <c r="L89" i="32"/>
  <c r="K89" i="32"/>
  <c r="J89" i="32"/>
  <c r="I89" i="32"/>
  <c r="H89" i="32"/>
  <c r="G89" i="32"/>
  <c r="D89" i="32" a="1"/>
  <c r="D89" i="32" s="1"/>
  <c r="C89" i="32" a="1"/>
  <c r="C89" i="32" s="1"/>
  <c r="W19" i="32"/>
  <c r="D19" i="32" a="1"/>
  <c r="D19" i="32" s="1"/>
  <c r="C19" i="32" a="1"/>
  <c r="C19" i="32" s="1"/>
  <c r="W88" i="32"/>
  <c r="D88" i="32" a="1"/>
  <c r="D88" i="32" s="1"/>
  <c r="C88" i="32" a="1"/>
  <c r="C88" i="32" s="1"/>
  <c r="W87" i="32"/>
  <c r="V87" i="32"/>
  <c r="U87" i="32"/>
  <c r="T87" i="32"/>
  <c r="S87" i="32"/>
  <c r="R87" i="32"/>
  <c r="Q87" i="32"/>
  <c r="P87" i="32"/>
  <c r="N87" i="32"/>
  <c r="M87" i="32"/>
  <c r="L87" i="32"/>
  <c r="K87" i="32"/>
  <c r="J87" i="32"/>
  <c r="I87" i="32"/>
  <c r="H87" i="32"/>
  <c r="G87" i="32"/>
  <c r="D87" i="32" a="1"/>
  <c r="D87" i="32" s="1"/>
  <c r="C87" i="32" a="1"/>
  <c r="C87" i="32" s="1"/>
  <c r="W53" i="32"/>
  <c r="D53" i="32" a="1"/>
  <c r="D53" i="32" s="1"/>
  <c r="C53" i="32" a="1"/>
  <c r="C53" i="32" s="1"/>
  <c r="W86" i="32"/>
  <c r="V86" i="32"/>
  <c r="U86" i="32"/>
  <c r="T86" i="32"/>
  <c r="S86" i="32"/>
  <c r="R86" i="32"/>
  <c r="Q86" i="32"/>
  <c r="P86" i="32"/>
  <c r="N86" i="32"/>
  <c r="M86" i="32"/>
  <c r="L86" i="32"/>
  <c r="K86" i="32"/>
  <c r="J86" i="32"/>
  <c r="I86" i="32"/>
  <c r="H86" i="32"/>
  <c r="G86" i="32"/>
  <c r="D86" i="32" a="1"/>
  <c r="D86" i="32" s="1"/>
  <c r="C86" i="32" a="1"/>
  <c r="C86" i="32" s="1"/>
  <c r="W85" i="32"/>
  <c r="V85" i="32"/>
  <c r="U85" i="32"/>
  <c r="T85" i="32"/>
  <c r="S85" i="32"/>
  <c r="R85" i="32"/>
  <c r="Q85" i="32"/>
  <c r="P85" i="32"/>
  <c r="N85" i="32"/>
  <c r="M85" i="32"/>
  <c r="L85" i="32"/>
  <c r="K85" i="32"/>
  <c r="J85" i="32"/>
  <c r="I85" i="32"/>
  <c r="H85" i="32"/>
  <c r="G85" i="32"/>
  <c r="D85" i="32" a="1"/>
  <c r="D85" i="32" s="1"/>
  <c r="C85" i="32" a="1"/>
  <c r="C85" i="32" s="1"/>
  <c r="W84" i="32"/>
  <c r="V84" i="32"/>
  <c r="U84" i="32"/>
  <c r="T84" i="32"/>
  <c r="S84" i="32"/>
  <c r="R84" i="32"/>
  <c r="Q84" i="32"/>
  <c r="P84" i="32"/>
  <c r="N84" i="32"/>
  <c r="M84" i="32"/>
  <c r="L84" i="32"/>
  <c r="K84" i="32"/>
  <c r="J84" i="32"/>
  <c r="I84" i="32"/>
  <c r="H84" i="32"/>
  <c r="G84" i="32"/>
  <c r="D84" i="32" a="1"/>
  <c r="D84" i="32" s="1"/>
  <c r="C84" i="32" a="1"/>
  <c r="C84" i="32" s="1"/>
  <c r="W83" i="32"/>
  <c r="D83" i="32" a="1"/>
  <c r="D83" i="32" s="1"/>
  <c r="C83" i="32" a="1"/>
  <c r="C83" i="32" s="1"/>
  <c r="W82" i="32"/>
  <c r="D82" i="32" a="1"/>
  <c r="D82" i="32" s="1"/>
  <c r="C82" i="32" a="1"/>
  <c r="C82" i="32" s="1"/>
  <c r="W81" i="32"/>
  <c r="V81" i="32"/>
  <c r="U81" i="32"/>
  <c r="T81" i="32"/>
  <c r="S81" i="32"/>
  <c r="R81" i="32"/>
  <c r="Q81" i="32"/>
  <c r="P81" i="32"/>
  <c r="N81" i="32"/>
  <c r="M81" i="32"/>
  <c r="L81" i="32"/>
  <c r="K81" i="32"/>
  <c r="J81" i="32"/>
  <c r="I81" i="32"/>
  <c r="H81" i="32"/>
  <c r="G81" i="32"/>
  <c r="D81" i="32" a="1"/>
  <c r="D81" i="32" s="1"/>
  <c r="C81" i="32" a="1"/>
  <c r="C81" i="32" s="1"/>
  <c r="W80" i="32"/>
  <c r="V80" i="32"/>
  <c r="U80" i="32"/>
  <c r="T80" i="32"/>
  <c r="S80" i="32"/>
  <c r="R80" i="32"/>
  <c r="Q80" i="32"/>
  <c r="P80" i="32"/>
  <c r="N80" i="32"/>
  <c r="M80" i="32"/>
  <c r="L80" i="32"/>
  <c r="K80" i="32"/>
  <c r="J80" i="32"/>
  <c r="I80" i="32"/>
  <c r="H80" i="32"/>
  <c r="G80" i="32"/>
  <c r="D80" i="32" a="1"/>
  <c r="D80" i="32" s="1"/>
  <c r="C80" i="32" a="1"/>
  <c r="C80" i="32" s="1"/>
  <c r="AI52" i="32"/>
  <c r="AG52" i="32"/>
  <c r="W52" i="32"/>
  <c r="D52" i="32" a="1"/>
  <c r="D52" i="32" s="1"/>
  <c r="C52" i="32" a="1"/>
  <c r="C52" i="32" s="1"/>
  <c r="W38" i="32"/>
  <c r="D38" i="32" a="1"/>
  <c r="D38" i="32" s="1"/>
  <c r="C38" i="32" a="1"/>
  <c r="C38" i="32" s="1"/>
  <c r="W79" i="32"/>
  <c r="D79" i="32" a="1"/>
  <c r="D79" i="32" s="1"/>
  <c r="C79" i="32" a="1"/>
  <c r="C79" i="32" s="1"/>
  <c r="W78" i="32"/>
  <c r="D78" i="32" a="1"/>
  <c r="D78" i="32" s="1"/>
  <c r="C78" i="32" a="1"/>
  <c r="C78" i="32" s="1"/>
  <c r="W77" i="32"/>
  <c r="D77" i="32" a="1"/>
  <c r="D77" i="32" s="1"/>
  <c r="C77" i="32" a="1"/>
  <c r="C77" i="32" s="1"/>
  <c r="W76" i="32"/>
  <c r="D76" i="32" a="1"/>
  <c r="D76" i="32" s="1"/>
  <c r="C76" i="32" a="1"/>
  <c r="C76" i="32" s="1"/>
  <c r="W75" i="32"/>
  <c r="V75" i="32"/>
  <c r="U75" i="32"/>
  <c r="T75" i="32"/>
  <c r="S75" i="32"/>
  <c r="R75" i="32"/>
  <c r="Q75" i="32"/>
  <c r="P75" i="32"/>
  <c r="N75" i="32"/>
  <c r="M75" i="32"/>
  <c r="L75" i="32"/>
  <c r="K75" i="32"/>
  <c r="J75" i="32"/>
  <c r="I75" i="32"/>
  <c r="H75" i="32"/>
  <c r="G75" i="32"/>
  <c r="D75" i="32" a="1"/>
  <c r="D75" i="32" s="1"/>
  <c r="C75" i="32" a="1"/>
  <c r="C75" i="32" s="1"/>
  <c r="W74" i="32"/>
  <c r="D74" i="32" a="1"/>
  <c r="D74" i="32" s="1"/>
  <c r="C74" i="32" a="1"/>
  <c r="C74" i="32" s="1"/>
  <c r="W73" i="32"/>
  <c r="D73" i="32" a="1"/>
  <c r="D73" i="32" s="1"/>
  <c r="C73" i="32" a="1"/>
  <c r="C73" i="32" s="1"/>
  <c r="W37" i="32"/>
  <c r="D37" i="32" a="1"/>
  <c r="D37" i="32" s="1"/>
  <c r="C37" i="32" a="1"/>
  <c r="C37" i="32" s="1"/>
  <c r="W72" i="32"/>
  <c r="D72" i="32" a="1"/>
  <c r="D72" i="32" s="1"/>
  <c r="C72" i="32" a="1"/>
  <c r="C72" i="32" s="1"/>
  <c r="W25" i="32"/>
  <c r="D25" i="32" a="1"/>
  <c r="D25" i="32" s="1"/>
  <c r="C25" i="32" a="1"/>
  <c r="C25" i="32" s="1"/>
  <c r="W155" i="32"/>
  <c r="D155" i="32" a="1"/>
  <c r="D155" i="32" s="1"/>
  <c r="C155" i="32" a="1"/>
  <c r="C155" i="32" s="1"/>
  <c r="W71" i="32"/>
  <c r="D71" i="32" a="1"/>
  <c r="D71" i="32" s="1"/>
  <c r="C71" i="32" a="1"/>
  <c r="C71" i="32" s="1"/>
  <c r="W70" i="32"/>
  <c r="D70" i="32" a="1"/>
  <c r="D70" i="32" s="1"/>
  <c r="C70" i="32" a="1"/>
  <c r="C70" i="32" s="1"/>
  <c r="W69" i="32"/>
  <c r="V69" i="32"/>
  <c r="U69" i="32"/>
  <c r="T69" i="32"/>
  <c r="S69" i="32"/>
  <c r="R69" i="32"/>
  <c r="Q69" i="32"/>
  <c r="P69" i="32"/>
  <c r="N69" i="32"/>
  <c r="M69" i="32"/>
  <c r="L69" i="32"/>
  <c r="K69" i="32"/>
  <c r="J69" i="32"/>
  <c r="I69" i="32"/>
  <c r="H69" i="32"/>
  <c r="G69" i="32"/>
  <c r="D69" i="32" a="1"/>
  <c r="D69" i="32" s="1"/>
  <c r="C69" i="32" a="1"/>
  <c r="C69" i="32" s="1"/>
  <c r="W68" i="32"/>
  <c r="D68" i="32" a="1"/>
  <c r="D68" i="32" s="1"/>
  <c r="C68" i="32" a="1"/>
  <c r="C68" i="32" s="1"/>
  <c r="W67" i="32"/>
  <c r="D67" i="32" a="1"/>
  <c r="D67" i="32" s="1"/>
  <c r="C67" i="32" a="1"/>
  <c r="C67" i="32" s="1"/>
  <c r="W66" i="32"/>
  <c r="D66" i="32" a="1"/>
  <c r="D66" i="32" s="1"/>
  <c r="C66" i="32" a="1"/>
  <c r="C66" i="32" s="1"/>
  <c r="W12" i="32"/>
  <c r="D12" i="32" a="1"/>
  <c r="D12" i="32" s="1"/>
  <c r="C12" i="32" a="1"/>
  <c r="C12" i="32" s="1"/>
  <c r="W16" i="32"/>
  <c r="D16" i="32" a="1"/>
  <c r="D16" i="32" s="1"/>
  <c r="C16" i="32" a="1"/>
  <c r="C16" i="32" s="1"/>
  <c r="W65" i="32"/>
  <c r="D65" i="32" a="1"/>
  <c r="D65" i="32" s="1"/>
  <c r="C65" i="32" a="1"/>
  <c r="C65" i="32" s="1"/>
  <c r="W21" i="32"/>
  <c r="D21" i="32" a="1"/>
  <c r="D21" i="32" s="1"/>
  <c r="C21" i="32" a="1"/>
  <c r="C21" i="32" s="1"/>
  <c r="W64" i="32"/>
  <c r="V64" i="32"/>
  <c r="U64" i="32"/>
  <c r="T64" i="32"/>
  <c r="S64" i="32"/>
  <c r="R64" i="32"/>
  <c r="Q64" i="32"/>
  <c r="P64" i="32"/>
  <c r="N64" i="32"/>
  <c r="M64" i="32"/>
  <c r="L64" i="32"/>
  <c r="K64" i="32"/>
  <c r="J64" i="32"/>
  <c r="I64" i="32"/>
  <c r="H64" i="32"/>
  <c r="G64" i="32"/>
  <c r="D64" i="32" a="1"/>
  <c r="D64" i="32" s="1"/>
  <c r="C64" i="32" a="1"/>
  <c r="C64" i="32" s="1"/>
  <c r="W63" i="32"/>
  <c r="D63" i="32" a="1"/>
  <c r="D63" i="32" s="1"/>
  <c r="C63" i="32" a="1"/>
  <c r="C63" i="32" s="1"/>
  <c r="W62" i="32"/>
  <c r="D62" i="32" a="1"/>
  <c r="D62" i="32" s="1"/>
  <c r="C62" i="32" a="1"/>
  <c r="C62" i="32" s="1"/>
  <c r="W61" i="32"/>
  <c r="V61" i="32"/>
  <c r="U61" i="32"/>
  <c r="T61" i="32"/>
  <c r="S61" i="32"/>
  <c r="R61" i="32"/>
  <c r="Q61" i="32"/>
  <c r="P61" i="32"/>
  <c r="N61" i="32"/>
  <c r="M61" i="32"/>
  <c r="L61" i="32"/>
  <c r="K61" i="32"/>
  <c r="J61" i="32"/>
  <c r="I61" i="32"/>
  <c r="H61" i="32"/>
  <c r="G61" i="32"/>
  <c r="D61" i="32" a="1"/>
  <c r="D61" i="32" s="1"/>
  <c r="C61" i="32" a="1"/>
  <c r="C61" i="32" s="1"/>
  <c r="P129" i="6" l="1"/>
  <c r="G129" i="6" s="1"/>
  <c r="P123" i="6"/>
  <c r="G123" i="6" s="1"/>
  <c r="P88" i="6"/>
  <c r="G88" i="6" s="1"/>
  <c r="P83" i="6"/>
  <c r="G83" i="6" s="1"/>
  <c r="AG83" i="6" s="1"/>
  <c r="P76" i="6"/>
  <c r="G76" i="6" s="1"/>
  <c r="AG76" i="6" s="1"/>
  <c r="P70" i="6"/>
  <c r="G70" i="6" s="1"/>
  <c r="AG70" i="6" s="1"/>
  <c r="P71" i="6"/>
  <c r="G71" i="6" s="1"/>
  <c r="AG71" i="6" s="1"/>
  <c r="P22" i="6"/>
  <c r="W1" i="33"/>
  <c r="N33" i="34"/>
  <c r="I35" i="34"/>
  <c r="P33" i="34"/>
  <c r="O33" i="34" s="1"/>
  <c r="J35" i="34"/>
  <c r="S35" i="34"/>
  <c r="T35" i="34"/>
  <c r="U35" i="34"/>
  <c r="V35" i="34"/>
  <c r="P35" i="34"/>
  <c r="Q35" i="34"/>
  <c r="O26" i="34"/>
  <c r="F26" i="34" s="1"/>
  <c r="AH26" i="34" s="1"/>
  <c r="O32" i="34"/>
  <c r="F32" i="34" s="1"/>
  <c r="AH32" i="34" s="1"/>
  <c r="O47" i="33"/>
  <c r="F47" i="33" s="1"/>
  <c r="AH47" i="33" s="1"/>
  <c r="O50" i="33"/>
  <c r="F50" i="33" s="1"/>
  <c r="AH50" i="33" s="1"/>
  <c r="O53" i="33"/>
  <c r="F53" i="33" s="1"/>
  <c r="AH53" i="33" s="1"/>
  <c r="O56" i="33"/>
  <c r="F56" i="33" s="1"/>
  <c r="AH56" i="33" s="1"/>
  <c r="O112" i="32"/>
  <c r="F112" i="32" s="1"/>
  <c r="AH112" i="32" s="1"/>
  <c r="O84" i="32"/>
  <c r="F84" i="32" s="1"/>
  <c r="AH84" i="32" s="1"/>
  <c r="O108" i="32"/>
  <c r="F108" i="32" s="1"/>
  <c r="AH108" i="32" s="1"/>
  <c r="O120" i="32"/>
  <c r="F120" i="32" s="1"/>
  <c r="AH120" i="32" s="1"/>
  <c r="O111" i="32"/>
  <c r="F111" i="32" s="1"/>
  <c r="AH111" i="32" s="1"/>
  <c r="O131" i="32"/>
  <c r="F131" i="32" s="1"/>
  <c r="AH131" i="32" s="1"/>
  <c r="O146" i="32"/>
  <c r="F146" i="32" s="1"/>
  <c r="AH146" i="32" s="1"/>
  <c r="O168" i="32"/>
  <c r="F168" i="32" s="1"/>
  <c r="AH168" i="32" s="1"/>
  <c r="O128" i="32"/>
  <c r="F128" i="32" s="1"/>
  <c r="AH128" i="32" s="1"/>
  <c r="O134" i="32"/>
  <c r="F134" i="32" s="1"/>
  <c r="O136" i="32"/>
  <c r="F136" i="32" s="1"/>
  <c r="AH136" i="32" s="1"/>
  <c r="O154" i="32"/>
  <c r="F154" i="32" s="1"/>
  <c r="AH154" i="32" s="1"/>
  <c r="O162" i="32"/>
  <c r="F162" i="32" s="1"/>
  <c r="AH162" i="32" s="1"/>
  <c r="O86" i="32"/>
  <c r="F86" i="32" s="1"/>
  <c r="AH86" i="32" s="1"/>
  <c r="O97" i="32"/>
  <c r="F97" i="32" s="1"/>
  <c r="AH97" i="32" s="1"/>
  <c r="O109" i="32"/>
  <c r="F109" i="32" s="1"/>
  <c r="O129" i="32"/>
  <c r="F129" i="32" s="1"/>
  <c r="AH129" i="32" s="1"/>
  <c r="O159" i="32"/>
  <c r="F159" i="32" s="1"/>
  <c r="AH159" i="32" s="1"/>
  <c r="O93" i="32"/>
  <c r="F93" i="32" s="1"/>
  <c r="AH93" i="32" s="1"/>
  <c r="O105" i="32"/>
  <c r="F105" i="32" s="1"/>
  <c r="AH105" i="32" s="1"/>
  <c r="O140" i="32"/>
  <c r="F140" i="32" s="1"/>
  <c r="AH140" i="32" s="1"/>
  <c r="O144" i="32"/>
  <c r="F144" i="32" s="1"/>
  <c r="AH144" i="32" s="1"/>
  <c r="O69" i="32"/>
  <c r="F69" i="32" s="1"/>
  <c r="AH69" i="32" s="1"/>
  <c r="O118" i="32"/>
  <c r="F118" i="32" s="1"/>
  <c r="AH118" i="32" s="1"/>
  <c r="O130" i="32"/>
  <c r="F130" i="32" s="1"/>
  <c r="AH130" i="32" s="1"/>
  <c r="O152" i="32"/>
  <c r="F152" i="32" s="1"/>
  <c r="AH152" i="32" s="1"/>
  <c r="O113" i="32"/>
  <c r="F113" i="32" s="1"/>
  <c r="AH113" i="32" s="1"/>
  <c r="O137" i="32"/>
  <c r="F137" i="32" s="1"/>
  <c r="AH137" i="32" s="1"/>
  <c r="O153" i="32"/>
  <c r="F153" i="32" s="1"/>
  <c r="AH153" i="32" s="1"/>
  <c r="O161" i="32"/>
  <c r="F161" i="32" s="1"/>
  <c r="AH161" i="32" s="1"/>
  <c r="O81" i="32"/>
  <c r="F81" i="32" s="1"/>
  <c r="AH81" i="32" s="1"/>
  <c r="O158" i="32"/>
  <c r="F158" i="32" s="1"/>
  <c r="O165" i="32"/>
  <c r="F165" i="32" s="1"/>
  <c r="AH165" i="32" s="1"/>
  <c r="O24" i="34"/>
  <c r="F24" i="34" s="1"/>
  <c r="AH24" i="34" s="1"/>
  <c r="W1" i="34"/>
  <c r="O29" i="34"/>
  <c r="F29" i="34" s="1"/>
  <c r="AH29" i="34" s="1"/>
  <c r="O33" i="33"/>
  <c r="F33" i="33" s="1"/>
  <c r="AH33" i="33" s="1"/>
  <c r="O36" i="33"/>
  <c r="F36" i="33" s="1"/>
  <c r="AH36" i="33" s="1"/>
  <c r="O39" i="33"/>
  <c r="F39" i="33" s="1"/>
  <c r="AH39" i="33" s="1"/>
  <c r="O42" i="33"/>
  <c r="F42" i="33" s="1"/>
  <c r="AH42" i="33" s="1"/>
  <c r="O48" i="33"/>
  <c r="F48" i="33" s="1"/>
  <c r="AH48" i="33" s="1"/>
  <c r="O52" i="33"/>
  <c r="F52" i="33" s="1"/>
  <c r="AH52" i="33" s="1"/>
  <c r="O54" i="33"/>
  <c r="F54" i="33" s="1"/>
  <c r="AH54" i="33" s="1"/>
  <c r="O58" i="33"/>
  <c r="F58" i="33" s="1"/>
  <c r="AH58" i="33" s="1"/>
  <c r="O59" i="33"/>
  <c r="F59" i="33" s="1"/>
  <c r="AH59" i="33" s="1"/>
  <c r="O41" i="33"/>
  <c r="F41" i="33" s="1"/>
  <c r="AH41" i="33" s="1"/>
  <c r="O43" i="33"/>
  <c r="F43" i="33" s="1"/>
  <c r="AH43" i="33" s="1"/>
  <c r="O49" i="33"/>
  <c r="F49" i="33" s="1"/>
  <c r="AH49" i="33" s="1"/>
  <c r="O55" i="33"/>
  <c r="F55" i="33" s="1"/>
  <c r="AH55" i="33" s="1"/>
  <c r="O60" i="33"/>
  <c r="F60" i="33" s="1"/>
  <c r="AH60" i="33" s="1"/>
  <c r="O75" i="32"/>
  <c r="F75" i="32" s="1"/>
  <c r="AH75" i="32" s="1"/>
  <c r="O106" i="32"/>
  <c r="F106" i="32" s="1"/>
  <c r="O117" i="32"/>
  <c r="F117" i="32" s="1"/>
  <c r="AH117" i="32" s="1"/>
  <c r="O124" i="32"/>
  <c r="F124" i="32" s="1"/>
  <c r="AH124" i="32" s="1"/>
  <c r="O127" i="32"/>
  <c r="F127" i="32" s="1"/>
  <c r="AH127" i="32" s="1"/>
  <c r="O145" i="32"/>
  <c r="F145" i="32" s="1"/>
  <c r="AH145" i="32" s="1"/>
  <c r="O39" i="32"/>
  <c r="F39" i="32" s="1"/>
  <c r="AH39" i="32" s="1"/>
  <c r="O80" i="32"/>
  <c r="F80" i="32" s="1"/>
  <c r="AH80" i="32" s="1"/>
  <c r="O100" i="32"/>
  <c r="F100" i="32" s="1"/>
  <c r="AH100" i="32" s="1"/>
  <c r="O103" i="32"/>
  <c r="F103" i="32" s="1"/>
  <c r="AH103" i="32" s="1"/>
  <c r="O110" i="32"/>
  <c r="F110" i="32" s="1"/>
  <c r="AH110" i="32" s="1"/>
  <c r="O121" i="32"/>
  <c r="F121" i="32" s="1"/>
  <c r="AH121" i="32" s="1"/>
  <c r="O164" i="32"/>
  <c r="F164" i="32" s="1"/>
  <c r="AH164" i="32" s="1"/>
  <c r="O89" i="32"/>
  <c r="F89" i="32" s="1"/>
  <c r="O101" i="32"/>
  <c r="F101" i="32" s="1"/>
  <c r="AH101" i="32" s="1"/>
  <c r="O104" i="32"/>
  <c r="F104" i="32" s="1"/>
  <c r="AH104" i="32" s="1"/>
  <c r="O107" i="32"/>
  <c r="F107" i="32" s="1"/>
  <c r="AH107" i="32" s="1"/>
  <c r="O114" i="32"/>
  <c r="F114" i="32" s="1"/>
  <c r="AH114" i="32" s="1"/>
  <c r="O141" i="32"/>
  <c r="F141" i="32" s="1"/>
  <c r="AH141" i="32" s="1"/>
  <c r="O148" i="32"/>
  <c r="F148" i="32" s="1"/>
  <c r="AH148" i="32" s="1"/>
  <c r="O85" i="32"/>
  <c r="F85" i="32" s="1"/>
  <c r="AH85" i="32" s="1"/>
  <c r="O87" i="32"/>
  <c r="F87" i="32" s="1"/>
  <c r="AH87" i="32" s="1"/>
  <c r="O115" i="32"/>
  <c r="F115" i="32" s="1"/>
  <c r="AH115" i="32" s="1"/>
  <c r="O122" i="32"/>
  <c r="F122" i="32" s="1"/>
  <c r="AH122" i="32" s="1"/>
  <c r="O138" i="32"/>
  <c r="F138" i="32" s="1"/>
  <c r="AH138" i="32" s="1"/>
  <c r="O142" i="32"/>
  <c r="F142" i="32" s="1"/>
  <c r="AH142" i="32" s="1"/>
  <c r="O143" i="32"/>
  <c r="F143" i="32" s="1"/>
  <c r="AH143" i="32" s="1"/>
  <c r="O160" i="32"/>
  <c r="F160" i="32" s="1"/>
  <c r="AH160" i="32" s="1"/>
  <c r="O167" i="32"/>
  <c r="F167" i="32" s="1"/>
  <c r="AH167" i="32" s="1"/>
  <c r="O61" i="32"/>
  <c r="F61" i="32" s="1"/>
  <c r="E61" i="32" s="1"/>
  <c r="O64" i="32"/>
  <c r="F64" i="32" s="1"/>
  <c r="AH64" i="32" s="1"/>
  <c r="O116" i="32"/>
  <c r="F116" i="32" s="1"/>
  <c r="AH116" i="32" s="1"/>
  <c r="O149" i="32"/>
  <c r="F149" i="32" s="1"/>
  <c r="AH149" i="32" s="1"/>
  <c r="O150" i="32"/>
  <c r="F150" i="32" s="1"/>
  <c r="AH150" i="32" s="1"/>
  <c r="O95" i="32"/>
  <c r="F95" i="32" s="1"/>
  <c r="AH95" i="32" s="1"/>
  <c r="O126" i="32"/>
  <c r="F126" i="32" s="1"/>
  <c r="AH126" i="32" s="1"/>
  <c r="O157" i="32"/>
  <c r="F157" i="32" s="1"/>
  <c r="AH157" i="32" s="1"/>
  <c r="O166" i="32"/>
  <c r="F166" i="32" s="1"/>
  <c r="AH166" i="32" s="1"/>
  <c r="O99" i="32"/>
  <c r="F99" i="32" s="1"/>
  <c r="AH99" i="32" s="1"/>
  <c r="O135" i="32"/>
  <c r="F135" i="32" s="1"/>
  <c r="AH135" i="32" s="1"/>
  <c r="O147" i="32"/>
  <c r="F147" i="32" s="1"/>
  <c r="AH147" i="32" s="1"/>
  <c r="O163" i="32"/>
  <c r="F163" i="32" s="1"/>
  <c r="AH163" i="32" s="1"/>
  <c r="O17" i="34"/>
  <c r="F17" i="34" s="1"/>
  <c r="AH17" i="34" s="1"/>
  <c r="O25" i="34"/>
  <c r="F25" i="34" s="1"/>
  <c r="AH25" i="34" s="1"/>
  <c r="O30" i="34"/>
  <c r="F30" i="34" s="1"/>
  <c r="AH30" i="34" s="1"/>
  <c r="O35" i="33"/>
  <c r="F35" i="33" s="1"/>
  <c r="AH35" i="33" s="1"/>
  <c r="O38" i="33"/>
  <c r="F38" i="33" s="1"/>
  <c r="AH38" i="33" s="1"/>
  <c r="O40" i="33"/>
  <c r="F40" i="33" s="1"/>
  <c r="AH40" i="33" s="1"/>
  <c r="O46" i="33"/>
  <c r="F46" i="33" s="1"/>
  <c r="AH46" i="33" s="1"/>
  <c r="D1" i="33"/>
  <c r="O34" i="33"/>
  <c r="F34" i="33" s="1"/>
  <c r="AH34" i="33" s="1"/>
  <c r="O37" i="33"/>
  <c r="F37" i="33" s="1"/>
  <c r="AH37" i="33" s="1"/>
  <c r="O44" i="33"/>
  <c r="F44" i="33" s="1"/>
  <c r="AH44" i="33" s="1"/>
  <c r="O51" i="33"/>
  <c r="F51" i="33" s="1"/>
  <c r="AH51" i="33" s="1"/>
  <c r="O57" i="33"/>
  <c r="F57" i="33" s="1"/>
  <c r="AH57" i="33" s="1"/>
  <c r="W1" i="32"/>
  <c r="O170" i="32"/>
  <c r="F170" i="32" s="1"/>
  <c r="AH170" i="32" s="1"/>
  <c r="O171" i="32"/>
  <c r="F171" i="32" s="1"/>
  <c r="AH171" i="32" s="1"/>
  <c r="O123" i="32"/>
  <c r="F123" i="32" s="1"/>
  <c r="AH123" i="32" s="1"/>
  <c r="O132" i="32"/>
  <c r="F132" i="32" s="1"/>
  <c r="AH132" i="32" s="1"/>
  <c r="O119" i="32"/>
  <c r="F119" i="32" s="1"/>
  <c r="AH119" i="32" s="1"/>
  <c r="O133" i="32"/>
  <c r="F133" i="32" s="1"/>
  <c r="AH133" i="32" s="1"/>
  <c r="O125" i="32"/>
  <c r="F125" i="32" s="1"/>
  <c r="AH125" i="32" s="1"/>
  <c r="F129" i="6" l="1"/>
  <c r="AG129" i="6"/>
  <c r="F123" i="6"/>
  <c r="AG123" i="6"/>
  <c r="F88" i="6"/>
  <c r="AG88" i="6"/>
  <c r="F83" i="6"/>
  <c r="F76" i="6"/>
  <c r="F71" i="6"/>
  <c r="F70" i="6"/>
  <c r="E1" i="14"/>
  <c r="E168" i="32"/>
  <c r="E130" i="32"/>
  <c r="E110" i="32"/>
  <c r="E127" i="32"/>
  <c r="E113" i="32"/>
  <c r="E105" i="32"/>
  <c r="E162" i="32"/>
  <c r="E93" i="32"/>
  <c r="E80" i="32"/>
  <c r="E97" i="32"/>
  <c r="E33" i="33"/>
  <c r="E47" i="33"/>
  <c r="O35" i="34"/>
  <c r="F35" i="34" s="1"/>
  <c r="AH35" i="34" s="1"/>
  <c r="E56" i="33"/>
  <c r="E99" i="32"/>
  <c r="E117" i="32"/>
  <c r="E142" i="32"/>
  <c r="E126" i="32"/>
  <c r="E59" i="33"/>
  <c r="F33" i="34"/>
  <c r="AH33" i="34" s="1"/>
  <c r="E143" i="32"/>
  <c r="E111" i="32"/>
  <c r="E161" i="32"/>
  <c r="E116" i="32"/>
  <c r="E153" i="32"/>
  <c r="E141" i="32"/>
  <c r="E32" i="34"/>
  <c r="E39" i="33"/>
  <c r="E52" i="33"/>
  <c r="E40" i="33"/>
  <c r="E154" i="32"/>
  <c r="E124" i="32"/>
  <c r="E64" i="32"/>
  <c r="E138" i="32"/>
  <c r="E39" i="32"/>
  <c r="E103" i="32"/>
  <c r="E152" i="32"/>
  <c r="E104" i="32"/>
  <c r="E95" i="32"/>
  <c r="E101" i="32"/>
  <c r="AH134" i="32"/>
  <c r="E134" i="32"/>
  <c r="AH109" i="32"/>
  <c r="E109" i="32"/>
  <c r="E81" i="32"/>
  <c r="E167" i="32"/>
  <c r="E86" i="32"/>
  <c r="E112" i="32"/>
  <c r="E129" i="32"/>
  <c r="E150" i="32"/>
  <c r="E170" i="32"/>
  <c r="E69" i="32"/>
  <c r="E131" i="32"/>
  <c r="E24" i="34"/>
  <c r="E29" i="34"/>
  <c r="E26" i="34"/>
  <c r="E48" i="33"/>
  <c r="E36" i="33"/>
  <c r="E54" i="33"/>
  <c r="E38" i="33"/>
  <c r="E46" i="33"/>
  <c r="E58" i="33"/>
  <c r="E50" i="33"/>
  <c r="E42" i="33"/>
  <c r="E53" i="33"/>
  <c r="AH89" i="32"/>
  <c r="E89" i="32"/>
  <c r="AH106" i="32"/>
  <c r="E106" i="32"/>
  <c r="AH158" i="32"/>
  <c r="E158" i="32"/>
  <c r="E163" i="32"/>
  <c r="E166" i="32"/>
  <c r="E146" i="32"/>
  <c r="E164" i="32"/>
  <c r="E107" i="32"/>
  <c r="E136" i="32"/>
  <c r="E114" i="32"/>
  <c r="E87" i="32"/>
  <c r="E100" i="32"/>
  <c r="E171" i="32"/>
  <c r="E137" i="32"/>
  <c r="E43" i="33"/>
  <c r="E55" i="33"/>
  <c r="E41" i="33"/>
  <c r="E51" i="33"/>
  <c r="E60" i="33"/>
  <c r="E49" i="33"/>
  <c r="E148" i="32"/>
  <c r="E147" i="32"/>
  <c r="E85" i="32"/>
  <c r="E145" i="32"/>
  <c r="E157" i="32"/>
  <c r="E133" i="32"/>
  <c r="E115" i="32"/>
  <c r="E123" i="32"/>
  <c r="E135" i="32"/>
  <c r="E118" i="32"/>
  <c r="E25" i="34"/>
  <c r="E17" i="34"/>
  <c r="E30" i="34"/>
  <c r="E35" i="33"/>
  <c r="E44" i="33"/>
  <c r="E57" i="33"/>
  <c r="E37" i="33"/>
  <c r="E34" i="33"/>
  <c r="E132" i="32"/>
  <c r="E144" i="32"/>
  <c r="E159" i="32"/>
  <c r="E140" i="32"/>
  <c r="E84" i="32"/>
  <c r="E122" i="32"/>
  <c r="E128" i="32"/>
  <c r="E149" i="32"/>
  <c r="E108" i="32"/>
  <c r="E125" i="32"/>
  <c r="E75" i="32"/>
  <c r="E121" i="32"/>
  <c r="E120" i="32"/>
  <c r="E165" i="32"/>
  <c r="E160" i="32"/>
  <c r="E119" i="32"/>
  <c r="AH61" i="32"/>
  <c r="E35" i="34" l="1"/>
  <c r="E33" i="34"/>
  <c r="R317" i="11" l="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6" i="11"/>
  <c r="R154" i="11"/>
  <c r="R152" i="11"/>
  <c r="R153" i="11"/>
  <c r="R148" i="11"/>
  <c r="R149" i="11"/>
  <c r="R147" i="11"/>
  <c r="R151" i="11"/>
  <c r="R155" i="11"/>
  <c r="R150" i="11"/>
  <c r="R15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40" i="24" l="1"/>
  <c r="Q41" i="24"/>
  <c r="Q38" i="24"/>
  <c r="Q39" i="24"/>
  <c r="J46" i="23" l="1"/>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1" i="1"/>
  <c r="S201" i="1"/>
  <c r="N82" i="6" l="1"/>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G20" i="26"/>
  <c r="F20" i="26"/>
  <c r="E19" i="26"/>
  <c r="E18" i="26"/>
  <c r="E17" i="26"/>
  <c r="E16" i="26"/>
  <c r="E15" i="26"/>
  <c r="E14" i="26"/>
  <c r="E13" i="26"/>
  <c r="P82" i="6" l="1"/>
  <c r="G82" i="6" s="1"/>
  <c r="AG46" i="23"/>
  <c r="U44" i="23"/>
  <c r="R44" i="23"/>
  <c r="M44" i="23"/>
  <c r="S44" i="23"/>
  <c r="N44" i="23"/>
  <c r="K44" i="23"/>
  <c r="W44" i="23"/>
  <c r="V44" i="23"/>
  <c r="T44" i="23"/>
  <c r="O44" i="23"/>
  <c r="J44" i="23"/>
  <c r="I44" i="23"/>
  <c r="H44" i="23"/>
  <c r="L44" i="23"/>
  <c r="AG45" i="23"/>
  <c r="F45" i="23"/>
  <c r="P36" i="23"/>
  <c r="G36" i="23" s="1"/>
  <c r="AG36" i="23" s="1"/>
  <c r="AG53" i="14"/>
  <c r="F53" i="14"/>
  <c r="E20" i="26"/>
  <c r="F82" i="6" l="1"/>
  <c r="AG82" i="6"/>
  <c r="P44" i="23"/>
  <c r="G44" i="23" s="1"/>
  <c r="F44" i="23" s="1"/>
  <c r="F36" i="23"/>
  <c r="Q310" i="11"/>
  <c r="Q309" i="11"/>
  <c r="S192" i="1"/>
  <c r="S193" i="1"/>
  <c r="S194" i="1"/>
  <c r="S195" i="1"/>
  <c r="S196" i="1"/>
  <c r="S197" i="1"/>
  <c r="S198" i="1"/>
  <c r="S199" i="1"/>
  <c r="S200" i="1"/>
  <c r="Q200" i="1"/>
  <c r="Q199" i="1"/>
  <c r="Q198" i="1"/>
  <c r="Q197" i="1"/>
  <c r="Q196" i="1"/>
  <c r="Q195" i="1"/>
  <c r="Q194" i="1"/>
  <c r="Q193" i="1"/>
  <c r="Q192" i="1"/>
  <c r="Q772" i="8"/>
  <c r="Q771" i="8"/>
  <c r="Q770" i="8"/>
  <c r="Q769" i="8"/>
  <c r="Q768" i="8"/>
  <c r="Q767" i="8"/>
  <c r="Q766" i="8"/>
  <c r="Q765" i="8"/>
  <c r="Q764" i="8"/>
  <c r="Q763" i="8"/>
  <c r="Q762" i="8"/>
  <c r="Q761" i="8"/>
  <c r="Q760" i="8"/>
  <c r="Q759" i="8"/>
  <c r="Q758" i="8"/>
  <c r="Q757" i="8"/>
  <c r="Q756" i="8"/>
  <c r="Q755" i="8"/>
  <c r="Q754" i="8"/>
  <c r="Q753" i="8"/>
  <c r="Q752" i="8"/>
  <c r="Q751" i="8"/>
  <c r="Q750" i="8"/>
  <c r="Q749" i="8"/>
  <c r="Q748" i="8"/>
  <c r="AG44" i="23" l="1"/>
  <c r="R34" i="23"/>
  <c r="S34" i="23"/>
  <c r="Q34" i="23"/>
  <c r="T34" i="23"/>
  <c r="U34" i="23"/>
  <c r="W34" i="23"/>
  <c r="V34" i="23"/>
  <c r="L34" i="23"/>
  <c r="O34" i="23"/>
  <c r="N34" i="23"/>
  <c r="K34" i="23"/>
  <c r="J34" i="23"/>
  <c r="H34" i="23"/>
  <c r="M34" i="23"/>
  <c r="I34" i="23"/>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L37" i="34"/>
  <c r="S37" i="34"/>
  <c r="V37" i="34"/>
  <c r="G37" i="34"/>
  <c r="I37" i="34"/>
  <c r="Q37" i="34"/>
  <c r="U37" i="34"/>
  <c r="K37" i="34"/>
  <c r="R37" i="34"/>
  <c r="H37" i="34"/>
  <c r="P37" i="34"/>
  <c r="N37" i="34"/>
  <c r="M37" i="34"/>
  <c r="T37" i="34"/>
  <c r="J37" i="34"/>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Q191" i="1"/>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R126" i="6" l="1"/>
  <c r="I126" i="6"/>
  <c r="Q126" i="6"/>
  <c r="H126" i="6"/>
  <c r="U126" i="6"/>
  <c r="O126" i="6"/>
  <c r="M126" i="6"/>
  <c r="W126" i="6"/>
  <c r="N126" i="6"/>
  <c r="L126" i="6"/>
  <c r="V126" i="6"/>
  <c r="T126" i="6"/>
  <c r="S126" i="6"/>
  <c r="J126" i="6"/>
  <c r="K126"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O37" i="34"/>
  <c r="F37" i="34" s="1"/>
  <c r="P126" i="6" l="1"/>
  <c r="G126" i="6" s="1"/>
  <c r="P118" i="6"/>
  <c r="G118" i="6" s="1"/>
  <c r="P119" i="6"/>
  <c r="G119" i="6" s="1"/>
  <c r="P114" i="6"/>
  <c r="G114" i="6" s="1"/>
  <c r="F114" i="6" s="1"/>
  <c r="F34" i="23"/>
  <c r="AG34" i="23"/>
  <c r="F41" i="23"/>
  <c r="F32" i="23"/>
  <c r="F29" i="23"/>
  <c r="P78" i="6"/>
  <c r="G78" i="6" s="1"/>
  <c r="AG78" i="6" s="1"/>
  <c r="F28" i="23"/>
  <c r="E37" i="34"/>
  <c r="AH37" i="34"/>
  <c r="AG126" i="6" l="1"/>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R14" i="34"/>
  <c r="I14" i="34"/>
  <c r="V14" i="34"/>
  <c r="Q14" i="34"/>
  <c r="H14" i="34"/>
  <c r="P14" i="34"/>
  <c r="G14" i="34"/>
  <c r="M14" i="34"/>
  <c r="N14" i="34"/>
  <c r="U14" i="34"/>
  <c r="L14" i="34"/>
  <c r="J14" i="34"/>
  <c r="T14" i="34"/>
  <c r="K14" i="34"/>
  <c r="S14" i="34"/>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G19" i="34"/>
  <c r="R19" i="34"/>
  <c r="T19" i="34"/>
  <c r="S19" i="34"/>
  <c r="U19" i="34"/>
  <c r="L19" i="34"/>
  <c r="N19" i="34"/>
  <c r="J19" i="34"/>
  <c r="P19" i="34"/>
  <c r="K19" i="34"/>
  <c r="I19" i="34"/>
  <c r="V19" i="34"/>
  <c r="Q19" i="34"/>
  <c r="H19" i="34"/>
  <c r="M19" i="34"/>
  <c r="M13" i="34"/>
  <c r="P13" i="34"/>
  <c r="J13" i="34"/>
  <c r="U13" i="34"/>
  <c r="Q13" i="34"/>
  <c r="R13" i="34"/>
  <c r="S13" i="34"/>
  <c r="V13" i="34"/>
  <c r="L13" i="34"/>
  <c r="H13" i="34"/>
  <c r="G13" i="34"/>
  <c r="N13" i="34"/>
  <c r="T13" i="34"/>
  <c r="I13" i="34"/>
  <c r="K13" i="34"/>
  <c r="U21" i="34"/>
  <c r="L21" i="34"/>
  <c r="G21" i="34"/>
  <c r="T21" i="34"/>
  <c r="K21" i="34"/>
  <c r="S21" i="34"/>
  <c r="J21" i="34"/>
  <c r="P21" i="34"/>
  <c r="V21" i="34"/>
  <c r="R21" i="34"/>
  <c r="I21" i="34"/>
  <c r="Q21" i="34"/>
  <c r="H21" i="34"/>
  <c r="N21" i="34"/>
  <c r="M21" i="34"/>
  <c r="V23" i="34"/>
  <c r="M23" i="34"/>
  <c r="N23" i="34"/>
  <c r="U23" i="34"/>
  <c r="L23" i="34"/>
  <c r="Q23" i="34"/>
  <c r="T23" i="34"/>
  <c r="K23" i="34"/>
  <c r="S23" i="34"/>
  <c r="J23" i="34"/>
  <c r="R23" i="34"/>
  <c r="I23" i="34"/>
  <c r="H23" i="34"/>
  <c r="P23" i="34"/>
  <c r="G23" i="34"/>
  <c r="P15" i="34"/>
  <c r="G15" i="34"/>
  <c r="J15" i="34"/>
  <c r="N15" i="34"/>
  <c r="V15" i="34"/>
  <c r="M15" i="34"/>
  <c r="U15" i="34"/>
  <c r="L15" i="34"/>
  <c r="T15" i="34"/>
  <c r="K15" i="34"/>
  <c r="S15" i="34"/>
  <c r="Q15" i="34"/>
  <c r="R15" i="34"/>
  <c r="I15" i="34"/>
  <c r="H15" i="34"/>
  <c r="N20" i="34"/>
  <c r="V20" i="34"/>
  <c r="M20" i="34"/>
  <c r="U20" i="34"/>
  <c r="L20" i="34"/>
  <c r="T20" i="34"/>
  <c r="K20" i="34"/>
  <c r="R20" i="34"/>
  <c r="S20" i="34"/>
  <c r="J20" i="34"/>
  <c r="I20" i="34"/>
  <c r="Q20" i="34"/>
  <c r="H20" i="34"/>
  <c r="P20" i="34"/>
  <c r="G20" i="34"/>
  <c r="S18" i="34"/>
  <c r="J18" i="34"/>
  <c r="V18" i="34"/>
  <c r="R18" i="34"/>
  <c r="I18" i="34"/>
  <c r="Q18" i="34"/>
  <c r="H18" i="34"/>
  <c r="P18" i="34"/>
  <c r="G18" i="34"/>
  <c r="M18" i="34"/>
  <c r="N18" i="34"/>
  <c r="T18" i="34"/>
  <c r="U18" i="34"/>
  <c r="L18" i="34"/>
  <c r="K18" i="34"/>
  <c r="J12" i="34"/>
  <c r="L12" i="34"/>
  <c r="R12" i="34"/>
  <c r="K12" i="34"/>
  <c r="I12" i="34"/>
  <c r="V12" i="34"/>
  <c r="N12" i="34"/>
  <c r="Q12" i="34"/>
  <c r="M12" i="34"/>
  <c r="H12" i="34"/>
  <c r="U12" i="34"/>
  <c r="P12" i="34"/>
  <c r="T12" i="34"/>
  <c r="G12" i="34"/>
  <c r="S12" i="34"/>
  <c r="Q16" i="34"/>
  <c r="H16" i="34"/>
  <c r="L16" i="34"/>
  <c r="P16" i="34"/>
  <c r="T16" i="34"/>
  <c r="R16" i="34"/>
  <c r="G16" i="34"/>
  <c r="K16" i="34"/>
  <c r="N16" i="34"/>
  <c r="V16" i="34"/>
  <c r="S16" i="34"/>
  <c r="J16" i="34"/>
  <c r="M16" i="34"/>
  <c r="U16" i="34"/>
  <c r="I16" i="34"/>
  <c r="V34" i="34"/>
  <c r="L34" i="34"/>
  <c r="S34" i="34"/>
  <c r="H34" i="34"/>
  <c r="Q34" i="34"/>
  <c r="N34" i="34"/>
  <c r="M34" i="34"/>
  <c r="P34" i="34"/>
  <c r="R34" i="34"/>
  <c r="U34" i="34"/>
  <c r="T34" i="34"/>
  <c r="I34" i="34"/>
  <c r="J34" i="34"/>
  <c r="G34" i="34"/>
  <c r="K34" i="34"/>
  <c r="M5" i="34"/>
  <c r="R5" i="34"/>
  <c r="L5" i="34"/>
  <c r="H5" i="34"/>
  <c r="U5" i="34"/>
  <c r="Q5" i="34"/>
  <c r="G5" i="34"/>
  <c r="V5" i="34"/>
  <c r="N5" i="34"/>
  <c r="T5" i="34"/>
  <c r="J5" i="34"/>
  <c r="I5" i="34"/>
  <c r="S5" i="34"/>
  <c r="K5" i="34"/>
  <c r="P5" i="34"/>
  <c r="S28" i="34"/>
  <c r="T28" i="34"/>
  <c r="I28" i="34"/>
  <c r="Q28" i="34"/>
  <c r="H28" i="34"/>
  <c r="J28" i="34"/>
  <c r="G28" i="34"/>
  <c r="L28" i="34"/>
  <c r="N28" i="34"/>
  <c r="P28" i="34"/>
  <c r="V28" i="34"/>
  <c r="R28" i="34"/>
  <c r="K28" i="34"/>
  <c r="M28" i="34"/>
  <c r="U28" i="34"/>
  <c r="T10" i="34"/>
  <c r="Q10" i="34"/>
  <c r="K10" i="34"/>
  <c r="G10" i="34"/>
  <c r="L10" i="34"/>
  <c r="P10" i="34"/>
  <c r="N10" i="34"/>
  <c r="S10" i="34"/>
  <c r="V10" i="34"/>
  <c r="J10" i="34"/>
  <c r="R10" i="34"/>
  <c r="I10" i="34"/>
  <c r="M10" i="34"/>
  <c r="H10" i="34"/>
  <c r="U10" i="34"/>
  <c r="T38" i="34"/>
  <c r="Q38" i="34"/>
  <c r="S38" i="34"/>
  <c r="M38" i="34"/>
  <c r="P38" i="34"/>
  <c r="N38" i="34"/>
  <c r="K38" i="34"/>
  <c r="I38" i="34"/>
  <c r="V38" i="34"/>
  <c r="J38" i="34"/>
  <c r="G38" i="34"/>
  <c r="L38" i="34"/>
  <c r="U38" i="34"/>
  <c r="H38" i="34"/>
  <c r="R38" i="34"/>
  <c r="N22" i="34"/>
  <c r="V22" i="34"/>
  <c r="M22" i="34"/>
  <c r="U22" i="34"/>
  <c r="L22" i="34"/>
  <c r="T22" i="34"/>
  <c r="K22" i="34"/>
  <c r="S22" i="34"/>
  <c r="J22" i="34"/>
  <c r="R22" i="34"/>
  <c r="I22" i="34"/>
  <c r="P22" i="34"/>
  <c r="Q22" i="34"/>
  <c r="H22" i="34"/>
  <c r="G22" i="34"/>
  <c r="Q4" i="34"/>
  <c r="L4" i="34"/>
  <c r="H4" i="34"/>
  <c r="R4" i="34"/>
  <c r="P4" i="34"/>
  <c r="I4" i="34"/>
  <c r="G4" i="34"/>
  <c r="T4" i="34"/>
  <c r="N4" i="34"/>
  <c r="K4" i="34"/>
  <c r="V4" i="34"/>
  <c r="S4" i="34"/>
  <c r="M4" i="34"/>
  <c r="J4" i="34"/>
  <c r="U4" i="34"/>
  <c r="U27" i="34"/>
  <c r="L27" i="34"/>
  <c r="K27" i="34"/>
  <c r="T27" i="34"/>
  <c r="S27" i="34"/>
  <c r="J27" i="34"/>
  <c r="R27" i="34"/>
  <c r="M27" i="34"/>
  <c r="I27" i="34"/>
  <c r="Q27" i="34"/>
  <c r="H27" i="34"/>
  <c r="N27" i="34"/>
  <c r="V27" i="34"/>
  <c r="P27" i="34"/>
  <c r="G27" i="34"/>
  <c r="N11" i="34"/>
  <c r="V11" i="34"/>
  <c r="M11" i="34"/>
  <c r="U11" i="34"/>
  <c r="L11" i="34"/>
  <c r="T11" i="34"/>
  <c r="K11" i="34"/>
  <c r="S11" i="34"/>
  <c r="J11" i="34"/>
  <c r="H11" i="34"/>
  <c r="G11" i="34"/>
  <c r="R11" i="34"/>
  <c r="I11" i="34"/>
  <c r="Q11" i="34"/>
  <c r="P11" i="34"/>
  <c r="J31" i="34"/>
  <c r="G31" i="34"/>
  <c r="R31" i="34"/>
  <c r="V31" i="34"/>
  <c r="U31" i="34"/>
  <c r="I31" i="34"/>
  <c r="Q31" i="34"/>
  <c r="L31" i="34"/>
  <c r="H31" i="34"/>
  <c r="T31" i="34"/>
  <c r="N31" i="34"/>
  <c r="P31" i="34"/>
  <c r="K31" i="34"/>
  <c r="M31" i="34"/>
  <c r="S31" i="34"/>
  <c r="N7" i="34"/>
  <c r="V7" i="34"/>
  <c r="M7" i="34"/>
  <c r="U7" i="34"/>
  <c r="L7" i="34"/>
  <c r="G7" i="34"/>
  <c r="T7" i="34"/>
  <c r="K7" i="34"/>
  <c r="S7" i="34"/>
  <c r="J7" i="34"/>
  <c r="H7" i="34"/>
  <c r="P7" i="34"/>
  <c r="R7" i="34"/>
  <c r="I7" i="34"/>
  <c r="Q7" i="34"/>
  <c r="S6" i="34"/>
  <c r="J6" i="34"/>
  <c r="R6" i="34"/>
  <c r="I6" i="34"/>
  <c r="Q6" i="34"/>
  <c r="H6" i="34"/>
  <c r="P6" i="34"/>
  <c r="G6" i="34"/>
  <c r="N6" i="34"/>
  <c r="U6" i="34"/>
  <c r="K6" i="34"/>
  <c r="V6" i="34"/>
  <c r="M6" i="34"/>
  <c r="L6" i="34"/>
  <c r="T6" i="34"/>
  <c r="Q36" i="34"/>
  <c r="H36" i="34"/>
  <c r="P36" i="34"/>
  <c r="G36" i="34"/>
  <c r="N36" i="34"/>
  <c r="V36" i="34"/>
  <c r="M36" i="34"/>
  <c r="U36" i="34"/>
  <c r="L36" i="34"/>
  <c r="J36" i="34"/>
  <c r="R36" i="34"/>
  <c r="T36" i="34"/>
  <c r="K36" i="34"/>
  <c r="S36" i="34"/>
  <c r="I36" i="34"/>
  <c r="U8" i="34"/>
  <c r="L8" i="34"/>
  <c r="T8" i="34"/>
  <c r="K8" i="34"/>
  <c r="S8" i="34"/>
  <c r="J8" i="34"/>
  <c r="R8" i="34"/>
  <c r="I8" i="34"/>
  <c r="Q8" i="34"/>
  <c r="H8" i="34"/>
  <c r="N8" i="34"/>
  <c r="P8" i="34"/>
  <c r="G8" i="34"/>
  <c r="V8" i="34"/>
  <c r="M8" i="34"/>
  <c r="U9" i="34"/>
  <c r="L9" i="34"/>
  <c r="T9" i="34"/>
  <c r="S9" i="34"/>
  <c r="J9" i="34"/>
  <c r="I9" i="34"/>
  <c r="V9" i="34"/>
  <c r="R9" i="34"/>
  <c r="M9" i="34"/>
  <c r="Q9" i="34"/>
  <c r="H9" i="34"/>
  <c r="K9" i="34"/>
  <c r="P9" i="34"/>
  <c r="G9" i="34"/>
  <c r="N9" i="34"/>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O14" i="34"/>
  <c r="F14" i="34"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O19" i="34"/>
  <c r="F19" i="34" s="1"/>
  <c r="AH19" i="34" s="1"/>
  <c r="O13" i="34"/>
  <c r="F13" i="34" s="1"/>
  <c r="O18" i="34"/>
  <c r="F18" i="34" s="1"/>
  <c r="AH18" i="34" s="1"/>
  <c r="O23" i="34"/>
  <c r="F23" i="34" s="1"/>
  <c r="O21" i="34"/>
  <c r="F21" i="34" s="1"/>
  <c r="O15" i="34"/>
  <c r="F15" i="34" s="1"/>
  <c r="O20" i="34"/>
  <c r="F20" i="34" s="1"/>
  <c r="O12" i="34"/>
  <c r="F12" i="34" s="1"/>
  <c r="O16" i="34"/>
  <c r="F16" i="34" s="1"/>
  <c r="AH16" i="34" s="1"/>
  <c r="O34" i="34"/>
  <c r="F34" i="34" s="1"/>
  <c r="E34" i="34" s="1"/>
  <c r="O5" i="34"/>
  <c r="F5" i="34" s="1"/>
  <c r="O38" i="34"/>
  <c r="F38" i="34" s="1"/>
  <c r="O28" i="34"/>
  <c r="F28" i="34" s="1"/>
  <c r="O10" i="34"/>
  <c r="F10" i="34" s="1"/>
  <c r="O22" i="34"/>
  <c r="F22" i="34" s="1"/>
  <c r="O7" i="34"/>
  <c r="F7" i="34" s="1"/>
  <c r="AH7" i="34" s="1"/>
  <c r="T1" i="34"/>
  <c r="I1" i="34"/>
  <c r="U1" i="34"/>
  <c r="M1" i="34"/>
  <c r="G1" i="34"/>
  <c r="R1" i="34"/>
  <c r="O9" i="34"/>
  <c r="F9" i="34" s="1"/>
  <c r="O8" i="34"/>
  <c r="F8" i="34" s="1"/>
  <c r="O36" i="34"/>
  <c r="F36" i="34" s="1"/>
  <c r="O11" i="34"/>
  <c r="F11" i="34" s="1"/>
  <c r="O27" i="34"/>
  <c r="P1" i="34"/>
  <c r="J1" i="34"/>
  <c r="O4" i="34"/>
  <c r="F4" i="34" s="1"/>
  <c r="V1" i="34"/>
  <c r="S1" i="34"/>
  <c r="N1" i="34"/>
  <c r="O6" i="34"/>
  <c r="F6" i="34" s="1"/>
  <c r="H1" i="34"/>
  <c r="K1" i="34"/>
  <c r="O31" i="34"/>
  <c r="F31" i="34" s="1"/>
  <c r="Q1" i="34"/>
  <c r="L1" i="34"/>
  <c r="Q183" i="1"/>
  <c r="Q182" i="1"/>
  <c r="Q181" i="1"/>
  <c r="Q180" i="1"/>
  <c r="Q179" i="1"/>
  <c r="Q178" i="1"/>
  <c r="Q177" i="1"/>
  <c r="Q176" i="1"/>
  <c r="Q175" i="1"/>
  <c r="Q174" i="1"/>
  <c r="Q173" i="1"/>
  <c r="Q318" i="11"/>
  <c r="Q317" i="11"/>
  <c r="Q316" i="11"/>
  <c r="Q315" i="11"/>
  <c r="Q314" i="11"/>
  <c r="Q313" i="11"/>
  <c r="Q312" i="11"/>
  <c r="Q311"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6" i="11"/>
  <c r="Q154" i="11"/>
  <c r="Q152" i="11"/>
  <c r="Q153" i="11"/>
  <c r="Q148" i="11"/>
  <c r="Q149" i="11"/>
  <c r="Q147" i="11"/>
  <c r="Q151" i="11"/>
  <c r="Q155" i="11"/>
  <c r="Q150" i="11"/>
  <c r="Q15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V80" i="6" l="1"/>
  <c r="S80" i="6"/>
  <c r="K80" i="6"/>
  <c r="Q80" i="6"/>
  <c r="T80" i="6"/>
  <c r="R80" i="6"/>
  <c r="N80" i="6"/>
  <c r="M80" i="6"/>
  <c r="L80" i="6"/>
  <c r="J80" i="6"/>
  <c r="O80" i="6"/>
  <c r="I80" i="6"/>
  <c r="H80" i="6"/>
  <c r="W80" i="6"/>
  <c r="U80" i="6"/>
  <c r="W61" i="14"/>
  <c r="N61" i="14"/>
  <c r="R61" i="14"/>
  <c r="V61" i="14"/>
  <c r="M61" i="14"/>
  <c r="U61" i="14"/>
  <c r="L61" i="14"/>
  <c r="I61" i="14"/>
  <c r="K61" i="14"/>
  <c r="S61" i="14"/>
  <c r="J61" i="14"/>
  <c r="Q61" i="14"/>
  <c r="H61" i="14"/>
  <c r="O61" i="14"/>
  <c r="T61" i="14"/>
  <c r="T62" i="14"/>
  <c r="K62" i="14"/>
  <c r="S62" i="14"/>
  <c r="J62" i="14"/>
  <c r="R62" i="14"/>
  <c r="I62" i="14"/>
  <c r="Q62" i="14"/>
  <c r="H62" i="14"/>
  <c r="O62" i="14"/>
  <c r="N62" i="14"/>
  <c r="W62" i="14"/>
  <c r="V62" i="14"/>
  <c r="M62" i="14"/>
  <c r="U62" i="14"/>
  <c r="L62" i="14"/>
  <c r="W135" i="6"/>
  <c r="N135" i="6"/>
  <c r="K135" i="6"/>
  <c r="V135" i="6"/>
  <c r="M135" i="6"/>
  <c r="T135" i="6"/>
  <c r="S135" i="6"/>
  <c r="U135" i="6"/>
  <c r="L135" i="6"/>
  <c r="J135" i="6"/>
  <c r="R135" i="6"/>
  <c r="I135" i="6"/>
  <c r="O135" i="6"/>
  <c r="Q135" i="6"/>
  <c r="H135" i="6"/>
  <c r="R134" i="6"/>
  <c r="I134" i="6"/>
  <c r="N134" i="6"/>
  <c r="V134" i="6"/>
  <c r="J134" i="6"/>
  <c r="Q134" i="6"/>
  <c r="H134" i="6"/>
  <c r="M134" i="6"/>
  <c r="O134" i="6"/>
  <c r="I1" i="36"/>
  <c r="W134" i="6"/>
  <c r="U134" i="6"/>
  <c r="L134" i="6"/>
  <c r="T134" i="6"/>
  <c r="K134" i="6"/>
  <c r="S134" i="6"/>
  <c r="O120" i="6"/>
  <c r="L120" i="6"/>
  <c r="K120" i="6"/>
  <c r="Q120" i="6"/>
  <c r="H120" i="6"/>
  <c r="R120" i="6"/>
  <c r="M120" i="6"/>
  <c r="U120" i="6"/>
  <c r="N120" i="6"/>
  <c r="T120" i="6"/>
  <c r="J120" i="6"/>
  <c r="S120" i="6"/>
  <c r="V120" i="6"/>
  <c r="W120" i="6"/>
  <c r="I120" i="6"/>
  <c r="K121" i="6"/>
  <c r="W121" i="6"/>
  <c r="R121" i="6"/>
  <c r="Q121" i="6"/>
  <c r="I121" i="6"/>
  <c r="O121" i="6"/>
  <c r="J121" i="6"/>
  <c r="T121" i="6"/>
  <c r="V121" i="6"/>
  <c r="L121" i="6"/>
  <c r="U121" i="6"/>
  <c r="N121" i="6"/>
  <c r="H121" i="6"/>
  <c r="S121" i="6"/>
  <c r="M121" i="6"/>
  <c r="I116" i="6"/>
  <c r="V116" i="6"/>
  <c r="J116" i="6"/>
  <c r="K116" i="6"/>
  <c r="W116" i="6"/>
  <c r="O116" i="6"/>
  <c r="S116" i="6"/>
  <c r="R116" i="6"/>
  <c r="Q116" i="6"/>
  <c r="M116" i="6"/>
  <c r="L116" i="6"/>
  <c r="N116" i="6"/>
  <c r="U116" i="6"/>
  <c r="T116" i="6"/>
  <c r="H116" i="6"/>
  <c r="S92" i="6"/>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T45" i="33"/>
  <c r="K45" i="33"/>
  <c r="S45" i="33"/>
  <c r="J45" i="33"/>
  <c r="R45" i="33"/>
  <c r="I45" i="33"/>
  <c r="Q45" i="33"/>
  <c r="H45" i="33"/>
  <c r="P45" i="33"/>
  <c r="G45" i="33"/>
  <c r="N45" i="33"/>
  <c r="V45" i="33"/>
  <c r="M45" i="33"/>
  <c r="U45" i="33"/>
  <c r="L45" i="33"/>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AH14" i="34"/>
  <c r="E14" i="34"/>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E19" i="3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E13" i="34"/>
  <c r="AH13" i="3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E18" i="34"/>
  <c r="AH23" i="34"/>
  <c r="E23" i="34"/>
  <c r="AH15" i="34"/>
  <c r="E15" i="34"/>
  <c r="AH21" i="34"/>
  <c r="E21" i="34"/>
  <c r="AH20" i="34"/>
  <c r="E20" i="34"/>
  <c r="F6" i="26"/>
  <c r="E12" i="34"/>
  <c r="AH12" i="34"/>
  <c r="E16" i="34"/>
  <c r="AH34" i="34"/>
  <c r="P18" i="33"/>
  <c r="J18" i="33"/>
  <c r="G18" i="33"/>
  <c r="R18" i="33"/>
  <c r="Q18" i="33"/>
  <c r="U18" i="33"/>
  <c r="V18" i="33"/>
  <c r="L18" i="33"/>
  <c r="M18" i="33"/>
  <c r="S18" i="33"/>
  <c r="H18" i="33"/>
  <c r="N18" i="33"/>
  <c r="I18" i="33"/>
  <c r="K18" i="33"/>
  <c r="T18" i="33"/>
  <c r="R19" i="33"/>
  <c r="T19" i="33"/>
  <c r="U19" i="33"/>
  <c r="P19" i="33"/>
  <c r="I19" i="33"/>
  <c r="K19" i="33"/>
  <c r="J19" i="33"/>
  <c r="V19" i="33"/>
  <c r="G19" i="33"/>
  <c r="M19" i="33"/>
  <c r="Q19" i="33"/>
  <c r="S19" i="33"/>
  <c r="H19" i="33"/>
  <c r="N19" i="33"/>
  <c r="L19" i="33"/>
  <c r="E5" i="34"/>
  <c r="AH5" i="34"/>
  <c r="AH28" i="34"/>
  <c r="E28" i="34"/>
  <c r="AH10" i="34"/>
  <c r="E10" i="34"/>
  <c r="AH38" i="34"/>
  <c r="E38" i="34"/>
  <c r="K24" i="33"/>
  <c r="G24" i="33"/>
  <c r="H24" i="33"/>
  <c r="S24" i="33"/>
  <c r="N24" i="33"/>
  <c r="T24" i="33"/>
  <c r="J24" i="33"/>
  <c r="U24" i="33"/>
  <c r="L24" i="33"/>
  <c r="P24" i="33"/>
  <c r="V24" i="33"/>
  <c r="R24" i="33"/>
  <c r="Q24" i="33"/>
  <c r="M24" i="33"/>
  <c r="I24" i="33"/>
  <c r="Q16" i="33"/>
  <c r="U16" i="33"/>
  <c r="I16" i="33"/>
  <c r="H16" i="33"/>
  <c r="L16" i="33"/>
  <c r="V16" i="33"/>
  <c r="P16" i="33"/>
  <c r="T16" i="33"/>
  <c r="G16" i="33"/>
  <c r="K16" i="33"/>
  <c r="N16" i="33"/>
  <c r="J16" i="33"/>
  <c r="S16" i="33"/>
  <c r="R16" i="33"/>
  <c r="M16" i="33"/>
  <c r="T32" i="33"/>
  <c r="H32" i="33"/>
  <c r="K32" i="33"/>
  <c r="P32" i="33"/>
  <c r="R32" i="33"/>
  <c r="S32" i="33"/>
  <c r="G32" i="33"/>
  <c r="J32" i="33"/>
  <c r="U32" i="33"/>
  <c r="Q32" i="33"/>
  <c r="V32" i="33"/>
  <c r="N32" i="33"/>
  <c r="M32" i="33"/>
  <c r="I32" i="33"/>
  <c r="L32" i="33"/>
  <c r="J63" i="33"/>
  <c r="R63" i="33"/>
  <c r="V63" i="33"/>
  <c r="G63" i="33"/>
  <c r="S63" i="33"/>
  <c r="I63" i="33"/>
  <c r="M63" i="33"/>
  <c r="P63" i="33"/>
  <c r="Q63" i="33"/>
  <c r="U63" i="33"/>
  <c r="T63" i="33"/>
  <c r="H63" i="33"/>
  <c r="L63" i="33"/>
  <c r="K63" i="33"/>
  <c r="N63" i="33"/>
  <c r="N25" i="33"/>
  <c r="K25" i="33"/>
  <c r="T25" i="33"/>
  <c r="V25" i="33"/>
  <c r="L25" i="33"/>
  <c r="R25" i="33"/>
  <c r="M25" i="33"/>
  <c r="P25" i="33"/>
  <c r="I25" i="33"/>
  <c r="S25" i="33"/>
  <c r="J25" i="33"/>
  <c r="G25" i="33"/>
  <c r="Q25" i="33"/>
  <c r="U25" i="33"/>
  <c r="H25" i="33"/>
  <c r="V20" i="33"/>
  <c r="Q20" i="33"/>
  <c r="N20" i="33"/>
  <c r="M20" i="33"/>
  <c r="R20" i="33"/>
  <c r="S20" i="33"/>
  <c r="U20" i="33"/>
  <c r="I20" i="33"/>
  <c r="P20" i="33"/>
  <c r="G20" i="33"/>
  <c r="J20" i="33"/>
  <c r="L20" i="33"/>
  <c r="H20" i="33"/>
  <c r="K20" i="33"/>
  <c r="T20" i="33"/>
  <c r="E7" i="34"/>
  <c r="AH22" i="34"/>
  <c r="E22" i="34"/>
  <c r="AH9" i="34"/>
  <c r="E9" i="34"/>
  <c r="AH4" i="34"/>
  <c r="E4" i="34"/>
  <c r="AH31" i="34"/>
  <c r="E31" i="34"/>
  <c r="F27" i="34"/>
  <c r="O1" i="34"/>
  <c r="AH6" i="34"/>
  <c r="E6" i="34"/>
  <c r="AH11" i="34"/>
  <c r="E11" i="34"/>
  <c r="AH36" i="34"/>
  <c r="E36" i="34"/>
  <c r="AH8" i="34"/>
  <c r="E8" i="34"/>
  <c r="R8" i="33"/>
  <c r="I8" i="33"/>
  <c r="Q8" i="33"/>
  <c r="H8" i="33"/>
  <c r="G8" i="33"/>
  <c r="P8" i="33"/>
  <c r="S8" i="33"/>
  <c r="N8" i="33"/>
  <c r="U8" i="33"/>
  <c r="V8" i="33"/>
  <c r="M8" i="33"/>
  <c r="L8" i="33"/>
  <c r="J8" i="33"/>
  <c r="T8" i="33"/>
  <c r="K8" i="33"/>
  <c r="I11" i="33"/>
  <c r="Q11" i="33"/>
  <c r="H11" i="33"/>
  <c r="G11" i="33"/>
  <c r="P11" i="33"/>
  <c r="R11" i="33"/>
  <c r="N11" i="33"/>
  <c r="M11" i="33"/>
  <c r="U11" i="33"/>
  <c r="S11" i="33"/>
  <c r="V11" i="33"/>
  <c r="L11" i="33"/>
  <c r="T11" i="33"/>
  <c r="K11" i="33"/>
  <c r="J11" i="33"/>
  <c r="V26" i="33"/>
  <c r="M26" i="33"/>
  <c r="U26" i="33"/>
  <c r="L26" i="33"/>
  <c r="T26" i="33"/>
  <c r="K26" i="33"/>
  <c r="S26" i="33"/>
  <c r="J26" i="33"/>
  <c r="R26" i="33"/>
  <c r="I26" i="33"/>
  <c r="N26" i="33"/>
  <c r="Q26" i="33"/>
  <c r="H26" i="33"/>
  <c r="P26" i="33"/>
  <c r="G26" i="33"/>
  <c r="V5" i="33"/>
  <c r="M5" i="33"/>
  <c r="U5" i="33"/>
  <c r="L5" i="33"/>
  <c r="T5" i="33"/>
  <c r="K5" i="33"/>
  <c r="S5" i="33"/>
  <c r="J5" i="33"/>
  <c r="R5" i="33"/>
  <c r="I5" i="33"/>
  <c r="Q5" i="33"/>
  <c r="H5" i="33"/>
  <c r="N5" i="33"/>
  <c r="P5" i="33"/>
  <c r="G5" i="33"/>
  <c r="U4" i="33"/>
  <c r="L4" i="33"/>
  <c r="K4" i="33"/>
  <c r="T4" i="33"/>
  <c r="S4" i="33"/>
  <c r="J4" i="33"/>
  <c r="I4" i="33"/>
  <c r="Q4" i="33"/>
  <c r="H4" i="33"/>
  <c r="M4" i="33"/>
  <c r="R4" i="33"/>
  <c r="N4" i="33"/>
  <c r="P4" i="33"/>
  <c r="G4" i="33"/>
  <c r="V4" i="33"/>
  <c r="P28" i="33"/>
  <c r="G28" i="33"/>
  <c r="N28" i="33"/>
  <c r="M28" i="33"/>
  <c r="V28" i="33"/>
  <c r="H28" i="33"/>
  <c r="U28" i="33"/>
  <c r="L28" i="33"/>
  <c r="K28" i="33"/>
  <c r="S28" i="33"/>
  <c r="T28" i="33"/>
  <c r="Q28" i="33"/>
  <c r="J28" i="33"/>
  <c r="R28" i="33"/>
  <c r="I28" i="33"/>
  <c r="T62" i="33"/>
  <c r="K62" i="33"/>
  <c r="S62" i="33"/>
  <c r="J62" i="33"/>
  <c r="I62" i="33"/>
  <c r="R62" i="33"/>
  <c r="L62" i="33"/>
  <c r="Q62" i="33"/>
  <c r="H62" i="33"/>
  <c r="N62" i="33"/>
  <c r="P62" i="33"/>
  <c r="G62" i="33"/>
  <c r="U62" i="33"/>
  <c r="V62" i="33"/>
  <c r="M62" i="33"/>
  <c r="P7" i="33"/>
  <c r="G7" i="33"/>
  <c r="N7" i="33"/>
  <c r="V7" i="33"/>
  <c r="M7" i="33"/>
  <c r="U7" i="33"/>
  <c r="L7" i="33"/>
  <c r="Q7" i="33"/>
  <c r="T7" i="33"/>
  <c r="K7" i="33"/>
  <c r="S7" i="33"/>
  <c r="J7" i="33"/>
  <c r="R7" i="33"/>
  <c r="I7" i="33"/>
  <c r="H7" i="33"/>
  <c r="T30" i="33"/>
  <c r="K30" i="33"/>
  <c r="S30" i="33"/>
  <c r="J30" i="33"/>
  <c r="R30" i="33"/>
  <c r="I30" i="33"/>
  <c r="Q30" i="33"/>
  <c r="H30" i="33"/>
  <c r="P30" i="33"/>
  <c r="G30" i="33"/>
  <c r="L30" i="33"/>
  <c r="N30" i="33"/>
  <c r="V30" i="33"/>
  <c r="M30" i="33"/>
  <c r="U30" i="33"/>
  <c r="R23" i="33"/>
  <c r="I23" i="33"/>
  <c r="Q23" i="33"/>
  <c r="H23" i="33"/>
  <c r="P23" i="33"/>
  <c r="G23" i="33"/>
  <c r="N23" i="33"/>
  <c r="J23" i="33"/>
  <c r="V23" i="33"/>
  <c r="M23" i="33"/>
  <c r="S23" i="33"/>
  <c r="U23" i="33"/>
  <c r="L23" i="33"/>
  <c r="T23" i="33"/>
  <c r="K23" i="33"/>
  <c r="V22" i="33"/>
  <c r="M22" i="33"/>
  <c r="U22" i="33"/>
  <c r="L22" i="33"/>
  <c r="T22" i="33"/>
  <c r="K22" i="33"/>
  <c r="S22" i="33"/>
  <c r="J22" i="33"/>
  <c r="R22" i="33"/>
  <c r="I22" i="33"/>
  <c r="Q22" i="33"/>
  <c r="H22" i="33"/>
  <c r="N22" i="33"/>
  <c r="P22" i="33"/>
  <c r="G22" i="33"/>
  <c r="T9" i="33"/>
  <c r="K9" i="33"/>
  <c r="S9" i="33"/>
  <c r="J9" i="33"/>
  <c r="U9" i="33"/>
  <c r="R9" i="33"/>
  <c r="I9" i="33"/>
  <c r="L9" i="33"/>
  <c r="Q9" i="33"/>
  <c r="H9" i="33"/>
  <c r="P9" i="33"/>
  <c r="G9" i="33"/>
  <c r="N9" i="33"/>
  <c r="V9" i="33"/>
  <c r="M9" i="33"/>
  <c r="V21" i="33"/>
  <c r="M21" i="33"/>
  <c r="U21" i="33"/>
  <c r="L21" i="33"/>
  <c r="T21" i="33"/>
  <c r="K21" i="33"/>
  <c r="S21" i="33"/>
  <c r="J21" i="33"/>
  <c r="R21" i="33"/>
  <c r="I21" i="33"/>
  <c r="N21" i="33"/>
  <c r="Q21" i="33"/>
  <c r="H21" i="33"/>
  <c r="P21" i="33"/>
  <c r="G21" i="33"/>
  <c r="T15" i="33"/>
  <c r="K15" i="33"/>
  <c r="S15" i="33"/>
  <c r="J15" i="33"/>
  <c r="U15" i="33"/>
  <c r="R15" i="33"/>
  <c r="I15" i="33"/>
  <c r="L15" i="33"/>
  <c r="Q15" i="33"/>
  <c r="H15" i="33"/>
  <c r="N15" i="33"/>
  <c r="P15" i="33"/>
  <c r="G15" i="33"/>
  <c r="V15" i="33"/>
  <c r="M15" i="33"/>
  <c r="T14" i="33"/>
  <c r="K14" i="33"/>
  <c r="S14" i="33"/>
  <c r="J14" i="33"/>
  <c r="R14" i="33"/>
  <c r="I14" i="33"/>
  <c r="Q14" i="33"/>
  <c r="H14" i="33"/>
  <c r="U14" i="33"/>
  <c r="P14" i="33"/>
  <c r="G14" i="33"/>
  <c r="N14" i="33"/>
  <c r="L14" i="33"/>
  <c r="V14" i="33"/>
  <c r="M14" i="33"/>
  <c r="P6" i="33"/>
  <c r="G6" i="33"/>
  <c r="N6" i="33"/>
  <c r="V6" i="33"/>
  <c r="M6" i="33"/>
  <c r="U6" i="33"/>
  <c r="L6" i="33"/>
  <c r="H6" i="33"/>
  <c r="T6" i="33"/>
  <c r="K6" i="33"/>
  <c r="S6" i="33"/>
  <c r="J6" i="33"/>
  <c r="R6" i="33"/>
  <c r="I6" i="33"/>
  <c r="Q6" i="33"/>
  <c r="V61" i="33"/>
  <c r="M61" i="33"/>
  <c r="U61" i="33"/>
  <c r="L61" i="33"/>
  <c r="K61" i="33"/>
  <c r="T61" i="33"/>
  <c r="S61" i="33"/>
  <c r="J61" i="33"/>
  <c r="R61" i="33"/>
  <c r="I61" i="33"/>
  <c r="H61" i="33"/>
  <c r="Q61" i="33"/>
  <c r="N61" i="33"/>
  <c r="P61" i="33"/>
  <c r="G61" i="33"/>
  <c r="V13" i="33"/>
  <c r="M13" i="33"/>
  <c r="U13" i="33"/>
  <c r="L13" i="33"/>
  <c r="T13" i="33"/>
  <c r="K13" i="33"/>
  <c r="S13" i="33"/>
  <c r="J13" i="33"/>
  <c r="R13" i="33"/>
  <c r="I13" i="33"/>
  <c r="Q13" i="33"/>
  <c r="H13" i="33"/>
  <c r="N13" i="33"/>
  <c r="P13" i="33"/>
  <c r="G13" i="33"/>
  <c r="S10" i="33"/>
  <c r="J10" i="33"/>
  <c r="I10" i="33"/>
  <c r="U10" i="33"/>
  <c r="K10" i="33"/>
  <c r="R10" i="33"/>
  <c r="Q10" i="33"/>
  <c r="H10" i="33"/>
  <c r="G10" i="33"/>
  <c r="P10" i="33"/>
  <c r="T10" i="33"/>
  <c r="N10" i="33"/>
  <c r="L10" i="33"/>
  <c r="V10" i="33"/>
  <c r="M10" i="33"/>
  <c r="P27" i="33"/>
  <c r="G27" i="33"/>
  <c r="N27" i="33"/>
  <c r="V27" i="33"/>
  <c r="M27" i="33"/>
  <c r="U27" i="33"/>
  <c r="L27" i="33"/>
  <c r="T27" i="33"/>
  <c r="K27" i="33"/>
  <c r="H27" i="33"/>
  <c r="S27" i="33"/>
  <c r="J27" i="33"/>
  <c r="R27" i="33"/>
  <c r="I27" i="33"/>
  <c r="Q27" i="33"/>
  <c r="P29" i="33"/>
  <c r="G29" i="33"/>
  <c r="N29" i="33"/>
  <c r="V29" i="33"/>
  <c r="M29" i="33"/>
  <c r="U29" i="33"/>
  <c r="L29" i="33"/>
  <c r="Q29" i="33"/>
  <c r="T29" i="33"/>
  <c r="K29" i="33"/>
  <c r="S29" i="33"/>
  <c r="J29" i="33"/>
  <c r="H29" i="33"/>
  <c r="R29" i="33"/>
  <c r="I29" i="33"/>
  <c r="V17" i="33"/>
  <c r="M17" i="33"/>
  <c r="U17" i="33"/>
  <c r="L17" i="33"/>
  <c r="T17" i="33"/>
  <c r="K17" i="33"/>
  <c r="S17" i="33"/>
  <c r="J17" i="33"/>
  <c r="R17" i="33"/>
  <c r="I17" i="33"/>
  <c r="Q17" i="33"/>
  <c r="H17" i="33"/>
  <c r="N17" i="33"/>
  <c r="P17" i="33"/>
  <c r="G17" i="33"/>
  <c r="P31" i="33"/>
  <c r="G31" i="33"/>
  <c r="N31" i="33"/>
  <c r="V31" i="33"/>
  <c r="M31" i="33"/>
  <c r="U31" i="33"/>
  <c r="L31" i="33"/>
  <c r="T31" i="33"/>
  <c r="K31" i="33"/>
  <c r="S31" i="33"/>
  <c r="J31" i="33"/>
  <c r="Q31" i="33"/>
  <c r="R31" i="33"/>
  <c r="I31" i="33"/>
  <c r="H31" i="33"/>
  <c r="T12" i="33"/>
  <c r="K12" i="33"/>
  <c r="S12" i="33"/>
  <c r="J12" i="33"/>
  <c r="R12" i="33"/>
  <c r="I12" i="33"/>
  <c r="Q12" i="33"/>
  <c r="H12" i="33"/>
  <c r="U12" i="33"/>
  <c r="P12" i="33"/>
  <c r="G12" i="33"/>
  <c r="N12" i="33"/>
  <c r="V12" i="33"/>
  <c r="M12" i="33"/>
  <c r="L12" i="33"/>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80" i="6" l="1"/>
  <c r="G80" i="6" s="1"/>
  <c r="P62" i="14"/>
  <c r="G62" i="14" s="1"/>
  <c r="P61" i="14"/>
  <c r="G61" i="14" s="1"/>
  <c r="S1" i="36"/>
  <c r="T1" i="36"/>
  <c r="P135" i="6"/>
  <c r="G135" i="6" s="1"/>
  <c r="R1" i="36"/>
  <c r="P134" i="6"/>
  <c r="G134" i="6" s="1"/>
  <c r="P120" i="6"/>
  <c r="G120" i="6" s="1"/>
  <c r="P121" i="6"/>
  <c r="G121" i="6" s="1"/>
  <c r="P116" i="6"/>
  <c r="G116" i="6" s="1"/>
  <c r="P92" i="6"/>
  <c r="G92" i="6" s="1"/>
  <c r="F92" i="6" s="1"/>
  <c r="P130" i="6"/>
  <c r="G130" i="6" s="1"/>
  <c r="P113" i="6"/>
  <c r="G113" i="6" s="1"/>
  <c r="P117" i="6"/>
  <c r="G117" i="6" s="1"/>
  <c r="P60" i="14"/>
  <c r="G60" i="14" s="1"/>
  <c r="O45" i="33"/>
  <c r="F45" i="33"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F5" i="26"/>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F9" i="26"/>
  <c r="F10" i="26"/>
  <c r="F11" i="26"/>
  <c r="F7" i="26"/>
  <c r="E7" i="26" s="1"/>
  <c r="O19" i="33"/>
  <c r="F19" i="33" s="1"/>
  <c r="O18" i="33"/>
  <c r="F18" i="33" s="1"/>
  <c r="O16" i="33"/>
  <c r="F16" i="33" s="1"/>
  <c r="O20" i="33"/>
  <c r="F20" i="33" s="1"/>
  <c r="O32" i="33"/>
  <c r="F32" i="33" s="1"/>
  <c r="O24" i="33"/>
  <c r="F24" i="33" s="1"/>
  <c r="O63" i="33"/>
  <c r="F63" i="33" s="1"/>
  <c r="O25" i="33"/>
  <c r="F25" i="33" s="1"/>
  <c r="AH27" i="34"/>
  <c r="E27" i="34"/>
  <c r="F1" i="34"/>
  <c r="O10" i="33"/>
  <c r="F10" i="33" s="1"/>
  <c r="AH10" i="33" s="1"/>
  <c r="O9" i="33"/>
  <c r="F9" i="33" s="1"/>
  <c r="E9" i="33" s="1"/>
  <c r="O26" i="33"/>
  <c r="F26" i="33" s="1"/>
  <c r="AH26" i="33" s="1"/>
  <c r="O30" i="33"/>
  <c r="F30" i="33" s="1"/>
  <c r="AH30" i="33" s="1"/>
  <c r="O15" i="33"/>
  <c r="F15" i="33" s="1"/>
  <c r="R1" i="33"/>
  <c r="K1" i="33"/>
  <c r="O27" i="33"/>
  <c r="F27" i="33" s="1"/>
  <c r="O61" i="33"/>
  <c r="F61" i="33" s="1"/>
  <c r="M1" i="33"/>
  <c r="L1" i="33"/>
  <c r="O8" i="33"/>
  <c r="F8" i="33" s="1"/>
  <c r="O29" i="33"/>
  <c r="F29" i="33" s="1"/>
  <c r="O13" i="33"/>
  <c r="F13" i="33" s="1"/>
  <c r="O62" i="33"/>
  <c r="F62" i="33" s="1"/>
  <c r="H1" i="33"/>
  <c r="U1" i="33"/>
  <c r="J1" i="33"/>
  <c r="O14" i="33"/>
  <c r="F14" i="33" s="1"/>
  <c r="O22" i="33"/>
  <c r="F22" i="33" s="1"/>
  <c r="O23" i="33"/>
  <c r="F23" i="33" s="1"/>
  <c r="O28" i="33"/>
  <c r="F28" i="33" s="1"/>
  <c r="Q1" i="33"/>
  <c r="O11" i="33"/>
  <c r="F11" i="33" s="1"/>
  <c r="O12" i="33"/>
  <c r="F12" i="33" s="1"/>
  <c r="O31" i="33"/>
  <c r="F31" i="33" s="1"/>
  <c r="V1" i="33"/>
  <c r="I1" i="33"/>
  <c r="O5" i="33"/>
  <c r="F5" i="33" s="1"/>
  <c r="N1" i="33"/>
  <c r="O6" i="33"/>
  <c r="F6" i="33" s="1"/>
  <c r="O21" i="33"/>
  <c r="F21" i="33" s="1"/>
  <c r="O7" i="33"/>
  <c r="F7" i="33" s="1"/>
  <c r="G1" i="33"/>
  <c r="T1" i="33"/>
  <c r="O17" i="33"/>
  <c r="F17" i="33" s="1"/>
  <c r="O4" i="33"/>
  <c r="P1" i="33"/>
  <c r="S1" i="33"/>
  <c r="G32" i="14"/>
  <c r="AG32" i="14" s="1"/>
  <c r="G39" i="14"/>
  <c r="AG39" i="14" s="1"/>
  <c r="G41" i="14"/>
  <c r="Q170" i="1"/>
  <c r="H4" i="6" s="1"/>
  <c r="Q171" i="1"/>
  <c r="Q172" i="1"/>
  <c r="AG80" i="6" l="1"/>
  <c r="F80" i="6"/>
  <c r="AG61" i="14"/>
  <c r="F61" i="14"/>
  <c r="F62" i="14"/>
  <c r="AG62" i="14"/>
  <c r="F134" i="6"/>
  <c r="AG134" i="6"/>
  <c r="AG135" i="6"/>
  <c r="F135" i="6"/>
  <c r="F121" i="6"/>
  <c r="AG121" i="6"/>
  <c r="AG120" i="6"/>
  <c r="F120" i="6"/>
  <c r="Q133" i="6"/>
  <c r="L133" i="6"/>
  <c r="H133" i="6"/>
  <c r="I133" i="6"/>
  <c r="O133" i="6"/>
  <c r="T133" i="6"/>
  <c r="W133" i="6"/>
  <c r="K133" i="6"/>
  <c r="N133" i="6"/>
  <c r="S133" i="6"/>
  <c r="V133" i="6"/>
  <c r="J133" i="6"/>
  <c r="M133" i="6"/>
  <c r="R133" i="6"/>
  <c r="U133" i="6"/>
  <c r="AG116" i="6"/>
  <c r="F116" i="6"/>
  <c r="AG92" i="6"/>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AH45" i="33"/>
  <c r="E45" i="33"/>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N96" i="32"/>
  <c r="V96" i="32"/>
  <c r="M96" i="32"/>
  <c r="U96" i="32"/>
  <c r="L96" i="32"/>
  <c r="S96" i="32"/>
  <c r="J96" i="32"/>
  <c r="K96" i="32"/>
  <c r="R96" i="32"/>
  <c r="I96" i="32"/>
  <c r="Q96" i="32"/>
  <c r="H96" i="32"/>
  <c r="P96" i="32"/>
  <c r="G96" i="32"/>
  <c r="T96" i="32"/>
  <c r="F41" i="14"/>
  <c r="AG41" i="14"/>
  <c r="T35" i="32"/>
  <c r="K35" i="32"/>
  <c r="J35" i="32"/>
  <c r="S35" i="32"/>
  <c r="R35" i="32"/>
  <c r="Q35" i="32"/>
  <c r="H35" i="32"/>
  <c r="P35" i="32"/>
  <c r="G35" i="32"/>
  <c r="N35" i="32"/>
  <c r="L35" i="32"/>
  <c r="V35" i="32"/>
  <c r="M35" i="32"/>
  <c r="I35" i="32"/>
  <c r="U35" i="32"/>
  <c r="AH18" i="33"/>
  <c r="E18" i="33"/>
  <c r="AH19" i="33"/>
  <c r="E19" i="33"/>
  <c r="F19" i="14"/>
  <c r="Y1" i="34"/>
  <c r="E25" i="33"/>
  <c r="AH25" i="33"/>
  <c r="AH63" i="33"/>
  <c r="E63" i="33"/>
  <c r="AH24" i="33"/>
  <c r="E24" i="33"/>
  <c r="AH32" i="33"/>
  <c r="E32" i="33"/>
  <c r="E20" i="33"/>
  <c r="AH20" i="33"/>
  <c r="E16" i="33"/>
  <c r="AH16" i="33"/>
  <c r="G5" i="14"/>
  <c r="AG5" i="14" s="1"/>
  <c r="AH9" i="33"/>
  <c r="E26" i="33"/>
  <c r="E30" i="33"/>
  <c r="E10" i="33"/>
  <c r="AH5" i="33"/>
  <c r="E5" i="33"/>
  <c r="AH61" i="33"/>
  <c r="E61" i="33"/>
  <c r="AH28" i="33"/>
  <c r="E28" i="33"/>
  <c r="AH27" i="33"/>
  <c r="E27" i="33"/>
  <c r="AH17" i="33"/>
  <c r="E17" i="33"/>
  <c r="AH23" i="33"/>
  <c r="E23" i="33"/>
  <c r="AH62" i="33"/>
  <c r="E62" i="33"/>
  <c r="AH31" i="33"/>
  <c r="E31" i="33"/>
  <c r="AH22" i="33"/>
  <c r="E22" i="33"/>
  <c r="AH13" i="33"/>
  <c r="E13" i="33"/>
  <c r="AH7" i="33"/>
  <c r="E7" i="33"/>
  <c r="AH12" i="33"/>
  <c r="E12" i="33"/>
  <c r="AH14" i="33"/>
  <c r="E14" i="33"/>
  <c r="AH29" i="33"/>
  <c r="E29" i="33"/>
  <c r="AH21" i="33"/>
  <c r="E21" i="33"/>
  <c r="AH11" i="33"/>
  <c r="E11" i="33"/>
  <c r="AH8" i="33"/>
  <c r="E8" i="33"/>
  <c r="F4" i="33"/>
  <c r="O1" i="33"/>
  <c r="AH6" i="33"/>
  <c r="E6" i="33"/>
  <c r="AH15" i="33"/>
  <c r="E15" i="33"/>
  <c r="F12" i="14"/>
  <c r="F18" i="14"/>
  <c r="F20" i="14"/>
  <c r="F28" i="14"/>
  <c r="F40" i="14"/>
  <c r="F39" i="14"/>
  <c r="F30" i="14"/>
  <c r="F32" i="14"/>
  <c r="F15" i="14"/>
  <c r="F26" i="14"/>
  <c r="F23" i="14"/>
  <c r="F25" i="14"/>
  <c r="F12" i="26"/>
  <c r="P133" i="6" l="1"/>
  <c r="G133" i="6" s="1"/>
  <c r="P127" i="6"/>
  <c r="G127" i="6" s="1"/>
  <c r="F127" i="6" s="1"/>
  <c r="P128" i="6"/>
  <c r="G128" i="6" s="1"/>
  <c r="P124" i="6"/>
  <c r="G124" i="6" s="1"/>
  <c r="P84" i="6"/>
  <c r="G84" i="6" s="1"/>
  <c r="P109" i="6"/>
  <c r="G109" i="6" s="1"/>
  <c r="P28" i="6"/>
  <c r="AG24" i="14"/>
  <c r="P49" i="6"/>
  <c r="O96" i="32"/>
  <c r="F96" i="32" s="1"/>
  <c r="O35" i="32"/>
  <c r="F35" i="32" s="1"/>
  <c r="F5" i="14"/>
  <c r="AH4" i="33"/>
  <c r="E4" i="33"/>
  <c r="F1" i="33"/>
  <c r="H11" i="26"/>
  <c r="H9" i="26"/>
  <c r="O4" i="6"/>
  <c r="AG133" i="6" l="1"/>
  <c r="F133" i="6"/>
  <c r="AG127" i="6"/>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T90" i="32"/>
  <c r="S90" i="32"/>
  <c r="R27" i="6"/>
  <c r="K27" i="6"/>
  <c r="I90" i="32"/>
  <c r="M27" i="6"/>
  <c r="O27" i="6"/>
  <c r="L27" i="6"/>
  <c r="P90" i="32"/>
  <c r="U27" i="6"/>
  <c r="Q90" i="32"/>
  <c r="M90" i="32"/>
  <c r="H27" i="6"/>
  <c r="N90" i="32"/>
  <c r="S27" i="6"/>
  <c r="K90" i="32"/>
  <c r="Q27" i="6"/>
  <c r="L90" i="32"/>
  <c r="R90" i="32"/>
  <c r="J90" i="32"/>
  <c r="J27" i="6"/>
  <c r="V27" i="6"/>
  <c r="W27" i="6"/>
  <c r="G90" i="32"/>
  <c r="I27" i="6"/>
  <c r="N27" i="6"/>
  <c r="V90" i="32"/>
  <c r="T27" i="6"/>
  <c r="U90" i="32"/>
  <c r="H90" i="32"/>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L83" i="32"/>
  <c r="T24" i="6"/>
  <c r="K83" i="32"/>
  <c r="H24" i="6"/>
  <c r="S24" i="6"/>
  <c r="T83" i="32"/>
  <c r="O24" i="6"/>
  <c r="K24" i="6"/>
  <c r="G83" i="32"/>
  <c r="P83" i="32"/>
  <c r="H83" i="32"/>
  <c r="N83" i="32"/>
  <c r="L24" i="6"/>
  <c r="J24" i="6"/>
  <c r="V24" i="6"/>
  <c r="N24" i="6"/>
  <c r="V83" i="32"/>
  <c r="M83" i="32"/>
  <c r="M24" i="6"/>
  <c r="I83" i="32"/>
  <c r="R83" i="32"/>
  <c r="Q24" i="6"/>
  <c r="W24" i="6"/>
  <c r="I24" i="6"/>
  <c r="R24" i="6"/>
  <c r="Q83" i="32"/>
  <c r="U24" i="6"/>
  <c r="J83" i="32"/>
  <c r="U83" i="32"/>
  <c r="S83" i="32"/>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78" i="32"/>
  <c r="L78" i="32"/>
  <c r="U19" i="6"/>
  <c r="M19" i="6"/>
  <c r="T78" i="32"/>
  <c r="K78" i="32"/>
  <c r="I78" i="32"/>
  <c r="H78" i="32"/>
  <c r="K19" i="6"/>
  <c r="I19" i="6"/>
  <c r="S78" i="32"/>
  <c r="J78" i="32"/>
  <c r="R78" i="32"/>
  <c r="T19" i="6"/>
  <c r="V19" i="6"/>
  <c r="J19" i="6"/>
  <c r="H19" i="6"/>
  <c r="S19" i="6"/>
  <c r="O19" i="6"/>
  <c r="P78" i="32"/>
  <c r="G78" i="32"/>
  <c r="R19" i="6"/>
  <c r="W19" i="6"/>
  <c r="N78" i="32"/>
  <c r="M78" i="32"/>
  <c r="Q78" i="32"/>
  <c r="Q19" i="6"/>
  <c r="V78" i="32"/>
  <c r="O1" i="36"/>
  <c r="W1" i="36"/>
  <c r="J1" i="36"/>
  <c r="V1" i="36"/>
  <c r="M1" i="36"/>
  <c r="U1" i="36"/>
  <c r="L1" i="36"/>
  <c r="M20" i="6"/>
  <c r="Q79" i="32"/>
  <c r="K20" i="6"/>
  <c r="R20" i="6"/>
  <c r="J20" i="6"/>
  <c r="V79" i="32"/>
  <c r="N20" i="6"/>
  <c r="O20" i="6"/>
  <c r="R79" i="32"/>
  <c r="U20" i="6"/>
  <c r="U79" i="32"/>
  <c r="T79" i="32"/>
  <c r="I79" i="32"/>
  <c r="V20" i="6"/>
  <c r="K79" i="32"/>
  <c r="Q20" i="6"/>
  <c r="H79" i="32"/>
  <c r="P79" i="32"/>
  <c r="T20" i="6"/>
  <c r="S79" i="32"/>
  <c r="M79" i="32"/>
  <c r="G79" i="32"/>
  <c r="I20" i="6"/>
  <c r="J79" i="32"/>
  <c r="L20" i="6"/>
  <c r="N79" i="32"/>
  <c r="S20" i="6"/>
  <c r="W20" i="6"/>
  <c r="L79" i="32"/>
  <c r="H20" i="6"/>
  <c r="L53" i="6"/>
  <c r="Q53" i="6"/>
  <c r="T53" i="6"/>
  <c r="K53" i="6"/>
  <c r="O53" i="6"/>
  <c r="S53" i="6"/>
  <c r="W53" i="6"/>
  <c r="J53" i="6"/>
  <c r="N53" i="6"/>
  <c r="R53" i="6"/>
  <c r="V53" i="6"/>
  <c r="I53" i="6"/>
  <c r="U53" i="6"/>
  <c r="M53" i="6"/>
  <c r="U25" i="6"/>
  <c r="I25" i="6"/>
  <c r="N88" i="32"/>
  <c r="S88" i="32"/>
  <c r="K25" i="6"/>
  <c r="V25" i="6"/>
  <c r="V88" i="32"/>
  <c r="M88" i="32"/>
  <c r="T25" i="6"/>
  <c r="M25" i="6"/>
  <c r="U88" i="32"/>
  <c r="L88" i="32"/>
  <c r="J25" i="6"/>
  <c r="H25" i="6"/>
  <c r="T88" i="32"/>
  <c r="K88" i="32"/>
  <c r="S25" i="6"/>
  <c r="W25" i="6"/>
  <c r="R25" i="6"/>
  <c r="O25" i="6"/>
  <c r="R88" i="32"/>
  <c r="I88" i="32"/>
  <c r="Q25" i="6"/>
  <c r="Q88" i="32"/>
  <c r="H88" i="32"/>
  <c r="J88" i="32"/>
  <c r="L25" i="6"/>
  <c r="N25" i="6"/>
  <c r="P88" i="32"/>
  <c r="G88" i="32"/>
  <c r="S31" i="6"/>
  <c r="O31" i="6"/>
  <c r="P92" i="32"/>
  <c r="G92" i="32"/>
  <c r="R31" i="6"/>
  <c r="W31" i="6"/>
  <c r="N92" i="32"/>
  <c r="Q31" i="6"/>
  <c r="V92" i="32"/>
  <c r="M92" i="32"/>
  <c r="L31" i="6"/>
  <c r="N31" i="6"/>
  <c r="U92" i="32"/>
  <c r="L92" i="32"/>
  <c r="U31" i="6"/>
  <c r="V31" i="6"/>
  <c r="T92" i="32"/>
  <c r="K92" i="32"/>
  <c r="K31" i="6"/>
  <c r="M31" i="6"/>
  <c r="S92" i="32"/>
  <c r="J92" i="32"/>
  <c r="T31" i="6"/>
  <c r="H31" i="6"/>
  <c r="R92" i="32"/>
  <c r="I92" i="32"/>
  <c r="J31" i="6"/>
  <c r="I31" i="6"/>
  <c r="Q92" i="32"/>
  <c r="H92" i="32"/>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N73" i="32"/>
  <c r="V73" i="32"/>
  <c r="T15" i="6"/>
  <c r="R15" i="6"/>
  <c r="M73" i="32"/>
  <c r="S15" i="6"/>
  <c r="U73" i="32"/>
  <c r="L73" i="32"/>
  <c r="Q15" i="6"/>
  <c r="O15" i="6"/>
  <c r="T73" i="32"/>
  <c r="K73" i="32"/>
  <c r="N15" i="6"/>
  <c r="W15" i="6"/>
  <c r="S73" i="32"/>
  <c r="J73" i="32"/>
  <c r="R73" i="32"/>
  <c r="M15" i="6"/>
  <c r="J15" i="6"/>
  <c r="L15" i="6"/>
  <c r="H15" i="6"/>
  <c r="Q73" i="32"/>
  <c r="H73" i="32"/>
  <c r="P73" i="32"/>
  <c r="I73" i="32"/>
  <c r="U15" i="6"/>
  <c r="V15" i="6"/>
  <c r="G73" i="32"/>
  <c r="H79" i="6"/>
  <c r="J79" i="6"/>
  <c r="T79" i="6"/>
  <c r="M79" i="6"/>
  <c r="O79" i="6"/>
  <c r="V79" i="6"/>
  <c r="K79" i="6"/>
  <c r="I79" i="6"/>
  <c r="R79" i="6"/>
  <c r="U79" i="6"/>
  <c r="W79" i="6"/>
  <c r="N79" i="6"/>
  <c r="Q79" i="6"/>
  <c r="S79" i="6"/>
  <c r="L79" i="6"/>
  <c r="U17" i="6"/>
  <c r="K17" i="6"/>
  <c r="Q17" i="6"/>
  <c r="G76" i="32"/>
  <c r="L17" i="6"/>
  <c r="R76" i="32"/>
  <c r="P76" i="32"/>
  <c r="U76" i="32"/>
  <c r="S76" i="32"/>
  <c r="V17" i="6"/>
  <c r="M76" i="32"/>
  <c r="H17" i="6"/>
  <c r="N17" i="6"/>
  <c r="W17" i="6"/>
  <c r="I76" i="32"/>
  <c r="L76" i="32"/>
  <c r="J76" i="32"/>
  <c r="Q76" i="32"/>
  <c r="M17" i="6"/>
  <c r="V76" i="32"/>
  <c r="S17" i="6"/>
  <c r="N76" i="32"/>
  <c r="H76" i="32"/>
  <c r="J17" i="6"/>
  <c r="O17" i="6"/>
  <c r="R17" i="6"/>
  <c r="I17" i="6"/>
  <c r="T76" i="32"/>
  <c r="K76" i="32"/>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I82" i="32"/>
  <c r="S82" i="32"/>
  <c r="J82" i="32"/>
  <c r="N82" i="32"/>
  <c r="J23" i="6"/>
  <c r="V82" i="32"/>
  <c r="Q82" i="32"/>
  <c r="R23" i="6"/>
  <c r="P82" i="32"/>
  <c r="M82" i="32"/>
  <c r="U23" i="6"/>
  <c r="G82" i="32"/>
  <c r="H82" i="32"/>
  <c r="V23" i="6"/>
  <c r="H23" i="6"/>
  <c r="U82" i="32"/>
  <c r="N23" i="6"/>
  <c r="L23" i="6"/>
  <c r="T82" i="32"/>
  <c r="W23" i="6"/>
  <c r="I23" i="6"/>
  <c r="K82" i="32"/>
  <c r="O23" i="6"/>
  <c r="M23" i="6"/>
  <c r="L82" i="32"/>
  <c r="K23" i="6"/>
  <c r="S23" i="6"/>
  <c r="R82" i="32"/>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U67" i="32"/>
  <c r="L67" i="32"/>
  <c r="L11" i="6"/>
  <c r="J11" i="6"/>
  <c r="T67" i="32"/>
  <c r="K67" i="32"/>
  <c r="S67" i="32"/>
  <c r="Q67" i="32"/>
  <c r="N67" i="32"/>
  <c r="U11" i="6"/>
  <c r="V11" i="6"/>
  <c r="J67" i="32"/>
  <c r="K11" i="6"/>
  <c r="R11" i="6"/>
  <c r="R67" i="32"/>
  <c r="I67" i="32"/>
  <c r="H67" i="32"/>
  <c r="V67" i="32"/>
  <c r="T11" i="6"/>
  <c r="I11" i="6"/>
  <c r="S11" i="6"/>
  <c r="P67" i="32"/>
  <c r="G67" i="32"/>
  <c r="M67" i="32"/>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P72" i="32"/>
  <c r="G72" i="32"/>
  <c r="N72" i="32"/>
  <c r="H72" i="32"/>
  <c r="R14" i="6"/>
  <c r="O14" i="6"/>
  <c r="K14" i="6"/>
  <c r="I72" i="32"/>
  <c r="Q14" i="6"/>
  <c r="V72" i="32"/>
  <c r="M72" i="32"/>
  <c r="V14" i="6"/>
  <c r="R72" i="32"/>
  <c r="M14" i="6"/>
  <c r="W14" i="6"/>
  <c r="U72" i="32"/>
  <c r="L72" i="32"/>
  <c r="L14" i="6"/>
  <c r="N14" i="6"/>
  <c r="T72" i="32"/>
  <c r="K72" i="32"/>
  <c r="J72" i="32"/>
  <c r="Q72" i="32"/>
  <c r="U14" i="6"/>
  <c r="J14" i="6"/>
  <c r="S72" i="32"/>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I98" i="32"/>
  <c r="T98" i="32"/>
  <c r="U98" i="32"/>
  <c r="G98" i="32"/>
  <c r="H98" i="32"/>
  <c r="L98" i="32"/>
  <c r="R98" i="32"/>
  <c r="V98" i="32"/>
  <c r="S98" i="32"/>
  <c r="M98" i="32"/>
  <c r="N98" i="32"/>
  <c r="K98" i="32"/>
  <c r="P98" i="32"/>
  <c r="Q98" i="32"/>
  <c r="J98" i="32"/>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H5" i="26"/>
  <c r="X1" i="14"/>
  <c r="R12" i="6"/>
  <c r="S12" i="6"/>
  <c r="N68" i="32"/>
  <c r="Q12" i="6"/>
  <c r="H12" i="6"/>
  <c r="V68" i="32"/>
  <c r="M68" i="32"/>
  <c r="N12" i="6"/>
  <c r="O12" i="6"/>
  <c r="U68" i="32"/>
  <c r="L68" i="32"/>
  <c r="M12" i="6"/>
  <c r="W12" i="6"/>
  <c r="T68" i="32"/>
  <c r="K68" i="32"/>
  <c r="S68" i="32"/>
  <c r="P68" i="32"/>
  <c r="L12" i="6"/>
  <c r="J12" i="6"/>
  <c r="J68" i="32"/>
  <c r="U12" i="6"/>
  <c r="V12" i="6"/>
  <c r="R68" i="32"/>
  <c r="I68" i="32"/>
  <c r="T12" i="6"/>
  <c r="K12" i="6"/>
  <c r="I12" i="6"/>
  <c r="Q68" i="32"/>
  <c r="H68" i="32"/>
  <c r="G68" i="32"/>
  <c r="K7" i="6"/>
  <c r="V7" i="6"/>
  <c r="S65" i="32"/>
  <c r="J65" i="32"/>
  <c r="T7" i="6"/>
  <c r="J7" i="6"/>
  <c r="R65" i="32"/>
  <c r="I65" i="32"/>
  <c r="S7" i="6"/>
  <c r="L7" i="6"/>
  <c r="Q65" i="32"/>
  <c r="H65" i="32"/>
  <c r="T65" i="32"/>
  <c r="I7" i="6"/>
  <c r="H7" i="6"/>
  <c r="P65" i="32"/>
  <c r="G65" i="32"/>
  <c r="M7" i="6"/>
  <c r="K65" i="32"/>
  <c r="R7" i="6"/>
  <c r="O7" i="6"/>
  <c r="N65" i="32"/>
  <c r="U65" i="32"/>
  <c r="U7" i="6"/>
  <c r="Q7" i="6"/>
  <c r="W7" i="6"/>
  <c r="V65" i="32"/>
  <c r="M65" i="32"/>
  <c r="N7" i="6"/>
  <c r="L65" i="32"/>
  <c r="M5" i="6"/>
  <c r="W5" i="6"/>
  <c r="R63" i="32"/>
  <c r="I63" i="32"/>
  <c r="N5" i="6"/>
  <c r="J63" i="32"/>
  <c r="L5" i="6"/>
  <c r="J5" i="6"/>
  <c r="Q63" i="32"/>
  <c r="H63" i="32"/>
  <c r="P63" i="32"/>
  <c r="U5" i="6"/>
  <c r="V5" i="6"/>
  <c r="G63" i="32"/>
  <c r="K5" i="6"/>
  <c r="N63" i="32"/>
  <c r="M63" i="32"/>
  <c r="K63" i="32"/>
  <c r="S5" i="6"/>
  <c r="I5" i="6"/>
  <c r="V63" i="32"/>
  <c r="R5" i="6"/>
  <c r="O5" i="6"/>
  <c r="U63" i="32"/>
  <c r="L63" i="32"/>
  <c r="T63" i="32"/>
  <c r="H5" i="6"/>
  <c r="S63" i="32"/>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T62" i="32"/>
  <c r="K62" i="32"/>
  <c r="I4" i="6"/>
  <c r="K4" i="6"/>
  <c r="S62" i="32"/>
  <c r="J62" i="32"/>
  <c r="R62" i="32"/>
  <c r="T4" i="6"/>
  <c r="I62" i="32"/>
  <c r="L62" i="32"/>
  <c r="N4" i="6"/>
  <c r="M4" i="6"/>
  <c r="Q62" i="32"/>
  <c r="H62" i="32"/>
  <c r="G62" i="32"/>
  <c r="U4" i="6"/>
  <c r="J4" i="6"/>
  <c r="R4" i="6"/>
  <c r="P62" i="32"/>
  <c r="V62" i="32"/>
  <c r="U62" i="32"/>
  <c r="W4" i="6"/>
  <c r="L4" i="6"/>
  <c r="N62" i="32"/>
  <c r="S4" i="6"/>
  <c r="M62" i="32"/>
  <c r="L10" i="6"/>
  <c r="J10" i="6"/>
  <c r="S66" i="32"/>
  <c r="J66" i="32"/>
  <c r="T66" i="32"/>
  <c r="U10" i="6"/>
  <c r="V10" i="6"/>
  <c r="R66" i="32"/>
  <c r="I66" i="32"/>
  <c r="K10" i="6"/>
  <c r="H10" i="6"/>
  <c r="Q66" i="32"/>
  <c r="H66" i="32"/>
  <c r="T10" i="6"/>
  <c r="I10" i="6"/>
  <c r="P66" i="32"/>
  <c r="G66" i="32"/>
  <c r="N66" i="32"/>
  <c r="S10" i="6"/>
  <c r="O10" i="6"/>
  <c r="M10" i="6"/>
  <c r="K66" i="32"/>
  <c r="R10" i="6"/>
  <c r="V66" i="32"/>
  <c r="M66" i="32"/>
  <c r="N10" i="6"/>
  <c r="W10" i="6"/>
  <c r="U66" i="32"/>
  <c r="L66" i="32"/>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Q71" i="32"/>
  <c r="H71" i="32"/>
  <c r="S71" i="32"/>
  <c r="V71" i="32"/>
  <c r="N71" i="32"/>
  <c r="J71" i="32"/>
  <c r="M71" i="32"/>
  <c r="R71" i="32"/>
  <c r="U71" i="32"/>
  <c r="I71" i="32"/>
  <c r="L71" i="32"/>
  <c r="P71" i="32"/>
  <c r="T71" i="32"/>
  <c r="G71" i="32"/>
  <c r="K71" i="32"/>
  <c r="I18" i="6"/>
  <c r="J18" i="6"/>
  <c r="L77" i="32"/>
  <c r="P77" i="32"/>
  <c r="R18" i="6"/>
  <c r="L18" i="6"/>
  <c r="S77" i="32"/>
  <c r="G77" i="32"/>
  <c r="Q18" i="6"/>
  <c r="W18" i="6"/>
  <c r="J77" i="32"/>
  <c r="U77" i="32"/>
  <c r="N18" i="6"/>
  <c r="N77" i="32"/>
  <c r="R77" i="32"/>
  <c r="O18" i="6"/>
  <c r="U18" i="6"/>
  <c r="M18" i="6"/>
  <c r="T77" i="32"/>
  <c r="I77" i="32"/>
  <c r="K77" i="32"/>
  <c r="K18" i="6"/>
  <c r="V18" i="6"/>
  <c r="V77" i="32"/>
  <c r="Q77" i="32"/>
  <c r="T18" i="6"/>
  <c r="H18" i="6"/>
  <c r="M77" i="32"/>
  <c r="H77" i="32"/>
  <c r="S18" i="6"/>
  <c r="V50" i="6"/>
  <c r="M50" i="6"/>
  <c r="U50" i="6"/>
  <c r="L50" i="6"/>
  <c r="S50" i="6"/>
  <c r="J50" i="6"/>
  <c r="R50" i="6"/>
  <c r="I50" i="6"/>
  <c r="Q50" i="6"/>
  <c r="H50" i="6"/>
  <c r="O50" i="6"/>
  <c r="T50" i="6"/>
  <c r="W50" i="6"/>
  <c r="N50" i="6"/>
  <c r="K50" i="6"/>
  <c r="H35" i="6"/>
  <c r="S94" i="32"/>
  <c r="M94" i="32"/>
  <c r="U35" i="6"/>
  <c r="T35" i="6"/>
  <c r="J94" i="32"/>
  <c r="S35" i="6"/>
  <c r="J35" i="6"/>
  <c r="R94" i="32"/>
  <c r="L94" i="32"/>
  <c r="R35" i="6"/>
  <c r="O35" i="6"/>
  <c r="I94" i="32"/>
  <c r="P94" i="32"/>
  <c r="Q94" i="32"/>
  <c r="Q35" i="6"/>
  <c r="V35" i="6"/>
  <c r="T94" i="32"/>
  <c r="N35" i="6"/>
  <c r="I35" i="6"/>
  <c r="H94" i="32"/>
  <c r="K94" i="32"/>
  <c r="U94" i="32"/>
  <c r="M35" i="6"/>
  <c r="W35" i="6"/>
  <c r="N94" i="32"/>
  <c r="G94" i="32"/>
  <c r="L35" i="6"/>
  <c r="K35" i="6"/>
  <c r="V94" i="32"/>
  <c r="N33" i="6"/>
  <c r="I33" i="6"/>
  <c r="M33" i="6"/>
  <c r="W33" i="6"/>
  <c r="L33" i="6"/>
  <c r="V33" i="6"/>
  <c r="U33" i="6"/>
  <c r="Q33" i="6"/>
  <c r="K33" i="6"/>
  <c r="H33" i="6"/>
  <c r="T33" i="6"/>
  <c r="J33" i="6"/>
  <c r="S33" i="6"/>
  <c r="O33" i="6"/>
  <c r="R33" i="6"/>
  <c r="V36" i="32"/>
  <c r="N36" i="32"/>
  <c r="M36" i="32"/>
  <c r="G36" i="32"/>
  <c r="R36" i="32"/>
  <c r="U36" i="32"/>
  <c r="J36" i="32"/>
  <c r="I36" i="32"/>
  <c r="L36" i="32"/>
  <c r="Q36" i="32"/>
  <c r="T36" i="32"/>
  <c r="H36" i="32"/>
  <c r="K36" i="32"/>
  <c r="P36" i="32"/>
  <c r="S36" i="32"/>
  <c r="T30" i="6"/>
  <c r="V30" i="6"/>
  <c r="K91" i="32"/>
  <c r="N91" i="32"/>
  <c r="S30" i="6"/>
  <c r="H30" i="6"/>
  <c r="S91" i="32"/>
  <c r="I91" i="32"/>
  <c r="I30" i="6"/>
  <c r="O30" i="6"/>
  <c r="J91" i="32"/>
  <c r="V91" i="32"/>
  <c r="T91" i="32"/>
  <c r="R30" i="6"/>
  <c r="J30" i="6"/>
  <c r="Q91" i="32"/>
  <c r="M91" i="32"/>
  <c r="Q30" i="6"/>
  <c r="W30" i="6"/>
  <c r="H91" i="32"/>
  <c r="L30" i="6"/>
  <c r="N30" i="6"/>
  <c r="U91" i="32"/>
  <c r="R91" i="32"/>
  <c r="K30" i="6"/>
  <c r="U30" i="6"/>
  <c r="M30" i="6"/>
  <c r="L91" i="32"/>
  <c r="P91" i="32"/>
  <c r="G91" i="32"/>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U74" i="32"/>
  <c r="L74" i="32"/>
  <c r="I74" i="32"/>
  <c r="T74" i="32"/>
  <c r="K74" i="32"/>
  <c r="S74" i="32"/>
  <c r="J74" i="32"/>
  <c r="Q74" i="32"/>
  <c r="H74" i="32"/>
  <c r="P74" i="32"/>
  <c r="G74" i="32"/>
  <c r="N74" i="32"/>
  <c r="R74" i="32"/>
  <c r="V74" i="32"/>
  <c r="M74" i="32"/>
  <c r="R39" i="6"/>
  <c r="Q39" i="6"/>
  <c r="N39" i="6"/>
  <c r="M39" i="6"/>
  <c r="L39" i="6"/>
  <c r="U39" i="6"/>
  <c r="K39" i="6"/>
  <c r="T39" i="6"/>
  <c r="J39" i="6"/>
  <c r="O39" i="6"/>
  <c r="I39" i="6"/>
  <c r="W39" i="6"/>
  <c r="H39" i="6"/>
  <c r="S39" i="6"/>
  <c r="V39" i="6"/>
  <c r="AH96" i="32"/>
  <c r="E96" i="32"/>
  <c r="T13" i="6"/>
  <c r="S13" i="6"/>
  <c r="R13" i="6"/>
  <c r="H13" i="6"/>
  <c r="Q13" i="6"/>
  <c r="N13" i="6"/>
  <c r="M13" i="6"/>
  <c r="L13" i="6"/>
  <c r="I13" i="6"/>
  <c r="K13" i="6"/>
  <c r="O13" i="6"/>
  <c r="J13" i="6"/>
  <c r="V13" i="6"/>
  <c r="W13" i="6"/>
  <c r="U13" i="6"/>
  <c r="V70" i="32"/>
  <c r="M70" i="32"/>
  <c r="U70" i="32"/>
  <c r="L70" i="32"/>
  <c r="S70" i="32"/>
  <c r="T70" i="32"/>
  <c r="K70" i="32"/>
  <c r="R70" i="32"/>
  <c r="I70" i="32"/>
  <c r="J70" i="32"/>
  <c r="Q70" i="32"/>
  <c r="H70" i="32"/>
  <c r="P70" i="32"/>
  <c r="G70" i="32"/>
  <c r="N70" i="32"/>
  <c r="L34" i="6"/>
  <c r="V34" i="6"/>
  <c r="U34" i="6"/>
  <c r="S34" i="6"/>
  <c r="K34" i="6"/>
  <c r="H34" i="6"/>
  <c r="T34" i="6"/>
  <c r="R34" i="6"/>
  <c r="J34" i="6"/>
  <c r="Q34" i="6"/>
  <c r="O34" i="6"/>
  <c r="N34" i="6"/>
  <c r="I34" i="6"/>
  <c r="M34" i="6"/>
  <c r="W34" i="6"/>
  <c r="H16" i="26"/>
  <c r="H20" i="26" s="1"/>
  <c r="H10" i="26"/>
  <c r="H8" i="26"/>
  <c r="H6" i="26"/>
  <c r="AH35" i="32"/>
  <c r="E35" i="32"/>
  <c r="P34" i="32"/>
  <c r="G34" i="32"/>
  <c r="U34" i="32"/>
  <c r="L34" i="32"/>
  <c r="N34" i="32"/>
  <c r="T34" i="32"/>
  <c r="K34" i="32"/>
  <c r="S34" i="32"/>
  <c r="J34" i="32"/>
  <c r="Q34" i="32"/>
  <c r="V34" i="32"/>
  <c r="R34" i="32"/>
  <c r="I34" i="32"/>
  <c r="H34" i="32"/>
  <c r="M34" i="32"/>
  <c r="Y1" i="33"/>
  <c r="Q23" i="32"/>
  <c r="H23" i="32"/>
  <c r="P23" i="32"/>
  <c r="G23" i="32"/>
  <c r="N23" i="32"/>
  <c r="V23" i="32"/>
  <c r="M23" i="32"/>
  <c r="U23" i="32"/>
  <c r="L23" i="32"/>
  <c r="T23" i="32"/>
  <c r="K23" i="32"/>
  <c r="R23" i="32"/>
  <c r="J23" i="32"/>
  <c r="I23" i="32"/>
  <c r="S23" i="32"/>
  <c r="S41" i="32"/>
  <c r="J41" i="32"/>
  <c r="R41" i="32"/>
  <c r="I41" i="32"/>
  <c r="Q41" i="32"/>
  <c r="H41" i="32"/>
  <c r="P41" i="32"/>
  <c r="G41" i="32"/>
  <c r="N41" i="32"/>
  <c r="V41" i="32"/>
  <c r="M41" i="32"/>
  <c r="U41" i="32"/>
  <c r="T41" i="32"/>
  <c r="L41" i="32"/>
  <c r="K41" i="32"/>
  <c r="Q26" i="32"/>
  <c r="H26" i="32"/>
  <c r="P26" i="32"/>
  <c r="G26" i="32"/>
  <c r="N26" i="32"/>
  <c r="V26" i="32"/>
  <c r="M26" i="32"/>
  <c r="U26" i="32"/>
  <c r="L26" i="32"/>
  <c r="T26" i="32"/>
  <c r="K26" i="32"/>
  <c r="S26" i="32"/>
  <c r="R26" i="32"/>
  <c r="J26" i="32"/>
  <c r="I26" i="32"/>
  <c r="P125" i="6" l="1"/>
  <c r="G125" i="6" s="1"/>
  <c r="P111" i="6"/>
  <c r="G111" i="6" s="1"/>
  <c r="P122" i="6"/>
  <c r="G122" i="6" s="1"/>
  <c r="AG122" i="6" s="1"/>
  <c r="P81" i="6"/>
  <c r="G81" i="6" s="1"/>
  <c r="P86" i="6"/>
  <c r="G86" i="6" s="1"/>
  <c r="P112" i="6"/>
  <c r="G112" i="6" s="1"/>
  <c r="P115" i="6"/>
  <c r="G115" i="6" s="1"/>
  <c r="P69" i="6"/>
  <c r="G69" i="6" s="1"/>
  <c r="P27" i="6"/>
  <c r="G27" i="6" s="1"/>
  <c r="O90" i="32"/>
  <c r="F90" i="32" s="1"/>
  <c r="P46" i="6"/>
  <c r="P110" i="6"/>
  <c r="G110" i="6" s="1"/>
  <c r="P99" i="6"/>
  <c r="G99" i="6" s="1"/>
  <c r="O83" i="32"/>
  <c r="F83" i="32"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O78" i="32"/>
  <c r="F78" i="32" s="1"/>
  <c r="P19" i="6"/>
  <c r="N1" i="36"/>
  <c r="X1" i="36"/>
  <c r="K1" i="36"/>
  <c r="O79" i="32"/>
  <c r="F79" i="32" s="1"/>
  <c r="P20" i="6"/>
  <c r="P53" i="6"/>
  <c r="G53" i="6" s="1"/>
  <c r="P25" i="6"/>
  <c r="O88" i="32"/>
  <c r="F88" i="32" s="1"/>
  <c r="P31" i="6"/>
  <c r="G31" i="6" s="1"/>
  <c r="AG31" i="6" s="1"/>
  <c r="O92" i="32"/>
  <c r="F92" i="32" s="1"/>
  <c r="P48" i="6"/>
  <c r="G48" i="6" s="1"/>
  <c r="AG48" i="6" s="1"/>
  <c r="P68" i="6"/>
  <c r="G68" i="6" s="1"/>
  <c r="AG68" i="6" s="1"/>
  <c r="P75" i="6"/>
  <c r="G75" i="6" s="1"/>
  <c r="AG75" i="6" s="1"/>
  <c r="O73" i="32"/>
  <c r="F73" i="32" s="1"/>
  <c r="AH73" i="32" s="1"/>
  <c r="P15" i="6"/>
  <c r="O76" i="32"/>
  <c r="F76" i="32" s="1"/>
  <c r="P79" i="6"/>
  <c r="G79" i="6" s="1"/>
  <c r="AG79" i="6" s="1"/>
  <c r="P17" i="6"/>
  <c r="P23" i="6"/>
  <c r="P37" i="6"/>
  <c r="P73" i="6"/>
  <c r="G73" i="6" s="1"/>
  <c r="AG73" i="6" s="1"/>
  <c r="O82" i="32"/>
  <c r="F82" i="32" s="1"/>
  <c r="O1" i="6"/>
  <c r="P61" i="6"/>
  <c r="G61" i="6" s="1"/>
  <c r="AG61" i="6" s="1"/>
  <c r="P77" i="6"/>
  <c r="G77" i="6" s="1"/>
  <c r="AG77" i="6" s="1"/>
  <c r="P29" i="6"/>
  <c r="P11" i="6"/>
  <c r="P74" i="6"/>
  <c r="G74" i="6" s="1"/>
  <c r="AG74" i="6" s="1"/>
  <c r="O67" i="32"/>
  <c r="F67" i="32" s="1"/>
  <c r="E67" i="32" s="1"/>
  <c r="P43" i="6"/>
  <c r="P55" i="6"/>
  <c r="G55" i="6" s="1"/>
  <c r="AG55" i="6" s="1"/>
  <c r="P40" i="6"/>
  <c r="P26" i="6"/>
  <c r="P54" i="6"/>
  <c r="G54" i="6" s="1"/>
  <c r="AG54" i="6" s="1"/>
  <c r="P59" i="6"/>
  <c r="G59" i="6" s="1"/>
  <c r="AG59" i="6" s="1"/>
  <c r="P21" i="6"/>
  <c r="P14" i="6"/>
  <c r="O72" i="32"/>
  <c r="F72" i="32" s="1"/>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O98" i="32"/>
  <c r="F98" i="32"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O62" i="32"/>
  <c r="F62" i="32" s="1"/>
  <c r="E62" i="32" s="1"/>
  <c r="O63" i="32"/>
  <c r="F63" i="32" s="1"/>
  <c r="O65" i="32"/>
  <c r="F65" i="32" s="1"/>
  <c r="O66" i="32"/>
  <c r="F66" i="32" s="1"/>
  <c r="O68" i="32"/>
  <c r="F68" i="32" s="1"/>
  <c r="O71" i="32"/>
  <c r="F71" i="32" s="1"/>
  <c r="AH71" i="32" s="1"/>
  <c r="O77" i="32"/>
  <c r="F77" i="32" s="1"/>
  <c r="O94" i="32"/>
  <c r="F94" i="32" s="1"/>
  <c r="O36" i="32"/>
  <c r="F36" i="32" s="1"/>
  <c r="O91" i="32"/>
  <c r="F91" i="32" s="1"/>
  <c r="O74" i="32"/>
  <c r="F74" i="32" s="1"/>
  <c r="E74" i="32" s="1"/>
  <c r="O70" i="32"/>
  <c r="F70" i="32" s="1"/>
  <c r="H12" i="26"/>
  <c r="H21" i="26" s="1"/>
  <c r="H23" i="26" s="1"/>
  <c r="G49" i="6"/>
  <c r="AG49" i="6" s="1"/>
  <c r="O34" i="32"/>
  <c r="F34" i="32" s="1"/>
  <c r="O41" i="32"/>
  <c r="F41" i="32" s="1"/>
  <c r="E41" i="32" s="1"/>
  <c r="O26" i="32"/>
  <c r="F26" i="32" s="1"/>
  <c r="E26" i="32" s="1"/>
  <c r="O23" i="32"/>
  <c r="F23" i="32" s="1"/>
  <c r="AH23" i="32" s="1"/>
  <c r="G38" i="14"/>
  <c r="AG38" i="14" s="1"/>
  <c r="G21" i="14"/>
  <c r="AG21" i="14" s="1"/>
  <c r="F111" i="6" l="1"/>
  <c r="AG111" i="6"/>
  <c r="AG125" i="6"/>
  <c r="F125" i="6"/>
  <c r="F122" i="6"/>
  <c r="AG81" i="6"/>
  <c r="F81" i="6"/>
  <c r="F86" i="6"/>
  <c r="AG86" i="6"/>
  <c r="F115" i="6"/>
  <c r="AG115" i="6"/>
  <c r="F112" i="6"/>
  <c r="AG112" i="6"/>
  <c r="AG69" i="6"/>
  <c r="F69" i="6"/>
  <c r="E90" i="32"/>
  <c r="AH90" i="32"/>
  <c r="AG27" i="6"/>
  <c r="F27" i="6"/>
  <c r="F110" i="6"/>
  <c r="AG110" i="6"/>
  <c r="F99" i="6"/>
  <c r="AG99" i="6"/>
  <c r="AG101" i="6"/>
  <c r="F101" i="6"/>
  <c r="AG102" i="6"/>
  <c r="F102" i="6"/>
  <c r="AG96" i="6"/>
  <c r="F96" i="6"/>
  <c r="AH83" i="32"/>
  <c r="E83" i="32"/>
  <c r="F106" i="6"/>
  <c r="AG106" i="6"/>
  <c r="F94" i="6"/>
  <c r="AG94" i="6"/>
  <c r="F93" i="6"/>
  <c r="AG93" i="6"/>
  <c r="AG108" i="6"/>
  <c r="F108" i="6"/>
  <c r="F100" i="6"/>
  <c r="AG100" i="6"/>
  <c r="AG95" i="6"/>
  <c r="F95" i="6"/>
  <c r="F89" i="6"/>
  <c r="AG89" i="6"/>
  <c r="F51" i="6"/>
  <c r="E78" i="32"/>
  <c r="AH78" i="32"/>
  <c r="AH79" i="32"/>
  <c r="E79" i="32"/>
  <c r="AG53" i="6"/>
  <c r="F53" i="6"/>
  <c r="E88" i="32"/>
  <c r="AH88" i="32"/>
  <c r="AG4" i="6"/>
  <c r="F48" i="6"/>
  <c r="E92" i="32"/>
  <c r="AH92" i="32"/>
  <c r="F31" i="6"/>
  <c r="F68" i="6"/>
  <c r="F75" i="6"/>
  <c r="E73" i="32"/>
  <c r="F79" i="6"/>
  <c r="AH76" i="32"/>
  <c r="E76" i="32"/>
  <c r="E82" i="32"/>
  <c r="AH82" i="32"/>
  <c r="F73" i="6"/>
  <c r="P1" i="6"/>
  <c r="F61" i="6"/>
  <c r="F77" i="6"/>
  <c r="AH67" i="32"/>
  <c r="F74" i="6"/>
  <c r="F55" i="6"/>
  <c r="F59" i="6"/>
  <c r="AH72" i="32"/>
  <c r="E72" i="32"/>
  <c r="F54" i="6"/>
  <c r="F64" i="6"/>
  <c r="F57" i="6"/>
  <c r="F65" i="6"/>
  <c r="F60" i="6"/>
  <c r="F66" i="6"/>
  <c r="F67" i="6"/>
  <c r="F58" i="6"/>
  <c r="F62" i="6"/>
  <c r="F63" i="6"/>
  <c r="F52" i="6"/>
  <c r="AH98" i="32"/>
  <c r="E98" i="32"/>
  <c r="AH62" i="32"/>
  <c r="AH68" i="32"/>
  <c r="E68" i="32"/>
  <c r="AH66" i="32"/>
  <c r="E66" i="32"/>
  <c r="AH65" i="32"/>
  <c r="E65" i="32"/>
  <c r="AH63" i="32"/>
  <c r="E63" i="32"/>
  <c r="E71" i="32"/>
  <c r="E77" i="32"/>
  <c r="AH77" i="32"/>
  <c r="F50" i="6"/>
  <c r="E94" i="32"/>
  <c r="AH94" i="32"/>
  <c r="AH91" i="32"/>
  <c r="E91" i="32"/>
  <c r="AH36" i="32"/>
  <c r="E36" i="32"/>
  <c r="AH74" i="32"/>
  <c r="AH70" i="32"/>
  <c r="E70" i="32"/>
  <c r="F16" i="6"/>
  <c r="F49" i="6"/>
  <c r="AH34" i="32"/>
  <c r="E34" i="32"/>
  <c r="AH41" i="32"/>
  <c r="AH26" i="32"/>
  <c r="E23" i="32"/>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5" i="26"/>
  <c r="E5" i="26" s="1"/>
  <c r="G8" i="14"/>
  <c r="AG8" i="14" s="1"/>
  <c r="G6" i="26"/>
  <c r="E6" i="26" s="1"/>
  <c r="G6" i="14"/>
  <c r="G11" i="26"/>
  <c r="E11" i="26" s="1"/>
  <c r="G9" i="14"/>
  <c r="AG9" i="14" s="1"/>
  <c r="G9" i="26"/>
  <c r="E9" i="26" s="1"/>
  <c r="G10" i="14"/>
  <c r="AG10" i="14" s="1"/>
  <c r="G8" i="26"/>
  <c r="E8" i="26" s="1"/>
  <c r="G10" i="26"/>
  <c r="E10" i="26" s="1"/>
  <c r="F27" i="14"/>
  <c r="F35" i="14"/>
  <c r="F16" i="14"/>
  <c r="F17" i="14"/>
  <c r="F37" i="14"/>
  <c r="F29" i="14"/>
  <c r="F34" i="14"/>
  <c r="F31" i="14"/>
  <c r="F14" i="14"/>
  <c r="F13" i="14"/>
  <c r="F33" i="14"/>
  <c r="F11" i="14"/>
  <c r="F22" i="14"/>
  <c r="G1" i="14" l="1"/>
  <c r="AG4" i="14"/>
  <c r="F6" i="14"/>
  <c r="AG6" i="14"/>
  <c r="F8" i="14"/>
  <c r="F9" i="14"/>
  <c r="G12" i="26"/>
  <c r="E12" i="26"/>
  <c r="F10" i="14"/>
  <c r="AJ1" i="14" l="1"/>
  <c r="N102" i="32"/>
  <c r="V102" i="32"/>
  <c r="M102" i="32"/>
  <c r="U102" i="32"/>
  <c r="L102" i="32"/>
  <c r="T102" i="32"/>
  <c r="K102" i="32"/>
  <c r="S102" i="32"/>
  <c r="J102" i="32"/>
  <c r="R102" i="32"/>
  <c r="I102" i="32"/>
  <c r="Q102" i="32"/>
  <c r="H102" i="32"/>
  <c r="P102" i="32"/>
  <c r="G102" i="32"/>
  <c r="N151" i="32"/>
  <c r="V151" i="32"/>
  <c r="M151" i="32"/>
  <c r="U151" i="32"/>
  <c r="L151" i="32"/>
  <c r="T151" i="32"/>
  <c r="K151" i="32"/>
  <c r="S151" i="32"/>
  <c r="J151" i="32"/>
  <c r="R151" i="32"/>
  <c r="I151" i="32"/>
  <c r="Q151" i="32"/>
  <c r="H151" i="32"/>
  <c r="P151" i="32"/>
  <c r="G151" i="32"/>
  <c r="T172" i="32"/>
  <c r="K172" i="32"/>
  <c r="S172" i="32"/>
  <c r="J172" i="32"/>
  <c r="R172" i="32"/>
  <c r="I172" i="32"/>
  <c r="Q172" i="32"/>
  <c r="H172" i="32"/>
  <c r="P172" i="32"/>
  <c r="G172" i="32"/>
  <c r="N172" i="32"/>
  <c r="V172" i="32"/>
  <c r="M172" i="32"/>
  <c r="U172" i="32"/>
  <c r="L172" i="32"/>
  <c r="I173" i="32"/>
  <c r="S173" i="32"/>
  <c r="U173" i="32"/>
  <c r="Q173" i="32"/>
  <c r="L173" i="32"/>
  <c r="H173" i="32"/>
  <c r="T173" i="32"/>
  <c r="P173" i="32"/>
  <c r="K173" i="32"/>
  <c r="G173" i="32"/>
  <c r="N173" i="32"/>
  <c r="J173" i="32"/>
  <c r="M173" i="32"/>
  <c r="R173" i="32"/>
  <c r="V173" i="32"/>
  <c r="R139" i="32"/>
  <c r="M139" i="32"/>
  <c r="I139" i="32"/>
  <c r="K139" i="32"/>
  <c r="U139" i="32"/>
  <c r="Q139" i="32"/>
  <c r="G139" i="32"/>
  <c r="L139" i="32"/>
  <c r="H139" i="32"/>
  <c r="T139" i="32"/>
  <c r="P139" i="32"/>
  <c r="S139" i="32"/>
  <c r="V139" i="32"/>
  <c r="J139" i="32"/>
  <c r="N139" i="32"/>
  <c r="S57" i="32"/>
  <c r="N57" i="32"/>
  <c r="J57" i="32"/>
  <c r="V57" i="32"/>
  <c r="R57" i="32"/>
  <c r="M57" i="32"/>
  <c r="I57" i="32"/>
  <c r="T57" i="32"/>
  <c r="K57" i="32"/>
  <c r="Q57" i="32"/>
  <c r="L57" i="32"/>
  <c r="P57" i="32"/>
  <c r="U57" i="32"/>
  <c r="H57" i="32"/>
  <c r="G57" i="32"/>
  <c r="T169" i="32"/>
  <c r="H169" i="32"/>
  <c r="K169" i="32"/>
  <c r="G169" i="32"/>
  <c r="M169" i="32"/>
  <c r="S169" i="32"/>
  <c r="I169" i="32"/>
  <c r="N169" i="32"/>
  <c r="J169" i="32"/>
  <c r="V169" i="32"/>
  <c r="R169" i="32"/>
  <c r="U169" i="32"/>
  <c r="Q169" i="32"/>
  <c r="L169" i="32"/>
  <c r="P169" i="32"/>
  <c r="N156" i="32"/>
  <c r="R156" i="32"/>
  <c r="V156" i="32"/>
  <c r="J156" i="32"/>
  <c r="H156" i="32"/>
  <c r="M156" i="32"/>
  <c r="I156" i="32"/>
  <c r="T156" i="32"/>
  <c r="U156" i="32"/>
  <c r="Q156" i="32"/>
  <c r="L156" i="32"/>
  <c r="P156" i="32"/>
  <c r="K156" i="32"/>
  <c r="G156" i="32"/>
  <c r="S156" i="32"/>
  <c r="R28" i="32"/>
  <c r="M28" i="32"/>
  <c r="I28" i="32"/>
  <c r="U28" i="32"/>
  <c r="Q28" i="32"/>
  <c r="L28" i="32"/>
  <c r="H28" i="32"/>
  <c r="T28" i="32"/>
  <c r="P28" i="32"/>
  <c r="K28" i="32"/>
  <c r="G28" i="32"/>
  <c r="S28" i="32"/>
  <c r="V28" i="32"/>
  <c r="J28" i="32"/>
  <c r="N28" i="32"/>
  <c r="T22" i="32"/>
  <c r="H22" i="32"/>
  <c r="K22" i="32"/>
  <c r="G22" i="32"/>
  <c r="S22" i="32"/>
  <c r="N22" i="32"/>
  <c r="J22" i="32"/>
  <c r="V22" i="32"/>
  <c r="R22" i="32"/>
  <c r="M22" i="32"/>
  <c r="I22" i="32"/>
  <c r="U22" i="32"/>
  <c r="Q22" i="32"/>
  <c r="L22" i="32"/>
  <c r="P22" i="32"/>
  <c r="J8" i="32"/>
  <c r="V8" i="32"/>
  <c r="R8" i="32"/>
  <c r="M8" i="32"/>
  <c r="I8" i="32"/>
  <c r="L8" i="32"/>
  <c r="Q8" i="32"/>
  <c r="K8" i="32"/>
  <c r="H8" i="32"/>
  <c r="U8" i="32"/>
  <c r="P8" i="32"/>
  <c r="T8" i="32"/>
  <c r="G8" i="32"/>
  <c r="S8" i="32"/>
  <c r="N8" i="32"/>
  <c r="N59" i="32"/>
  <c r="V59" i="32"/>
  <c r="M59" i="32"/>
  <c r="U59" i="32"/>
  <c r="L59" i="32"/>
  <c r="T59" i="32"/>
  <c r="K59" i="32"/>
  <c r="S59" i="32"/>
  <c r="J59" i="32"/>
  <c r="R59" i="32"/>
  <c r="I59" i="32"/>
  <c r="H59" i="32"/>
  <c r="Q59" i="32"/>
  <c r="P59" i="32"/>
  <c r="G59" i="32"/>
  <c r="S50" i="32"/>
  <c r="J50" i="32"/>
  <c r="R50" i="32"/>
  <c r="I50" i="32"/>
  <c r="Q50" i="32"/>
  <c r="H50" i="32"/>
  <c r="N50" i="32"/>
  <c r="K50" i="32"/>
  <c r="G50" i="32"/>
  <c r="V50" i="32"/>
  <c r="U50" i="32"/>
  <c r="T50" i="32"/>
  <c r="P50" i="32"/>
  <c r="M50" i="32"/>
  <c r="L50" i="32"/>
  <c r="N45" i="32"/>
  <c r="V45" i="32"/>
  <c r="M45" i="32"/>
  <c r="U45" i="32"/>
  <c r="L45" i="32"/>
  <c r="T45" i="32"/>
  <c r="S45" i="32"/>
  <c r="G45" i="32"/>
  <c r="R45" i="32"/>
  <c r="Q45" i="32"/>
  <c r="P45" i="32"/>
  <c r="K45" i="32"/>
  <c r="J45" i="32"/>
  <c r="I45" i="32"/>
  <c r="H45" i="32"/>
  <c r="Q33" i="32"/>
  <c r="H33" i="32"/>
  <c r="P33" i="32"/>
  <c r="G33" i="32"/>
  <c r="N33" i="32"/>
  <c r="V33" i="32"/>
  <c r="M33" i="32"/>
  <c r="U33" i="32"/>
  <c r="L33" i="32"/>
  <c r="T33" i="32"/>
  <c r="K33" i="32"/>
  <c r="R33" i="32"/>
  <c r="J33" i="32"/>
  <c r="I33" i="32"/>
  <c r="S33" i="32"/>
  <c r="Q48" i="32"/>
  <c r="H48" i="32"/>
  <c r="P48" i="32"/>
  <c r="N48" i="32"/>
  <c r="S48" i="32"/>
  <c r="R48" i="32"/>
  <c r="M48" i="32"/>
  <c r="L48" i="32"/>
  <c r="K48" i="32"/>
  <c r="V48" i="32"/>
  <c r="J48" i="32"/>
  <c r="U48" i="32"/>
  <c r="I48" i="32"/>
  <c r="T48" i="32"/>
  <c r="G48" i="32"/>
  <c r="P32" i="32"/>
  <c r="G32" i="32"/>
  <c r="N32" i="32"/>
  <c r="V32" i="32"/>
  <c r="M32" i="32"/>
  <c r="U32" i="32"/>
  <c r="L32" i="32"/>
  <c r="T32" i="32"/>
  <c r="K32" i="32"/>
  <c r="S32" i="32"/>
  <c r="J32" i="32"/>
  <c r="R32" i="32"/>
  <c r="I32" i="32"/>
  <c r="Q32" i="32"/>
  <c r="H32" i="32"/>
  <c r="R14" i="32"/>
  <c r="Q14" i="32"/>
  <c r="H14" i="32"/>
  <c r="P14" i="32"/>
  <c r="G14" i="32"/>
  <c r="I14" i="32"/>
  <c r="N14" i="32"/>
  <c r="V14" i="32"/>
  <c r="M14" i="32"/>
  <c r="U14" i="32"/>
  <c r="L14" i="32"/>
  <c r="T14" i="32"/>
  <c r="K14" i="32"/>
  <c r="S14" i="32"/>
  <c r="J14" i="32"/>
  <c r="S9" i="32"/>
  <c r="J9" i="32"/>
  <c r="R9" i="32"/>
  <c r="I9" i="32"/>
  <c r="Q9" i="32"/>
  <c r="H9" i="32"/>
  <c r="P9" i="32"/>
  <c r="G9" i="32"/>
  <c r="N9" i="32"/>
  <c r="V9" i="32"/>
  <c r="M9" i="32"/>
  <c r="U9" i="32"/>
  <c r="T9" i="32"/>
  <c r="L9" i="32"/>
  <c r="K9" i="32"/>
  <c r="H56" i="32"/>
  <c r="G56" i="32"/>
  <c r="N56" i="32"/>
  <c r="V56" i="32"/>
  <c r="M56" i="32"/>
  <c r="P56" i="32"/>
  <c r="U56" i="32"/>
  <c r="L56" i="32"/>
  <c r="T56" i="32"/>
  <c r="K56" i="32"/>
  <c r="S56" i="32"/>
  <c r="J56" i="32"/>
  <c r="R56" i="32"/>
  <c r="I56" i="32"/>
  <c r="Q56" i="32"/>
  <c r="K20" i="32"/>
  <c r="S20" i="32"/>
  <c r="J20" i="32"/>
  <c r="R20" i="32"/>
  <c r="I20" i="32"/>
  <c r="T20" i="32"/>
  <c r="Q20" i="32"/>
  <c r="H20" i="32"/>
  <c r="P20" i="32"/>
  <c r="G20" i="32"/>
  <c r="N20" i="32"/>
  <c r="V20" i="32"/>
  <c r="M20" i="32"/>
  <c r="U20" i="32"/>
  <c r="L20" i="32"/>
  <c r="Q27" i="32"/>
  <c r="H27" i="32"/>
  <c r="P27" i="32"/>
  <c r="G27" i="32"/>
  <c r="N27" i="32"/>
  <c r="V27" i="32"/>
  <c r="M27" i="32"/>
  <c r="U27" i="32"/>
  <c r="L27" i="32"/>
  <c r="T27" i="32"/>
  <c r="K27" i="32"/>
  <c r="S27" i="32"/>
  <c r="R27" i="32"/>
  <c r="J27" i="32"/>
  <c r="I27" i="32"/>
  <c r="S19" i="32"/>
  <c r="Q19" i="32"/>
  <c r="H19" i="32"/>
  <c r="P19" i="32"/>
  <c r="G19" i="32"/>
  <c r="R19" i="32"/>
  <c r="N19" i="32"/>
  <c r="V19" i="32"/>
  <c r="M19" i="32"/>
  <c r="U19" i="32"/>
  <c r="L19" i="32"/>
  <c r="I19" i="32"/>
  <c r="T19" i="32"/>
  <c r="K19" i="32"/>
  <c r="J19" i="32"/>
  <c r="N53" i="32"/>
  <c r="P53" i="32"/>
  <c r="V53" i="32"/>
  <c r="M53" i="32"/>
  <c r="U53" i="32"/>
  <c r="L53" i="32"/>
  <c r="T53" i="32"/>
  <c r="K53" i="32"/>
  <c r="S53" i="32"/>
  <c r="J53" i="32"/>
  <c r="R53" i="32"/>
  <c r="I53" i="32"/>
  <c r="Q53" i="32"/>
  <c r="H53" i="32"/>
  <c r="G53" i="32"/>
  <c r="U60" i="32"/>
  <c r="L60" i="32"/>
  <c r="T60" i="32"/>
  <c r="K60" i="32"/>
  <c r="S60" i="32"/>
  <c r="J60" i="32"/>
  <c r="R60" i="32"/>
  <c r="I60" i="32"/>
  <c r="Q60" i="32"/>
  <c r="H60" i="32"/>
  <c r="P60" i="32"/>
  <c r="G60" i="32"/>
  <c r="V60" i="32"/>
  <c r="N60" i="32"/>
  <c r="M60" i="32"/>
  <c r="S58" i="32"/>
  <c r="J58" i="32"/>
  <c r="R58" i="32"/>
  <c r="I58" i="32"/>
  <c r="Q58" i="32"/>
  <c r="H58" i="32"/>
  <c r="P58" i="32"/>
  <c r="G58" i="32"/>
  <c r="N58" i="32"/>
  <c r="V58" i="32"/>
  <c r="M58" i="32"/>
  <c r="L58" i="32"/>
  <c r="K58" i="32"/>
  <c r="U58" i="32"/>
  <c r="T58" i="32"/>
  <c r="Q31" i="32"/>
  <c r="H31" i="32"/>
  <c r="P31" i="32"/>
  <c r="G31" i="32"/>
  <c r="N31" i="32"/>
  <c r="V31" i="32"/>
  <c r="M31" i="32"/>
  <c r="U31" i="32"/>
  <c r="L31" i="32"/>
  <c r="T31" i="32"/>
  <c r="K31" i="32"/>
  <c r="S31" i="32"/>
  <c r="R31" i="32"/>
  <c r="J31" i="32"/>
  <c r="I31" i="32"/>
  <c r="S52" i="32"/>
  <c r="R52" i="32"/>
  <c r="I52" i="32"/>
  <c r="Q52" i="32"/>
  <c r="H52" i="32"/>
  <c r="P52" i="32"/>
  <c r="G52" i="32"/>
  <c r="T52" i="32"/>
  <c r="J52" i="32"/>
  <c r="N52" i="32"/>
  <c r="V52" i="32"/>
  <c r="M52" i="32"/>
  <c r="K52" i="32"/>
  <c r="U52" i="32"/>
  <c r="L52" i="32"/>
  <c r="U38" i="32"/>
  <c r="T38" i="32"/>
  <c r="K38" i="32"/>
  <c r="L38" i="32"/>
  <c r="S38" i="32"/>
  <c r="J38" i="32"/>
  <c r="V38" i="32"/>
  <c r="R38" i="32"/>
  <c r="I38" i="32"/>
  <c r="Q38" i="32"/>
  <c r="H38" i="32"/>
  <c r="P38" i="32"/>
  <c r="G38" i="32"/>
  <c r="M38" i="32"/>
  <c r="N38" i="32"/>
  <c r="S43" i="32"/>
  <c r="J43" i="32"/>
  <c r="R43" i="32"/>
  <c r="I43" i="32"/>
  <c r="Q43" i="32"/>
  <c r="H43" i="32"/>
  <c r="P43" i="32"/>
  <c r="G43" i="32"/>
  <c r="N43" i="32"/>
  <c r="V43" i="32"/>
  <c r="M43" i="32"/>
  <c r="U43" i="32"/>
  <c r="T43" i="32"/>
  <c r="L43" i="32"/>
  <c r="K43" i="32"/>
  <c r="U6" i="32"/>
  <c r="L6" i="32"/>
  <c r="T6" i="32"/>
  <c r="K6" i="32"/>
  <c r="S6" i="32"/>
  <c r="J6" i="32"/>
  <c r="R6" i="32"/>
  <c r="I6" i="32"/>
  <c r="Q6" i="32"/>
  <c r="H6" i="32"/>
  <c r="P6" i="32"/>
  <c r="G6" i="32"/>
  <c r="V6" i="32"/>
  <c r="N6" i="32"/>
  <c r="M6" i="32"/>
  <c r="U40" i="32"/>
  <c r="L40" i="32"/>
  <c r="T40" i="32"/>
  <c r="K40" i="32"/>
  <c r="S40" i="32"/>
  <c r="J40" i="32"/>
  <c r="R40" i="32"/>
  <c r="I40" i="32"/>
  <c r="Q40" i="32"/>
  <c r="H40" i="32"/>
  <c r="P40" i="32"/>
  <c r="G40" i="32"/>
  <c r="V40" i="32"/>
  <c r="N40" i="32"/>
  <c r="M40" i="32"/>
  <c r="N7" i="32"/>
  <c r="V7" i="32"/>
  <c r="M7" i="32"/>
  <c r="U7" i="32"/>
  <c r="L7" i="32"/>
  <c r="T7" i="32"/>
  <c r="K7" i="32"/>
  <c r="S7" i="32"/>
  <c r="J7" i="32"/>
  <c r="R7" i="32"/>
  <c r="I7" i="32"/>
  <c r="H7" i="32"/>
  <c r="G7" i="32"/>
  <c r="Q7" i="32"/>
  <c r="P7" i="32"/>
  <c r="L37" i="32"/>
  <c r="T37" i="32"/>
  <c r="K37" i="32"/>
  <c r="R37" i="32"/>
  <c r="S37" i="32"/>
  <c r="J37" i="32"/>
  <c r="Q37" i="32"/>
  <c r="H37" i="32"/>
  <c r="I37" i="32"/>
  <c r="U37" i="32"/>
  <c r="P37" i="32"/>
  <c r="G37" i="32"/>
  <c r="V37" i="32"/>
  <c r="M37" i="32"/>
  <c r="N37" i="32"/>
  <c r="Q30" i="32"/>
  <c r="H30" i="32"/>
  <c r="P30" i="32"/>
  <c r="G30" i="32"/>
  <c r="N30" i="32"/>
  <c r="V30" i="32"/>
  <c r="M30" i="32"/>
  <c r="U30" i="32"/>
  <c r="L30" i="32"/>
  <c r="T30" i="32"/>
  <c r="K30" i="32"/>
  <c r="I30" i="32"/>
  <c r="S30" i="32"/>
  <c r="R30" i="32"/>
  <c r="J30" i="32"/>
  <c r="H25" i="32"/>
  <c r="P25" i="32"/>
  <c r="G25" i="32"/>
  <c r="N25" i="32"/>
  <c r="I25" i="32"/>
  <c r="V25" i="32"/>
  <c r="M25" i="32"/>
  <c r="U25" i="32"/>
  <c r="L25" i="32"/>
  <c r="R25" i="32"/>
  <c r="Q25" i="32"/>
  <c r="T25" i="32"/>
  <c r="K25" i="32"/>
  <c r="S25" i="32"/>
  <c r="J25" i="32"/>
  <c r="R155" i="32"/>
  <c r="I155" i="32"/>
  <c r="G155" i="32"/>
  <c r="Q155" i="32"/>
  <c r="H155" i="32"/>
  <c r="N155" i="32"/>
  <c r="T155" i="32"/>
  <c r="S155" i="32"/>
  <c r="P155" i="32"/>
  <c r="K155" i="32"/>
  <c r="V155" i="32"/>
  <c r="M155" i="32"/>
  <c r="J155" i="32"/>
  <c r="U155" i="32"/>
  <c r="L155" i="32"/>
  <c r="U10" i="32"/>
  <c r="L10" i="32"/>
  <c r="T10" i="32"/>
  <c r="K10" i="32"/>
  <c r="S10" i="32"/>
  <c r="J10" i="32"/>
  <c r="R10" i="32"/>
  <c r="I10" i="32"/>
  <c r="Q10" i="32"/>
  <c r="H10" i="32"/>
  <c r="P10" i="32"/>
  <c r="G10" i="32"/>
  <c r="V10" i="32"/>
  <c r="N10" i="32"/>
  <c r="M10" i="32"/>
  <c r="P12" i="32"/>
  <c r="G12" i="32"/>
  <c r="N12" i="32"/>
  <c r="H12" i="32"/>
  <c r="M12" i="32"/>
  <c r="I12" i="32"/>
  <c r="V12" i="32"/>
  <c r="U12" i="32"/>
  <c r="L12" i="32"/>
  <c r="T12" i="32"/>
  <c r="K12" i="32"/>
  <c r="R12" i="32"/>
  <c r="S12" i="32"/>
  <c r="J12" i="32"/>
  <c r="Q12" i="32"/>
  <c r="T16" i="32"/>
  <c r="R16" i="32"/>
  <c r="I16" i="32"/>
  <c r="H16" i="32"/>
  <c r="J16" i="32"/>
  <c r="Q16" i="32"/>
  <c r="P16" i="32"/>
  <c r="K16" i="32"/>
  <c r="G16" i="32"/>
  <c r="N16" i="32"/>
  <c r="S16" i="32"/>
  <c r="V16" i="32"/>
  <c r="M16" i="32"/>
  <c r="U16" i="32"/>
  <c r="L16" i="32"/>
  <c r="P21" i="32"/>
  <c r="N21" i="32"/>
  <c r="V21" i="32"/>
  <c r="M21" i="32"/>
  <c r="L21" i="32"/>
  <c r="T21" i="32"/>
  <c r="K21" i="32"/>
  <c r="U21" i="32"/>
  <c r="S21" i="32"/>
  <c r="J21" i="32"/>
  <c r="R21" i="32"/>
  <c r="I21" i="32"/>
  <c r="Q21" i="32"/>
  <c r="H21" i="32"/>
  <c r="G21" i="32"/>
  <c r="N17" i="32"/>
  <c r="V17" i="32"/>
  <c r="M17" i="32"/>
  <c r="U17" i="32"/>
  <c r="L17" i="32"/>
  <c r="T17" i="32"/>
  <c r="K17" i="32"/>
  <c r="S17" i="32"/>
  <c r="J17" i="32"/>
  <c r="R17" i="32"/>
  <c r="I17" i="32"/>
  <c r="Q17" i="32"/>
  <c r="P17" i="32"/>
  <c r="H17" i="32"/>
  <c r="G17" i="32"/>
  <c r="S11" i="32"/>
  <c r="J11" i="32"/>
  <c r="R11" i="32"/>
  <c r="I11" i="32"/>
  <c r="Q11" i="32"/>
  <c r="H11" i="32"/>
  <c r="P11" i="32"/>
  <c r="G11" i="32"/>
  <c r="N11" i="32"/>
  <c r="V11" i="32"/>
  <c r="M11" i="32"/>
  <c r="U11" i="32"/>
  <c r="T11" i="32"/>
  <c r="L11" i="32"/>
  <c r="K11" i="32"/>
  <c r="Q24" i="32"/>
  <c r="H24" i="32"/>
  <c r="P24" i="32"/>
  <c r="G24" i="32"/>
  <c r="N24" i="32"/>
  <c r="V24" i="32"/>
  <c r="M24" i="32"/>
  <c r="U24" i="32"/>
  <c r="L24" i="32"/>
  <c r="T24" i="32"/>
  <c r="K24" i="32"/>
  <c r="S24" i="32"/>
  <c r="R24" i="32"/>
  <c r="J24" i="32"/>
  <c r="I24" i="32"/>
  <c r="S4" i="32"/>
  <c r="J4" i="32"/>
  <c r="R4" i="32"/>
  <c r="I4" i="32"/>
  <c r="Q4" i="32"/>
  <c r="H4" i="32"/>
  <c r="P4" i="32"/>
  <c r="G4" i="32"/>
  <c r="N4" i="32"/>
  <c r="V4" i="32"/>
  <c r="M4" i="32"/>
  <c r="T4" i="32"/>
  <c r="L4" i="32"/>
  <c r="K4" i="32"/>
  <c r="U4" i="32"/>
  <c r="U5" i="32"/>
  <c r="L5" i="32"/>
  <c r="T5" i="32"/>
  <c r="K5" i="32"/>
  <c r="S5" i="32"/>
  <c r="J5" i="32"/>
  <c r="R5" i="32"/>
  <c r="I5" i="32"/>
  <c r="Q5" i="32"/>
  <c r="H5" i="32"/>
  <c r="P5" i="32"/>
  <c r="G5" i="32"/>
  <c r="M5" i="32"/>
  <c r="V5" i="32"/>
  <c r="N5" i="32"/>
  <c r="N18" i="32"/>
  <c r="V18" i="32"/>
  <c r="M18" i="32"/>
  <c r="U18" i="32"/>
  <c r="L18" i="32"/>
  <c r="T18" i="32"/>
  <c r="K18" i="32"/>
  <c r="S18" i="32"/>
  <c r="J18" i="32"/>
  <c r="R18" i="32"/>
  <c r="I18" i="32"/>
  <c r="Q18" i="32"/>
  <c r="P18" i="32"/>
  <c r="H18" i="32"/>
  <c r="G18" i="32"/>
  <c r="Q13" i="32"/>
  <c r="H13" i="32"/>
  <c r="P13" i="32"/>
  <c r="G13" i="32"/>
  <c r="N13" i="32"/>
  <c r="U13" i="32"/>
  <c r="L13" i="32"/>
  <c r="T13" i="32"/>
  <c r="S13" i="32"/>
  <c r="R13" i="32"/>
  <c r="M13" i="32"/>
  <c r="K13" i="32"/>
  <c r="J13" i="32"/>
  <c r="I13" i="32"/>
  <c r="V13" i="32"/>
  <c r="N44" i="32"/>
  <c r="V44" i="32"/>
  <c r="M44" i="32"/>
  <c r="U44" i="32"/>
  <c r="L44" i="32"/>
  <c r="S44" i="32"/>
  <c r="J44" i="32"/>
  <c r="K44" i="32"/>
  <c r="I44" i="32"/>
  <c r="H44" i="32"/>
  <c r="G44" i="32"/>
  <c r="T44" i="32"/>
  <c r="R44" i="32"/>
  <c r="Q44" i="32"/>
  <c r="P44" i="32"/>
  <c r="U55" i="32"/>
  <c r="L55" i="32"/>
  <c r="T55" i="32"/>
  <c r="K55" i="32"/>
  <c r="S55" i="32"/>
  <c r="J55" i="32"/>
  <c r="Q55" i="32"/>
  <c r="H55" i="32"/>
  <c r="I55" i="32"/>
  <c r="G55" i="32"/>
  <c r="V55" i="32"/>
  <c r="R55" i="32"/>
  <c r="P55" i="32"/>
  <c r="N55" i="32"/>
  <c r="M55" i="32"/>
  <c r="Q42" i="32"/>
  <c r="H42" i="32"/>
  <c r="P42" i="32"/>
  <c r="G42" i="32"/>
  <c r="N42" i="32"/>
  <c r="U42" i="32"/>
  <c r="L42" i="32"/>
  <c r="R42" i="32"/>
  <c r="M42" i="32"/>
  <c r="K42" i="32"/>
  <c r="J42" i="32"/>
  <c r="I42" i="32"/>
  <c r="V42" i="32"/>
  <c r="T42" i="32"/>
  <c r="S42" i="32"/>
  <c r="N15" i="32"/>
  <c r="V15" i="32"/>
  <c r="M15" i="32"/>
  <c r="U15" i="32"/>
  <c r="L15" i="32"/>
  <c r="T15" i="32"/>
  <c r="K15" i="32"/>
  <c r="S15" i="32"/>
  <c r="J15" i="32"/>
  <c r="R15" i="32"/>
  <c r="I15" i="32"/>
  <c r="Q15" i="32"/>
  <c r="P15" i="32"/>
  <c r="H15" i="32"/>
  <c r="G15" i="32"/>
  <c r="S49" i="32"/>
  <c r="J49" i="32"/>
  <c r="R49" i="32"/>
  <c r="I49" i="32"/>
  <c r="Q49" i="32"/>
  <c r="H49" i="32"/>
  <c r="N49" i="32"/>
  <c r="T49" i="32"/>
  <c r="P49" i="32"/>
  <c r="M49" i="32"/>
  <c r="L49" i="32"/>
  <c r="K49" i="32"/>
  <c r="G49" i="32"/>
  <c r="V49" i="32"/>
  <c r="U49" i="32"/>
  <c r="Q47" i="32"/>
  <c r="H47" i="32"/>
  <c r="P47" i="32"/>
  <c r="G47" i="32"/>
  <c r="N47" i="32"/>
  <c r="U47" i="32"/>
  <c r="L47" i="32"/>
  <c r="K47" i="32"/>
  <c r="J47" i="32"/>
  <c r="I47" i="32"/>
  <c r="V47" i="32"/>
  <c r="T47" i="32"/>
  <c r="S47" i="32"/>
  <c r="R47" i="32"/>
  <c r="M47" i="32"/>
  <c r="N46" i="32"/>
  <c r="V46" i="32"/>
  <c r="M46" i="32"/>
  <c r="U46" i="32"/>
  <c r="L46" i="32"/>
  <c r="S46" i="32"/>
  <c r="J46" i="32"/>
  <c r="G46" i="32"/>
  <c r="T46" i="32"/>
  <c r="R46" i="32"/>
  <c r="Q46" i="32"/>
  <c r="P46" i="32"/>
  <c r="K46" i="32"/>
  <c r="I46" i="32"/>
  <c r="H46" i="32"/>
  <c r="U51" i="32"/>
  <c r="L51" i="32"/>
  <c r="T51" i="32"/>
  <c r="K51" i="32"/>
  <c r="S51" i="32"/>
  <c r="J51" i="32"/>
  <c r="Q51" i="32"/>
  <c r="H51" i="32"/>
  <c r="P51" i="32"/>
  <c r="N51" i="32"/>
  <c r="M51" i="32"/>
  <c r="I51" i="32"/>
  <c r="G51" i="32"/>
  <c r="V51" i="32"/>
  <c r="R51" i="32"/>
  <c r="U54" i="32"/>
  <c r="L54" i="32"/>
  <c r="T54" i="32"/>
  <c r="K54" i="32"/>
  <c r="S54" i="32"/>
  <c r="J54" i="32"/>
  <c r="Q54" i="32"/>
  <c r="H54" i="32"/>
  <c r="P54" i="32"/>
  <c r="G54" i="32"/>
  <c r="V54" i="32"/>
  <c r="R54" i="32"/>
  <c r="N54" i="32"/>
  <c r="M54" i="32"/>
  <c r="I54" i="32"/>
  <c r="U29" i="32"/>
  <c r="L29" i="32"/>
  <c r="T29" i="32"/>
  <c r="K29" i="32"/>
  <c r="S29" i="32"/>
  <c r="J29" i="32"/>
  <c r="R29" i="32"/>
  <c r="I29" i="32"/>
  <c r="Q29" i="32"/>
  <c r="H29" i="32"/>
  <c r="P29" i="32"/>
  <c r="G29" i="32"/>
  <c r="V29" i="32"/>
  <c r="N29" i="32"/>
  <c r="M29" i="32"/>
  <c r="R1" i="23"/>
  <c r="U1" i="23"/>
  <c r="N1" i="23"/>
  <c r="V1" i="23"/>
  <c r="W1" i="23"/>
  <c r="H1" i="23"/>
  <c r="Q1" i="23"/>
  <c r="S1" i="23"/>
  <c r="J1" i="23"/>
  <c r="K1" i="23"/>
  <c r="I1" i="23"/>
  <c r="T1" i="23"/>
  <c r="M1" i="23"/>
  <c r="L1" i="23"/>
  <c r="G47" i="6"/>
  <c r="AG47" i="6" s="1"/>
  <c r="G46" i="6"/>
  <c r="AG46" i="6" s="1"/>
  <c r="AH37" i="6"/>
  <c r="AF37" i="6"/>
  <c r="F46" i="6" l="1"/>
  <c r="F47" i="6"/>
  <c r="O102" i="32"/>
  <c r="F102" i="32" s="1"/>
  <c r="O151" i="32"/>
  <c r="F151" i="32" s="1"/>
  <c r="AH151" i="32" s="1"/>
  <c r="O172" i="32"/>
  <c r="F172" i="32" s="1"/>
  <c r="G12" i="6"/>
  <c r="AG12" i="6" s="1"/>
  <c r="O156" i="32"/>
  <c r="F156" i="32" s="1"/>
  <c r="E156" i="32" s="1"/>
  <c r="O57" i="32"/>
  <c r="F57" i="32" s="1"/>
  <c r="O169" i="32"/>
  <c r="F169" i="32" s="1"/>
  <c r="E169" i="32" s="1"/>
  <c r="O139" i="32"/>
  <c r="F139" i="32" s="1"/>
  <c r="G44" i="6"/>
  <c r="AG44" i="6" s="1"/>
  <c r="G45" i="6"/>
  <c r="AG45" i="6" s="1"/>
  <c r="G41" i="6"/>
  <c r="AG41" i="6" s="1"/>
  <c r="AG42" i="6"/>
  <c r="O173" i="32"/>
  <c r="F173" i="32" s="1"/>
  <c r="O8" i="32"/>
  <c r="F8" i="32" s="1"/>
  <c r="G18" i="6"/>
  <c r="AG18" i="6" s="1"/>
  <c r="O22" i="32"/>
  <c r="F22" i="32" s="1"/>
  <c r="O28" i="32"/>
  <c r="F28" i="32" s="1"/>
  <c r="O59" i="32"/>
  <c r="F59" i="32" s="1"/>
  <c r="AH59" i="32" s="1"/>
  <c r="G36" i="6"/>
  <c r="AG36" i="6" s="1"/>
  <c r="G22" i="6"/>
  <c r="AG22" i="6" s="1"/>
  <c r="O44" i="32"/>
  <c r="F44" i="32" s="1"/>
  <c r="O18" i="32"/>
  <c r="F18" i="32" s="1"/>
  <c r="AH18" i="32" s="1"/>
  <c r="O7" i="32"/>
  <c r="F7" i="32" s="1"/>
  <c r="AH7" i="32" s="1"/>
  <c r="O46" i="32"/>
  <c r="F46" i="32" s="1"/>
  <c r="AH46" i="32" s="1"/>
  <c r="G38" i="6"/>
  <c r="AG38" i="6" s="1"/>
  <c r="O5" i="32"/>
  <c r="F5" i="32" s="1"/>
  <c r="AH5" i="32" s="1"/>
  <c r="O10" i="32"/>
  <c r="F10" i="32" s="1"/>
  <c r="AH10" i="32" s="1"/>
  <c r="O54" i="32"/>
  <c r="F54" i="32" s="1"/>
  <c r="E54" i="32" s="1"/>
  <c r="O42" i="32"/>
  <c r="F42" i="32" s="1"/>
  <c r="E42" i="32" s="1"/>
  <c r="L1" i="32"/>
  <c r="Q1" i="32"/>
  <c r="O21" i="32"/>
  <c r="F21" i="32" s="1"/>
  <c r="AH21" i="32" s="1"/>
  <c r="O30" i="32"/>
  <c r="F30" i="32" s="1"/>
  <c r="AH30" i="32" s="1"/>
  <c r="O31" i="32"/>
  <c r="F31" i="32" s="1"/>
  <c r="E31" i="32" s="1"/>
  <c r="O32" i="32"/>
  <c r="F32" i="32" s="1"/>
  <c r="E32" i="32" s="1"/>
  <c r="O50" i="32"/>
  <c r="F50" i="32" s="1"/>
  <c r="E50" i="32" s="1"/>
  <c r="O25" i="32"/>
  <c r="F25" i="32" s="1"/>
  <c r="E25" i="32" s="1"/>
  <c r="T1" i="32"/>
  <c r="I1" i="32"/>
  <c r="O24" i="32"/>
  <c r="F24" i="32" s="1"/>
  <c r="E24" i="32" s="1"/>
  <c r="O16" i="32"/>
  <c r="F16" i="32" s="1"/>
  <c r="AH16" i="32" s="1"/>
  <c r="O38" i="32"/>
  <c r="F38" i="32" s="1"/>
  <c r="AH38" i="32" s="1"/>
  <c r="M1" i="32"/>
  <c r="O47" i="32"/>
  <c r="F47" i="32" s="1"/>
  <c r="E47" i="32" s="1"/>
  <c r="V1" i="32"/>
  <c r="J1" i="32"/>
  <c r="O58" i="32"/>
  <c r="F58" i="32" s="1"/>
  <c r="AH58" i="32" s="1"/>
  <c r="O19" i="32"/>
  <c r="F19" i="32" s="1"/>
  <c r="AH19" i="32" s="1"/>
  <c r="O27" i="32"/>
  <c r="F27" i="32" s="1"/>
  <c r="AH27" i="32" s="1"/>
  <c r="O45" i="32"/>
  <c r="F45" i="32" s="1"/>
  <c r="E45" i="32" s="1"/>
  <c r="O49" i="32"/>
  <c r="F49" i="32" s="1"/>
  <c r="E49" i="32" s="1"/>
  <c r="N1" i="32"/>
  <c r="S1" i="32"/>
  <c r="O11" i="32"/>
  <c r="F11" i="32" s="1"/>
  <c r="AH11" i="32" s="1"/>
  <c r="O155" i="32"/>
  <c r="F155" i="32" s="1"/>
  <c r="E155" i="32" s="1"/>
  <c r="O6" i="32"/>
  <c r="F6" i="32" s="1"/>
  <c r="E6" i="32" s="1"/>
  <c r="O20" i="32"/>
  <c r="F20" i="32" s="1"/>
  <c r="AH20" i="32" s="1"/>
  <c r="O9" i="32"/>
  <c r="F9" i="32" s="1"/>
  <c r="AH9" i="32" s="1"/>
  <c r="O33" i="32"/>
  <c r="F33" i="32" s="1"/>
  <c r="E33" i="32" s="1"/>
  <c r="R1" i="32"/>
  <c r="O55" i="32"/>
  <c r="F55" i="32" s="1"/>
  <c r="AH55" i="32" s="1"/>
  <c r="O13" i="32"/>
  <c r="F13" i="32" s="1"/>
  <c r="AH13" i="32" s="1"/>
  <c r="G1" i="32"/>
  <c r="O17" i="32"/>
  <c r="F17" i="32" s="1"/>
  <c r="AH17" i="32" s="1"/>
  <c r="O40" i="32"/>
  <c r="F40" i="32" s="1"/>
  <c r="AH40" i="32" s="1"/>
  <c r="O48" i="32"/>
  <c r="F48" i="32" s="1"/>
  <c r="AH48" i="32" s="1"/>
  <c r="U1" i="32"/>
  <c r="O12" i="32"/>
  <c r="F12" i="32" s="1"/>
  <c r="AH12" i="32" s="1"/>
  <c r="O52" i="32"/>
  <c r="F52" i="32" s="1"/>
  <c r="AH52" i="32" s="1"/>
  <c r="O60" i="32"/>
  <c r="F60" i="32" s="1"/>
  <c r="AH60" i="32" s="1"/>
  <c r="O53" i="32"/>
  <c r="F53" i="32" s="1"/>
  <c r="AH53" i="32" s="1"/>
  <c r="O56" i="32"/>
  <c r="F56" i="32" s="1"/>
  <c r="AH56" i="32" s="1"/>
  <c r="O14" i="32"/>
  <c r="F14" i="32" s="1"/>
  <c r="AH14" i="32" s="1"/>
  <c r="O29" i="32"/>
  <c r="F29" i="32" s="1"/>
  <c r="AH29" i="32" s="1"/>
  <c r="O51" i="32"/>
  <c r="F51" i="32" s="1"/>
  <c r="AH51" i="32" s="1"/>
  <c r="O15" i="32"/>
  <c r="F15" i="32" s="1"/>
  <c r="AH15" i="32" s="1"/>
  <c r="K1" i="32"/>
  <c r="H1" i="32"/>
  <c r="O37" i="32"/>
  <c r="F37" i="32" s="1"/>
  <c r="AH37" i="32" s="1"/>
  <c r="O43" i="32"/>
  <c r="F43" i="32" s="1"/>
  <c r="AH43" i="32" s="1"/>
  <c r="P1" i="32"/>
  <c r="O4" i="32"/>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AH102" i="32"/>
  <c r="E102" i="32"/>
  <c r="E151" i="32"/>
  <c r="AH172" i="32"/>
  <c r="E172" i="32"/>
  <c r="E18" i="32"/>
  <c r="AH156" i="32"/>
  <c r="F12" i="6"/>
  <c r="AH169" i="32"/>
  <c r="AH139" i="32"/>
  <c r="E139" i="32"/>
  <c r="E57" i="32"/>
  <c r="AH57" i="32"/>
  <c r="AH173" i="32"/>
  <c r="E173" i="32"/>
  <c r="AH42" i="32"/>
  <c r="E30" i="32"/>
  <c r="AH45" i="32"/>
  <c r="E38" i="32"/>
  <c r="AH28" i="32"/>
  <c r="E28" i="32"/>
  <c r="AH22" i="32"/>
  <c r="E22" i="32"/>
  <c r="F18" i="6"/>
  <c r="AH8" i="32"/>
  <c r="E8" i="32"/>
  <c r="E46" i="32"/>
  <c r="E59" i="32"/>
  <c r="AH47" i="32"/>
  <c r="AH6" i="32"/>
  <c r="E12" i="32"/>
  <c r="E17" i="32"/>
  <c r="E19" i="32"/>
  <c r="E5" i="32"/>
  <c r="E48" i="32"/>
  <c r="E9" i="32"/>
  <c r="AH31" i="32"/>
  <c r="E37" i="32"/>
  <c r="E21" i="32"/>
  <c r="E53" i="32"/>
  <c r="AH33" i="32"/>
  <c r="AH24" i="32"/>
  <c r="AH44" i="32"/>
  <c r="E44" i="32"/>
  <c r="E56" i="32"/>
  <c r="E7" i="32"/>
  <c r="E40" i="32"/>
  <c r="E16" i="32"/>
  <c r="E52" i="32"/>
  <c r="E51" i="32"/>
  <c r="AH32" i="32"/>
  <c r="AH54" i="32"/>
  <c r="AH25" i="32"/>
  <c r="E15" i="32"/>
  <c r="AH50" i="32"/>
  <c r="E14" i="32"/>
  <c r="E10" i="32"/>
  <c r="AH49" i="32"/>
  <c r="E11" i="32"/>
  <c r="E13" i="32"/>
  <c r="E29" i="32"/>
  <c r="E58" i="32"/>
  <c r="E55" i="32"/>
  <c r="AH155" i="32"/>
  <c r="E27" i="32"/>
  <c r="E43" i="32"/>
  <c r="E20" i="32"/>
  <c r="E60" i="32"/>
  <c r="F4" i="32"/>
  <c r="O1" i="32"/>
  <c r="F19" i="6"/>
  <c r="F7" i="6"/>
  <c r="F28" i="6"/>
  <c r="F24" i="6"/>
  <c r="F20" i="6"/>
  <c r="F9" i="6"/>
  <c r="F10" i="6"/>
  <c r="F25" i="6"/>
  <c r="F8" i="6"/>
  <c r="F6" i="6"/>
  <c r="K1" i="6"/>
  <c r="L1" i="6"/>
  <c r="H1" i="6"/>
  <c r="Q1" i="6"/>
  <c r="J1" i="6"/>
  <c r="T1" i="6"/>
  <c r="S1" i="6"/>
  <c r="R1" i="6"/>
  <c r="U1" i="6"/>
  <c r="N1" i="6"/>
  <c r="I1" i="6"/>
  <c r="M1" i="6"/>
  <c r="V1" i="6"/>
  <c r="W1" i="6"/>
  <c r="AI1" i="6" l="1"/>
  <c r="AJ1" i="23"/>
  <c r="AG1" i="6"/>
  <c r="AH4" i="32"/>
  <c r="F1" i="32"/>
  <c r="E4" i="32"/>
  <c r="F21" i="26"/>
  <c r="G22" i="26"/>
  <c r="G23" i="26" s="1"/>
  <c r="AM6" i="6" l="1"/>
  <c r="AM7" i="6"/>
  <c r="AM9" i="6" s="1"/>
  <c r="Y1" i="32"/>
  <c r="F23" i="26"/>
  <c r="E21" i="26"/>
  <c r="E22" i="26"/>
  <c r="AM10" i="6" l="1"/>
  <c r="E23" i="26"/>
  <c r="D21" i="40" l="1"/>
  <c r="I132" i="38"/>
  <c r="I142" i="38" l="1"/>
  <c r="I138" i="38"/>
  <c r="I16" i="38"/>
  <c r="I17"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<sst xmlns="http://schemas.openxmlformats.org/spreadsheetml/2006/main" count="15031" uniqueCount="928">
  <si>
    <t>CNPJ</t>
  </si>
  <si>
    <t>NUMNOTA</t>
  </si>
  <si>
    <t>DTVENC</t>
  </si>
  <si>
    <t>NOMEPARC</t>
  </si>
  <si>
    <t>CODPARC</t>
  </si>
  <si>
    <t>Dias vencidos</t>
  </si>
  <si>
    <t>Valor</t>
  </si>
  <si>
    <t>Guarantee</t>
  </si>
  <si>
    <t>Not Due</t>
  </si>
  <si>
    <t>1-30 Days</t>
  </si>
  <si>
    <t>31-60 Days</t>
  </si>
  <si>
    <t>61-90 Days</t>
  </si>
  <si>
    <t>91-120 Days</t>
  </si>
  <si>
    <t>121-180 Days</t>
  </si>
  <si>
    <t>181-360 Days</t>
  </si>
  <si>
    <t>Above 360 Days</t>
  </si>
  <si>
    <t>Aging Not Due</t>
  </si>
  <si>
    <t>Total AR</t>
  </si>
  <si>
    <t>Value</t>
  </si>
  <si>
    <t>Due date</t>
  </si>
  <si>
    <t>Type</t>
  </si>
  <si>
    <t>Period days</t>
  </si>
  <si>
    <t>CUSTOMER</t>
  </si>
  <si>
    <t>Tenor</t>
  </si>
  <si>
    <t>Payment collection history</t>
  </si>
  <si>
    <t xml:space="preserve">Exceeded Granted Credit </t>
  </si>
  <si>
    <t>Aging Overdue</t>
  </si>
  <si>
    <t>Overdue</t>
  </si>
  <si>
    <t>1</t>
  </si>
  <si>
    <t>Adtives</t>
  </si>
  <si>
    <t>FOSNOR - LUIS EDUARDO MAGALHAES</t>
  </si>
  <si>
    <t>..-</t>
  </si>
  <si>
    <t>00.000.000/0000-00</t>
  </si>
  <si>
    <t>VWI TRANSPORTES LTDA - ME</t>
  </si>
  <si>
    <t>CARGILL - UBERLÂNDIA</t>
  </si>
  <si>
    <t>VENDAS MERCADO INTERNO</t>
  </si>
  <si>
    <t>CIBRA - CAMAÇARI</t>
  </si>
  <si>
    <t>00.117.842/0001-28</t>
  </si>
  <si>
    <t>ADUBOS ARAGUAIA - ANAPOLIS</t>
  </si>
  <si>
    <t>FECOAGRO</t>
  </si>
  <si>
    <t>COMIGO - RIO VERDE</t>
  </si>
  <si>
    <t>HERINGER - RONDONÓPOLIS II</t>
  </si>
  <si>
    <t>22.266.175/0036-08</t>
  </si>
  <si>
    <t>FERTIPAR - RONDONÓPOLIS</t>
  </si>
  <si>
    <t>HERINGER - RIO VERDE</t>
  </si>
  <si>
    <t>UNIFÉRTIL - CANOAS UN2</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</si>
  <si>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</si>
  <si>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</si>
  <si>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</si>
  <si>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</si>
  <si>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</si>
  <si>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</si>
  <si>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</si>
  <si>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</si>
  <si>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</si>
  <si>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QUERÊNCIA</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</si>
  <si>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</si>
  <si>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</si>
  <si>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</si>
  <si>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</si>
  <si>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</si>
  <si>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</si>
  <si>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</si>
  <si>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</si>
  <si>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</si>
  <si>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</si>
  <si>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</si>
  <si>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</si>
  <si>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</si>
  <si>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</si>
  <si>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</si>
  <si>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</si>
  <si>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</si>
  <si>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</si>
  <si>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</si>
  <si>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</si>
  <si>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</si>
  <si>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</si>
  <si>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</si>
  <si>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</si>
  <si>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</si>
  <si>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</si>
  <si>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</si>
  <si>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</si>
  <si>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</si>
  <si>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</si>
  <si>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</si>
  <si>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</si>
  <si>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02.599.378/0001-89</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</si>
  <si>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</si>
  <si>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</si>
  <si>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</si>
  <si>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</si>
  <si>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</si>
  <si>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</si>
  <si>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</si>
  <si>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</si>
  <si>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</si>
  <si>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</si>
  <si>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</si>
  <si>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</si>
  <si>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</si>
  <si>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</si>
  <si>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</si>
  <si>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</si>
  <si>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</si>
  <si>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</si>
  <si>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</si>
  <si>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</si>
  <si>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</si>
  <si>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</si>
  <si>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</si>
  <si>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</si>
  <si>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</si>
  <si>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</si>
  <si>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</si>
  <si>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</si>
  <si>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</si>
  <si>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</si>
  <si>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</si>
  <si>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</si>
  <si>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</si>
  <si>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</si>
  <si>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</si>
  <si>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08.684.752/0001-20</t>
  </si>
  <si>
    <t>VENDAS MERCADO EXTERNO</t>
  </si>
  <si>
    <t>BUNGE PARAGUAY S.A</t>
  </si>
  <si>
    <t>99.999.999/9999-99</t>
  </si>
  <si>
    <t>AGROBROKERS - COLÔMBIA</t>
  </si>
  <si>
    <t>FERTIMAX PARAGUAY</t>
  </si>
  <si>
    <t>ISUSA - URUGUAI</t>
  </si>
  <si>
    <t>MOSAIC FERTILIZANTES PARAGUAY S.R.L.</t>
  </si>
  <si>
    <t>SOLINAG CÍA.LTDA</t>
  </si>
  <si>
    <t>LYCSA ARGENTINA</t>
  </si>
  <si>
    <t>CIAGROPA SA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</si>
  <si>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</si>
  <si>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</si>
  <si>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</si>
  <si>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</si>
  <si>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</si>
  <si>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</si>
  <si>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</si>
  <si>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</si>
  <si>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</si>
  <si>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</si>
  <si>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</si>
  <si>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</si>
  <si>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</si>
  <si>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</si>
  <si>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</si>
  <si>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</si>
  <si>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</si>
  <si>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</si>
  <si>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</si>
  <si>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</si>
  <si>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</si>
  <si>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</si>
  <si>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</si>
  <si>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</si>
  <si>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Credit Analysis</t>
  </si>
  <si>
    <t>NATIVA - IBIÁ</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</si>
  <si>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</si>
  <si>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</si>
  <si>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</si>
  <si>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</si>
  <si>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</si>
  <si>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</si>
  <si>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</si>
  <si>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</si>
  <si>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</si>
  <si>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</si>
  <si>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</si>
  <si>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FERMAGRI S.A</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</si>
  <si>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</si>
  <si>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</si>
  <si>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</si>
  <si>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</si>
  <si>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</si>
  <si>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</si>
  <si>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</si>
  <si>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</si>
  <si>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</si>
  <si>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</si>
  <si>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</si>
  <si>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</si>
  <si>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</si>
  <si>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</si>
  <si>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</si>
  <si>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</si>
  <si>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</si>
  <si>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</si>
  <si>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</si>
  <si>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FERTIBAL</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</si>
  <si>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</si>
  <si>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</si>
  <si>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</si>
  <si>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</si>
  <si>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</si>
  <si>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</si>
  <si>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</si>
  <si>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</si>
  <si>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</si>
  <si>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</si>
  <si>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</si>
  <si>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</si>
  <si>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</si>
  <si>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</si>
  <si>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</si>
  <si>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</si>
  <si>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</si>
  <si>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</si>
  <si>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</si>
  <si>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</si>
  <si>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</si>
  <si>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</si>
  <si>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</si>
  <si>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</si>
  <si>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</si>
  <si>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</si>
  <si>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</si>
  <si>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</si>
  <si>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</si>
  <si>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</si>
  <si>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</si>
  <si>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</si>
  <si>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</si>
  <si>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</si>
  <si>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Clean</t>
  </si>
  <si>
    <t>CPR</t>
  </si>
  <si>
    <t>Aval Socios</t>
  </si>
  <si>
    <t>CLEAN/CPRF</t>
  </si>
  <si>
    <t>CPR-F</t>
  </si>
  <si>
    <t>1 year</t>
  </si>
  <si>
    <t>CPR-G</t>
  </si>
  <si>
    <t>CLEAN/FIANÇA</t>
  </si>
  <si>
    <t>10 months</t>
  </si>
  <si>
    <t>HERINGER - MANHUAÇU</t>
  </si>
  <si>
    <t>FERTILIZ. TOCANTINS - BARCARENA</t>
  </si>
  <si>
    <t>ANDRÉ ARAÚJO MARTINS</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</si>
  <si>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</si>
  <si>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</si>
  <si>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</si>
  <si>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</si>
  <si>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</si>
  <si>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</si>
  <si>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</si>
  <si>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</si>
  <si>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</si>
  <si>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</si>
  <si>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</si>
  <si>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</si>
  <si>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</si>
  <si>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</si>
  <si>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</si>
  <si>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</si>
  <si>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</si>
  <si>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</si>
  <si>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</si>
  <si>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</si>
  <si>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</si>
  <si>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</si>
  <si>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</si>
  <si>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</si>
  <si>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</si>
  <si>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</si>
  <si>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</si>
  <si>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</si>
  <si>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</si>
  <si>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</si>
  <si>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</si>
  <si>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</si>
  <si>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</si>
  <si>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</si>
  <si>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</si>
  <si>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</si>
  <si>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</si>
  <si>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</si>
  <si>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</si>
  <si>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</si>
  <si>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</si>
  <si>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</si>
  <si>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</si>
  <si>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</si>
  <si>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</si>
  <si>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</si>
  <si>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</si>
  <si>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</si>
  <si>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</si>
  <si>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</si>
  <si>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PIS A RECOLHER</t>
  </si>
  <si>
    <t>SUL GOIANA - GOIATUBA</t>
  </si>
  <si>
    <t>COFINS A RECOLHER</t>
  </si>
  <si>
    <t>TERRA DE CULTIVO - MACHADO</t>
  </si>
  <si>
    <t>TEPEYAC</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</si>
  <si>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</si>
  <si>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</si>
  <si>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</si>
  <si>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</si>
  <si>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</si>
  <si>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</si>
  <si>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</si>
  <si>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</si>
  <si>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</si>
  <si>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</si>
  <si>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</si>
  <si>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</si>
  <si>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</si>
  <si>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</si>
  <si>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</si>
  <si>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</si>
  <si>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</si>
  <si>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</si>
  <si>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</si>
  <si>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</si>
  <si>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</si>
  <si>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</si>
  <si>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</si>
  <si>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Aditives</t>
  </si>
  <si>
    <t>Ilimitado</t>
  </si>
  <si>
    <t>Garantia</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</si>
  <si>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</si>
  <si>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</si>
  <si>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</si>
  <si>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</si>
  <si>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</si>
  <si>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</si>
  <si>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</si>
  <si>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</si>
  <si>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</si>
  <si>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</si>
  <si>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</si>
  <si>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</si>
  <si>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</si>
  <si>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</si>
  <si>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</si>
  <si>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</si>
  <si>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27.273.296/0001-70</t>
  </si>
  <si>
    <t>NITROFERT SAS - COLOMBIA</t>
  </si>
  <si>
    <t>Remark</t>
  </si>
  <si>
    <t>BU</t>
  </si>
  <si>
    <t>Provision</t>
  </si>
  <si>
    <t>CENTRAL DO ADUBO</t>
  </si>
  <si>
    <t>Fertilizer</t>
  </si>
  <si>
    <t>SM AGRO / FAZ. BATURI</t>
  </si>
  <si>
    <t>Surety Bond</t>
  </si>
  <si>
    <t>Total Over Due in Litigation</t>
  </si>
  <si>
    <t xml:space="preserve">TERRA FERTILIZANTES LTDA </t>
  </si>
  <si>
    <t>FERTISANTA FERTILIZANTES</t>
  </si>
  <si>
    <t>Total Over Due with Possible Loss</t>
  </si>
  <si>
    <t>Low Risk - Expect to Receive soon</t>
  </si>
  <si>
    <t>Provision as per corporate policy</t>
  </si>
  <si>
    <t>Total</t>
  </si>
  <si>
    <t>Guarantee sent to the legal department so that they begin legal proceedings to collect the amount due</t>
  </si>
  <si>
    <t>BOLSA AGRONEGOCIOS</t>
  </si>
  <si>
    <t>FERTIPAR - CANDEIAS</t>
  </si>
  <si>
    <t>FERMAGRI S.A - EQUADOR</t>
  </si>
  <si>
    <t>SAGRA - ARAXÁ</t>
  </si>
  <si>
    <t>FAZENDA SERTAOZINHO</t>
  </si>
  <si>
    <t>HERINGER - RIO GRANDE</t>
  </si>
  <si>
    <t>ADUBOS BOA SAFRA - ITUMBIARA</t>
  </si>
  <si>
    <t>EQUILIBRA PERU S.A</t>
  </si>
  <si>
    <t>INDORAMA - SENEGAL</t>
  </si>
  <si>
    <t>INSS A RECOLHER</t>
  </si>
  <si>
    <t>IRRF</t>
  </si>
  <si>
    <t>IRRF S/ FOLHA DE PAGAMENTO</t>
  </si>
  <si>
    <t>PIS / COFINS / CSLL</t>
  </si>
  <si>
    <t>LOUIS DREYFUS - NOVA MUTUM</t>
  </si>
  <si>
    <t>FZD CATULES LUGAR DENOMINADO SANTA CRUZ</t>
  </si>
  <si>
    <t>AMÉRICA</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</si>
  <si>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</si>
  <si>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</si>
  <si>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</si>
  <si>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</si>
  <si>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</si>
  <si>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</si>
  <si>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</si>
  <si>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</si>
  <si>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</si>
  <si>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</si>
  <si>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07.212.714/0001-02</t>
  </si>
  <si>
    <t>TAKI AGRO - SOCORRO</t>
  </si>
  <si>
    <t>39.750.862/0001-77</t>
  </si>
  <si>
    <t>TECNOMYL S.A. - PARAGUAY</t>
  </si>
  <si>
    <t>SEU LIXO</t>
  </si>
  <si>
    <t>50.454.037/0001-68</t>
  </si>
  <si>
    <t>CAPLA PANAMA</t>
  </si>
  <si>
    <t>FAZENDA BOA VISTA</t>
  </si>
  <si>
    <t>FAZENDA APARECIDA GLEBA 1</t>
  </si>
  <si>
    <t>CAMPO FERTIL - ANAPOLIS</t>
  </si>
  <si>
    <t>AGROBERALDO</t>
  </si>
  <si>
    <t>Provision 100%. Client’s overdues were protested at the registry office. Legal process ongoing</t>
  </si>
  <si>
    <t>EQUILÍBRIO - CATALÃO</t>
  </si>
  <si>
    <t>INKAFERT - PERU</t>
  </si>
  <si>
    <t>COPEVAL - CHILE</t>
  </si>
  <si>
    <t>ANAGRA - CHILE</t>
  </si>
  <si>
    <t>GRUPO ANDINA PERU</t>
  </si>
  <si>
    <t>FAZENDA CAMPO ALEGRE</t>
  </si>
  <si>
    <t>NATIVA AGRONEGOCIOS - IBIÁ</t>
  </si>
  <si>
    <t>CARGILL PARAGUAI</t>
  </si>
  <si>
    <t>SECRETARIA DA RECEITA FEDERAL</t>
  </si>
  <si>
    <t>GEN FERTILIZANTES - BARCARENA</t>
  </si>
  <si>
    <t>07.571.116/0015-25</t>
  </si>
  <si>
    <t>FERTALVO FERTILIZANTES - RONDONÓPOLIS</t>
  </si>
  <si>
    <t>C I ACEPALMA SA - COLOMBIA</t>
  </si>
  <si>
    <t>Judicial recovery plan presented but yet to be approved by Creditors Asembly: a meeting was held with AFT and a proposal of 65% discount on face value presented with a 18-month grace period and repayment over 10 years (in 20 installments).  Adfert has not received further details on the restructuring plan as previously agreed in the end of Oct. Creditors assembly yet to be marked and a vote will occur for the Debtors recovery plan approval. Adfert advisors have a strong believe that the plan as AS-IS will not be approved and new financial conditions will be needed by the debtors</t>
  </si>
  <si>
    <t>Client has phisycally closed its reseller shop. Current overdue invoices were dully protested at the registry office and legal action has been filed. Awaiting court´s decision ordering the defendants to be served for payment</t>
  </si>
  <si>
    <t>Adfert has taken legal action and collection recovery lawsuit to be filed within November. An agreement for a payment plan was not successfull</t>
  </si>
  <si>
    <t>Judicial recovery started</t>
  </si>
  <si>
    <t>old overdue</t>
  </si>
  <si>
    <t>GRUPO</t>
  </si>
  <si>
    <t>Grupo</t>
  </si>
  <si>
    <t>GRUPO FERTIPAR</t>
  </si>
  <si>
    <t>GRUPO EUROCHEM</t>
  </si>
  <si>
    <t>GRUPO MOSAIC</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</si>
  <si>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</si>
  <si>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</si>
  <si>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</si>
  <si>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</si>
  <si>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</si>
  <si>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</si>
  <si>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</si>
  <si>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</si>
  <si>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</si>
  <si>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</si>
  <si>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</si>
  <si>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</si>
  <si>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</si>
  <si>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</si>
  <si>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</si>
  <si>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</si>
  <si>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</si>
  <si>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</si>
  <si>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</si>
  <si>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</si>
  <si>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</si>
  <si>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</si>
  <si>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</si>
  <si>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CRÉDITO DISPONÍVEL</t>
  </si>
  <si>
    <t>FERTIBAL - EQUADOR</t>
  </si>
  <si>
    <t>Cód. Parceiro</t>
  </si>
  <si>
    <t>Nome Parceiro</t>
  </si>
  <si>
    <t>Grupo de Risco</t>
  </si>
  <si>
    <t>Data da Analise</t>
  </si>
  <si>
    <t>Valor do limite</t>
  </si>
  <si>
    <t>Informações da Analise</t>
  </si>
  <si>
    <t>Possui limite?</t>
  </si>
  <si>
    <t>Composição Garantias</t>
  </si>
  <si>
    <t>Fim da Garantia</t>
  </si>
  <si>
    <t>Sim</t>
  </si>
  <si>
    <t>ANALISE FEITO PELA BIOMA COM SUGESTAO LIMITE CLENA DE 500K PRAZO 120 DIAS E AVAL DE 1,5KK PRAZO 120 DIAS</t>
  </si>
  <si>
    <t>CARTA FIANÇA DE 1,8KK FEITO EM 26/06/2024</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</si>
  <si>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</si>
  <si>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</si>
  <si>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</si>
  <si>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</si>
  <si>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</si>
  <si>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</si>
  <si>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</si>
  <si>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</si>
  <si>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</si>
  <si>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</si>
  <si>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</si>
  <si>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CLIENTE APRESENTA NO RELATÓRIO DE ANÁLISE UM RISCO DE MÉDIO PARA BAIXO</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</si>
  <si>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</si>
  <si>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</si>
  <si>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</si>
  <si>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</si>
  <si>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cliente startup</t>
  </si>
  <si>
    <t>LIMITE CONCEDIDO DE 70K E ANALISE A SER COMPLETADA</t>
  </si>
  <si>
    <t>A</t>
  </si>
  <si>
    <t>CREDITO</t>
  </si>
  <si>
    <t>Valor de Limite disponibilizado para todo grupo.</t>
  </si>
  <si>
    <t>FAZENDA PITAS</t>
  </si>
  <si>
    <t>The judicial collection lawsuit plan was signed and filed. Court decision has approved the settement agreement establishing a 24 months payment plan (montlhy payment). 1st installment not paid and the judicial collection is ongoing</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</si>
  <si>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</si>
  <si>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</si>
  <si>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</si>
  <si>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</si>
  <si>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</si>
  <si>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</si>
  <si>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</si>
  <si>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</si>
  <si>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</si>
  <si>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</si>
  <si>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</si>
  <si>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</si>
  <si>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</si>
  <si>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</si>
  <si>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</si>
  <si>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</si>
  <si>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</si>
  <si>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</si>
  <si>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</si>
  <si>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</si>
  <si>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</si>
  <si>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</si>
  <si>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</si>
  <si>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</si>
  <si>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506.629.459-72</t>
  </si>
  <si>
    <t xml:space="preserve">Exposição </t>
  </si>
  <si>
    <t>GRUPO MOSAIC FERTILIZANTES DO BRASIL</t>
  </si>
  <si>
    <t>JOSÉ RIBEIRO DE CASTRO - SITIO MONGE</t>
  </si>
  <si>
    <t xml:space="preserve">in BRl </t>
  </si>
  <si>
    <t>Risk Provisions</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</si>
  <si>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</si>
  <si>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</si>
  <si>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</si>
  <si>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</si>
  <si>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</si>
  <si>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</si>
  <si>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</si>
  <si>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</si>
  <si>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</si>
  <si>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</si>
  <si>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</si>
  <si>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</si>
  <si>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Planta Rica Agronegócios Ltda</t>
  </si>
  <si>
    <t>Equilíbrio - Mogi Mirim</t>
  </si>
  <si>
    <t>old overdue due to Quality issues</t>
  </si>
  <si>
    <t>Terra Fertilizantes Ltda</t>
  </si>
  <si>
    <t>Additives</t>
  </si>
  <si>
    <t>Plant Bem - Paranagua</t>
  </si>
  <si>
    <t>Fertisanta Fertilizantes</t>
  </si>
  <si>
    <t>Superbac</t>
  </si>
  <si>
    <t>No agreenment on payment. Judicial recovery process to begin</t>
  </si>
  <si>
    <t>Delcorp S.A</t>
  </si>
  <si>
    <t>Int'll</t>
  </si>
  <si>
    <t>LYCSA Argentina</t>
  </si>
  <si>
    <t>Indorama Senegal</t>
  </si>
  <si>
    <t>Freight Debit Notes</t>
  </si>
  <si>
    <t>GRUPO HERINGER</t>
  </si>
  <si>
    <t>GRUPO MOSAIC FERTILIZANTES P K LTDA</t>
  </si>
  <si>
    <t>GRUPO FERTILIZ TOCANTINS</t>
  </si>
  <si>
    <t>MOSAIC - RIO GRANDE</t>
  </si>
  <si>
    <t>SQM - CHILE</t>
  </si>
  <si>
    <t>TEPEYAC - MÉXICO</t>
  </si>
  <si>
    <t>Overdue received in the beginning of March</t>
  </si>
  <si>
    <t>JOSÉ  FRANCISCO PIRES DE SOUZA</t>
  </si>
  <si>
    <t>Cobrança</t>
  </si>
  <si>
    <t>Data renegociada</t>
  </si>
  <si>
    <t>Cobrança Administrativa</t>
  </si>
  <si>
    <t>Em Procedimento Judicial</t>
  </si>
  <si>
    <t>Recuperação Judicial</t>
  </si>
  <si>
    <t>Receivables as on 31st March 25</t>
  </si>
  <si>
    <t>Grupo Fert Tocantins</t>
  </si>
  <si>
    <t xml:space="preserve">Payment plan in negotiation: 10% payment in 2025 + 3 bullet yearly payments for the remaining debt.
</t>
  </si>
  <si>
    <t xml:space="preserve">Creditor´s assembly has been schedulled for May 2025.
Central has reached out to Adfert for preferred suppliers status and conditions are in negotiation along April early May to be presented in the Assembly. </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</si>
  <si>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</si>
  <si>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</si>
  <si>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</si>
  <si>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</si>
  <si>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</si>
  <si>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</si>
  <si>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</si>
  <si>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</si>
  <si>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</si>
  <si>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</si>
  <si>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</si>
  <si>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</si>
  <si>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</si>
  <si>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</si>
  <si>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</si>
  <si>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</si>
  <si>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</si>
  <si>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</si>
  <si>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</si>
  <si>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</si>
  <si>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</si>
  <si>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</si>
  <si>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</si>
  <si>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</si>
  <si>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</si>
  <si>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</si>
  <si>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</si>
  <si>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</si>
  <si>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</si>
  <si>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</si>
  <si>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</si>
  <si>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</si>
  <si>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</si>
  <si>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</si>
  <si>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</si>
  <si>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</si>
  <si>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</si>
  <si>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</si>
  <si>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</si>
  <si>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</si>
  <si>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</si>
  <si>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</si>
  <si>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</si>
  <si>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</si>
  <si>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</si>
  <si>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Limite liberado por Bruno Merlino após analise de credito.</t>
  </si>
  <si>
    <t>Limite liberado no valor de 500.000,00 liberado por Bruno Merlino.</t>
  </si>
  <si>
    <t>Valor referente a valor coberto pela COFACE em seguro de credito</t>
  </si>
  <si>
    <t>CERRAGRI</t>
  </si>
  <si>
    <t>Limite concedido pelo Bruno Merlino</t>
  </si>
  <si>
    <t>GRUPO FERTINOR</t>
  </si>
  <si>
    <t>Valor de limite concedido por Bruno Merlino, ate resposta da seguradora.</t>
  </si>
  <si>
    <t>Cliente Aditivos frequente analise para liberação de carregamentos</t>
  </si>
  <si>
    <t>LIMITE CONCEDIDO PELO BRUNO</t>
  </si>
  <si>
    <t>Limite Liberado pela coface R$100.000,00</t>
  </si>
  <si>
    <t>Limite concedido por Bruno Merlino após analise de credito.</t>
  </si>
  <si>
    <t>Valor liberado pela seguradora de credito</t>
  </si>
  <si>
    <t>GRUPO FERTILIZANTES BANDEIRANTES</t>
  </si>
  <si>
    <t>GRUPO FERTIPAR FERTILIZANTES PARANA</t>
  </si>
  <si>
    <t>GRUPO FERTIPAR SUDESTE</t>
  </si>
  <si>
    <t>LIMITE CONCEDIDO PELA SEGURADORA COFACE</t>
  </si>
  <si>
    <t>LIMITE CONCEDIDO PELA COFACE</t>
  </si>
  <si>
    <t>Sum of Total Write off</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</si>
  <si>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</si>
  <si>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</si>
  <si>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</si>
  <si>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</si>
  <si>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</si>
  <si>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</si>
  <si>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</si>
  <si>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</si>
  <si>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BENTONIT UNIAO - CAMPINA GRANDE</t>
  </si>
  <si>
    <t>08.142.953/0002-87</t>
  </si>
  <si>
    <t>PREMIUM FERTILIZANTES - ALFENAS</t>
  </si>
  <si>
    <t>SAFRA FERTILIZANTES - ALFENAS</t>
  </si>
  <si>
    <t>MANUCHAR ARGENTINA S.A</t>
  </si>
  <si>
    <t>Limite concedido por Bruno Merlino</t>
  </si>
  <si>
    <t>Limite aprovado pela coface</t>
  </si>
  <si>
    <t>LIMITE CONCEDIDO PELA SEGURADORA</t>
  </si>
  <si>
    <t>Limite liberado pela seguradora de credito (COFACE) R$3.000.000,00</t>
  </si>
  <si>
    <t>Limite liberado concedido pela coface</t>
  </si>
  <si>
    <t>LIMITE APROVADO 100.000,00 USD.</t>
  </si>
  <si>
    <t>LIBERAÇÃO DE CLIENTE AURORA MINERAÇÃO LTDA.</t>
  </si>
  <si>
    <t>COOMAP</t>
  </si>
  <si>
    <t>Limite concedido pelo Bruno</t>
  </si>
  <si>
    <t>Valor liberado pela seguradora de credito 200.000 USD</t>
  </si>
  <si>
    <t>LIMITE CONCEDIDO PELA COFACE  250.000,00 USD</t>
  </si>
  <si>
    <t>LIMITE APROVADO PELA SEGURADORA 125.000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</si>
  <si>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</si>
  <si>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</si>
  <si>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</si>
  <si>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</si>
  <si>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</si>
  <si>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</si>
  <si>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</si>
  <si>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</si>
  <si>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</si>
  <si>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</si>
  <si>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LIMITE CONCEDIDO PELA SEGURADORA  60.000,00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</si>
  <si>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</si>
  <si>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</si>
  <si>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</si>
  <si>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</si>
  <si>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</si>
  <si>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</si>
  <si>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</si>
  <si>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</si>
  <si>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</si>
  <si>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</si>
  <si>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</si>
  <si>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</si>
  <si>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</si>
  <si>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</si>
  <si>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</si>
  <si>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Classificado como risco médio [6]
Trata-se de cliente sem histórico de relacionamento com a ADFERT e sem informações de comportamento com fornecedores no mercado. Porém, não possui anotações negativas.
Possui bom tempo de experiência no AGRO com boa capacidade de gestão de seus negócios.
O que chama a atenção, neste caso, é o alto grau de endividamento, comparado com seu patrimônio, tendo apresentado um crescimento da dívida em 2023 um pouco acima do crescimento da receita.
Com esse perfil de risco consideramos o cliente elegível a crédito.
Limite clean aprovado no valor de R$500.000,00 no dia 10/12/2024.
(LIMITE CONCEDIDO COM PRAZO DE 389 DIAS PARA PAGAMENTO.)</t>
  </si>
  <si>
    <t>Provaveis Vendas</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</si>
  <si>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</si>
  <si>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</si>
  <si>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</si>
  <si>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</si>
  <si>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</si>
  <si>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</si>
  <si>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</si>
  <si>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</si>
  <si>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</si>
  <si>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</si>
  <si>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</si>
  <si>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</si>
  <si>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</si>
  <si>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</si>
  <si>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</si>
  <si>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</si>
  <si>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</si>
  <si>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</si>
  <si>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</si>
  <si>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</si>
  <si>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</si>
  <si>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</si>
  <si>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</si>
  <si>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</si>
  <si>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</si>
  <si>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</si>
  <si>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</si>
  <si>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Rótulos de Linha</t>
  </si>
  <si>
    <t>(vazio)</t>
  </si>
  <si>
    <t>Total Geral</t>
  </si>
  <si>
    <t>limite concedido pela seguradora</t>
  </si>
  <si>
    <t>GRUPO CAMPO RICO</t>
  </si>
  <si>
    <t>41.841.473/0001-07</t>
  </si>
  <si>
    <t>CAMPOFERT - COLOMBIA</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</si>
  <si>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</si>
  <si>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</si>
  <si>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</si>
  <si>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</si>
  <si>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</si>
  <si>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</si>
  <si>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</si>
  <si>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</si>
  <si>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</si>
  <si>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</si>
  <si>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</si>
  <si>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</si>
  <si>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</si>
  <si>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</si>
  <si>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</si>
  <si>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limite renovado pela seguradora 100.000,00 USD
Taxa de Câmbio utilizada: R$5,50 -&gt;R$550.000,00</t>
  </si>
  <si>
    <t>JOSE FRANCISCO PIRES DE SOUZA</t>
  </si>
  <si>
    <t>02.119.258/0002-18</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</si>
  <si>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</si>
  <si>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</si>
  <si>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</si>
  <si>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</si>
  <si>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</si>
  <si>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</si>
  <si>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</si>
  <si>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de Crédito aprovado pela Coface para $100.000,00 em 06/10
Taxa de Câmbio utilizada: R$5,50 -&gt; R$550.000,00</t>
  </si>
  <si>
    <t>LIMITE CONCIDIDO DE ACORDO COM VALOR PRE APROVADO PELA FARM TECH</t>
  </si>
  <si>
    <t>LIMITE APROVADO PARA O CLIENTE SALITRE FERTILIZANTES LTDA PARTE DO GRUPO EUROCHEM.</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</si>
  <si>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</si>
  <si>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</si>
  <si>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</si>
  <si>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</si>
  <si>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</si>
  <si>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</si>
  <si>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</si>
  <si>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</si>
  <si>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</si>
  <si>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</si>
  <si>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AGROPECUARIA MARATA LTDA - MARUIM</t>
  </si>
  <si>
    <t>CODEL</t>
  </si>
  <si>
    <t>FELIPE TELES OLIVEIRA</t>
  </si>
  <si>
    <t>In 30/09</t>
  </si>
  <si>
    <t>MÁRCIO RODRIGO DA SILVA</t>
  </si>
  <si>
    <t>074.797.366-06</t>
  </si>
  <si>
    <t>RODRIGO ESTAQUINI</t>
  </si>
  <si>
    <t>SYLVIA MARTINS DOMINGOS</t>
  </si>
  <si>
    <t>PARANAGRAN - IND E COM DE FERTILIZANTES</t>
  </si>
  <si>
    <t>NUTRIENTES IND DE FERTILIZANTES LTDA</t>
  </si>
  <si>
    <t>SAGRA - PIUMHI</t>
  </si>
  <si>
    <t>01.391.790/0013-80</t>
  </si>
  <si>
    <t>02.077.618/0002-66</t>
  </si>
  <si>
    <t>FURQUIM - RIO BRANCO DO SUL</t>
  </si>
  <si>
    <t>3 TENTOS - SANTA BARBARA DO SUL</t>
  </si>
  <si>
    <t>Limite de Crédito concedido diante aprovação da Coface</t>
  </si>
  <si>
    <t>LIMITE CONCEDIDO DE ACORDO COM FARM TECH</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</si>
  <si>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</si>
  <si>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</si>
  <si>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</si>
  <si>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</si>
  <si>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</si>
  <si>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</si>
  <si>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</si>
  <si>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</si>
  <si>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</si>
  <si>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</si>
  <si>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</si>
  <si>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</si>
  <si>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</si>
  <si>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</si>
  <si>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</si>
  <si>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</si>
  <si>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</si>
  <si>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</si>
  <si>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CONCEDIDO PELA FARM TECH</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</si>
  <si>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</si>
  <si>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</si>
  <si>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</si>
  <si>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</si>
  <si>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</si>
  <si>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</si>
  <si>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Sep 2025: Residual value from partial payment.</t>
  </si>
  <si>
    <t>In validation - AFT and Logistics companies in agreement to pay only Freight overstay only from 2024 onwards. BRL 112k invoices are from before 2024 and unders discussion to be addressed in Sept month end closing.</t>
  </si>
  <si>
    <t>Return goods invoices in dispute with client</t>
  </si>
  <si>
    <t>Cargo cleared at Colombia port customs. AFT is in contact with the customer for validation of the payment plan.</t>
  </si>
  <si>
    <t>Nov - 2025 - Return goods invoices in dispute with client</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</si>
  <si>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</si>
  <si>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</si>
  <si>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</si>
  <si>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</si>
  <si>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</si>
  <si>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</si>
  <si>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</si>
  <si>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</si>
  <si>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</si>
  <si>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</si>
  <si>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</si>
  <si>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CIBRA - CAMACARI</t>
  </si>
  <si>
    <t>PATRICIA LARA SOUZA</t>
  </si>
  <si>
    <t>058.245.426-35</t>
  </si>
  <si>
    <t>Coments</t>
  </si>
  <si>
    <t>Eurochem Group</t>
  </si>
  <si>
    <t>Int´l Clients</t>
  </si>
  <si>
    <t>Of current overdue</t>
  </si>
  <si>
    <t>MOSAIC - RONDONOPOLIS</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</si>
  <si>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</si>
  <si>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</si>
  <si>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</si>
  <si>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</si>
  <si>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</si>
  <si>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</si>
  <si>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</si>
  <si>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</si>
  <si>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</si>
  <si>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</si>
  <si>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11.091.524/0001-51</t>
  </si>
  <si>
    <t>012.300.516-78</t>
  </si>
  <si>
    <t>73.674.202/0002-73</t>
  </si>
  <si>
    <t>LUCAS DA CONCEIÇÃO CASSIMIRO</t>
  </si>
  <si>
    <t>077.998.984-88</t>
  </si>
  <si>
    <t>JOSE ROBERTO DOS SANTOS SILVA JUNIOR</t>
  </si>
  <si>
    <t>005.677.811-27</t>
  </si>
  <si>
    <t>THIAGO RODRIGUES SANTOS</t>
  </si>
  <si>
    <t>MOTTA FERTILIZANTES</t>
  </si>
  <si>
    <t>DREYMOOR BRASIL COMERCIO DE FERTILIZANTE</t>
  </si>
  <si>
    <t>35.540.155/0001-03</t>
  </si>
  <si>
    <t>DREYMOOR FERTILIZANTES - CURITIBA</t>
  </si>
  <si>
    <t>INTERBULK</t>
  </si>
  <si>
    <t>In 28/01/2026</t>
  </si>
  <si>
    <t>In 27/01/2026</t>
  </si>
  <si>
    <t>MOSAIC - UBERABA (UBA III)</t>
  </si>
  <si>
    <t>MOSAIC - CATALÃO - MISTURA</t>
  </si>
  <si>
    <t>MOSAIC - CATALÃO (CMC2)</t>
  </si>
  <si>
    <t>LIMITE DE CRÉDITO TOTALMENTE ACEITO PELA SEGURADORA COFACE 
TAXA DE CÂMBIO: R$5,50 -&gt; 120.000 USD</t>
  </si>
  <si>
    <t>Limite Aprovado pelo Ceo (Puneet Gautam), para que o cliente possa realizar a compra.</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</si>
  <si>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</si>
  <si>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</si>
  <si>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</si>
  <si>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</si>
  <si>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</si>
  <si>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</si>
  <si>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</si>
  <si>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</si>
  <si>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</si>
  <si>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87.249.561/0001-07</t>
  </si>
  <si>
    <t>ARSLOG SOLUCOES EM TRANSPORTE</t>
  </si>
  <si>
    <t>05.765.626/0001-02</t>
  </si>
  <si>
    <t>PERDA DE MERCADORIA COM SINISTRO</t>
  </si>
  <si>
    <t>CALPAR S.A. - PARAGUAY</t>
  </si>
  <si>
    <t>23.673.309/0002-29</t>
  </si>
  <si>
    <t>AUREN COMERCIALIZADORA DE ENERGIA LTDA</t>
  </si>
  <si>
    <t>84.046.101/0542-85</t>
  </si>
  <si>
    <t>04.479.608/0004-44</t>
  </si>
  <si>
    <t>MOSAIC - CUBATÃO</t>
  </si>
  <si>
    <t>61.156.501/0099-60</t>
  </si>
  <si>
    <t>03.306.578/0069-57</t>
  </si>
  <si>
    <t>GOTLAND EQUADOR (SOLINAG)</t>
  </si>
  <si>
    <t>19.512.950/9001-</t>
  </si>
  <si>
    <t>ANDRESSA CAROLINA SILVA RODRIGUES</t>
  </si>
  <si>
    <t>096.141.946-69</t>
  </si>
  <si>
    <t>61.156.501/0208-58</t>
  </si>
  <si>
    <t>DIÁRIAS E ESTADIA DE MOTORISTAS</t>
  </si>
  <si>
    <t>MOSAIC - CANDEIAS</t>
  </si>
  <si>
    <t>61.156.501/0086-45</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</si>
  <si>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</si>
  <si>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</si>
  <si>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</si>
  <si>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</si>
  <si>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</si>
  <si>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</si>
  <si>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</si>
  <si>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</si>
  <si>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DBR AGROCET</t>
  </si>
  <si>
    <t xml:space="preserve">Feb - 2026 - Sale of fixed assets to employees (chairs, desks etc) </t>
  </si>
  <si>
    <t>Jan - 2026 The client paid 50% of the amount in January 2026; the remainder will be paid in March.</t>
  </si>
  <si>
    <t>83.052.407/0003-51</t>
  </si>
  <si>
    <t>05.571.228/0003-17</t>
  </si>
  <si>
    <t>47.067.525/0215-39</t>
  </si>
  <si>
    <t>87.249.561/0020-70</t>
  </si>
  <si>
    <t>ELYMAR JOSE DA SILVA FERREIRA</t>
  </si>
  <si>
    <t>053.438.381-54</t>
  </si>
  <si>
    <t>MARCELO MARQUES COBRA - PESSOA FISICA</t>
  </si>
  <si>
    <t>073.734.916-69</t>
  </si>
  <si>
    <t>01.094.764/0002-37</t>
  </si>
  <si>
    <t>26.840.997/0001-81</t>
  </si>
  <si>
    <t>49.998.028/0001-59</t>
  </si>
  <si>
    <t>77.294.254/0075-20</t>
  </si>
  <si>
    <t>87.249.561/0017-74</t>
  </si>
  <si>
    <t>04.251.044/0001-45</t>
  </si>
  <si>
    <t>VENDA MERC INDUSTRIALIZADA TERCEIROS</t>
  </si>
  <si>
    <t>14.031.191/0009-10</t>
  </si>
  <si>
    <t>FOSPAR - PARANAGUÁ</t>
  </si>
  <si>
    <t>Análise de crédito realizada dia 19/09.
O motivo da solicitação baseia-se no fato de que o cliente já tem um valor comprado de R$ 36.120,00.</t>
  </si>
  <si>
    <t>VISAO AGRO SOLUCOES E REPRESENTACOES</t>
  </si>
  <si>
    <t>FERTIBAS FERTILIZANTES</t>
  </si>
  <si>
    <t>LIMITE DE CRÉDITO TOTALEMENTE ACEITO PELA SEGURADORA COFACE</t>
  </si>
  <si>
    <t>LIMITE DE CRÉDITO TOTALEMENTE ACEITO PELA SEGURADORA COFACE
Taxa de Câmbio utilizada: R$5,50 -&gt; R$1.100.000</t>
  </si>
  <si>
    <t>TERMAG GUARUJA</t>
  </si>
  <si>
    <t>VITTA INSUMOS AGRICOLAS</t>
  </si>
  <si>
    <t>ADUBOS SUDOESTE - JATAÍ</t>
  </si>
  <si>
    <t>32.821.183/0004-45</t>
  </si>
  <si>
    <t>CAMPEVO - SÃO JOSE DO RIO PRETO</t>
  </si>
  <si>
    <t>44.777.951/0008-13</t>
  </si>
  <si>
    <t>CAMPEVO - ITAPETININGA</t>
  </si>
  <si>
    <t>44.777.951/0007-32</t>
  </si>
  <si>
    <t>CAMPEVO - JAÚ</t>
  </si>
  <si>
    <t>44.777.951/0010-38</t>
  </si>
  <si>
    <t>CAMPEVO - JALES</t>
  </si>
  <si>
    <t>44.777.951/0009-02</t>
  </si>
  <si>
    <t>MIP - COLOMBIA</t>
  </si>
  <si>
    <t>13.341.380/0001-70</t>
  </si>
  <si>
    <t>HERINGER - PARANAGUÁ</t>
  </si>
  <si>
    <t>87.456.562/0006-37</t>
  </si>
  <si>
    <t>04.987.734/0001-67</t>
  </si>
  <si>
    <t>96.449.533/0001-24</t>
  </si>
  <si>
    <t>BANCO SUMITOMO MITSUI BRASILEIRO S.A.</t>
  </si>
  <si>
    <t>60.518.222/0001-22</t>
  </si>
  <si>
    <t>RENDIMENTOS DE APLICAÇÃO FINANCEIRA-ADF</t>
  </si>
  <si>
    <t>LIMITE DE CRÉDITO TOTALMENTE ACEITO PELA SEGURADORA COFACE
TAXA DE CÂMBIO: R$5,50 -&gt; 100.000 USD</t>
  </si>
  <si>
    <t>GIGAMIX TECNOLOGIAS FUTURAS</t>
  </si>
  <si>
    <t>LIMITE CONCEDIDO PELA SEGURADORA COFACE NO VALOR DE R$500.000,00</t>
  </si>
  <si>
    <t>LIMITE DE CRÉDITO PARCIALEMENTE ACEITO PELA SEGURADORA COFACE</t>
  </si>
  <si>
    <t>Additive Intl.</t>
  </si>
  <si>
    <t>Receivables as on 31th Mar 26</t>
  </si>
  <si>
    <t xml:space="preserve">March - 2026 - Sale of fixed assets to employees (chairs, desks etc) </t>
  </si>
  <si>
    <t xml:space="preserve">March - 2026 - </t>
  </si>
  <si>
    <t>Total Over Due in Litigation (TOP 12)</t>
  </si>
  <si>
    <t>37.309.283/0001-68</t>
  </si>
  <si>
    <t>800.553.179-</t>
  </si>
  <si>
    <t>ATMO COMERCIALIZADORA DE ENERGIA LTDA</t>
  </si>
  <si>
    <t>Additive / Litigation</t>
  </si>
  <si>
    <t>27.360.944/0001-26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</si>
</sst>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_-[$$-409]* #,##0.00_ ;_-[$$-409]* \-#,##0.00\ ;_-[$$-409]* &quot;-&quot;??_ ;_-@_ "/>
    <numFmt numFmtId="171" formatCode="#,##0;[Red]#,##0"/>
  </numFmts>
  <fonts count="50"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b/>
      <sz val="10"/>
      <color rgb="FFFF0000"/>
      <name val="Arial"/>
      <family val="2"/>
    </font>
    <font>
      <sz val="9"/>
      <color indexed="81"/>
      <name val="Segoe UI"/>
      <family val="2"/>
    </font>
    <font>
      <b/>
      <sz val="9"/>
      <color indexed="81"/>
      <name val="Segoe UI"/>
      <family val="2"/>
    </font>
    <font>
      <b/>
      <sz val="11"/>
      <color theme="0"/>
      <name val="Calibri"/>
      <family val="2"/>
      <scheme val="minor"/>
    </font>
    <font>
      <i/>
      <sz val="10"/>
      <name val="Arial"/>
      <family val="2"/>
    </font>
    <font>
      <i/>
      <sz val="11"/>
      <color theme="1"/>
      <name val="Calibri"/>
      <family val="2"/>
      <scheme val="minor"/>
    </font>
    <font>
      <b/>
      <sz val="10"/>
      <name val="Arial"/>
      <family val="2"/>
    </font>
    <font>
      <b/>
      <sz val="9"/>
      <color theme="1"/>
      <name val="Arial"/>
      <family val="2"/>
    </font>
    <font>
      <b/>
      <sz val="11"/>
      <color theme="1"/>
      <name val="Arial"/>
      <family val="2"/>
    </font>
  </fonts>
  <fills count="17">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0">
    <xf numFmtId="0" fontId="0"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6" fillId="0" borderId="0" applyFont="0" applyFill="0" applyBorder="0" applyAlignment="0" applyProtection="0"/>
    <xf numFmtId="0" fontId="16" fillId="0" borderId="0"/>
    <xf numFmtId="0" fontId="14" fillId="0" borderId="0"/>
    <xf numFmtId="0" fontId="13" fillId="0" borderId="0"/>
    <xf numFmtId="0" fontId="13" fillId="0" borderId="0"/>
    <xf numFmtId="9" fontId="13" fillId="0" borderId="0" applyFont="0" applyFill="0" applyBorder="0" applyAlignment="0" applyProtection="0"/>
    <xf numFmtId="0" fontId="12" fillId="0" borderId="0"/>
    <xf numFmtId="43" fontId="12" fillId="0" borderId="0" applyFont="0" applyFill="0" applyBorder="0" applyAlignment="0" applyProtection="0"/>
    <xf numFmtId="0" fontId="10" fillId="0" borderId="0"/>
    <xf numFmtId="43" fontId="16" fillId="0" borderId="0" applyFont="0" applyFill="0" applyBorder="0" applyAlignment="0" applyProtection="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0" fontId="40" fillId="0" borderId="0"/>
    <xf numFmtId="0" fontId="8" fillId="0" borderId="0"/>
    <xf numFmtId="43" fontId="8" fillId="0" borderId="0" applyFont="0" applyFill="0" applyBorder="0" applyAlignment="0" applyProtection="0"/>
    <xf numFmtId="0" fontId="24" fillId="0" borderId="0"/>
    <xf numFmtId="0" fontId="7" fillId="0" borderId="0"/>
    <xf numFmtId="43" fontId="7"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43" fontId="16"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16"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16"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4"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cellStyleXfs>
  <cellXfs count="444">
    <xf numFmtId="0" fontId="0" fillId="0" borderId="0" xfId="0"/>
    <xf numFmtId="4" fontId="17" fillId="0" borderId="0" xfId="0" applyNumberFormat="1" applyFont="1"/>
    <xf numFmtId="0" fontId="16" fillId="2" borderId="0" xfId="0" applyFont="1" applyFill="1"/>
    <xf numFmtId="14" fontId="0" fillId="0" borderId="0" xfId="0" applyNumberFormat="1"/>
    <xf numFmtId="0" fontId="0" fillId="2" borderId="0" xfId="0" applyFill="1"/>
    <xf numFmtId="165" fontId="16" fillId="0" borderId="0" xfId="1" applyNumberFormat="1" applyFont="1" applyFill="1" applyBorder="1"/>
    <xf numFmtId="0" fontId="19" fillId="0" borderId="0" xfId="0" applyFont="1" applyAlignment="1">
      <alignment horizontal="center"/>
    </xf>
    <xf numFmtId="166" fontId="0" fillId="0" borderId="0" xfId="0" applyNumberFormat="1"/>
    <xf numFmtId="165" fontId="20" fillId="3" borderId="1" xfId="1" applyNumberFormat="1" applyFont="1" applyFill="1" applyBorder="1" applyAlignment="1">
      <alignment horizontal="center" vertical="center"/>
    </xf>
    <xf numFmtId="165" fontId="21" fillId="0" borderId="0" xfId="1" applyNumberFormat="1" applyFont="1"/>
    <xf numFmtId="165" fontId="21" fillId="0" borderId="0" xfId="1" applyNumberFormat="1" applyFont="1" applyFill="1" applyBorder="1"/>
    <xf numFmtId="165" fontId="21" fillId="0" borderId="0" xfId="1" applyNumberFormat="1" applyFont="1" applyAlignment="1">
      <alignment horizontal="center"/>
    </xf>
    <xf numFmtId="0" fontId="18" fillId="3" borderId="0" xfId="0" applyFont="1" applyFill="1" applyAlignment="1">
      <alignment horizontal="center"/>
    </xf>
    <xf numFmtId="166" fontId="18" fillId="3" borderId="0" xfId="0" applyNumberFormat="1" applyFont="1" applyFill="1" applyAlignment="1">
      <alignment horizontal="center"/>
    </xf>
    <xf numFmtId="165" fontId="21" fillId="0" borderId="0" xfId="1" applyNumberFormat="1" applyFont="1" applyFill="1" applyBorder="1" applyAlignment="1">
      <alignment horizontal="center" vertical="center"/>
    </xf>
    <xf numFmtId="166" fontId="18" fillId="3" borderId="0" xfId="0" applyNumberFormat="1" applyFont="1" applyFill="1" applyAlignment="1">
      <alignment horizontal="center" vertical="center"/>
    </xf>
    <xf numFmtId="0" fontId="0" fillId="0" borderId="0" xfId="0" applyAlignment="1">
      <alignment horizontal="center" vertical="center"/>
    </xf>
    <xf numFmtId="0" fontId="17" fillId="0" borderId="3" xfId="0" applyFont="1" applyBorder="1"/>
    <xf numFmtId="165" fontId="17" fillId="0" borderId="4" xfId="0" applyNumberFormat="1" applyFont="1" applyBorder="1"/>
    <xf numFmtId="165" fontId="0" fillId="0" borderId="4" xfId="1" applyNumberFormat="1" applyFont="1" applyBorder="1"/>
    <xf numFmtId="165" fontId="16" fillId="0" borderId="4" xfId="1" applyNumberFormat="1" applyFont="1" applyFill="1" applyBorder="1"/>
    <xf numFmtId="165" fontId="16" fillId="0" borderId="4" xfId="1" applyNumberFormat="1" applyFont="1" applyFill="1" applyBorder="1" applyAlignment="1">
      <alignment horizontal="center" vertical="center"/>
    </xf>
    <xf numFmtId="166" fontId="16" fillId="0" borderId="4" xfId="1" applyNumberFormat="1" applyFont="1" applyFill="1" applyBorder="1"/>
    <xf numFmtId="165" fontId="0" fillId="0" borderId="5" xfId="1" applyNumberFormat="1" applyFont="1" applyBorder="1"/>
    <xf numFmtId="167" fontId="0" fillId="0" borderId="0" xfId="0" applyNumberFormat="1"/>
    <xf numFmtId="4" fontId="0" fillId="0" borderId="0" xfId="0" applyNumberFormat="1"/>
    <xf numFmtId="0" fontId="0" fillId="0" borderId="0" xfId="0" applyAlignment="1">
      <alignment wrapText="1"/>
    </xf>
    <xf numFmtId="168" fontId="21" fillId="0" borderId="0" xfId="1" applyNumberFormat="1" applyFont="1"/>
    <xf numFmtId="168" fontId="17" fillId="0" borderId="4" xfId="0" applyNumberFormat="1" applyFont="1" applyBorder="1"/>
    <xf numFmtId="168" fontId="0" fillId="0" borderId="0" xfId="0" applyNumberFormat="1"/>
    <xf numFmtId="22" fontId="0" fillId="0" borderId="0" xfId="0" applyNumberFormat="1" applyAlignment="1">
      <alignment horizontal="center"/>
    </xf>
    <xf numFmtId="4" fontId="16" fillId="2" borderId="0" xfId="0" applyNumberFormat="1" applyFont="1" applyFill="1"/>
    <xf numFmtId="43" fontId="0" fillId="0" borderId="0" xfId="1" applyFont="1"/>
    <xf numFmtId="0" fontId="18" fillId="3" borderId="1" xfId="0" applyFont="1" applyFill="1" applyBorder="1"/>
    <xf numFmtId="169" fontId="0" fillId="0" borderId="0" xfId="0" applyNumberFormat="1"/>
    <xf numFmtId="43" fontId="0" fillId="0" borderId="0" xfId="0" applyNumberFormat="1"/>
    <xf numFmtId="165" fontId="0" fillId="0" borderId="0" xfId="0" applyNumberFormat="1"/>
    <xf numFmtId="168" fontId="22" fillId="3" borderId="0" xfId="0" applyNumberFormat="1" applyFont="1" applyFill="1" applyAlignment="1">
      <alignment wrapText="1"/>
    </xf>
    <xf numFmtId="168" fontId="22" fillId="3" borderId="6" xfId="0" applyNumberFormat="1" applyFont="1" applyFill="1" applyBorder="1" applyAlignment="1">
      <alignment wrapText="1"/>
    </xf>
    <xf numFmtId="167" fontId="22" fillId="3" borderId="0" xfId="0" applyNumberFormat="1" applyFont="1" applyFill="1" applyAlignment="1">
      <alignment vertical="center" wrapText="1"/>
    </xf>
    <xf numFmtId="167" fontId="22" fillId="3" borderId="6" xfId="0" applyNumberFormat="1" applyFont="1" applyFill="1" applyBorder="1" applyAlignment="1">
      <alignment vertical="center" wrapText="1"/>
    </xf>
    <xf numFmtId="0" fontId="0" fillId="0" borderId="3" xfId="0" applyBorder="1"/>
    <xf numFmtId="10" fontId="21" fillId="0" borderId="0" xfId="2" applyNumberFormat="1" applyFont="1" applyFill="1" applyBorder="1"/>
    <xf numFmtId="0" fontId="18" fillId="6" borderId="0" xfId="0" applyFont="1" applyFill="1" applyAlignment="1">
      <alignment horizontal="center"/>
    </xf>
    <xf numFmtId="0" fontId="18" fillId="6" borderId="2" xfId="0" applyFont="1" applyFill="1" applyBorder="1" applyAlignment="1">
      <alignment horizontal="center"/>
    </xf>
    <xf numFmtId="0" fontId="18" fillId="6" borderId="1" xfId="0" applyFont="1" applyFill="1" applyBorder="1"/>
    <xf numFmtId="0" fontId="18" fillId="3" borderId="0" xfId="0" applyFont="1" applyFill="1"/>
    <xf numFmtId="0" fontId="0" fillId="0" borderId="11" xfId="0" applyBorder="1"/>
    <xf numFmtId="165" fontId="27" fillId="7" borderId="0" xfId="6" applyNumberFormat="1" applyFont="1" applyFill="1" applyBorder="1" applyAlignment="1">
      <alignment horizontal="center" vertical="center"/>
    </xf>
    <xf numFmtId="0" fontId="29" fillId="0" borderId="0" xfId="7" applyFont="1" applyAlignment="1">
      <alignment vertical="center"/>
    </xf>
    <xf numFmtId="0" fontId="29" fillId="0" borderId="13" xfId="7" applyFont="1" applyBorder="1" applyAlignment="1">
      <alignment vertical="center"/>
    </xf>
    <xf numFmtId="0" fontId="27" fillId="7" borderId="0" xfId="7" applyFont="1" applyFill="1" applyAlignment="1">
      <alignment horizontal="center" vertical="center" wrapText="1"/>
    </xf>
    <xf numFmtId="0" fontId="27" fillId="7" borderId="15" xfId="7" applyFont="1" applyFill="1" applyBorder="1" applyAlignment="1">
      <alignment horizontal="center" vertical="center" wrapText="1"/>
    </xf>
    <xf numFmtId="0" fontId="27" fillId="7" borderId="7" xfId="7" applyFont="1" applyFill="1" applyBorder="1" applyAlignment="1">
      <alignment horizontal="center" vertical="center" wrapText="1"/>
    </xf>
    <xf numFmtId="0" fontId="29" fillId="0" borderId="0" xfId="7" applyFont="1" applyAlignment="1">
      <alignment horizontal="center" vertical="center" wrapText="1"/>
    </xf>
    <xf numFmtId="0" fontId="29" fillId="0" borderId="4" xfId="7" applyFont="1" applyBorder="1"/>
    <xf numFmtId="165" fontId="26" fillId="0" borderId="4" xfId="6" applyNumberFormat="1" applyFont="1" applyBorder="1"/>
    <xf numFmtId="165" fontId="26" fillId="0" borderId="16" xfId="6" applyNumberFormat="1" applyFont="1" applyBorder="1" applyAlignment="1">
      <alignment vertical="center"/>
    </xf>
    <xf numFmtId="165" fontId="26" fillId="0" borderId="6" xfId="6" applyNumberFormat="1" applyFont="1" applyBorder="1" applyAlignment="1">
      <alignment vertical="center"/>
    </xf>
    <xf numFmtId="165" fontId="26" fillId="0" borderId="17" xfId="6" applyNumberFormat="1" applyFont="1" applyBorder="1" applyAlignment="1">
      <alignment vertical="center"/>
    </xf>
    <xf numFmtId="165" fontId="26" fillId="0" borderId="0" xfId="6" applyNumberFormat="1" applyFont="1" applyBorder="1" applyAlignment="1">
      <alignmen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6" fillId="0" borderId="19" xfId="6" applyNumberFormat="1" applyFont="1" applyBorder="1" applyAlignment="1">
      <alignment vertical="center"/>
    </xf>
    <xf numFmtId="165" fontId="26" fillId="0" borderId="4" xfId="6" applyNumberFormat="1" applyFont="1" applyBorder="1" applyAlignment="1">
      <alignment vertical="center"/>
    </xf>
    <xf numFmtId="165" fontId="26" fillId="0" borderId="18" xfId="6" applyNumberFormat="1" applyFont="1" applyBorder="1" applyAlignment="1">
      <alignment vertical="center"/>
    </xf>
    <xf numFmtId="165" fontId="26" fillId="0" borderId="19" xfId="6" applyNumberFormat="1" applyFont="1" applyBorder="1" applyAlignment="1">
      <alignment horizontal="center" vertical="center"/>
    </xf>
    <xf numFmtId="165" fontId="26" fillId="0" borderId="4" xfId="6" applyNumberFormat="1" applyFont="1" applyBorder="1" applyAlignment="1">
      <alignment horizontal="center" vertical="center"/>
    </xf>
    <xf numFmtId="166" fontId="26" fillId="0" borderId="4" xfId="6" applyNumberFormat="1" applyFont="1" applyBorder="1" applyAlignment="1">
      <alignment horizontal="center" vertical="center"/>
    </xf>
    <xf numFmtId="165" fontId="26" fillId="0" borderId="18" xfId="6" applyNumberFormat="1" applyFont="1" applyBorder="1" applyAlignment="1">
      <alignment horizontal="center" vertical="center"/>
    </xf>
    <xf numFmtId="165" fontId="29" fillId="0" borderId="19" xfId="6" applyNumberFormat="1" applyFont="1" applyFill="1" applyBorder="1" applyAlignment="1">
      <alignment vertical="center"/>
    </xf>
    <xf numFmtId="165" fontId="29" fillId="0" borderId="4" xfId="6" applyNumberFormat="1" applyFont="1" applyFill="1" applyBorder="1" applyAlignment="1">
      <alignment vertical="center"/>
    </xf>
    <xf numFmtId="165" fontId="29" fillId="0" borderId="18" xfId="6" applyNumberFormat="1" applyFont="1" applyFill="1" applyBorder="1" applyAlignment="1">
      <alignment horizontal="center" vertical="center"/>
    </xf>
    <xf numFmtId="0" fontId="30" fillId="8" borderId="4" xfId="7" applyFont="1" applyFill="1" applyBorder="1"/>
    <xf numFmtId="165" fontId="30" fillId="8" borderId="4" xfId="6" applyNumberFormat="1" applyFont="1" applyFill="1" applyBorder="1"/>
    <xf numFmtId="165" fontId="30" fillId="8" borderId="19" xfId="6" applyNumberFormat="1" applyFont="1" applyFill="1" applyBorder="1" applyAlignment="1">
      <alignment vertical="center"/>
    </xf>
    <xf numFmtId="165" fontId="30" fillId="8" borderId="4" xfId="6" applyNumberFormat="1" applyFont="1" applyFill="1" applyBorder="1" applyAlignment="1">
      <alignment vertical="center"/>
    </xf>
    <xf numFmtId="165" fontId="30" fillId="8" borderId="18" xfId="6" applyNumberFormat="1" applyFont="1" applyFill="1" applyBorder="1" applyAlignment="1">
      <alignment vertical="center"/>
    </xf>
    <xf numFmtId="165" fontId="30" fillId="0" borderId="0" xfId="6" applyNumberFormat="1" applyFont="1" applyBorder="1" applyAlignment="1">
      <alignment vertical="center"/>
    </xf>
    <xf numFmtId="0" fontId="29" fillId="0" borderId="4" xfId="8" applyFont="1" applyBorder="1" applyAlignment="1">
      <alignment vertical="center"/>
    </xf>
    <xf numFmtId="0" fontId="30" fillId="9" borderId="4" xfId="7" applyFont="1" applyFill="1" applyBorder="1"/>
    <xf numFmtId="165" fontId="30" fillId="9" borderId="4" xfId="6" applyNumberFormat="1" applyFont="1" applyFill="1" applyBorder="1"/>
    <xf numFmtId="165" fontId="30" fillId="9" borderId="15" xfId="6" applyNumberFormat="1" applyFont="1" applyFill="1" applyBorder="1" applyAlignment="1">
      <alignment vertical="center"/>
    </xf>
    <xf numFmtId="165" fontId="30" fillId="9" borderId="0" xfId="6" applyNumberFormat="1" applyFont="1" applyFill="1" applyBorder="1" applyAlignment="1">
      <alignment vertical="center"/>
    </xf>
    <xf numFmtId="165" fontId="30" fillId="9" borderId="7" xfId="6" applyNumberFormat="1" applyFont="1" applyFill="1" applyBorder="1" applyAlignment="1">
      <alignment vertical="center"/>
    </xf>
    <xf numFmtId="0" fontId="27" fillId="7" borderId="0" xfId="7" applyFont="1" applyFill="1" applyAlignment="1">
      <alignment horizontal="center"/>
    </xf>
    <xf numFmtId="0" fontId="27" fillId="7" borderId="0" xfId="7" applyFont="1" applyFill="1"/>
    <xf numFmtId="165" fontId="27" fillId="7" borderId="0" xfId="6" applyNumberFormat="1" applyFont="1" applyFill="1"/>
    <xf numFmtId="165" fontId="27" fillId="7" borderId="8" xfId="6" applyNumberFormat="1" applyFont="1" applyFill="1" applyBorder="1" applyAlignment="1">
      <alignment vertical="center"/>
    </xf>
    <xf numFmtId="165" fontId="27" fillId="7" borderId="9" xfId="6" applyNumberFormat="1" applyFont="1" applyFill="1" applyBorder="1" applyAlignment="1">
      <alignment vertical="center"/>
    </xf>
    <xf numFmtId="165" fontId="27" fillId="7" borderId="10" xfId="6" applyNumberFormat="1" applyFont="1" applyFill="1" applyBorder="1" applyAlignment="1">
      <alignment vertical="center"/>
    </xf>
    <xf numFmtId="165" fontId="26" fillId="0" borderId="9" xfId="6" applyNumberFormat="1" applyFont="1" applyBorder="1" applyAlignment="1">
      <alignment vertical="center"/>
    </xf>
    <xf numFmtId="165" fontId="27" fillId="7" borderId="0" xfId="6" applyNumberFormat="1" applyFont="1" applyFill="1" applyBorder="1" applyAlignment="1">
      <alignment vertical="center"/>
    </xf>
    <xf numFmtId="0" fontId="17" fillId="0" borderId="4" xfId="0" applyFont="1" applyBorder="1"/>
    <xf numFmtId="0" fontId="0" fillId="0" borderId="4" xfId="0" applyBorder="1"/>
    <xf numFmtId="165" fontId="20" fillId="3" borderId="0" xfId="1" applyNumberFormat="1" applyFont="1" applyFill="1" applyBorder="1" applyAlignment="1">
      <alignment vertical="center"/>
    </xf>
    <xf numFmtId="14" fontId="21" fillId="0" borderId="0" xfId="1" applyNumberFormat="1" applyFont="1" applyAlignment="1">
      <alignment horizontal="center"/>
    </xf>
    <xf numFmtId="0" fontId="0" fillId="0" borderId="4" xfId="0" applyBorder="1" applyAlignment="1">
      <alignment horizontal="center" vertical="center"/>
    </xf>
    <xf numFmtId="0" fontId="25" fillId="0" borderId="0" xfId="0" applyFont="1" applyAlignment="1">
      <alignment horizontal="center"/>
    </xf>
    <xf numFmtId="165" fontId="21" fillId="0" borderId="0" xfId="1" applyNumberFormat="1" applyFont="1" applyAlignment="1">
      <alignment horizontal="center" vertical="center"/>
    </xf>
    <xf numFmtId="0" fontId="0" fillId="0" borderId="0" xfId="0" applyAlignment="1">
      <alignment vertical="center"/>
    </xf>
    <xf numFmtId="165" fontId="21" fillId="0" borderId="0" xfId="1" applyNumberFormat="1" applyFont="1" applyAlignment="1">
      <alignment vertical="center"/>
    </xf>
    <xf numFmtId="165" fontId="20" fillId="3" borderId="1" xfId="1" applyNumberFormat="1" applyFont="1" applyFill="1" applyBorder="1" applyAlignment="1">
      <alignment vertical="center"/>
    </xf>
    <xf numFmtId="165" fontId="20" fillId="3" borderId="0" xfId="1" applyNumberFormat="1" applyFont="1" applyFill="1" applyBorder="1" applyAlignment="1">
      <alignment horizontal="center" vertical="center"/>
    </xf>
    <xf numFmtId="0" fontId="17" fillId="0" borderId="4" xfId="0" applyFont="1" applyBorder="1" applyAlignment="1">
      <alignment horizontal="center" vertical="center"/>
    </xf>
    <xf numFmtId="165" fontId="17" fillId="0" borderId="4" xfId="1" applyNumberFormat="1" applyFont="1" applyBorder="1"/>
    <xf numFmtId="165" fontId="17" fillId="0" borderId="4" xfId="1" applyNumberFormat="1" applyFont="1" applyBorder="1" applyAlignment="1">
      <alignment horizontal="center" vertical="center"/>
    </xf>
    <xf numFmtId="165" fontId="17" fillId="0" borderId="4" xfId="1" applyNumberFormat="1" applyFont="1" applyBorder="1" applyAlignment="1">
      <alignment vertical="center"/>
    </xf>
    <xf numFmtId="165" fontId="17" fillId="0" borderId="4" xfId="0" applyNumberFormat="1" applyFont="1" applyBorder="1" applyAlignment="1">
      <alignment vertical="center"/>
    </xf>
    <xf numFmtId="0" fontId="0" fillId="0" borderId="4" xfId="0" applyBorder="1" applyAlignment="1">
      <alignment horizontal="center"/>
    </xf>
    <xf numFmtId="0" fontId="17" fillId="0" borderId="4" xfId="0" applyFont="1" applyBorder="1" applyAlignment="1">
      <alignment horizontal="center"/>
    </xf>
    <xf numFmtId="0" fontId="17" fillId="0" borderId="11" xfId="0" applyFont="1" applyBorder="1"/>
    <xf numFmtId="0" fontId="22" fillId="3" borderId="0" xfId="0" applyFont="1" applyFill="1" applyAlignment="1">
      <alignment horizontal="center" wrapText="1"/>
    </xf>
    <xf numFmtId="167" fontId="22" fillId="3" borderId="0" xfId="0" applyNumberFormat="1" applyFont="1" applyFill="1" applyAlignment="1">
      <alignment horizontal="center"/>
    </xf>
    <xf numFmtId="0" fontId="18" fillId="3" borderId="0" xfId="0" applyFont="1" applyFill="1" applyAlignment="1">
      <alignment horizontal="center" wrapText="1"/>
    </xf>
    <xf numFmtId="43" fontId="21" fillId="0" borderId="0" xfId="1" applyFont="1"/>
    <xf numFmtId="0" fontId="18" fillId="3" borderId="0" xfId="0" applyFont="1" applyFill="1" applyAlignment="1">
      <alignment wrapText="1"/>
    </xf>
    <xf numFmtId="43" fontId="22" fillId="3" borderId="0" xfId="1" applyFont="1" applyFill="1" applyAlignment="1">
      <alignment vertical="center" wrapText="1"/>
    </xf>
    <xf numFmtId="0" fontId="18" fillId="3" borderId="0" xfId="0" applyFont="1" applyFill="1" applyAlignment="1">
      <alignment vertical="center" wrapText="1"/>
    </xf>
    <xf numFmtId="0" fontId="32" fillId="0" borderId="0" xfId="0" applyFont="1"/>
    <xf numFmtId="0" fontId="32" fillId="0" borderId="3" xfId="0" applyFont="1" applyBorder="1"/>
    <xf numFmtId="165" fontId="32" fillId="0" borderId="4" xfId="0" applyNumberFormat="1" applyFont="1" applyBorder="1"/>
    <xf numFmtId="165" fontId="32" fillId="0" borderId="4" xfId="1" applyNumberFormat="1" applyFont="1" applyBorder="1"/>
    <xf numFmtId="165" fontId="32" fillId="0" borderId="5" xfId="1" applyNumberFormat="1" applyFont="1" applyBorder="1"/>
    <xf numFmtId="165" fontId="32" fillId="0" borderId="0" xfId="1" applyNumberFormat="1" applyFont="1" applyFill="1" applyBorder="1"/>
    <xf numFmtId="165" fontId="32" fillId="0" borderId="4" xfId="1" applyNumberFormat="1" applyFont="1" applyFill="1" applyBorder="1"/>
    <xf numFmtId="166" fontId="32" fillId="0" borderId="4" xfId="1" applyNumberFormat="1" applyFont="1" applyFill="1" applyBorder="1"/>
    <xf numFmtId="0" fontId="32" fillId="0" borderId="4" xfId="0" applyFont="1" applyBorder="1"/>
    <xf numFmtId="165" fontId="0" fillId="0" borderId="0" xfId="1" applyNumberFormat="1" applyFont="1"/>
    <xf numFmtId="10" fontId="0" fillId="0" borderId="0" xfId="0" applyNumberFormat="1"/>
    <xf numFmtId="0" fontId="34" fillId="11" borderId="0" xfId="7" applyFont="1" applyFill="1" applyAlignment="1">
      <alignment horizontal="left" vertical="center" wrapText="1"/>
    </xf>
    <xf numFmtId="0" fontId="13" fillId="11" borderId="0" xfId="9" applyFill="1" applyAlignment="1">
      <alignment vertical="center"/>
    </xf>
    <xf numFmtId="0" fontId="13" fillId="0" borderId="0" xfId="9" applyAlignment="1">
      <alignment vertical="center"/>
    </xf>
    <xf numFmtId="0" fontId="29" fillId="0" borderId="4" xfId="7" applyFont="1" applyBorder="1" applyAlignment="1">
      <alignment horizontal="left" vertical="center"/>
    </xf>
    <xf numFmtId="165" fontId="26" fillId="0" borderId="4" xfId="6" applyNumberFormat="1" applyFont="1" applyBorder="1" applyAlignment="1">
      <alignment horizontal="left" vertical="center"/>
    </xf>
    <xf numFmtId="0" fontId="29" fillId="0" borderId="4" xfId="10" applyFont="1" applyBorder="1" applyAlignment="1">
      <alignment horizontal="left" vertical="center" wrapText="1"/>
    </xf>
    <xf numFmtId="0" fontId="29" fillId="0" borderId="4" xfId="10" applyFont="1" applyBorder="1" applyAlignment="1">
      <alignment horizontal="left" vertical="center"/>
    </xf>
    <xf numFmtId="0" fontId="29" fillId="11" borderId="4" xfId="10" applyFont="1" applyFill="1" applyBorder="1" applyAlignment="1">
      <alignment horizontal="left" vertical="center" wrapText="1"/>
    </xf>
    <xf numFmtId="43" fontId="0" fillId="0" borderId="6" xfId="6" applyFont="1" applyBorder="1" applyAlignment="1">
      <alignment vertical="center"/>
    </xf>
    <xf numFmtId="165" fontId="0" fillId="0" borderId="6" xfId="6" applyNumberFormat="1" applyFont="1" applyBorder="1" applyAlignment="1">
      <alignment vertical="center"/>
    </xf>
    <xf numFmtId="0" fontId="30" fillId="8" borderId="4" xfId="7" applyFont="1" applyFill="1" applyBorder="1" applyAlignment="1">
      <alignment horizontal="left" vertical="center"/>
    </xf>
    <xf numFmtId="165" fontId="30" fillId="8" borderId="4" xfId="6" applyNumberFormat="1" applyFont="1" applyFill="1" applyBorder="1" applyAlignment="1">
      <alignment horizontal="left" vertical="center"/>
    </xf>
    <xf numFmtId="165" fontId="26" fillId="11" borderId="4" xfId="6" applyNumberFormat="1" applyFont="1" applyFill="1" applyBorder="1" applyAlignment="1">
      <alignment horizontal="left" vertical="center"/>
    </xf>
    <xf numFmtId="0" fontId="26" fillId="0" borderId="4" xfId="6" applyNumberFormat="1" applyFont="1" applyBorder="1" applyAlignment="1">
      <alignment horizontal="left" vertical="center"/>
    </xf>
    <xf numFmtId="165" fontId="26" fillId="11" borderId="4" xfId="6" applyNumberFormat="1" applyFont="1" applyFill="1" applyBorder="1" applyAlignment="1">
      <alignment vertical="center"/>
    </xf>
    <xf numFmtId="0" fontId="29" fillId="11" borderId="4" xfId="7" applyFont="1" applyFill="1" applyBorder="1" applyAlignment="1">
      <alignment horizontal="left" vertical="center"/>
    </xf>
    <xf numFmtId="165" fontId="29" fillId="11" borderId="4" xfId="6" applyNumberFormat="1" applyFont="1" applyFill="1" applyBorder="1" applyAlignment="1">
      <alignment horizontal="left" vertical="center"/>
    </xf>
    <xf numFmtId="165" fontId="30" fillId="11" borderId="4" xfId="6" applyNumberFormat="1" applyFont="1" applyFill="1" applyBorder="1" applyAlignment="1">
      <alignment horizontal="left" vertical="center"/>
    </xf>
    <xf numFmtId="0" fontId="30" fillId="9" borderId="4" xfId="7" applyFont="1" applyFill="1" applyBorder="1" applyAlignment="1">
      <alignment horizontal="left" vertical="center"/>
    </xf>
    <xf numFmtId="165" fontId="30" fillId="9" borderId="4" xfId="6" applyNumberFormat="1" applyFont="1" applyFill="1" applyBorder="1" applyAlignment="1">
      <alignment horizontal="left" vertical="center"/>
    </xf>
    <xf numFmtId="165" fontId="30" fillId="9" borderId="4" xfId="6" applyNumberFormat="1" applyFont="1" applyFill="1" applyBorder="1" applyAlignment="1">
      <alignment vertical="center"/>
    </xf>
    <xf numFmtId="165" fontId="30" fillId="9" borderId="20" xfId="6" applyNumberFormat="1" applyFont="1" applyFill="1" applyBorder="1" applyAlignment="1">
      <alignment horizontal="left" vertical="center"/>
    </xf>
    <xf numFmtId="0" fontId="29" fillId="11" borderId="0" xfId="7" applyFont="1" applyFill="1" applyAlignment="1">
      <alignment horizontal="left" vertical="center"/>
    </xf>
    <xf numFmtId="165" fontId="29" fillId="11" borderId="0" xfId="6" applyNumberFormat="1" applyFont="1" applyFill="1" applyBorder="1" applyAlignment="1">
      <alignment vertical="center"/>
    </xf>
    <xf numFmtId="165" fontId="30" fillId="11" borderId="0" xfId="6" applyNumberFormat="1" applyFont="1" applyFill="1" applyBorder="1" applyAlignment="1">
      <alignment vertical="center"/>
    </xf>
    <xf numFmtId="165" fontId="30" fillId="11" borderId="0" xfId="6" applyNumberFormat="1" applyFont="1" applyFill="1" applyBorder="1" applyAlignment="1">
      <alignment horizontal="left" vertical="center"/>
    </xf>
    <xf numFmtId="165" fontId="29" fillId="11" borderId="0" xfId="6" applyNumberFormat="1" applyFont="1" applyFill="1" applyBorder="1" applyAlignment="1">
      <alignment horizontal="left" vertical="center"/>
    </xf>
    <xf numFmtId="0" fontId="27" fillId="7" borderId="0" xfId="7" applyFont="1" applyFill="1" applyAlignment="1">
      <alignment horizontal="left" vertical="center"/>
    </xf>
    <xf numFmtId="0" fontId="27" fillId="7" borderId="0" xfId="7" applyFont="1" applyFill="1" applyAlignment="1">
      <alignment vertical="center"/>
    </xf>
    <xf numFmtId="165" fontId="27" fillId="7" borderId="0" xfId="6" applyNumberFormat="1" applyFont="1" applyFill="1" applyAlignment="1">
      <alignment vertical="center"/>
    </xf>
    <xf numFmtId="165" fontId="27" fillId="7" borderId="0" xfId="6" applyNumberFormat="1" applyFont="1" applyFill="1" applyAlignment="1">
      <alignment horizontal="center" vertical="center"/>
    </xf>
    <xf numFmtId="165" fontId="13" fillId="0" borderId="0" xfId="9" applyNumberFormat="1" applyAlignment="1">
      <alignment vertical="center"/>
    </xf>
    <xf numFmtId="9" fontId="33" fillId="0" borderId="0" xfId="11" applyFont="1" applyAlignment="1">
      <alignment vertical="center"/>
    </xf>
    <xf numFmtId="43" fontId="13" fillId="0" borderId="0" xfId="1" applyFont="1" applyAlignment="1">
      <alignment vertical="center"/>
    </xf>
    <xf numFmtId="43" fontId="13" fillId="0" borderId="0" xfId="9" applyNumberFormat="1" applyAlignment="1">
      <alignment vertical="center"/>
    </xf>
    <xf numFmtId="165" fontId="21" fillId="0" borderId="0" xfId="1" applyNumberFormat="1" applyFont="1" applyFill="1"/>
    <xf numFmtId="165" fontId="11" fillId="0" borderId="0" xfId="9" applyNumberFormat="1" applyFont="1" applyAlignment="1">
      <alignment vertical="center"/>
    </xf>
    <xf numFmtId="14" fontId="35" fillId="0" borderId="0" xfId="1" applyNumberFormat="1" applyFont="1" applyAlignment="1">
      <alignment horizontal="center"/>
    </xf>
    <xf numFmtId="0" fontId="24" fillId="0" borderId="3" xfId="0" applyFont="1" applyBorder="1"/>
    <xf numFmtId="0" fontId="24" fillId="0" borderId="0" xfId="0" applyFont="1"/>
    <xf numFmtId="166" fontId="18" fillId="3" borderId="0" xfId="0" applyNumberFormat="1" applyFont="1" applyFill="1" applyAlignment="1">
      <alignment vertical="center" wrapText="1"/>
    </xf>
    <xf numFmtId="0" fontId="36" fillId="0" borderId="0" xfId="0" applyFont="1"/>
    <xf numFmtId="0" fontId="36" fillId="0" borderId="3" xfId="0" applyFont="1" applyBorder="1"/>
    <xf numFmtId="0" fontId="36" fillId="0" borderId="4" xfId="0" applyFont="1" applyBorder="1" applyAlignment="1">
      <alignment horizontal="center" vertical="center"/>
    </xf>
    <xf numFmtId="165" fontId="36" fillId="0" borderId="4" xfId="0" applyNumberFormat="1" applyFont="1" applyBorder="1"/>
    <xf numFmtId="165" fontId="36" fillId="0" borderId="4" xfId="1" applyNumberFormat="1" applyFont="1" applyBorder="1"/>
    <xf numFmtId="165" fontId="36" fillId="0" borderId="5" xfId="1" applyNumberFormat="1" applyFont="1" applyBorder="1"/>
    <xf numFmtId="165" fontId="36" fillId="0" borderId="0" xfId="1" applyNumberFormat="1" applyFont="1" applyFill="1" applyBorder="1"/>
    <xf numFmtId="165" fontId="36" fillId="0" borderId="4" xfId="1" applyNumberFormat="1" applyFont="1" applyFill="1" applyBorder="1"/>
    <xf numFmtId="166" fontId="36" fillId="0" borderId="4" xfId="1" applyNumberFormat="1" applyFont="1" applyFill="1" applyBorder="1"/>
    <xf numFmtId="0" fontId="24" fillId="0" borderId="11" xfId="0" applyFont="1" applyBorder="1"/>
    <xf numFmtId="165" fontId="24" fillId="0" borderId="4" xfId="0" applyNumberFormat="1" applyFont="1" applyBorder="1"/>
    <xf numFmtId="165" fontId="24" fillId="0" borderId="4" xfId="1" applyNumberFormat="1" applyFont="1" applyBorder="1"/>
    <xf numFmtId="165" fontId="24" fillId="0" borderId="0" xfId="1" applyNumberFormat="1" applyFont="1" applyFill="1" applyBorder="1"/>
    <xf numFmtId="165" fontId="24" fillId="0" borderId="4" xfId="1" applyNumberFormat="1" applyFont="1" applyFill="1" applyBorder="1"/>
    <xf numFmtId="166" fontId="24" fillId="0" borderId="4" xfId="1" applyNumberFormat="1" applyFont="1" applyFill="1" applyBorder="1"/>
    <xf numFmtId="0" fontId="24" fillId="0" borderId="4" xfId="0" applyFont="1" applyBorder="1" applyAlignment="1">
      <alignment horizontal="center" vertical="center"/>
    </xf>
    <xf numFmtId="165" fontId="24" fillId="0" borderId="5" xfId="1" applyNumberFormat="1" applyFont="1" applyBorder="1"/>
    <xf numFmtId="165" fontId="24" fillId="0" borderId="0" xfId="0" applyNumberFormat="1" applyFont="1"/>
    <xf numFmtId="165" fontId="35" fillId="0" borderId="0" xfId="1" applyNumberFormat="1" applyFont="1"/>
    <xf numFmtId="165" fontId="35" fillId="0" borderId="0" xfId="1" applyNumberFormat="1" applyFont="1" applyAlignment="1">
      <alignment horizontal="center"/>
    </xf>
    <xf numFmtId="165" fontId="35" fillId="0" borderId="0" xfId="1" applyNumberFormat="1" applyFont="1" applyFill="1" applyBorder="1"/>
    <xf numFmtId="0" fontId="37" fillId="0" borderId="0" xfId="0" applyFont="1"/>
    <xf numFmtId="0" fontId="10" fillId="0" borderId="0" xfId="14" applyAlignment="1">
      <alignment vertical="center"/>
    </xf>
    <xf numFmtId="0" fontId="27" fillId="11" borderId="0" xfId="7" applyFont="1" applyFill="1" applyAlignment="1">
      <alignment horizontal="center" vertical="center" wrapText="1"/>
    </xf>
    <xf numFmtId="0" fontId="10" fillId="11" borderId="0" xfId="14" applyFill="1" applyAlignment="1">
      <alignment vertical="center"/>
    </xf>
    <xf numFmtId="165" fontId="27" fillId="7" borderId="0" xfId="15" applyNumberFormat="1" applyFont="1" applyFill="1" applyAlignment="1">
      <alignment horizontal="center" vertical="center" wrapText="1"/>
    </xf>
    <xf numFmtId="0" fontId="29" fillId="0" borderId="4" xfId="16" applyFont="1" applyBorder="1" applyAlignment="1">
      <alignment horizontal="left" vertical="center" wrapText="1"/>
    </xf>
    <xf numFmtId="0" fontId="29" fillId="11" borderId="4" xfId="16" applyFont="1" applyFill="1" applyBorder="1" applyAlignment="1">
      <alignment horizontal="left" vertical="center" wrapText="1"/>
    </xf>
    <xf numFmtId="0" fontId="30" fillId="12" borderId="4" xfId="7" applyFont="1" applyFill="1" applyBorder="1" applyAlignment="1">
      <alignment horizontal="left" vertical="center"/>
    </xf>
    <xf numFmtId="165" fontId="30" fillId="12" borderId="4" xfId="6" applyNumberFormat="1" applyFont="1" applyFill="1" applyBorder="1" applyAlignment="1">
      <alignment horizontal="left" vertical="center"/>
    </xf>
    <xf numFmtId="164" fontId="10" fillId="0" borderId="0" xfId="14" applyNumberFormat="1" applyAlignment="1">
      <alignment vertical="center"/>
    </xf>
    <xf numFmtId="43" fontId="10" fillId="0" borderId="0" xfId="17" applyAlignment="1">
      <alignment vertical="center"/>
    </xf>
    <xf numFmtId="165" fontId="38" fillId="11" borderId="0" xfId="7" applyNumberFormat="1" applyFont="1" applyFill="1" applyAlignment="1">
      <alignment horizontal="center" vertical="center" wrapText="1"/>
    </xf>
    <xf numFmtId="9" fontId="0" fillId="0" borderId="0" xfId="0" applyNumberFormat="1"/>
    <xf numFmtId="0" fontId="24" fillId="0" borderId="0" xfId="0" applyFont="1" applyAlignment="1">
      <alignment wrapText="1"/>
    </xf>
    <xf numFmtId="0" fontId="25" fillId="0" borderId="0" xfId="0" applyFont="1" applyAlignment="1">
      <alignment horizontal="left"/>
    </xf>
    <xf numFmtId="43" fontId="25" fillId="0" borderId="0" xfId="0" applyNumberFormat="1" applyFont="1" applyAlignment="1">
      <alignment horizontal="left"/>
    </xf>
    <xf numFmtId="0" fontId="25" fillId="4" borderId="0" xfId="0" applyFont="1" applyFill="1" applyAlignment="1">
      <alignment horizontal="left"/>
    </xf>
    <xf numFmtId="0" fontId="25" fillId="5" borderId="0" xfId="0" applyFont="1" applyFill="1" applyAlignment="1">
      <alignment horizontal="right"/>
    </xf>
    <xf numFmtId="0" fontId="25" fillId="5" borderId="0" xfId="0" applyFont="1" applyFill="1" applyAlignment="1">
      <alignment horizontal="center"/>
    </xf>
    <xf numFmtId="0" fontId="25" fillId="5" borderId="0" xfId="0" applyFont="1" applyFill="1" applyAlignment="1">
      <alignment horizontal="left"/>
    </xf>
    <xf numFmtId="14" fontId="16" fillId="2" borderId="0" xfId="0" applyNumberFormat="1" applyFont="1" applyFill="1"/>
    <xf numFmtId="43" fontId="16" fillId="2" borderId="0" xfId="1" applyFont="1" applyFill="1"/>
    <xf numFmtId="0" fontId="29" fillId="11" borderId="20" xfId="7" applyFont="1" applyFill="1" applyBorder="1" applyAlignment="1">
      <alignment horizontal="left" vertical="center"/>
    </xf>
    <xf numFmtId="43" fontId="10" fillId="0" borderId="0" xfId="1" applyFont="1" applyAlignment="1">
      <alignment vertical="center"/>
    </xf>
    <xf numFmtId="43" fontId="10" fillId="0" borderId="0" xfId="14" applyNumberFormat="1" applyAlignment="1">
      <alignment vertical="center"/>
    </xf>
    <xf numFmtId="49" fontId="29" fillId="11" borderId="4" xfId="6" applyNumberFormat="1" applyFont="1" applyFill="1" applyBorder="1" applyAlignment="1">
      <alignment horizontal="left" vertical="center"/>
    </xf>
    <xf numFmtId="165" fontId="10" fillId="0" borderId="0" xfId="14" applyNumberFormat="1" applyAlignment="1">
      <alignment vertical="center"/>
    </xf>
    <xf numFmtId="49" fontId="29" fillId="0" borderId="4" xfId="16" applyNumberFormat="1" applyFont="1" applyBorder="1" applyAlignment="1">
      <alignment horizontal="left" vertical="center" wrapText="1"/>
    </xf>
    <xf numFmtId="49" fontId="29" fillId="11" borderId="4" xfId="16" applyNumberFormat="1" applyFont="1" applyFill="1" applyBorder="1" applyAlignment="1">
      <alignment horizontal="left" vertical="center" wrapText="1"/>
    </xf>
    <xf numFmtId="49" fontId="26" fillId="0" borderId="4" xfId="6" applyNumberFormat="1" applyFont="1" applyBorder="1" applyAlignment="1">
      <alignment horizontal="left" vertical="center"/>
    </xf>
    <xf numFmtId="49" fontId="30" fillId="11" borderId="4" xfId="6" applyNumberFormat="1" applyFont="1" applyFill="1" applyBorder="1" applyAlignment="1">
      <alignment horizontal="left" vertical="center"/>
    </xf>
    <xf numFmtId="49" fontId="30" fillId="11" borderId="0" xfId="6" applyNumberFormat="1" applyFont="1" applyFill="1" applyBorder="1" applyAlignment="1">
      <alignment horizontal="left" vertical="center"/>
    </xf>
    <xf numFmtId="43" fontId="17" fillId="0" borderId="4" xfId="1" applyFont="1" applyBorder="1" applyAlignment="1">
      <alignment horizontal="center"/>
    </xf>
    <xf numFmtId="166" fontId="18" fillId="3" borderId="0" xfId="0" applyNumberFormat="1" applyFont="1" applyFill="1" applyAlignment="1">
      <alignment vertical="center"/>
    </xf>
    <xf numFmtId="0" fontId="0" fillId="0" borderId="0" xfId="0" pivotButton="1"/>
    <xf numFmtId="0" fontId="0" fillId="0" borderId="0" xfId="0" applyAlignment="1">
      <alignment horizontal="left"/>
    </xf>
    <xf numFmtId="0" fontId="27" fillId="7" borderId="0" xfId="7" applyFont="1" applyFill="1" applyAlignment="1">
      <alignment horizontal="left" vertical="center" wrapText="1"/>
    </xf>
    <xf numFmtId="9" fontId="35" fillId="0" borderId="0" xfId="2" applyFont="1"/>
    <xf numFmtId="9" fontId="37" fillId="0" borderId="0" xfId="2" applyFont="1"/>
    <xf numFmtId="9" fontId="31" fillId="0" borderId="0" xfId="2" applyFont="1"/>
    <xf numFmtId="165" fontId="24" fillId="0" borderId="4" xfId="1" applyNumberFormat="1" applyFont="1" applyBorder="1" applyAlignment="1">
      <alignment vertical="center"/>
    </xf>
    <xf numFmtId="9" fontId="21" fillId="0" borderId="0" xfId="2" applyFont="1"/>
    <xf numFmtId="0" fontId="39" fillId="0" borderId="0" xfId="0" applyFont="1"/>
    <xf numFmtId="0" fontId="39" fillId="0" borderId="3" xfId="0" applyFont="1" applyBorder="1"/>
    <xf numFmtId="165" fontId="39" fillId="0" borderId="4" xfId="0" applyNumberFormat="1" applyFont="1" applyBorder="1"/>
    <xf numFmtId="165" fontId="39" fillId="0" borderId="4" xfId="1" applyNumberFormat="1" applyFont="1" applyBorder="1"/>
    <xf numFmtId="165" fontId="39" fillId="0" borderId="0" xfId="1" applyNumberFormat="1" applyFont="1" applyFill="1" applyBorder="1"/>
    <xf numFmtId="165" fontId="39" fillId="0" borderId="4" xfId="1" applyNumberFormat="1" applyFont="1" applyFill="1" applyBorder="1"/>
    <xf numFmtId="166" fontId="39" fillId="0" borderId="4" xfId="1" applyNumberFormat="1" applyFont="1" applyFill="1" applyBorder="1"/>
    <xf numFmtId="165" fontId="39" fillId="0" borderId="5" xfId="1" applyNumberFormat="1" applyFont="1" applyBorder="1"/>
    <xf numFmtId="43" fontId="24" fillId="0" borderId="4" xfId="1" applyFont="1" applyBorder="1" applyAlignment="1">
      <alignment horizontal="center" vertical="center"/>
    </xf>
    <xf numFmtId="0" fontId="25" fillId="3" borderId="0" xfId="0" applyFont="1" applyFill="1"/>
    <xf numFmtId="43" fontId="39" fillId="0" borderId="4" xfId="1" applyFont="1" applyBorder="1" applyAlignment="1">
      <alignment horizontal="center" vertical="center"/>
    </xf>
    <xf numFmtId="0" fontId="39" fillId="0" borderId="4" xfId="0" applyFont="1" applyBorder="1" applyAlignment="1">
      <alignment horizontal="center" vertical="center"/>
    </xf>
    <xf numFmtId="165" fontId="39" fillId="0" borderId="4" xfId="1" applyNumberFormat="1" applyFont="1" applyBorder="1" applyAlignment="1">
      <alignment vertical="center"/>
    </xf>
    <xf numFmtId="168" fontId="39" fillId="0" borderId="0" xfId="0" applyNumberFormat="1" applyFont="1" applyAlignment="1">
      <alignment horizontal="center"/>
    </xf>
    <xf numFmtId="165" fontId="39" fillId="0" borderId="4" xfId="0" applyNumberFormat="1" applyFont="1" applyBorder="1" applyAlignment="1">
      <alignment vertical="center"/>
    </xf>
    <xf numFmtId="165" fontId="26" fillId="0" borderId="4" xfId="1" applyNumberFormat="1" applyFont="1" applyBorder="1" applyAlignment="1">
      <alignment horizontal="left" vertical="center"/>
    </xf>
    <xf numFmtId="165" fontId="10" fillId="11" borderId="0" xfId="14" applyNumberFormat="1" applyFill="1" applyAlignment="1">
      <alignment vertical="center"/>
    </xf>
    <xf numFmtId="0" fontId="32" fillId="11" borderId="0" xfId="0" applyFont="1" applyFill="1"/>
    <xf numFmtId="0" fontId="24" fillId="11" borderId="0" xfId="0" applyFont="1" applyFill="1"/>
    <xf numFmtId="0" fontId="36" fillId="11" borderId="0" xfId="0" applyFont="1" applyFill="1"/>
    <xf numFmtId="0" fontId="39" fillId="11" borderId="0" xfId="0" applyFont="1" applyFill="1"/>
    <xf numFmtId="0" fontId="0" fillId="11" borderId="0" xfId="0" applyFill="1"/>
    <xf numFmtId="43" fontId="0" fillId="11" borderId="0" xfId="1" applyFont="1" applyFill="1"/>
    <xf numFmtId="165" fontId="24" fillId="11" borderId="0" xfId="1" applyNumberFormat="1" applyFont="1" applyFill="1" applyBorder="1"/>
    <xf numFmtId="165" fontId="10" fillId="0" borderId="0" xfId="1" applyNumberFormat="1" applyFont="1" applyAlignment="1">
      <alignment vertical="center"/>
    </xf>
    <xf numFmtId="165" fontId="29" fillId="11" borderId="4" xfId="1" applyNumberFormat="1" applyFont="1" applyFill="1" applyBorder="1" applyAlignment="1">
      <alignment horizontal="left" vertical="center"/>
    </xf>
    <xf numFmtId="14" fontId="0" fillId="0" borderId="0" xfId="0" applyNumberFormat="1" applyAlignment="1">
      <alignment horizontal="center"/>
    </xf>
    <xf numFmtId="170" fontId="0" fillId="0" borderId="0" xfId="0" applyNumberFormat="1"/>
    <xf numFmtId="170" fontId="0" fillId="0" borderId="0" xfId="1" applyNumberFormat="1" applyFont="1"/>
    <xf numFmtId="170" fontId="0" fillId="4" borderId="0" xfId="1" applyNumberFormat="1" applyFont="1" applyFill="1"/>
    <xf numFmtId="43" fontId="41" fillId="11" borderId="0" xfId="1" applyFont="1" applyFill="1" applyAlignment="1">
      <alignment vertical="center" wrapText="1"/>
    </xf>
    <xf numFmtId="0" fontId="18" fillId="3" borderId="2" xfId="0" applyFont="1" applyFill="1" applyBorder="1" applyAlignment="1">
      <alignment horizontal="center"/>
    </xf>
    <xf numFmtId="165" fontId="35" fillId="4" borderId="0" xfId="1" applyNumberFormat="1" applyFont="1" applyFill="1" applyBorder="1" applyAlignment="1">
      <alignment vertical="center"/>
    </xf>
    <xf numFmtId="0" fontId="25" fillId="4" borderId="0" xfId="0" applyFont="1" applyFill="1" applyAlignment="1">
      <alignment horizontal="center"/>
    </xf>
    <xf numFmtId="0" fontId="25" fillId="4" borderId="2" xfId="0" applyFont="1" applyFill="1" applyBorder="1" applyAlignment="1">
      <alignment horizontal="center"/>
    </xf>
    <xf numFmtId="43" fontId="23" fillId="0" borderId="0" xfId="1" applyFont="1"/>
    <xf numFmtId="43" fontId="31" fillId="10" borderId="0" xfId="1" applyFont="1" applyFill="1"/>
    <xf numFmtId="43" fontId="0" fillId="0" borderId="0" xfId="1" applyFont="1" applyAlignment="1"/>
    <xf numFmtId="43" fontId="25" fillId="0" borderId="0" xfId="1" applyFont="1" applyAlignment="1">
      <alignment horizontal="left"/>
    </xf>
    <xf numFmtId="43" fontId="25" fillId="4" borderId="0" xfId="1" applyFont="1" applyFill="1" applyAlignment="1">
      <alignment horizontal="left"/>
    </xf>
    <xf numFmtId="43" fontId="25" fillId="5" borderId="0" xfId="1" applyFont="1" applyFill="1" applyAlignment="1">
      <alignment horizontal="left"/>
    </xf>
    <xf numFmtId="43" fontId="0" fillId="11" borderId="0" xfId="1" applyFont="1" applyFill="1" applyBorder="1"/>
    <xf numFmtId="4" fontId="33" fillId="0" borderId="0" xfId="0" applyNumberFormat="1" applyFont="1"/>
    <xf numFmtId="43" fontId="33" fillId="0" borderId="0" xfId="1" applyFont="1"/>
    <xf numFmtId="14" fontId="33" fillId="4" borderId="21" xfId="1" applyNumberFormat="1" applyFont="1" applyFill="1" applyBorder="1" applyAlignment="1">
      <alignment horizontal="center"/>
    </xf>
    <xf numFmtId="14" fontId="0" fillId="0" borderId="0" xfId="1" applyNumberFormat="1" applyFont="1" applyFill="1" applyAlignment="1"/>
    <xf numFmtId="165" fontId="27" fillId="7" borderId="0" xfId="1" applyNumberFormat="1" applyFont="1" applyFill="1" applyAlignment="1">
      <alignment vertical="center"/>
    </xf>
    <xf numFmtId="165" fontId="30" fillId="9" borderId="4" xfId="1" applyNumberFormat="1" applyFont="1" applyFill="1" applyBorder="1" applyAlignment="1">
      <alignment horizontal="left" vertical="center"/>
    </xf>
    <xf numFmtId="165" fontId="30" fillId="12" borderId="4" xfId="1" applyNumberFormat="1" applyFont="1" applyFill="1" applyBorder="1" applyAlignment="1">
      <alignment horizontal="left" vertical="center"/>
    </xf>
    <xf numFmtId="43" fontId="22" fillId="3" borderId="0" xfId="1" applyFont="1" applyFill="1" applyAlignment="1">
      <alignment horizontal="center" vertical="center" wrapText="1"/>
    </xf>
    <xf numFmtId="43" fontId="22" fillId="3" borderId="0" xfId="1" applyFont="1" applyFill="1" applyAlignment="1">
      <alignment horizontal="center" vertical="center"/>
    </xf>
    <xf numFmtId="0" fontId="19" fillId="0" borderId="0" xfId="0" applyFont="1" applyAlignment="1">
      <alignment horizontal="center" vertical="center"/>
    </xf>
    <xf numFmtId="165" fontId="20" fillId="3" borderId="0" xfId="1" applyNumberFormat="1" applyFont="1" applyFill="1" applyBorder="1" applyAlignment="1">
      <alignment vertical="center" wrapText="1"/>
    </xf>
    <xf numFmtId="165" fontId="18" fillId="3" borderId="6" xfId="1" applyNumberFormat="1" applyFont="1" applyFill="1" applyBorder="1" applyAlignment="1">
      <alignment vertical="center" wrapText="1"/>
    </xf>
    <xf numFmtId="165" fontId="18" fillId="3" borderId="1" xfId="1" applyNumberFormat="1" applyFont="1" applyFill="1" applyBorder="1" applyAlignment="1">
      <alignment horizontal="center" vertical="center"/>
    </xf>
    <xf numFmtId="165" fontId="18" fillId="3" borderId="0" xfId="1" applyNumberFormat="1" applyFont="1" applyFill="1" applyBorder="1" applyAlignment="1">
      <alignment horizontal="center" vertical="center"/>
    </xf>
    <xf numFmtId="165" fontId="26" fillId="11" borderId="4" xfId="1" applyNumberFormat="1" applyFont="1" applyFill="1" applyBorder="1" applyAlignment="1">
      <alignment horizontal="left" vertical="center"/>
    </xf>
    <xf numFmtId="165" fontId="26" fillId="11" borderId="4" xfId="6" applyNumberFormat="1" applyFont="1" applyFill="1" applyBorder="1" applyAlignment="1">
      <alignment horizontal="center" vertical="center"/>
    </xf>
    <xf numFmtId="0" fontId="6" fillId="11" borderId="0" xfId="14" applyFont="1" applyFill="1" applyAlignment="1">
      <alignment vertical="center"/>
    </xf>
    <xf numFmtId="43" fontId="10" fillId="11" borderId="0" xfId="1" applyFont="1" applyFill="1" applyAlignment="1">
      <alignment vertical="center"/>
    </xf>
    <xf numFmtId="171" fontId="18" fillId="3" borderId="6" xfId="0" applyNumberFormat="1" applyFont="1" applyFill="1" applyBorder="1" applyAlignment="1">
      <alignment horizontal="center" vertical="center" wrapText="1"/>
    </xf>
    <xf numFmtId="166" fontId="36" fillId="11" borderId="0" xfId="0" applyNumberFormat="1" applyFont="1" applyFill="1"/>
    <xf numFmtId="0" fontId="36" fillId="11" borderId="0" xfId="0" applyFont="1" applyFill="1" applyAlignment="1">
      <alignment horizontal="center" vertical="center"/>
    </xf>
    <xf numFmtId="171" fontId="36" fillId="11" borderId="0" xfId="0" applyNumberFormat="1" applyFont="1" applyFill="1"/>
    <xf numFmtId="165" fontId="24" fillId="0" borderId="20" xfId="1" applyNumberFormat="1" applyFont="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165" fontId="24" fillId="0" borderId="0" xfId="1" applyNumberFormat="1" applyFont="1" applyBorder="1" applyAlignment="1">
      <alignment vertical="center"/>
    </xf>
    <xf numFmtId="165" fontId="45" fillId="13" borderId="0" xfId="1" applyNumberFormat="1" applyFont="1" applyFill="1" applyBorder="1" applyAlignment="1">
      <alignment vertical="center"/>
    </xf>
    <xf numFmtId="165" fontId="24" fillId="14" borderId="0" xfId="1" applyNumberFormat="1" applyFont="1" applyFill="1" applyBorder="1" applyAlignment="1">
      <alignment vertical="center"/>
    </xf>
    <xf numFmtId="0" fontId="24" fillId="11" borderId="0" xfId="0" applyFont="1" applyFill="1" applyAlignment="1">
      <alignment vertical="center"/>
    </xf>
    <xf numFmtId="165" fontId="24" fillId="11" borderId="0" xfId="1" applyNumberFormat="1" applyFont="1" applyFill="1" applyBorder="1" applyAlignment="1">
      <alignment vertical="center"/>
    </xf>
    <xf numFmtId="165" fontId="24" fillId="14" borderId="20" xfId="1" applyNumberFormat="1" applyFont="1" applyFill="1" applyBorder="1" applyAlignment="1">
      <alignment vertical="center"/>
    </xf>
    <xf numFmtId="165" fontId="24" fillId="0" borderId="6" xfId="1" applyNumberFormat="1" applyFont="1" applyBorder="1" applyAlignment="1">
      <alignment vertical="center"/>
    </xf>
    <xf numFmtId="165" fontId="24" fillId="13" borderId="20" xfId="1" applyNumberFormat="1" applyFont="1" applyFill="1" applyBorder="1" applyAlignment="1">
      <alignment vertical="center"/>
    </xf>
    <xf numFmtId="165" fontId="24" fillId="13" borderId="0" xfId="1" applyNumberFormat="1" applyFont="1" applyFill="1" applyBorder="1" applyAlignment="1">
      <alignment vertical="center"/>
    </xf>
    <xf numFmtId="165" fontId="24" fillId="13" borderId="6" xfId="1" applyNumberFormat="1" applyFont="1" applyFill="1" applyBorder="1" applyAlignment="1">
      <alignment vertical="center"/>
    </xf>
    <xf numFmtId="0" fontId="0" fillId="0" borderId="0" xfId="0" applyAlignment="1">
      <alignment vertical="center" wrapText="1"/>
    </xf>
    <xf numFmtId="0" fontId="18" fillId="3" borderId="9" xfId="0" applyFont="1" applyFill="1" applyBorder="1" applyAlignment="1">
      <alignment horizontal="center" vertical="center" wrapText="1"/>
    </xf>
    <xf numFmtId="0" fontId="18" fillId="3" borderId="9" xfId="0" applyFont="1" applyFill="1" applyBorder="1" applyAlignment="1">
      <alignment horizontal="center" vertical="center"/>
    </xf>
    <xf numFmtId="0" fontId="47" fillId="11" borderId="0" xfId="0" applyFont="1" applyFill="1" applyAlignment="1">
      <alignment vertical="center"/>
    </xf>
    <xf numFmtId="0" fontId="33" fillId="0" borderId="0" xfId="0" applyFont="1"/>
    <xf numFmtId="165" fontId="33" fillId="0" borderId="0" xfId="0" applyNumberFormat="1" applyFont="1"/>
    <xf numFmtId="165" fontId="33" fillId="0" borderId="0" xfId="0" applyNumberFormat="1" applyFont="1" applyAlignment="1">
      <alignment horizontal="left"/>
    </xf>
    <xf numFmtId="9" fontId="33" fillId="15" borderId="0" xfId="2" applyFont="1" applyFill="1" applyAlignment="1">
      <alignment horizontal="center" vertical="center"/>
    </xf>
    <xf numFmtId="0" fontId="0" fillId="15" borderId="0" xfId="0" applyFill="1"/>
    <xf numFmtId="165" fontId="24" fillId="0" borderId="0" xfId="1" applyNumberFormat="1" applyFont="1" applyFill="1" applyBorder="1" applyAlignment="1">
      <alignment vertical="center"/>
    </xf>
    <xf numFmtId="171" fontId="48" fillId="0" borderId="0" xfId="1" applyNumberFormat="1" applyFont="1"/>
    <xf numFmtId="171" fontId="49" fillId="3" borderId="0" xfId="0" applyNumberFormat="1" applyFont="1" applyFill="1" applyAlignment="1">
      <alignment vertical="center" wrapText="1"/>
    </xf>
    <xf numFmtId="10" fontId="21" fillId="0" borderId="0" xfId="2" applyNumberFormat="1" applyFont="1"/>
    <xf numFmtId="22" fontId="0" fillId="0" borderId="0" xfId="0" applyNumberFormat="1"/>
    <xf numFmtId="22" fontId="0" fillId="0" borderId="0" xfId="1" applyNumberFormat="1" applyFont="1"/>
    <xf numFmtId="165" fontId="24" fillId="14" borderId="0" xfId="0" applyNumberFormat="1" applyFont="1" applyFill="1" applyAlignment="1">
      <alignment vertical="center"/>
    </xf>
    <xf numFmtId="0" fontId="24" fillId="14" borderId="0" xfId="0" applyFont="1" applyFill="1" applyAlignment="1">
      <alignment vertical="center"/>
    </xf>
    <xf numFmtId="0" fontId="24" fillId="11" borderId="22" xfId="0" applyFont="1" applyFill="1" applyBorder="1" applyAlignment="1">
      <alignment vertical="center"/>
    </xf>
    <xf numFmtId="0" fontId="24" fillId="0" borderId="20" xfId="0" applyFont="1" applyBorder="1" applyAlignment="1">
      <alignment vertical="center"/>
    </xf>
    <xf numFmtId="165" fontId="24" fillId="0" borderId="20" xfId="0" applyNumberFormat="1" applyFont="1" applyBorder="1" applyAlignment="1">
      <alignment vertical="center"/>
    </xf>
    <xf numFmtId="0" fontId="0" fillId="0" borderId="23" xfId="0" applyBorder="1" applyAlignment="1">
      <alignment vertical="center" wrapText="1"/>
    </xf>
    <xf numFmtId="0" fontId="24" fillId="11" borderId="24" xfId="0" applyFont="1" applyFill="1" applyBorder="1" applyAlignment="1">
      <alignment vertical="center"/>
    </xf>
    <xf numFmtId="0" fontId="0" fillId="0" borderId="2" xfId="0" applyBorder="1" applyAlignment="1">
      <alignment vertical="center" wrapText="1"/>
    </xf>
    <xf numFmtId="0" fontId="45" fillId="13" borderId="24" xfId="0" applyFont="1" applyFill="1" applyBorder="1" applyAlignment="1">
      <alignment vertical="center"/>
    </xf>
    <xf numFmtId="0" fontId="24" fillId="14" borderId="24" xfId="0" applyFont="1" applyFill="1" applyBorder="1" applyAlignment="1">
      <alignment vertical="center"/>
    </xf>
    <xf numFmtId="0" fontId="0" fillId="14" borderId="2" xfId="0" applyFill="1" applyBorder="1" applyAlignment="1">
      <alignment vertical="center" wrapText="1"/>
    </xf>
    <xf numFmtId="0" fontId="24" fillId="11" borderId="25" xfId="0" applyFont="1" applyFill="1" applyBorder="1" applyAlignment="1">
      <alignment vertical="center"/>
    </xf>
    <xf numFmtId="0" fontId="0" fillId="0" borderId="26" xfId="0" applyBorder="1" applyAlignment="1">
      <alignment vertical="center" wrapText="1"/>
    </xf>
    <xf numFmtId="0" fontId="24" fillId="14" borderId="22" xfId="0" applyFont="1" applyFill="1" applyBorder="1" applyAlignment="1">
      <alignment vertical="center"/>
    </xf>
    <xf numFmtId="0" fontId="24" fillId="14" borderId="20" xfId="0" applyFont="1" applyFill="1" applyBorder="1" applyAlignment="1">
      <alignment vertical="center"/>
    </xf>
    <xf numFmtId="165" fontId="24" fillId="14" borderId="20" xfId="0" applyNumberFormat="1" applyFont="1" applyFill="1" applyBorder="1" applyAlignment="1">
      <alignment vertical="center"/>
    </xf>
    <xf numFmtId="0" fontId="0" fillId="14" borderId="23" xfId="0" applyFill="1" applyBorder="1" applyAlignment="1">
      <alignment vertical="center" wrapText="1"/>
    </xf>
    <xf numFmtId="0" fontId="24" fillId="0" borderId="6" xfId="0" applyFont="1" applyBorder="1" applyAlignment="1">
      <alignment vertical="center"/>
    </xf>
    <xf numFmtId="165" fontId="24" fillId="0" borderId="6" xfId="0" applyNumberFormat="1" applyFont="1" applyBorder="1" applyAlignment="1">
      <alignment vertical="center"/>
    </xf>
    <xf numFmtId="0" fontId="24" fillId="13" borderId="22" xfId="0" applyFont="1" applyFill="1" applyBorder="1" applyAlignment="1">
      <alignment vertical="center"/>
    </xf>
    <xf numFmtId="0" fontId="24" fillId="13" borderId="20" xfId="0" applyFont="1" applyFill="1" applyBorder="1" applyAlignment="1">
      <alignment vertical="center"/>
    </xf>
    <xf numFmtId="165" fontId="24" fillId="13" borderId="20" xfId="0" applyNumberFormat="1" applyFont="1" applyFill="1" applyBorder="1" applyAlignment="1">
      <alignment vertical="center"/>
    </xf>
    <xf numFmtId="0" fontId="0" fillId="13" borderId="23" xfId="0" applyFill="1" applyBorder="1" applyAlignment="1">
      <alignment vertical="center" wrapText="1"/>
    </xf>
    <xf numFmtId="0" fontId="24" fillId="13" borderId="24" xfId="0" applyFont="1" applyFill="1" applyBorder="1" applyAlignment="1">
      <alignment vertical="center"/>
    </xf>
    <xf numFmtId="0" fontId="0" fillId="13" borderId="2" xfId="0" applyFill="1" applyBorder="1" applyAlignment="1">
      <alignment vertical="center" wrapText="1"/>
    </xf>
    <xf numFmtId="0" fontId="0" fillId="13" borderId="2" xfId="0" applyFill="1" applyBorder="1" applyAlignment="1">
      <alignment wrapText="1"/>
    </xf>
    <xf numFmtId="0" fontId="24" fillId="13" borderId="25" xfId="0" applyFont="1" applyFill="1" applyBorder="1" applyAlignment="1">
      <alignment vertical="center"/>
    </xf>
    <xf numFmtId="0" fontId="24" fillId="13" borderId="6" xfId="0" applyFont="1" applyFill="1" applyBorder="1" applyAlignment="1">
      <alignment vertical="center"/>
    </xf>
    <xf numFmtId="165" fontId="24" fillId="13" borderId="6" xfId="0" applyNumberFormat="1" applyFont="1" applyFill="1" applyBorder="1" applyAlignment="1">
      <alignment vertical="center"/>
    </xf>
    <xf numFmtId="0" fontId="0" fillId="13" borderId="26" xfId="0" applyFill="1" applyBorder="1" applyAlignment="1">
      <alignment vertical="center" wrapText="1"/>
    </xf>
    <xf numFmtId="165" fontId="24" fillId="11" borderId="0" xfId="0" applyNumberFormat="1" applyFont="1" applyFill="1" applyAlignment="1">
      <alignment vertical="center"/>
    </xf>
    <xf numFmtId="0" fontId="45" fillId="13" borderId="0" xfId="0" applyFont="1" applyFill="1" applyAlignment="1">
      <alignment vertical="center"/>
    </xf>
    <xf numFmtId="165" fontId="45" fillId="13" borderId="0" xfId="0" applyNumberFormat="1" applyFont="1" applyFill="1" applyAlignment="1">
      <alignment vertical="center"/>
    </xf>
    <xf numFmtId="165" fontId="45" fillId="16" borderId="0" xfId="0" applyNumberFormat="1" applyFont="1" applyFill="1" applyAlignment="1">
      <alignment vertical="center"/>
    </xf>
    <xf numFmtId="165" fontId="45" fillId="14" borderId="0" xfId="0" applyNumberFormat="1" applyFont="1" applyFill="1" applyAlignment="1">
      <alignment vertical="center"/>
    </xf>
    <xf numFmtId="165" fontId="45" fillId="11" borderId="0" xfId="0" applyNumberFormat="1" applyFont="1" applyFill="1" applyAlignment="1">
      <alignment vertical="center"/>
    </xf>
    <xf numFmtId="165" fontId="45" fillId="11" borderId="6" xfId="0" applyNumberFormat="1" applyFont="1" applyFill="1" applyBorder="1" applyAlignment="1">
      <alignment vertical="center"/>
    </xf>
    <xf numFmtId="165" fontId="45" fillId="16" borderId="6" xfId="0" applyNumberFormat="1" applyFont="1" applyFill="1" applyBorder="1" applyAlignment="1">
      <alignment vertical="center"/>
    </xf>
    <xf numFmtId="165" fontId="24" fillId="16" borderId="0" xfId="0" applyNumberFormat="1" applyFont="1" applyFill="1" applyAlignment="1">
      <alignment vertical="center"/>
    </xf>
    <xf numFmtId="165" fontId="45" fillId="14" borderId="20" xfId="0" applyNumberFormat="1" applyFont="1" applyFill="1" applyBorder="1" applyAlignment="1">
      <alignment vertical="center"/>
    </xf>
    <xf numFmtId="0" fontId="44" fillId="3" borderId="0" xfId="0" applyFont="1" applyFill="1"/>
    <xf numFmtId="165" fontId="35" fillId="0" borderId="0" xfId="1" applyNumberFormat="1" applyFont="1" applyBorder="1" applyAlignment="1">
      <alignment horizontal="center"/>
    </xf>
    <xf numFmtId="14" fontId="35" fillId="0" borderId="0" xfId="1" applyNumberFormat="1" applyFont="1" applyBorder="1" applyAlignment="1">
      <alignment horizontal="center"/>
    </xf>
    <xf numFmtId="165" fontId="20" fillId="3" borderId="0" xfId="1" applyNumberFormat="1" applyFont="1" applyFill="1" applyBorder="1" applyAlignment="1">
      <alignment horizontal="center"/>
    </xf>
    <xf numFmtId="0" fontId="18" fillId="3" borderId="0" xfId="0" applyFont="1" applyFill="1" applyAlignment="1">
      <alignment horizontal="center" vertical="center" wrapText="1"/>
    </xf>
    <xf numFmtId="0" fontId="18" fillId="3" borderId="0" xfId="0" applyFont="1" applyFill="1" applyAlignment="1">
      <alignment horizontal="center" vertical="center"/>
    </xf>
    <xf numFmtId="165" fontId="24" fillId="16" borderId="6" xfId="0" applyNumberFormat="1" applyFont="1" applyFill="1" applyBorder="1" applyAlignment="1">
      <alignment vertical="center"/>
    </xf>
    <xf numFmtId="165" fontId="0" fillId="11" borderId="0" xfId="0" applyNumberFormat="1" applyFill="1"/>
    <xf numFmtId="0" fontId="33" fillId="11" borderId="0" xfId="0" applyFont="1" applyFill="1"/>
    <xf numFmtId="165" fontId="33" fillId="11" borderId="0" xfId="0" applyNumberFormat="1" applyFont="1" applyFill="1"/>
    <xf numFmtId="0" fontId="33" fillId="11" borderId="0" xfId="0" applyFont="1" applyFill="1" applyAlignment="1">
      <alignment wrapText="1"/>
    </xf>
    <xf numFmtId="165" fontId="33" fillId="11" borderId="0" xfId="0" applyNumberFormat="1" applyFont="1" applyFill="1" applyAlignment="1">
      <alignment horizontal="left"/>
    </xf>
    <xf numFmtId="165" fontId="24" fillId="16" borderId="0" xfId="1" applyNumberFormat="1" applyFont="1" applyFill="1" applyBorder="1" applyAlignment="1">
      <alignment vertical="center"/>
    </xf>
    <xf numFmtId="0" fontId="46" fillId="16" borderId="2" xfId="0" applyFont="1" applyFill="1" applyBorder="1" applyAlignment="1">
      <alignment vertical="center" wrapText="1"/>
    </xf>
    <xf numFmtId="0" fontId="24" fillId="13" borderId="0" xfId="0" applyFont="1" applyFill="1" applyAlignment="1">
      <alignment vertical="center"/>
    </xf>
    <xf numFmtId="165" fontId="24" fillId="13" borderId="0" xfId="0" applyNumberFormat="1" applyFont="1" applyFill="1" applyAlignment="1">
      <alignment vertical="center"/>
    </xf>
    <xf numFmtId="165" fontId="24" fillId="16" borderId="6" xfId="1" applyNumberFormat="1" applyFont="1" applyFill="1" applyBorder="1" applyAlignment="1">
      <alignment vertical="center"/>
    </xf>
    <xf numFmtId="10" fontId="32" fillId="11" borderId="0" xfId="0" applyNumberFormat="1" applyFont="1" applyFill="1"/>
    <xf numFmtId="0" fontId="36" fillId="11" borderId="4" xfId="0" applyFont="1" applyFill="1" applyBorder="1"/>
    <xf numFmtId="166" fontId="36" fillId="11" borderId="4" xfId="0" applyNumberFormat="1" applyFont="1" applyFill="1" applyBorder="1"/>
    <xf numFmtId="0" fontId="36" fillId="11" borderId="4" xfId="0" applyFont="1" applyFill="1" applyBorder="1" applyAlignment="1">
      <alignment horizontal="center" vertical="center"/>
    </xf>
    <xf numFmtId="165" fontId="29" fillId="11" borderId="4" xfId="6" quotePrefix="1" applyNumberFormat="1" applyFont="1" applyFill="1" applyBorder="1" applyAlignment="1">
      <alignment horizontal="left" vertical="center"/>
    </xf>
    <xf numFmtId="165" fontId="1" fillId="0" borderId="0" xfId="1" applyNumberFormat="1" applyFont="1" applyAlignment="1">
      <alignment vertical="center"/>
    </xf>
    <xf numFmtId="0" fontId="27" fillId="11" borderId="0" xfId="7" applyFont="1" applyFill="1" applyAlignment="1">
      <alignment horizontal="left" vertical="center" wrapText="1"/>
    </xf>
    <xf numFmtId="0" fontId="10" fillId="11" borderId="0" xfId="14" applyFill="1" applyAlignment="1">
      <alignment horizontal="left" vertical="center"/>
    </xf>
    <xf numFmtId="49" fontId="29" fillId="11" borderId="4" xfId="6" applyNumberFormat="1" applyFont="1" applyFill="1" applyBorder="1" applyAlignment="1">
      <alignment horizontal="left" vertical="center" wrapText="1"/>
    </xf>
    <xf numFmtId="0" fontId="0" fillId="0" borderId="24" xfId="0" applyBorder="1"/>
    <xf numFmtId="0" fontId="32" fillId="11" borderId="3" xfId="0" applyFont="1" applyFill="1" applyBorder="1"/>
    <xf numFmtId="0" fontId="36" fillId="11" borderId="0" xfId="0" applyFont="1" applyFill="1" applyAlignment="1">
      <alignment horizontal="center"/>
    </xf>
    <xf numFmtId="165" fontId="36" fillId="11" borderId="0" xfId="1" applyNumberFormat="1" applyFont="1" applyFill="1"/>
    <xf numFmtId="165" fontId="18" fillId="3" borderId="0" xfId="1" applyNumberFormat="1" applyFont="1" applyFill="1" applyAlignment="1">
      <alignment vertical="center" wrapText="1"/>
    </xf>
    <xf numFmtId="165" fontId="18" fillId="3" borderId="6" xfId="1" applyNumberFormat="1" applyFont="1" applyFill="1" applyBorder="1" applyAlignment="1">
      <alignment horizontal="center" vertical="center" wrapText="1"/>
    </xf>
    <xf numFmtId="165" fontId="18" fillId="3" borderId="0" xfId="1" applyNumberFormat="1" applyFont="1" applyFill="1" applyAlignment="1">
      <alignment vertical="center"/>
    </xf>
    <xf numFmtId="165" fontId="18" fillId="3" borderId="6" xfId="1" applyNumberFormat="1" applyFont="1" applyFill="1" applyBorder="1" applyAlignment="1">
      <alignment horizontal="center" vertical="center"/>
    </xf>
    <xf numFmtId="165" fontId="32" fillId="11" borderId="4" xfId="1" applyNumberFormat="1" applyFont="1" applyFill="1" applyBorder="1"/>
    <xf numFmtId="0" fontId="24" fillId="11" borderId="3" xfId="0" applyFont="1" applyFill="1" applyBorder="1"/>
    <xf numFmtId="0" fontId="24" fillId="11" borderId="4" xfId="0" applyFont="1" applyFill="1" applyBorder="1"/>
    <xf numFmtId="165" fontId="24" fillId="11" borderId="4" xfId="1" applyNumberFormat="1" applyFont="1" applyFill="1" applyBorder="1"/>
    <xf numFmtId="0" fontId="24" fillId="11" borderId="5" xfId="0" applyFont="1" applyFill="1" applyBorder="1"/>
    <xf numFmtId="166" fontId="24" fillId="11" borderId="4" xfId="0" applyNumberFormat="1" applyFont="1" applyFill="1" applyBorder="1"/>
    <xf numFmtId="0" fontId="24" fillId="11" borderId="4" xfId="0" applyFont="1" applyFill="1" applyBorder="1" applyAlignment="1">
      <alignment horizontal="center" vertical="center"/>
    </xf>
    <xf numFmtId="168" fontId="24" fillId="0" borderId="4" xfId="1" applyNumberFormat="1" applyFont="1" applyBorder="1"/>
    <xf numFmtId="43" fontId="24" fillId="0" borderId="4" xfId="1" applyFont="1" applyBorder="1" applyAlignment="1">
      <alignment horizontal="center"/>
    </xf>
    <xf numFmtId="0" fontId="24" fillId="0" borderId="4" xfId="0" applyFont="1" applyBorder="1"/>
    <xf numFmtId="0" fontId="0" fillId="0" borderId="0" xfId="0" applyAlignment="1">
      <alignment horizontal="left" vertical="center"/>
    </xf>
    <xf numFmtId="169" fontId="0" fillId="0" borderId="0" xfId="0" applyNumberFormat="1" applyAlignment="1">
      <alignment horizontal="left" vertical="center"/>
    </xf>
    <xf numFmtId="22" fontId="0" fillId="0" borderId="0" xfId="0" applyNumberFormat="1" applyAlignment="1">
      <alignment horizontal="left" vertical="center"/>
    </xf>
    <xf numFmtId="0" fontId="32" fillId="11" borderId="4" xfId="0" applyFont="1" applyFill="1" applyBorder="1"/>
    <xf numFmtId="166" fontId="32" fillId="11" borderId="4" xfId="0" applyNumberFormat="1" applyFont="1" applyFill="1" applyBorder="1"/>
    <xf numFmtId="0" fontId="32" fillId="11" borderId="4" xfId="0" applyFont="1" applyFill="1" applyBorder="1" applyAlignment="1">
      <alignment horizontal="center" vertical="center"/>
    </xf>
    <xf numFmtId="0" fontId="30" fillId="9" borderId="20" xfId="7" applyFont="1" applyFill="1" applyBorder="1" applyAlignment="1">
      <alignment horizontal="left" vertical="center"/>
    </xf>
    <xf numFmtId="0" fontId="30" fillId="9" borderId="0" xfId="7" applyFont="1" applyFill="1" applyAlignment="1">
      <alignment horizontal="left" vertical="center"/>
    </xf>
    <xf numFmtId="0" fontId="30" fillId="9" borderId="6" xfId="7" applyFont="1" applyFill="1" applyBorder="1" applyAlignment="1">
      <alignment horizontal="left" vertical="center"/>
    </xf>
    <xf numFmtId="0" fontId="27" fillId="7" borderId="0" xfId="7" applyFont="1" applyFill="1" applyAlignment="1">
      <alignment horizontal="center" vertical="center" wrapText="1"/>
    </xf>
    <xf numFmtId="0" fontId="27" fillId="7" borderId="6" xfId="7" applyFont="1" applyFill="1" applyBorder="1" applyAlignment="1">
      <alignment horizontal="center" vertical="center" wrapText="1"/>
    </xf>
    <xf numFmtId="0" fontId="27" fillId="7" borderId="0" xfId="7" applyFont="1" applyFill="1" applyAlignment="1">
      <alignment horizontal="left" vertical="center" wrapText="1"/>
    </xf>
    <xf numFmtId="165" fontId="30" fillId="9" borderId="15" xfId="6" applyNumberFormat="1" applyFont="1" applyFill="1" applyBorder="1" applyAlignment="1">
      <alignment horizontal="center" vertical="center"/>
    </xf>
    <xf numFmtId="165" fontId="30" fillId="9" borderId="0" xfId="6" applyNumberFormat="1" applyFont="1" applyFill="1" applyBorder="1" applyAlignment="1">
      <alignment horizontal="center" vertical="center"/>
    </xf>
    <xf numFmtId="165" fontId="30" fillId="9" borderId="7" xfId="6" applyNumberFormat="1" applyFont="1" applyFill="1" applyBorder="1" applyAlignment="1">
      <alignment horizontal="center"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30" fillId="8" borderId="19" xfId="6" applyNumberFormat="1" applyFont="1" applyFill="1" applyBorder="1" applyAlignment="1">
      <alignment horizontal="center" vertical="center"/>
    </xf>
    <xf numFmtId="165" fontId="30" fillId="8" borderId="18" xfId="6" applyNumberFormat="1" applyFont="1" applyFill="1" applyBorder="1" applyAlignment="1">
      <alignment horizontal="center" vertical="center"/>
    </xf>
    <xf numFmtId="0" fontId="29" fillId="0" borderId="4" xfId="8" applyFont="1" applyBorder="1" applyAlignment="1">
      <alignment horizontal="left" vertical="center"/>
    </xf>
    <xf numFmtId="0" fontId="29" fillId="0" borderId="18" xfId="8" applyFont="1" applyBorder="1" applyAlignment="1">
      <alignment horizontal="left" vertical="center"/>
    </xf>
    <xf numFmtId="165" fontId="30" fillId="9" borderId="0" xfId="6" applyNumberFormat="1" applyFont="1" applyFill="1" applyBorder="1" applyAlignment="1">
      <alignment horizontal="left" vertical="center"/>
    </xf>
    <xf numFmtId="165" fontId="30" fillId="9" borderId="7" xfId="6" applyNumberFormat="1" applyFont="1" applyFill="1" applyBorder="1" applyAlignment="1">
      <alignment horizontal="left" vertical="center"/>
    </xf>
    <xf numFmtId="165" fontId="27" fillId="7" borderId="0" xfId="6" applyNumberFormat="1" applyFont="1" applyFill="1" applyBorder="1" applyAlignment="1">
      <alignment horizontal="center" vertical="center"/>
    </xf>
    <xf numFmtId="165" fontId="27" fillId="7" borderId="12" xfId="6" applyNumberFormat="1" applyFont="1" applyFill="1" applyBorder="1" applyAlignment="1">
      <alignment horizontal="center" vertical="center"/>
    </xf>
    <xf numFmtId="165" fontId="27" fillId="7" borderId="13" xfId="6" applyNumberFormat="1" applyFont="1" applyFill="1" applyBorder="1" applyAlignment="1">
      <alignment horizontal="center" vertical="center"/>
    </xf>
    <xf numFmtId="165" fontId="27" fillId="7" borderId="14" xfId="6" applyNumberFormat="1" applyFont="1" applyFill="1" applyBorder="1" applyAlignment="1">
      <alignment horizontal="center" vertical="center"/>
    </xf>
    <xf numFmtId="165" fontId="27" fillId="7" borderId="7" xfId="6" applyNumberFormat="1" applyFont="1" applyFill="1" applyBorder="1" applyAlignment="1">
      <alignment horizontal="center" vertical="center"/>
    </xf>
    <xf numFmtId="165" fontId="18" fillId="3" borderId="9" xfId="1" applyNumberFormat="1" applyFont="1" applyFill="1" applyBorder="1" applyAlignment="1">
      <alignment horizontal="center" vertical="center"/>
    </xf>
    <xf numFmtId="0" fontId="24" fillId="11" borderId="13" xfId="0" applyFont="1" applyFill="1" applyBorder="1" applyAlignment="1">
      <alignment horizontal="center" vertical="center"/>
    </xf>
    <xf numFmtId="0" fontId="24" fillId="11" borderId="0" xfId="0" applyFont="1" applyFill="1" applyAlignment="1">
      <alignment horizontal="center" vertical="center"/>
    </xf>
    <xf numFmtId="0" fontId="33" fillId="0" borderId="0" xfId="0" applyFont="1" applyAlignment="1">
      <alignment horizontal="right" wrapText="1"/>
    </xf>
    <xf numFmtId="0" fontId="18" fillId="6" borderId="1" xfId="0" applyFont="1" applyFill="1" applyBorder="1" applyAlignment="1">
      <alignment horizontal="center"/>
    </xf>
    <xf numFmtId="167" fontId="22" fillId="3" borderId="0" xfId="0" applyNumberFormat="1" applyFont="1" applyFill="1" applyAlignment="1">
      <alignment horizontal="center" vertical="center" wrapText="1"/>
    </xf>
  </cellXfs>
  <cellStyles count="60">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Henrique Rodrigues" refreshedDate="45936.684967939815" createdVersion="8" refreshedVersion="8" minRefreshableVersion="3" recordCount="340" xr:uid="{2C578CC2-27B9-40DA-9051-1FF548E41BE4}">
  <cacheSource type="worksheet">
    <worksheetSource ref="A1:Z1048576" sheet="Planilha1"/>
  </cacheSource>
  <cacheFields count="26">
    <cacheField name="CODPARC" numFmtId="0">
      <sharedItems containsString="0" containsBlank="1" containsNumber="1" containsInteger="1" minValue="2" maxValue="14447"/>
    </cacheField>
    <cacheField name="NOMEPARC" numFmtId="0">
      <sharedItems containsBlank="1" count="41">
        <s v="GRUPO MOSAIC FERTILIZANTES DO BRASIL"/>
        <s v="GRUPO MOSAIC FERTILIZANTES P K LTDA"/>
        <s v="TERRA FERTILIZANTES LTDA - ARAXÁ"/>
        <s v="DMAE"/>
        <s v="PLANT BEM - PARANAGUÁ"/>
        <s v="GRUPO CARGILL"/>
        <s v="FERTISANTA FERTILIZANTES - RIO GRANDE"/>
        <s v="SOLO FÉRTIL - AGRONEGÓCIO"/>
        <s v="GRUPO YARA"/>
        <s v="GRUPO FERTIPAR FERTILIZANTES MARANHAO"/>
        <s v="GRUPO SUPERBAC"/>
        <s v="PROQUIGEL - CANDEIAS"/>
        <s v="DELCORP S.A - EQUADOR"/>
        <s v="LOG RECICLAGEM"/>
        <s v="GRUPO FERTILIZ TOCANTINS"/>
        <s v="CENTRAL DO ADUBO COM E REPRESENTACAO LTD"/>
        <s v="GRUPO R3"/>
        <s v="PLANTA RICA AGRONEGÓCIOS LTDA"/>
        <s v="GLINFERTIL - SAO FRANCISCO DO SUL"/>
        <s v="WITZLER RECICLA EIRELI - ME"/>
        <s v="JOAQUIM FERNANDES NETTO"/>
        <s v="MOSAIC - ROSARIO DO CATETE"/>
        <s v="FAZENDA BOA ESPERANÇA"/>
        <s v="BIOCARE AMBIENTAL EIRELI"/>
        <s v="AGROFERTIL - GOIANDIRA"/>
        <s v="EQUILIBRIO - MOGI MIRIM"/>
        <s v="MADEFLOR FERTILIZANTES LTDA"/>
        <s v="TERRA FERTIL - MACHADO"/>
        <s v="GRUPO CIBRA"/>
        <s v="GRUPO LEANDRO SARTI"/>
        <s v="CASA DAS SEMENTES"/>
        <s v="LYCSA ARGENTINA"/>
        <s v="ITERUM - RONDONOPOLIS"/>
        <s v="INDORAMA - SENEGAL"/>
        <s v="CBM FERTILIZANTES"/>
        <s v="AGRO BERALDO"/>
        <s v="KLEYTON DUARTE SOARES"/>
        <s v="MARIA JOSE DA SILVA"/>
        <s v="SEU LIXO"/>
        <s v="JULIANE MARTINS PACHECO"/>
        <m/>
      </sharedItems>
    </cacheField>
    <cacheField name="CNPJ" numFmtId="0">
      <sharedItems containsBlank="1"/>
    </cacheField>
    <cacheField name="VLRDESDOB" numFmtId="0">
      <sharedItems containsString="0" containsBlank="1" containsNumber="1" minValue="38.5" maxValue="771600"/>
    </cacheField>
    <cacheField name="NUFIN" numFmtId="0">
      <sharedItems containsString="0" containsBlank="1" containsNumber="1" containsInteger="1" minValue="15720" maxValue="1246212732"/>
    </cacheField>
    <cacheField name="DTVENC" numFmtId="0">
      <sharedItems containsNonDate="0" containsDate="1" containsString="0" containsBlank="1" minDate="2013-05-28T00:00:00" maxDate="2025-02-16T00:00:00"/>
    </cacheField>
    <cacheField name="DHBAIXA" numFmtId="0">
      <sharedItems containsNonDate="0" containsString="0" containsBlank="1"/>
    </cacheField>
    <cacheField name="AD_BU" numFmtId="0">
      <sharedItems containsBlank="1"/>
    </cacheField>
    <cacheField name="NOME_BU" numFmtId="0">
      <sharedItems containsBlank="1"/>
    </cacheField>
    <cacheField name="NUMNOTA" numFmtId="0">
      <sharedItems containsString="0" containsBlank="1" containsNumber="1" containsInteger="1" minValue="28" maxValue="1246190701"/>
    </cacheField>
    <cacheField name="DTENTSAI" numFmtId="0">
      <sharedItems containsNonDate="0" containsDate="1" containsString="0" containsBlank="1" minDate="2013-04-30T00:00:00" maxDate="2025-01-03T00:00:00"/>
    </cacheField>
    <cacheField name="CODNAT" numFmtId="0">
      <sharedItems containsString="0" containsBlank="1" containsNumber="1" containsInteger="1" minValue="1010100" maxValue="4010300"/>
    </cacheField>
    <cacheField name="DESCRNAT" numFmtId="0">
      <sharedItems containsBlank="1"/>
    </cacheField>
    <cacheField name="Days Overdue" numFmtId="0">
      <sharedItems containsString="0" containsBlank="1" containsNumber="1" containsInteger="1" minValue="105" maxValue="4386"/>
    </cacheField>
    <cacheField name="In 30/04" numFmtId="0">
      <sharedItems containsString="0" containsBlank="1" containsNumber="1" minValue="0" maxValue="256935.85"/>
    </cacheField>
    <cacheField name="Increase" numFmtId="0">
      <sharedItems containsString="0" containsBlank="1" containsNumber="1" minValue="0" maxValue="39142.991999999998"/>
    </cacheField>
    <cacheField name="Not Overdue" numFmtId="0">
      <sharedItems containsString="0" containsBlank="1" containsNumber="1" containsInteger="1" minValue="0" maxValue="0"/>
    </cacheField>
    <cacheField name="0-90 days" numFmtId="0">
      <sharedItems containsString="0" containsBlank="1" containsNumber="1" containsInteger="1" minValue="0" maxValue="0"/>
    </cacheField>
    <cacheField name="91-180 days" numFmtId="0">
      <sharedItems containsString="0" containsBlank="1" containsNumber="1" minValue="0" maxValue="23148"/>
    </cacheField>
    <cacheField name="181-360 days" numFmtId="0">
      <sharedItems containsString="0" containsBlank="1" containsNumber="1" containsInteger="1" minValue="0" maxValue="0"/>
    </cacheField>
    <cacheField name="above 360 days" numFmtId="0">
      <sharedItems containsString="0" containsBlank="1" containsNumber="1" minValue="0" maxValue="81762.7065"/>
    </cacheField>
    <cacheField name="Dedutive" numFmtId="0">
      <sharedItems containsString="0" containsBlank="1" containsNumber="1" minValue="0" maxValue="178370"/>
    </cacheField>
    <cacheField name="Administrative Decision" numFmtId="0">
      <sharedItems containsString="0" containsBlank="1" containsNumber="1" minValue="0" maxValue="256935.85"/>
    </cacheField>
    <cacheField name="Total Write off" numFmtId="0">
      <sharedItems containsString="0" containsBlank="1" containsNumber="1" minValue="1.5" maxValue="256935.85"/>
    </cacheField>
    <cacheField name="Cobrança" numFmtId="0">
      <sharedItems containsBlank="1"/>
    </cacheField>
    <cacheField name="Data renegociad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257"/>
    <x v="0"/>
    <s v="61.156.501/0081-30"/>
    <n v="1980.8"/>
    <n v="1246032946"/>
    <d v="2022-08-01T00:00:00"/>
    <m/>
    <s v="1"/>
    <s v="Adtives"/>
    <n v="17935"/>
    <d v="2022-06-02T00:00:00"/>
    <n v="1010100"/>
    <s v="VENDAS MERCADO INTERNO"/>
    <n v="1034"/>
    <n v="1980.8"/>
    <n v="0"/>
    <n v="0"/>
    <n v="0"/>
    <n v="59.423999999999999"/>
    <n v="0"/>
    <n v="1921.376"/>
    <n v="1980.8"/>
    <n v="0"/>
    <n v="1980.8"/>
    <s v="Cobrança Administrativa"/>
    <m/>
  </r>
  <r>
    <n v="1787"/>
    <x v="1"/>
    <s v="33.931.486/0014-55"/>
    <n v="3600"/>
    <n v="1246031589"/>
    <d v="2022-08-11T00:00:00"/>
    <m/>
    <s v="1"/>
    <s v="Adtives"/>
    <n v="1246031589"/>
    <d v="2022-07-27T00:00:00"/>
    <n v="3041000"/>
    <s v="FRETES DIVERSOS"/>
    <n v="1024"/>
    <n v="3600"/>
    <n v="0"/>
    <n v="0"/>
    <n v="0"/>
    <n v="108"/>
    <n v="0"/>
    <n v="3492"/>
    <n v="3600"/>
    <n v="0"/>
    <n v="3600"/>
    <s v="Cobrança Administrativa"/>
    <m/>
  </r>
  <r>
    <n v="1787"/>
    <x v="1"/>
    <s v="33.931.486/0014-55"/>
    <n v="2700"/>
    <n v="1246055596"/>
    <d v="2022-11-24T00:00:00"/>
    <m/>
    <s v="1"/>
    <s v="Adtives"/>
    <n v="1246055596"/>
    <d v="2022-11-24T00:00:00"/>
    <n v="3041000"/>
    <s v="FRETES DIVERSOS"/>
    <n v="919"/>
    <n v="2700"/>
    <n v="0"/>
    <n v="0"/>
    <n v="0"/>
    <n v="81"/>
    <n v="0"/>
    <n v="2619"/>
    <n v="2700"/>
    <n v="0"/>
    <n v="2700"/>
    <s v="Cobrança Administrativa"/>
    <m/>
  </r>
  <r>
    <n v="1788"/>
    <x v="1"/>
    <s v="33.931.486/0021-84"/>
    <n v="5400"/>
    <n v="1246055599"/>
    <d v="2022-11-24T00:00:00"/>
    <m/>
    <s v="1"/>
    <s v="Adtives"/>
    <n v="1246055599"/>
    <d v="2022-11-24T00:00:00"/>
    <n v="3041000"/>
    <s v="FRETES DIVERSOS"/>
    <n v="919"/>
    <n v="5400"/>
    <n v="0"/>
    <n v="0"/>
    <n v="0"/>
    <n v="162"/>
    <n v="0"/>
    <n v="5238"/>
    <n v="5400"/>
    <n v="0"/>
    <n v="5400"/>
    <s v="Cobrança Administrativa"/>
    <m/>
  </r>
  <r>
    <n v="1788"/>
    <x v="1"/>
    <s v="33.931.486/0021-84"/>
    <n v="1200"/>
    <n v="1246190701"/>
    <d v="2025-01-17T00:00:00"/>
    <m/>
    <s v="1"/>
    <s v="Adtives"/>
    <n v="1246190701"/>
    <d v="2025-01-02T00:00:00"/>
    <n v="3041000"/>
    <s v="FRETES DIVERSOS"/>
    <n v="134"/>
    <n v="36"/>
    <n v="0"/>
    <n v="0"/>
    <n v="0"/>
    <n v="36"/>
    <n v="0"/>
    <n v="0"/>
    <n v="0"/>
    <n v="0"/>
    <n v="36"/>
    <s v="Cobrança Administrativa"/>
    <m/>
  </r>
  <r>
    <n v="1789"/>
    <x v="1"/>
    <s v="33.931.486/0019-60"/>
    <n v="2700"/>
    <n v="1246120461"/>
    <d v="2024-01-03T00:00:00"/>
    <m/>
    <s v="1"/>
    <s v="Adtives"/>
    <n v="191223"/>
    <d v="2023-12-19T00:00:00"/>
    <n v="3041000"/>
    <s v="FRETES DIVERSOS"/>
    <n v="514"/>
    <n v="2700"/>
    <n v="0"/>
    <n v="0"/>
    <n v="0"/>
    <n v="81"/>
    <n v="0"/>
    <n v="2619"/>
    <n v="2700"/>
    <n v="0"/>
    <n v="2700"/>
    <s v="Cobrança Administrativa"/>
    <m/>
  </r>
  <r>
    <n v="1789"/>
    <x v="1"/>
    <s v="33.931.486/0019-60"/>
    <n v="900"/>
    <n v="1246146095"/>
    <d v="2024-05-16T00:00:00"/>
    <m/>
    <s v="1"/>
    <s v="Adtives"/>
    <n v="1246120461"/>
    <d v="2024-05-16T00:00:00"/>
    <n v="3041000"/>
    <s v="FRETES DIVERSOS"/>
    <n v="380"/>
    <n v="27"/>
    <n v="873"/>
    <n v="0"/>
    <n v="0"/>
    <n v="27"/>
    <n v="0"/>
    <n v="873"/>
    <n v="900"/>
    <n v="0"/>
    <n v="900"/>
    <s v="Cobrança Administrativa"/>
    <m/>
  </r>
  <r>
    <n v="707"/>
    <x v="2"/>
    <s v="10.482.668/0001-76"/>
    <n v="40320"/>
    <n v="1246146706"/>
    <d v="2024-06-18T00:00:00"/>
    <m/>
    <s v="1"/>
    <s v="Adtives"/>
    <n v="3619"/>
    <d v="2024-05-21T00:00:00"/>
    <n v="1010100"/>
    <s v="VENDAS MERCADO INTERNO"/>
    <n v="347"/>
    <n v="1209.5999999999999"/>
    <n v="0"/>
    <n v="0"/>
    <n v="0"/>
    <n v="1209.5999999999999"/>
    <n v="0"/>
    <n v="0"/>
    <n v="0"/>
    <n v="0"/>
    <n v="1209.5999999999999"/>
    <s v="Em Procedimento Judicial"/>
    <m/>
  </r>
  <r>
    <n v="707"/>
    <x v="2"/>
    <s v="10.482.668/0001-76"/>
    <n v="14640"/>
    <n v="1246145696"/>
    <d v="2024-06-11T00:00:00"/>
    <m/>
    <s v="1"/>
    <s v="Adtives"/>
    <n v="3538"/>
    <d v="2024-05-14T00:00:00"/>
    <n v="1010100"/>
    <s v="VENDAS MERCADO INTERNO"/>
    <n v="354"/>
    <n v="439.2"/>
    <n v="0"/>
    <n v="0"/>
    <n v="0"/>
    <n v="439.2"/>
    <n v="0"/>
    <n v="0"/>
    <n v="14640"/>
    <n v="0"/>
    <n v="439.2"/>
    <s v="Em Procedimento Judicial"/>
    <m/>
  </r>
  <r>
    <n v="707"/>
    <x v="2"/>
    <s v="10.482.668/0001-76"/>
    <n v="43920"/>
    <n v="1246148035"/>
    <d v="2024-06-26T00:00:00"/>
    <m/>
    <s v="1"/>
    <s v="Adtives"/>
    <n v="3722"/>
    <d v="2024-05-29T00:00:00"/>
    <n v="1010100"/>
    <s v="VENDAS MERCADO INTERNO"/>
    <n v="339"/>
    <n v="1317.6"/>
    <n v="0"/>
    <n v="0"/>
    <n v="0"/>
    <n v="1317.6"/>
    <n v="0"/>
    <n v="0"/>
    <n v="0"/>
    <n v="0"/>
    <n v="1317.6"/>
    <s v="Em Procedimento Judicial"/>
    <m/>
  </r>
  <r>
    <n v="707"/>
    <x v="2"/>
    <s v="10.482.668/0001-76"/>
    <n v="36600"/>
    <n v="1246146938"/>
    <d v="2024-06-19T00:00:00"/>
    <m/>
    <s v="1"/>
    <s v="Adtives"/>
    <n v="3637"/>
    <d v="2024-05-22T00:00:00"/>
    <n v="1010100"/>
    <s v="VENDAS MERCADO INTERNO"/>
    <n v="346"/>
    <n v="1098"/>
    <n v="0"/>
    <n v="0"/>
    <n v="0"/>
    <n v="1098"/>
    <n v="0"/>
    <n v="0"/>
    <n v="0"/>
    <n v="0"/>
    <n v="1098"/>
    <s v="Em Procedimento Judicial"/>
    <m/>
  </r>
  <r>
    <n v="707"/>
    <x v="2"/>
    <s v="10.482.668/0001-76"/>
    <n v="33600"/>
    <n v="1246148036"/>
    <d v="2024-06-26T00:00:00"/>
    <m/>
    <s v="1"/>
    <s v="Adtives"/>
    <n v="3723"/>
    <d v="2024-05-29T00:00:00"/>
    <n v="1010100"/>
    <s v="VENDAS MERCADO INTERNO"/>
    <n v="339"/>
    <n v="1008"/>
    <n v="0"/>
    <n v="0"/>
    <n v="0"/>
    <n v="1008"/>
    <n v="0"/>
    <n v="0"/>
    <n v="0"/>
    <n v="0"/>
    <n v="1008"/>
    <s v="Em Procedimento Judicial"/>
    <m/>
  </r>
  <r>
    <n v="707"/>
    <x v="2"/>
    <s v="10.482.668/0001-76"/>
    <n v="16800"/>
    <n v="1246141445"/>
    <d v="2024-05-21T00:00:00"/>
    <m/>
    <s v="1"/>
    <s v="Adtives"/>
    <n v="3345"/>
    <d v="2024-04-23T00:00:00"/>
    <n v="1010100"/>
    <s v="VENDAS MERCADO INTERNO"/>
    <n v="375"/>
    <n v="504"/>
    <n v="16296"/>
    <n v="0"/>
    <n v="0"/>
    <n v="504"/>
    <n v="0"/>
    <n v="16296"/>
    <n v="16800"/>
    <n v="0"/>
    <n v="16800"/>
    <s v="Em Procedimento Judicial"/>
    <m/>
  </r>
  <r>
    <n v="707"/>
    <x v="2"/>
    <s v="10.482.668/0001-76"/>
    <n v="40353.599999999999"/>
    <n v="1246143397"/>
    <d v="2024-05-31T00:00:00"/>
    <m/>
    <s v="1"/>
    <s v="Adtives"/>
    <n v="3448"/>
    <d v="2024-05-03T00:00:00"/>
    <n v="1010100"/>
    <s v="VENDAS MERCADO INTERNO"/>
    <n v="365"/>
    <n v="1210.6079999999999"/>
    <n v="39142.991999999998"/>
    <n v="0"/>
    <n v="0"/>
    <n v="1210.6079999999999"/>
    <n v="0"/>
    <n v="39142.991999999998"/>
    <n v="0"/>
    <n v="0"/>
    <n v="40353.599999999999"/>
    <s v="Em Procedimento Judicial"/>
    <m/>
  </r>
  <r>
    <n v="934"/>
    <x v="3"/>
    <s v="25.769.548/0001-21"/>
    <n v="259.37"/>
    <n v="1246097838"/>
    <d v="2023-07-16T00:00:00"/>
    <m/>
    <m/>
    <s v="Não encontrado"/>
    <n v="355410"/>
    <d v="2023-07-01T00:00:00"/>
    <n v="3030400"/>
    <s v="ÁGUA"/>
    <n v="685"/>
    <n v="259.37"/>
    <n v="0"/>
    <n v="0"/>
    <n v="0"/>
    <n v="7.7810999999999995"/>
    <n v="0"/>
    <n v="251.5889"/>
    <n v="259.37"/>
    <n v="0"/>
    <n v="259.37"/>
    <s v="-"/>
    <m/>
  </r>
  <r>
    <n v="818"/>
    <x v="4"/>
    <s v="77.353.662/0014-94"/>
    <n v="62332.6"/>
    <n v="45582"/>
    <d v="2015-10-06T00:00:00"/>
    <m/>
    <s v="1"/>
    <s v="Adtives"/>
    <n v="4378"/>
    <d v="2015-09-08T00:00:00"/>
    <n v="1010100"/>
    <s v="VENDAS MERCADO INTERNO"/>
    <n v="3525"/>
    <n v="62332.6"/>
    <n v="0"/>
    <n v="0"/>
    <n v="0"/>
    <n v="1869.9779999999998"/>
    <n v="0"/>
    <n v="60462.621999999996"/>
    <n v="62332.6"/>
    <n v="0"/>
    <n v="62332.6"/>
    <s v="Cobrança Administrativa"/>
    <m/>
  </r>
  <r>
    <n v="818"/>
    <x v="4"/>
    <s v="77.353.662/0014-94"/>
    <n v="78540"/>
    <n v="46066"/>
    <d v="2015-10-16T00:00:00"/>
    <m/>
    <s v="1"/>
    <s v="Adtives"/>
    <n v="4422"/>
    <d v="2015-09-18T00:00:00"/>
    <n v="1010100"/>
    <s v="VENDAS MERCADO INTERNO"/>
    <n v="3515"/>
    <n v="78540"/>
    <n v="0"/>
    <n v="0"/>
    <n v="0"/>
    <n v="2356.1999999999998"/>
    <n v="0"/>
    <n v="76183.8"/>
    <n v="78540"/>
    <n v="0"/>
    <n v="78540"/>
    <s v="Cobrança Administrativa"/>
    <m/>
  </r>
  <r>
    <n v="2"/>
    <x v="5"/>
    <s v="60.498.706/0134-88"/>
    <n v="267.27"/>
    <n v="1246025314"/>
    <d v="2022-06-10T00:00:00"/>
    <m/>
    <s v="3"/>
    <s v="Job Work"/>
    <n v="1607"/>
    <d v="2022-05-13T00:00:00"/>
    <n v="1010100"/>
    <s v="VENDAS MERCADO INTERNO"/>
    <n v="1086"/>
    <n v="267.27"/>
    <n v="0"/>
    <n v="0"/>
    <n v="0"/>
    <n v="8.0180999999999987"/>
    <n v="0"/>
    <n v="259.25189999999998"/>
    <n v="267.27"/>
    <n v="0"/>
    <n v="267.27"/>
    <s v="Cobrança Administrativa"/>
    <m/>
  </r>
  <r>
    <n v="1345"/>
    <x v="6"/>
    <s v="14.475.478/0001-82"/>
    <n v="41379"/>
    <n v="47766"/>
    <d v="2015-09-29T00:00:00"/>
    <m/>
    <s v="1"/>
    <s v="Adtives"/>
    <n v="4454"/>
    <d v="2015-09-29T00:00:00"/>
    <n v="1010100"/>
    <s v="VENDAS MERCADO INTERNO"/>
    <n v="3532"/>
    <n v="41379"/>
    <n v="0"/>
    <n v="0"/>
    <n v="0"/>
    <n v="1241.3699999999999"/>
    <n v="0"/>
    <n v="40137.629999999997"/>
    <n v="41379"/>
    <n v="0"/>
    <n v="41379"/>
    <s v="Cobrança Administrativa"/>
    <m/>
  </r>
  <r>
    <n v="617"/>
    <x v="7"/>
    <s v="17.011.671/0001-50"/>
    <n v="1761.76"/>
    <n v="15810"/>
    <d v="2013-06-03T00:00:00"/>
    <m/>
    <s v="1"/>
    <s v="Adtives"/>
    <n v="2076"/>
    <d v="2013-05-06T00:00:00"/>
    <n v="1010100"/>
    <s v="VENDAS MERCADO INTERNO"/>
    <n v="4380"/>
    <n v="1761.7599999999998"/>
    <n v="0"/>
    <n v="0"/>
    <n v="0"/>
    <n v="52.852799999999995"/>
    <n v="0"/>
    <n v="1708.9071999999999"/>
    <n v="1761.76"/>
    <n v="0"/>
    <n v="1761.7599999999998"/>
    <s v="Cobrança Administrativa"/>
    <m/>
  </r>
  <r>
    <n v="617"/>
    <x v="7"/>
    <s v="17.011.671/0001-50"/>
    <n v="1760"/>
    <n v="15720"/>
    <d v="2013-05-28T00:00:00"/>
    <m/>
    <s v="1"/>
    <s v="Adtives"/>
    <n v="2065"/>
    <d v="2013-04-30T00:00:00"/>
    <n v="1010100"/>
    <s v="VENDAS MERCADO INTERNO"/>
    <n v="4386"/>
    <n v="1760"/>
    <n v="0"/>
    <n v="0"/>
    <n v="0"/>
    <n v="52.8"/>
    <n v="0"/>
    <n v="1707.2"/>
    <n v="1760"/>
    <n v="0"/>
    <n v="1760"/>
    <s v="Cobrança Administrativa"/>
    <m/>
  </r>
  <r>
    <n v="1159"/>
    <x v="8"/>
    <s v="92.660.604/0013-16"/>
    <n v="1800"/>
    <n v="1246087936"/>
    <d v="2023-07-05T00:00:00"/>
    <m/>
    <s v="1"/>
    <s v="Adtives"/>
    <n v="1246087936"/>
    <d v="2023-06-20T00:00:00"/>
    <n v="3041000"/>
    <s v="FRETES DIVERSOS"/>
    <n v="696"/>
    <n v="1800"/>
    <n v="0"/>
    <n v="0"/>
    <n v="0"/>
    <n v="54"/>
    <n v="0"/>
    <n v="1746"/>
    <n v="1800"/>
    <n v="0"/>
    <n v="1800"/>
    <s v="Cobrança Administrativa"/>
    <m/>
  </r>
  <r>
    <n v="1159"/>
    <x v="8"/>
    <s v="92.660.604/0013-16"/>
    <n v="2700"/>
    <n v="1246087941"/>
    <d v="2023-07-05T00:00:00"/>
    <m/>
    <s v="1"/>
    <s v="Adtives"/>
    <n v="1246087941"/>
    <d v="2023-06-20T00:00:00"/>
    <n v="3041000"/>
    <s v="FRETES DIVERSOS"/>
    <n v="696"/>
    <n v="2700"/>
    <n v="0"/>
    <n v="0"/>
    <n v="0"/>
    <n v="81"/>
    <n v="0"/>
    <n v="2619"/>
    <n v="2700"/>
    <n v="0"/>
    <n v="2700"/>
    <s v="Cobrança Administrativa"/>
    <m/>
  </r>
  <r>
    <n v="1159"/>
    <x v="8"/>
    <s v="92.660.604/0013-16"/>
    <n v="1800"/>
    <n v="1246087939"/>
    <d v="2023-07-05T00:00:00"/>
    <m/>
    <s v="1"/>
    <s v="Adtives"/>
    <n v="1246087939"/>
    <d v="2023-06-20T00:00:00"/>
    <n v="3041000"/>
    <s v="FRETES DIVERSOS"/>
    <n v="696"/>
    <n v="1800"/>
    <n v="0"/>
    <n v="0"/>
    <n v="0"/>
    <n v="54"/>
    <n v="0"/>
    <n v="1746"/>
    <n v="1800"/>
    <n v="0"/>
    <n v="1800"/>
    <s v="Cobrança Administrativa"/>
    <m/>
  </r>
  <r>
    <n v="1159"/>
    <x v="8"/>
    <s v="92.660.604/0013-16"/>
    <n v="1800"/>
    <n v="1246087937"/>
    <d v="2023-07-05T00:00:00"/>
    <m/>
    <s v="1"/>
    <s v="Adtives"/>
    <n v="1246087937"/>
    <d v="2023-06-20T00:00:00"/>
    <n v="3041000"/>
    <s v="FRETES DIVERSOS"/>
    <n v="696"/>
    <n v="1800"/>
    <n v="0"/>
    <n v="0"/>
    <n v="0"/>
    <n v="54"/>
    <n v="0"/>
    <n v="1746"/>
    <n v="1800"/>
    <n v="0"/>
    <n v="1800"/>
    <s v="Cobrança Administrativa"/>
    <m/>
  </r>
  <r>
    <n v="1159"/>
    <x v="8"/>
    <s v="92.660.604/0013-16"/>
    <n v="1800"/>
    <n v="1246087943"/>
    <d v="2023-07-05T00:00:00"/>
    <m/>
    <s v="1"/>
    <s v="Adtives"/>
    <n v="1246087943"/>
    <d v="2023-06-20T00:00:00"/>
    <n v="3041000"/>
    <s v="FRETES DIVERSOS"/>
    <n v="696"/>
    <n v="1800"/>
    <n v="0"/>
    <n v="0"/>
    <n v="0"/>
    <n v="54"/>
    <n v="0"/>
    <n v="1746"/>
    <n v="1800"/>
    <n v="0"/>
    <n v="1800"/>
    <s v="Cobrança Administrativa"/>
    <m/>
  </r>
  <r>
    <n v="1159"/>
    <x v="8"/>
    <s v="92.660.604/0013-16"/>
    <n v="2700"/>
    <n v="1246121301"/>
    <d v="2024-01-06T00:00:00"/>
    <m/>
    <s v="1"/>
    <s v="Adtives"/>
    <n v="1246121301"/>
    <d v="2023-12-22T00:00:00"/>
    <n v="3041000"/>
    <s v="FRETES DIVERSOS"/>
    <n v="511"/>
    <n v="2700"/>
    <n v="0"/>
    <n v="0"/>
    <n v="0"/>
    <n v="81"/>
    <n v="0"/>
    <n v="2619"/>
    <n v="2700"/>
    <n v="0"/>
    <n v="2700"/>
    <s v="Cobrança Administrativa"/>
    <m/>
  </r>
  <r>
    <n v="1159"/>
    <x v="8"/>
    <s v="92.660.604/0013-16"/>
    <n v="4800"/>
    <n v="1246121285"/>
    <d v="2024-01-06T00:00:00"/>
    <m/>
    <s v="1"/>
    <s v="Adtives"/>
    <n v="1246121285"/>
    <d v="2023-12-22T00:00:00"/>
    <n v="3041000"/>
    <s v="FRETES DIVERSOS"/>
    <n v="511"/>
    <n v="4800"/>
    <n v="0"/>
    <n v="0"/>
    <n v="0"/>
    <n v="144"/>
    <n v="0"/>
    <n v="4656"/>
    <n v="4800"/>
    <n v="0"/>
    <n v="4800"/>
    <s v="Cobrança Administrativa"/>
    <m/>
  </r>
  <r>
    <n v="1159"/>
    <x v="8"/>
    <s v="92.660.604/0013-16"/>
    <n v="2700"/>
    <n v="1246121300"/>
    <d v="2024-01-06T00:00:00"/>
    <m/>
    <s v="1"/>
    <s v="Adtives"/>
    <n v="1246121300"/>
    <d v="2023-12-22T00:00:00"/>
    <n v="3041000"/>
    <s v="FRETES DIVERSOS"/>
    <n v="511"/>
    <n v="2700"/>
    <n v="0"/>
    <n v="0"/>
    <n v="0"/>
    <n v="81"/>
    <n v="0"/>
    <n v="2619"/>
    <n v="2700"/>
    <n v="0"/>
    <n v="2700"/>
    <s v="Cobrança Administrativa"/>
    <m/>
  </r>
  <r>
    <n v="1159"/>
    <x v="8"/>
    <s v="92.660.604/0013-16"/>
    <n v="1800"/>
    <n v="1246121298"/>
    <d v="2024-01-06T00:00:00"/>
    <m/>
    <s v="1"/>
    <s v="Adtives"/>
    <n v="1246121298"/>
    <d v="2023-12-22T00:00:00"/>
    <n v="3041000"/>
    <s v="FRETES DIVERSOS"/>
    <n v="511"/>
    <n v="1800"/>
    <n v="0"/>
    <n v="0"/>
    <n v="0"/>
    <n v="54"/>
    <n v="0"/>
    <n v="1746"/>
    <n v="1800"/>
    <n v="0"/>
    <n v="1800"/>
    <s v="Cobrança Administrativa"/>
    <m/>
  </r>
  <r>
    <n v="1159"/>
    <x v="8"/>
    <s v="92.660.604/0013-16"/>
    <n v="2700"/>
    <n v="1246121302"/>
    <d v="2024-01-06T00:00:00"/>
    <m/>
    <s v="1"/>
    <s v="Adtives"/>
    <n v="1246121302"/>
    <d v="2023-12-22T00:00:00"/>
    <n v="3041000"/>
    <s v="FRETES DIVERSOS"/>
    <n v="511"/>
    <n v="2700"/>
    <n v="0"/>
    <n v="0"/>
    <n v="0"/>
    <n v="81"/>
    <n v="0"/>
    <n v="2619"/>
    <n v="2700"/>
    <n v="0"/>
    <n v="2700"/>
    <s v="Cobrança Administrativa"/>
    <m/>
  </r>
  <r>
    <n v="1159"/>
    <x v="8"/>
    <s v="92.660.604/0013-16"/>
    <n v="1200"/>
    <n v="1246121295"/>
    <d v="2024-01-06T00:00:00"/>
    <m/>
    <s v="1"/>
    <s v="Adtives"/>
    <n v="1246121295"/>
    <d v="2023-12-22T00:00:00"/>
    <n v="3041000"/>
    <s v="FRETES DIVERSOS"/>
    <n v="511"/>
    <n v="1200"/>
    <n v="0"/>
    <n v="0"/>
    <n v="0"/>
    <n v="36"/>
    <n v="0"/>
    <n v="1164"/>
    <n v="1200"/>
    <n v="0"/>
    <n v="1200"/>
    <s v="Cobrança Administrativa"/>
    <m/>
  </r>
  <r>
    <n v="1159"/>
    <x v="8"/>
    <s v="92.660.604/0013-16"/>
    <n v="2700"/>
    <n v="1246121297"/>
    <d v="2024-01-06T00:00:00"/>
    <m/>
    <s v="1"/>
    <s v="Adtives"/>
    <n v="1246121297"/>
    <d v="2023-12-22T00:00:00"/>
    <n v="3041000"/>
    <s v="FRETES DIVERSOS"/>
    <n v="511"/>
    <n v="2700"/>
    <n v="0"/>
    <n v="0"/>
    <n v="0"/>
    <n v="81"/>
    <n v="0"/>
    <n v="2619"/>
    <n v="2700"/>
    <n v="0"/>
    <n v="2700"/>
    <s v="Cobrança Administrativa"/>
    <m/>
  </r>
  <r>
    <n v="1159"/>
    <x v="8"/>
    <s v="92.660.604/0013-16"/>
    <n v="6300"/>
    <n v="1246121299"/>
    <d v="2024-01-06T00:00:00"/>
    <m/>
    <s v="1"/>
    <s v="Adtives"/>
    <n v="1246121299"/>
    <d v="2023-12-22T00:00:00"/>
    <n v="3041000"/>
    <s v="FRETES DIVERSOS"/>
    <n v="511"/>
    <n v="6300"/>
    <n v="0"/>
    <n v="0"/>
    <n v="0"/>
    <n v="189"/>
    <n v="0"/>
    <n v="6111"/>
    <n v="6300"/>
    <n v="0"/>
    <n v="6300"/>
    <s v="Cobrança Administrativa"/>
    <m/>
  </r>
  <r>
    <n v="1159"/>
    <x v="8"/>
    <s v="92.660.604/0013-16"/>
    <n v="3600"/>
    <n v="1246121296"/>
    <d v="2024-01-06T00:00:00"/>
    <m/>
    <s v="1"/>
    <s v="Adtives"/>
    <n v="1246121296"/>
    <d v="2023-12-22T00:00:00"/>
    <n v="3041000"/>
    <s v="FRETES DIVERSOS"/>
    <n v="511"/>
    <n v="3600"/>
    <n v="0"/>
    <n v="0"/>
    <n v="0"/>
    <n v="108"/>
    <n v="0"/>
    <n v="3492"/>
    <n v="3600"/>
    <n v="0"/>
    <n v="3600"/>
    <s v="Cobrança Administrativa"/>
    <m/>
  </r>
  <r>
    <n v="1159"/>
    <x v="8"/>
    <s v="92.660.604/0013-16"/>
    <n v="1200"/>
    <n v="1246135390"/>
    <d v="2024-04-06T00:00:00"/>
    <m/>
    <s v="1"/>
    <s v="Adtives"/>
    <n v="1246135390"/>
    <d v="2024-03-22T00:00:00"/>
    <n v="3041000"/>
    <s v="FRETES DIVERSOS"/>
    <n v="420"/>
    <n v="1200"/>
    <n v="0"/>
    <n v="0"/>
    <n v="0"/>
    <n v="36"/>
    <n v="0"/>
    <n v="1164"/>
    <n v="1200"/>
    <n v="0"/>
    <n v="1200"/>
    <s v="Cobrança Administrativa"/>
    <m/>
  </r>
  <r>
    <n v="1159"/>
    <x v="8"/>
    <s v="92.660.604/0013-16"/>
    <n v="1458"/>
    <n v="1246148463"/>
    <d v="2024-05-31T00:00:00"/>
    <m/>
    <s v="1"/>
    <s v="Adtives"/>
    <n v="3446"/>
    <d v="2024-05-03T00:00:00"/>
    <n v="1010100"/>
    <s v="VENDAS MERCADO INTERNO"/>
    <n v="365"/>
    <n v="43.739999999999995"/>
    <n v="1414.26"/>
    <n v="0"/>
    <n v="0"/>
    <n v="43.739999999999995"/>
    <n v="0"/>
    <n v="1414.26"/>
    <n v="1458"/>
    <n v="0"/>
    <n v="1458"/>
    <s v="Cobrança Administrativa"/>
    <m/>
  </r>
  <r>
    <n v="1159"/>
    <x v="8"/>
    <s v="92.660.604/0013-16"/>
    <n v="2400"/>
    <n v="1246135388"/>
    <d v="2024-04-06T00:00:00"/>
    <m/>
    <s v="1"/>
    <s v="Adtives"/>
    <n v="1246135388"/>
    <d v="2024-03-22T00:00:00"/>
    <n v="3041000"/>
    <s v="FRETES DIVERSOS"/>
    <n v="420"/>
    <n v="2400"/>
    <n v="0"/>
    <n v="0"/>
    <n v="0"/>
    <n v="72"/>
    <n v="0"/>
    <n v="2328"/>
    <n v="2400"/>
    <n v="0"/>
    <n v="2400"/>
    <s v="Cobrança Administrativa"/>
    <m/>
  </r>
  <r>
    <n v="1159"/>
    <x v="8"/>
    <s v="92.660.604/0013-16"/>
    <n v="1200"/>
    <n v="1246135385"/>
    <d v="2024-04-06T00:00:00"/>
    <m/>
    <s v="1"/>
    <s v="Adtives"/>
    <n v="1246135385"/>
    <d v="2024-03-22T00:00:00"/>
    <n v="3041000"/>
    <s v="FRETES DIVERSOS"/>
    <n v="420"/>
    <n v="1200"/>
    <n v="0"/>
    <n v="0"/>
    <n v="0"/>
    <n v="36"/>
    <n v="0"/>
    <n v="1164"/>
    <n v="1200"/>
    <n v="0"/>
    <n v="1200"/>
    <s v="Cobrança Administrativa"/>
    <m/>
  </r>
  <r>
    <n v="1159"/>
    <x v="8"/>
    <s v="92.660.604/0013-16"/>
    <n v="3600"/>
    <n v="1246135391"/>
    <d v="2024-04-06T00:00:00"/>
    <m/>
    <s v="1"/>
    <s v="Adtives"/>
    <n v="1246135391"/>
    <d v="2024-03-22T00:00:00"/>
    <n v="3041000"/>
    <s v="FRETES DIVERSOS"/>
    <n v="420"/>
    <n v="3600"/>
    <n v="0"/>
    <n v="0"/>
    <n v="0"/>
    <n v="108"/>
    <n v="0"/>
    <n v="3492"/>
    <n v="3600"/>
    <n v="0"/>
    <n v="3600"/>
    <s v="Cobrança Administrativa"/>
    <m/>
  </r>
  <r>
    <n v="1159"/>
    <x v="8"/>
    <s v="92.660.604/0013-16"/>
    <n v="2400"/>
    <n v="1246135382"/>
    <d v="2024-04-06T00:00:00"/>
    <m/>
    <s v="1"/>
    <s v="Adtives"/>
    <n v="1246135382"/>
    <d v="2024-03-22T00:00:00"/>
    <n v="3041000"/>
    <s v="FRETES DIVERSOS"/>
    <n v="420"/>
    <n v="2400"/>
    <n v="0"/>
    <n v="0"/>
    <n v="0"/>
    <n v="72"/>
    <n v="0"/>
    <n v="2328"/>
    <n v="2400"/>
    <n v="0"/>
    <n v="2400"/>
    <s v="Cobrança Administrativa"/>
    <m/>
  </r>
  <r>
    <n v="1159"/>
    <x v="8"/>
    <s v="92.660.604/0013-16"/>
    <n v="3600"/>
    <n v="1246173258"/>
    <d v="2024-10-10T00:00:00"/>
    <m/>
    <s v="1"/>
    <s v="Adtives"/>
    <n v="1246173258"/>
    <d v="2024-09-25T00:00:00"/>
    <n v="3041000"/>
    <s v="FRETES DIVERSOS"/>
    <n v="233"/>
    <n v="108"/>
    <n v="0"/>
    <n v="0"/>
    <n v="0"/>
    <n v="108"/>
    <n v="0"/>
    <n v="0"/>
    <n v="3600"/>
    <n v="0"/>
    <n v="108"/>
    <s v="Cobrança Administrativa"/>
    <m/>
  </r>
  <r>
    <n v="1159"/>
    <x v="8"/>
    <s v="92.660.604/0013-16"/>
    <n v="1200"/>
    <n v="1246173256"/>
    <d v="2024-10-10T00:00:00"/>
    <m/>
    <s v="1"/>
    <s v="Adtives"/>
    <n v="1246173256"/>
    <d v="2024-09-25T00:00:00"/>
    <n v="3041000"/>
    <s v="FRETES DIVERSOS"/>
    <n v="233"/>
    <n v="36"/>
    <n v="0"/>
    <n v="0"/>
    <n v="0"/>
    <n v="36"/>
    <n v="0"/>
    <n v="0"/>
    <n v="1200"/>
    <n v="0"/>
    <n v="36"/>
    <s v="Cobrança Administrativa"/>
    <m/>
  </r>
  <r>
    <n v="1159"/>
    <x v="8"/>
    <s v="92.660.604/0013-16"/>
    <n v="2400"/>
    <n v="1246173253"/>
    <d v="2024-10-10T00:00:00"/>
    <m/>
    <s v="1"/>
    <s v="Adtives"/>
    <n v="1246173253"/>
    <d v="2024-09-25T00:00:00"/>
    <n v="3041000"/>
    <s v="FRETES DIVERSOS"/>
    <n v="233"/>
    <n v="72"/>
    <n v="0"/>
    <n v="0"/>
    <n v="0"/>
    <n v="72"/>
    <n v="0"/>
    <n v="0"/>
    <n v="2400"/>
    <n v="0"/>
    <n v="72"/>
    <s v="Cobrança Administrativa"/>
    <m/>
  </r>
  <r>
    <n v="1159"/>
    <x v="8"/>
    <s v="92.660.604/0013-16"/>
    <n v="1200"/>
    <n v="1246173257"/>
    <d v="2024-10-10T00:00:00"/>
    <m/>
    <s v="1"/>
    <s v="Adtives"/>
    <n v="1246173257"/>
    <d v="2024-09-25T00:00:00"/>
    <n v="3041000"/>
    <s v="FRETES DIVERSOS"/>
    <n v="233"/>
    <n v="36"/>
    <n v="0"/>
    <n v="0"/>
    <n v="0"/>
    <n v="36"/>
    <n v="0"/>
    <n v="0"/>
    <n v="1200"/>
    <n v="0"/>
    <n v="36"/>
    <s v="Cobrança Administrativa"/>
    <m/>
  </r>
  <r>
    <n v="452"/>
    <x v="9"/>
    <s v="06.191.223/0002-40"/>
    <n v="1800"/>
    <n v="1246055195"/>
    <d v="2022-12-07T00:00:00"/>
    <m/>
    <s v="1"/>
    <s v="Adtives"/>
    <n v="1246055195"/>
    <d v="2022-11-22T00:00:00"/>
    <n v="3041000"/>
    <s v="FRETES DIVERSOS"/>
    <n v="906"/>
    <n v="1800"/>
    <n v="0"/>
    <n v="0"/>
    <n v="0"/>
    <n v="54"/>
    <n v="0"/>
    <n v="1746"/>
    <n v="1800"/>
    <n v="0"/>
    <n v="1800"/>
    <s v="-"/>
    <m/>
  </r>
  <r>
    <n v="2992"/>
    <x v="10"/>
    <s v="02.599.378/0001-89"/>
    <n v="102008.2"/>
    <n v="1246159250"/>
    <d v="2024-09-03T00:00:00"/>
    <m/>
    <s v="1"/>
    <s v="Adtives"/>
    <n v="4377"/>
    <d v="2024-07-20T00:00:00"/>
    <n v="1010100"/>
    <s v="VENDAS MERCADO INTERNO"/>
    <n v="270"/>
    <n v="3060.2459999999996"/>
    <n v="0"/>
    <n v="0"/>
    <n v="0"/>
    <n v="3060.2459999999996"/>
    <n v="0"/>
    <n v="0"/>
    <n v="102008.2"/>
    <n v="0"/>
    <n v="3060.2459999999996"/>
    <s v="Recuperação Judicial"/>
    <m/>
  </r>
  <r>
    <n v="2603"/>
    <x v="0"/>
    <s v="61.156.501/0100-38"/>
    <n v="4522.16"/>
    <n v="1246097965"/>
    <d v="2023-08-14T00:00:00"/>
    <m/>
    <s v="1"/>
    <s v="Adtives"/>
    <n v="21713"/>
    <d v="2023-06-15T00:00:00"/>
    <n v="1010100"/>
    <s v="VENDAS MERCADO INTERNO"/>
    <n v="656"/>
    <n v="4522.1599999999989"/>
    <n v="0"/>
    <n v="0"/>
    <n v="0"/>
    <n v="135.66479999999999"/>
    <n v="0"/>
    <n v="4386.4951999999994"/>
    <n v="4522.16"/>
    <n v="0"/>
    <n v="4522.1599999999989"/>
    <s v="Cobrança Administrativa"/>
    <m/>
  </r>
  <r>
    <n v="2605"/>
    <x v="11"/>
    <s v="27.515.154/0012-25"/>
    <n v="1390.8"/>
    <n v="2315619"/>
    <d v="2019-12-09T00:00:00"/>
    <m/>
    <s v="1"/>
    <s v="Adtives"/>
    <n v="10669"/>
    <d v="2019-12-09T00:00:00"/>
    <n v="1010100"/>
    <s v="VENDAS MERCADO INTERNO"/>
    <n v="2000"/>
    <n v="1390.8"/>
    <n v="0"/>
    <n v="0"/>
    <n v="0"/>
    <n v="41.723999999999997"/>
    <n v="0"/>
    <n v="1349.076"/>
    <n v="1390.8"/>
    <n v="0"/>
    <n v="1390.8"/>
    <s v="Cobrança Administrativa"/>
    <m/>
  </r>
  <r>
    <n v="2727"/>
    <x v="12"/>
    <s v="..-"/>
    <n v="84291.45"/>
    <n v="395536"/>
    <d v="2019-11-11T00:00:00"/>
    <m/>
    <m/>
    <s v="Não encontrado"/>
    <n v="8661"/>
    <d v="2018-12-27T00:00:00"/>
    <n v="1010100"/>
    <s v="VENDAS MERCADO INTERNO"/>
    <n v="2028"/>
    <n v="84291.45"/>
    <n v="0"/>
    <n v="0"/>
    <n v="0"/>
    <n v="2528.7435"/>
    <n v="0"/>
    <n v="81762.7065"/>
    <n v="0"/>
    <n v="0"/>
    <n v="84291.45"/>
    <s v="-"/>
    <m/>
  </r>
  <r>
    <n v="1227"/>
    <x v="13"/>
    <s v="13.292.389/0001-38"/>
    <n v="179"/>
    <n v="1246086366"/>
    <d v="2023-07-10T00:00:00"/>
    <m/>
    <s v="1"/>
    <s v="Adtives"/>
    <n v="2529"/>
    <d v="2023-06-12T00:00:00"/>
    <n v="1020400"/>
    <s v="VENDA DE SUCATAS"/>
    <n v="691"/>
    <n v="179"/>
    <n v="0"/>
    <n v="0"/>
    <n v="0"/>
    <n v="5.37"/>
    <n v="0"/>
    <n v="173.63"/>
    <n v="179"/>
    <n v="0"/>
    <n v="179"/>
    <s v="Cobrança Administrativa"/>
    <m/>
  </r>
  <r>
    <n v="1227"/>
    <x v="13"/>
    <s v="13.292.389/0001-38"/>
    <n v="183"/>
    <n v="1246086370"/>
    <d v="2023-07-10T00:00:00"/>
    <m/>
    <s v="1"/>
    <s v="Adtives"/>
    <n v="2532"/>
    <d v="2023-06-12T00:00:00"/>
    <n v="1020400"/>
    <s v="VENDA DE SUCATAS"/>
    <n v="691"/>
    <n v="183"/>
    <n v="0"/>
    <n v="0"/>
    <n v="0"/>
    <n v="5.49"/>
    <n v="0"/>
    <n v="177.51"/>
    <n v="183"/>
    <n v="0"/>
    <n v="183"/>
    <s v="Cobrança Administrativa"/>
    <m/>
  </r>
  <r>
    <n v="1227"/>
    <x v="13"/>
    <s v="13.292.389/0001-38"/>
    <n v="393.5"/>
    <n v="1246086261"/>
    <d v="2023-07-07T00:00:00"/>
    <m/>
    <s v="1"/>
    <s v="Adtives"/>
    <n v="21653"/>
    <d v="2023-06-09T00:00:00"/>
    <n v="1020400"/>
    <s v="VENDA DE SUCATAS"/>
    <n v="694"/>
    <n v="393.5"/>
    <n v="0"/>
    <n v="0"/>
    <n v="0"/>
    <n v="11.805"/>
    <n v="0"/>
    <n v="381.69499999999999"/>
    <n v="393.5"/>
    <n v="0"/>
    <n v="393.5"/>
    <s v="Cobrança Administrativa"/>
    <m/>
  </r>
  <r>
    <n v="1227"/>
    <x v="13"/>
    <s v="13.292.389/0001-38"/>
    <n v="81"/>
    <n v="1246086367"/>
    <d v="2023-07-10T00:00:00"/>
    <m/>
    <s v="1"/>
    <s v="Adtives"/>
    <n v="2530"/>
    <d v="2023-06-12T00:00:00"/>
    <n v="1020400"/>
    <s v="VENDA DE SUCATAS"/>
    <n v="691"/>
    <n v="81"/>
    <n v="0"/>
    <n v="0"/>
    <n v="0"/>
    <n v="2.4299999999999997"/>
    <n v="0"/>
    <n v="78.569999999999993"/>
    <n v="81"/>
    <n v="0"/>
    <n v="81"/>
    <s v="Cobrança Administrativa"/>
    <m/>
  </r>
  <r>
    <n v="1227"/>
    <x v="13"/>
    <s v="13.292.389/0001-38"/>
    <n v="370"/>
    <n v="1246086259"/>
    <d v="2023-07-07T00:00:00"/>
    <m/>
    <s v="1"/>
    <s v="Adtives"/>
    <n v="21651"/>
    <d v="2023-06-09T00:00:00"/>
    <n v="1020400"/>
    <s v="VENDA DE SUCATAS"/>
    <n v="694"/>
    <n v="370"/>
    <n v="0"/>
    <n v="0"/>
    <n v="0"/>
    <n v="11.1"/>
    <n v="0"/>
    <n v="358.9"/>
    <n v="370"/>
    <n v="0"/>
    <n v="370"/>
    <s v="Cobrança Administrativa"/>
    <m/>
  </r>
  <r>
    <n v="1227"/>
    <x v="13"/>
    <s v="13.292.389/0001-38"/>
    <n v="714.5"/>
    <n v="1246086258"/>
    <d v="2023-07-07T00:00:00"/>
    <m/>
    <s v="1"/>
    <s v="Adtives"/>
    <n v="21650"/>
    <d v="2023-06-09T00:00:00"/>
    <n v="1020400"/>
    <s v="VENDA DE SUCATAS"/>
    <n v="694"/>
    <n v="714.49999999999989"/>
    <n v="0"/>
    <n v="0"/>
    <n v="0"/>
    <n v="21.434999999999999"/>
    <n v="0"/>
    <n v="693.06499999999994"/>
    <n v="714.5"/>
    <n v="0"/>
    <n v="714.49999999999989"/>
    <s v="Cobrança Administrativa"/>
    <m/>
  </r>
  <r>
    <n v="1227"/>
    <x v="13"/>
    <s v="13.292.389/0001-38"/>
    <n v="546.5"/>
    <n v="1246086257"/>
    <d v="2023-07-07T00:00:00"/>
    <m/>
    <s v="1"/>
    <s v="Adtives"/>
    <n v="21649"/>
    <d v="2023-06-09T00:00:00"/>
    <n v="1020400"/>
    <s v="VENDA DE SUCATAS"/>
    <n v="694"/>
    <n v="546.5"/>
    <n v="0"/>
    <n v="0"/>
    <n v="0"/>
    <n v="16.395"/>
    <n v="0"/>
    <n v="530.10500000000002"/>
    <n v="546.5"/>
    <n v="0"/>
    <n v="546.5"/>
    <s v="Cobrança Administrativa"/>
    <m/>
  </r>
  <r>
    <n v="1227"/>
    <x v="13"/>
    <s v="13.292.389/0001-38"/>
    <n v="105"/>
    <n v="1246086368"/>
    <d v="2023-07-10T00:00:00"/>
    <m/>
    <s v="1"/>
    <s v="Adtives"/>
    <n v="2531"/>
    <d v="2023-06-12T00:00:00"/>
    <n v="1020400"/>
    <s v="VENDA DE SUCATAS"/>
    <n v="691"/>
    <n v="105"/>
    <n v="0"/>
    <n v="0"/>
    <n v="0"/>
    <n v="3.15"/>
    <n v="0"/>
    <n v="101.85"/>
    <n v="105"/>
    <n v="0"/>
    <n v="105"/>
    <s v="Cobrança Administrativa"/>
    <m/>
  </r>
  <r>
    <n v="1227"/>
    <x v="13"/>
    <s v="13.292.389/0001-38"/>
    <n v="357"/>
    <n v="1246086365"/>
    <d v="2023-07-10T00:00:00"/>
    <m/>
    <s v="1"/>
    <s v="Adtives"/>
    <n v="2528"/>
    <d v="2023-06-12T00:00:00"/>
    <n v="1020400"/>
    <s v="VENDA DE SUCATAS"/>
    <n v="691"/>
    <n v="356.99999999999994"/>
    <n v="0"/>
    <n v="0"/>
    <n v="0"/>
    <n v="10.709999999999999"/>
    <n v="0"/>
    <n v="346.28999999999996"/>
    <n v="357"/>
    <n v="0"/>
    <n v="356.99999999999994"/>
    <s v="Cobrança Administrativa"/>
    <m/>
  </r>
  <r>
    <n v="1227"/>
    <x v="13"/>
    <s v="13.292.389/0001-38"/>
    <n v="782"/>
    <n v="1246086260"/>
    <d v="2023-07-07T00:00:00"/>
    <m/>
    <s v="1"/>
    <s v="Adtives"/>
    <n v="21652"/>
    <d v="2023-06-09T00:00:00"/>
    <n v="1020400"/>
    <s v="VENDA DE SUCATAS"/>
    <n v="694"/>
    <n v="782"/>
    <n v="0"/>
    <n v="0"/>
    <n v="0"/>
    <n v="23.46"/>
    <n v="0"/>
    <n v="758.54"/>
    <n v="782"/>
    <n v="0"/>
    <n v="782"/>
    <s v="Cobrança Administrativa"/>
    <m/>
  </r>
  <r>
    <n v="1227"/>
    <x v="13"/>
    <s v="13.292.389/0001-38"/>
    <n v="219"/>
    <n v="1246096646"/>
    <d v="2023-09-05T00:00:00"/>
    <m/>
    <s v="1"/>
    <s v="Adtives"/>
    <n v="593"/>
    <d v="2023-08-08T00:00:00"/>
    <n v="1020400"/>
    <s v="VENDA DE SUCATAS"/>
    <n v="634"/>
    <n v="219"/>
    <n v="0"/>
    <n v="0"/>
    <n v="0"/>
    <n v="6.5699999999999994"/>
    <n v="0"/>
    <n v="212.43"/>
    <n v="219"/>
    <n v="0"/>
    <n v="219"/>
    <s v="Cobrança Administrativa"/>
    <m/>
  </r>
  <r>
    <n v="1227"/>
    <x v="13"/>
    <s v="13.292.389/0001-38"/>
    <n v="347"/>
    <n v="1246099797"/>
    <d v="2023-09-20T00:00:00"/>
    <m/>
    <s v="1"/>
    <s v="Adtives"/>
    <n v="825"/>
    <d v="2023-08-23T00:00:00"/>
    <n v="1020400"/>
    <s v="VENDA DE SUCATAS"/>
    <n v="619"/>
    <n v="347"/>
    <n v="0"/>
    <n v="0"/>
    <n v="0"/>
    <n v="10.41"/>
    <n v="0"/>
    <n v="336.59"/>
    <n v="347"/>
    <n v="0"/>
    <n v="347"/>
    <s v="Cobrança Administrativa"/>
    <m/>
  </r>
  <r>
    <n v="1227"/>
    <x v="13"/>
    <s v="13.292.389/0001-38"/>
    <n v="910.45"/>
    <n v="1246030181"/>
    <d v="2022-08-19T00:00:00"/>
    <m/>
    <s v="1"/>
    <s v="Adtives"/>
    <n v="1779"/>
    <d v="2022-07-22T00:00:00"/>
    <n v="1020400"/>
    <s v="VENDA DE SUCATAS"/>
    <n v="1016"/>
    <n v="910.45"/>
    <n v="0"/>
    <n v="0"/>
    <n v="0"/>
    <n v="27.313500000000001"/>
    <n v="0"/>
    <n v="883.13650000000007"/>
    <n v="910.45"/>
    <n v="0"/>
    <n v="910.45"/>
    <s v="Cobrança Administrativa"/>
    <m/>
  </r>
  <r>
    <n v="1227"/>
    <x v="13"/>
    <s v="13.292.389/0001-38"/>
    <n v="442"/>
    <n v="1246102916"/>
    <d v="2023-10-06T00:00:00"/>
    <m/>
    <s v="1"/>
    <s v="Adtives"/>
    <n v="1079"/>
    <d v="2023-09-08T00:00:00"/>
    <n v="1020400"/>
    <s v="VENDA DE SUCATAS"/>
    <n v="603"/>
    <n v="442"/>
    <n v="0"/>
    <n v="0"/>
    <n v="0"/>
    <n v="13.26"/>
    <n v="0"/>
    <n v="428.74"/>
    <n v="442"/>
    <n v="0"/>
    <n v="442"/>
    <s v="Cobrança Administrativa"/>
    <m/>
  </r>
  <r>
    <n v="1227"/>
    <x v="13"/>
    <s v="13.292.389/0001-38"/>
    <n v="424"/>
    <n v="1246114870"/>
    <d v="2023-12-11T00:00:00"/>
    <m/>
    <s v="1"/>
    <s v="Adtives"/>
    <n v="1954"/>
    <d v="2023-11-13T00:00:00"/>
    <n v="1020400"/>
    <s v="VENDA DE SUCATAS"/>
    <n v="537"/>
    <n v="424"/>
    <n v="0"/>
    <n v="0"/>
    <n v="0"/>
    <n v="12.719999999999999"/>
    <n v="0"/>
    <n v="411.28"/>
    <n v="424"/>
    <n v="0"/>
    <n v="424"/>
    <s v="Cobrança Administrativa"/>
    <m/>
  </r>
  <r>
    <n v="1227"/>
    <x v="13"/>
    <s v="13.292.389/0001-38"/>
    <n v="231.5"/>
    <n v="1246062956"/>
    <d v="2023-02-14T00:00:00"/>
    <m/>
    <s v="1"/>
    <s v="Adtives"/>
    <n v="2258"/>
    <d v="2023-01-17T00:00:00"/>
    <n v="1020400"/>
    <s v="VENDA DE SUCATAS"/>
    <n v="837"/>
    <n v="231.5"/>
    <n v="0"/>
    <n v="0"/>
    <n v="0"/>
    <n v="6.9449999999999994"/>
    <n v="0"/>
    <n v="224.55500000000001"/>
    <n v="231.5"/>
    <n v="0"/>
    <n v="231.5"/>
    <s v="Cobrança Administrativa"/>
    <m/>
  </r>
  <r>
    <n v="1227"/>
    <x v="13"/>
    <s v="13.292.389/0001-38"/>
    <n v="1646.5"/>
    <n v="1246057312"/>
    <d v="2023-01-04T00:00:00"/>
    <m/>
    <s v="1"/>
    <s v="Adtives"/>
    <n v="2123"/>
    <d v="2022-12-07T00:00:00"/>
    <n v="1020400"/>
    <s v="VENDA DE SUCATAS"/>
    <n v="878"/>
    <n v="1646.5"/>
    <n v="0"/>
    <n v="0"/>
    <n v="0"/>
    <n v="49.394999999999996"/>
    <n v="0"/>
    <n v="1597.105"/>
    <n v="1646.5"/>
    <n v="0"/>
    <n v="1646.5"/>
    <s v="Cobrança Administrativa"/>
    <m/>
  </r>
  <r>
    <n v="1227"/>
    <x v="13"/>
    <s v="13.292.389/0001-38"/>
    <n v="48"/>
    <n v="1246120001"/>
    <d v="2023-12-18T00:00:00"/>
    <m/>
    <s v="1"/>
    <s v="Adtives"/>
    <n v="2268"/>
    <d v="2023-12-18T00:00:00"/>
    <n v="1020400"/>
    <s v="VENDA DE SUCATAS"/>
    <n v="530"/>
    <n v="48"/>
    <n v="0"/>
    <n v="0"/>
    <n v="0"/>
    <n v="1.44"/>
    <n v="0"/>
    <n v="46.56"/>
    <n v="48"/>
    <n v="0"/>
    <n v="48"/>
    <s v="Cobrança Administrativa"/>
    <m/>
  </r>
  <r>
    <n v="1227"/>
    <x v="13"/>
    <s v="13.292.389/0001-38"/>
    <n v="115"/>
    <n v="1246116879"/>
    <d v="2023-12-26T00:00:00"/>
    <m/>
    <s v="1"/>
    <s v="Adtives"/>
    <n v="2111"/>
    <d v="2023-11-28T00:00:00"/>
    <n v="1020400"/>
    <s v="VENDA DE SUCATAS"/>
    <n v="522"/>
    <n v="115"/>
    <n v="0"/>
    <n v="0"/>
    <n v="0"/>
    <n v="3.4499999999999997"/>
    <n v="0"/>
    <n v="111.55"/>
    <n v="115"/>
    <n v="0"/>
    <n v="115"/>
    <s v="Cobrança Administrativa"/>
    <m/>
  </r>
  <r>
    <n v="1227"/>
    <x v="13"/>
    <s v="13.292.389/0001-38"/>
    <n v="384.06"/>
    <n v="1246062950"/>
    <d v="2023-02-14T00:00:00"/>
    <m/>
    <s v="1"/>
    <s v="Adtives"/>
    <n v="20454"/>
    <d v="2023-01-17T00:00:00"/>
    <n v="1020400"/>
    <s v="VENDA DE SUCATAS"/>
    <n v="837"/>
    <n v="384.06"/>
    <n v="0"/>
    <n v="0"/>
    <n v="0"/>
    <n v="11.521799999999999"/>
    <n v="0"/>
    <n v="372.53820000000002"/>
    <n v="384.06"/>
    <n v="0"/>
    <n v="384.06"/>
    <s v="Cobrança Administrativa"/>
    <m/>
  </r>
  <r>
    <n v="1227"/>
    <x v="13"/>
    <s v="13.292.389/0001-38"/>
    <n v="48"/>
    <n v="1246119984"/>
    <d v="2024-01-12T00:00:00"/>
    <m/>
    <s v="1"/>
    <s v="Adtives"/>
    <n v="2265"/>
    <d v="2023-12-15T00:00:00"/>
    <n v="1020400"/>
    <s v="VENDA DE SUCATAS"/>
    <n v="505"/>
    <n v="48"/>
    <n v="0"/>
    <n v="0"/>
    <n v="0"/>
    <n v="1.44"/>
    <n v="0"/>
    <n v="46.56"/>
    <n v="48"/>
    <n v="0"/>
    <n v="48"/>
    <s v="Cobrança Administrativa"/>
    <m/>
  </r>
  <r>
    <n v="1227"/>
    <x v="13"/>
    <s v="13.292.389/0001-38"/>
    <n v="42.6"/>
    <n v="1246114858"/>
    <d v="2023-12-11T00:00:00"/>
    <m/>
    <s v="1"/>
    <s v="Adtives"/>
    <n v="422"/>
    <d v="2023-11-13T00:00:00"/>
    <n v="1020400"/>
    <s v="VENDA DE SUCATAS"/>
    <n v="537"/>
    <n v="42.6"/>
    <n v="0"/>
    <n v="0"/>
    <n v="0"/>
    <n v="1.278"/>
    <n v="0"/>
    <n v="41.322000000000003"/>
    <n v="42.6"/>
    <n v="0"/>
    <n v="42.6"/>
    <s v="Cobrança Administrativa"/>
    <m/>
  </r>
  <r>
    <n v="1227"/>
    <x v="13"/>
    <s v="13.292.389/0001-38"/>
    <n v="134"/>
    <n v="1246102917"/>
    <d v="2023-10-06T00:00:00"/>
    <m/>
    <s v="1"/>
    <s v="Adtives"/>
    <n v="219"/>
    <d v="2023-09-08T00:00:00"/>
    <n v="1020400"/>
    <s v="VENDA DE SUCATAS"/>
    <n v="603"/>
    <n v="134"/>
    <n v="0"/>
    <n v="0"/>
    <n v="0"/>
    <n v="4.0199999999999996"/>
    <n v="0"/>
    <n v="129.97999999999999"/>
    <n v="134"/>
    <n v="0"/>
    <n v="134"/>
    <s v="Cobrança Administrativa"/>
    <m/>
  </r>
  <r>
    <n v="1227"/>
    <x v="13"/>
    <s v="13.292.389/0001-38"/>
    <n v="2403"/>
    <n v="1246110720"/>
    <d v="2023-11-20T00:00:00"/>
    <m/>
    <s v="1"/>
    <s v="Adtives"/>
    <n v="1699"/>
    <d v="2023-10-23T00:00:00"/>
    <n v="1020400"/>
    <s v="VENDA DE SUCATAS"/>
    <n v="558"/>
    <n v="2403"/>
    <n v="0"/>
    <n v="0"/>
    <n v="0"/>
    <n v="72.09"/>
    <n v="0"/>
    <n v="2330.91"/>
    <n v="2403"/>
    <n v="0"/>
    <n v="2403"/>
    <s v="Cobrança Administrativa"/>
    <m/>
  </r>
  <r>
    <n v="1227"/>
    <x v="13"/>
    <s v="13.292.389/0001-38"/>
    <n v="83.5"/>
    <n v="1246110733"/>
    <d v="2023-11-20T00:00:00"/>
    <m/>
    <s v="1"/>
    <s v="Adtives"/>
    <n v="361"/>
    <d v="2023-10-23T00:00:00"/>
    <n v="1020400"/>
    <s v="VENDA DE SUCATAS"/>
    <n v="558"/>
    <n v="83.5"/>
    <n v="0"/>
    <n v="0"/>
    <n v="0"/>
    <n v="2.5049999999999999"/>
    <n v="0"/>
    <n v="80.995000000000005"/>
    <n v="83.5"/>
    <n v="0"/>
    <n v="83.5"/>
    <s v="Cobrança Administrativa"/>
    <m/>
  </r>
  <r>
    <n v="1227"/>
    <x v="13"/>
    <s v="13.292.389/0001-38"/>
    <n v="399.5"/>
    <n v="1246116873"/>
    <d v="2023-12-26T00:00:00"/>
    <m/>
    <s v="1"/>
    <s v="Adtives"/>
    <n v="2109"/>
    <d v="2023-11-28T00:00:00"/>
    <n v="1020400"/>
    <s v="VENDA DE SUCATAS"/>
    <n v="522"/>
    <n v="399.5"/>
    <n v="0"/>
    <n v="0"/>
    <n v="0"/>
    <n v="11.984999999999999"/>
    <n v="0"/>
    <n v="387.51499999999999"/>
    <n v="399.5"/>
    <n v="0"/>
    <n v="399.5"/>
    <s v="Cobrança Administrativa"/>
    <m/>
  </r>
  <r>
    <n v="2588"/>
    <x v="14"/>
    <s v="05.571.228/0007-40"/>
    <n v="448200"/>
    <n v="1246184073"/>
    <d v="2025-01-05T00:00:00"/>
    <m/>
    <s v="1"/>
    <s v="Adtives"/>
    <n v="1523"/>
    <d v="2024-11-25T00:00:00"/>
    <n v="1010100"/>
    <s v="VENDAS MERCADO INTERNO"/>
    <n v="146"/>
    <n v="13446"/>
    <n v="0"/>
    <n v="0"/>
    <n v="0"/>
    <n v="13446"/>
    <n v="0"/>
    <n v="0"/>
    <n v="0"/>
    <n v="0"/>
    <n v="13446"/>
    <s v="Cobrança Administrativa"/>
    <m/>
  </r>
  <r>
    <n v="2588"/>
    <x v="14"/>
    <s v="05.571.228/0007-40"/>
    <n v="771600"/>
    <n v="1246188452"/>
    <d v="2025-01-20T00:00:00"/>
    <m/>
    <s v="1"/>
    <s v="Adtives"/>
    <n v="1597"/>
    <d v="2024-12-17T00:00:00"/>
    <n v="1010100"/>
    <s v="VENDAS MERCADO INTERNO"/>
    <n v="131"/>
    <n v="23148"/>
    <n v="0"/>
    <n v="0"/>
    <n v="0"/>
    <n v="23148"/>
    <n v="0"/>
    <n v="0"/>
    <n v="0"/>
    <n v="0"/>
    <n v="23148"/>
    <s v="Cobrança Administrativa"/>
    <m/>
  </r>
  <r>
    <n v="6132"/>
    <x v="15"/>
    <s v="02.560.903/0001-52"/>
    <n v="131993.79999999999"/>
    <n v="1246090615"/>
    <d v="2024-06-28T00:00:00"/>
    <m/>
    <s v="2"/>
    <s v="Fertilizers"/>
    <n v="33"/>
    <d v="2023-07-04T00:00:00"/>
    <n v="1010100"/>
    <s v="VENDAS MERCADO INTERNO"/>
    <n v="337"/>
    <n v="131993.79999999999"/>
    <n v="0"/>
    <n v="0"/>
    <n v="0"/>
    <n v="0"/>
    <n v="0"/>
    <n v="0"/>
    <n v="131993.79999999999"/>
    <n v="131993.79999999999"/>
    <n v="131993.79999999999"/>
    <s v="Recuperação Judicial"/>
    <m/>
  </r>
  <r>
    <n v="6132"/>
    <x v="15"/>
    <s v="02.560.903/0001-52"/>
    <n v="178370"/>
    <n v="1246091907"/>
    <d v="2024-05-25T00:00:00"/>
    <m/>
    <s v="2"/>
    <s v="Fertilizers"/>
    <n v="129"/>
    <d v="2023-07-12T00:00:00"/>
    <n v="1010100"/>
    <s v="VENDAS MERCADO INTERNO"/>
    <n v="371"/>
    <n v="178370"/>
    <n v="0"/>
    <n v="0"/>
    <n v="0"/>
    <n v="0"/>
    <n v="0"/>
    <n v="0"/>
    <n v="178370"/>
    <n v="178370"/>
    <n v="178370"/>
    <s v="Recuperação Judicial"/>
    <m/>
  </r>
  <r>
    <n v="6132"/>
    <x v="15"/>
    <s v="02.560.903/0001-52"/>
    <n v="178370"/>
    <n v="1246090579"/>
    <d v="2024-06-27T00:00:00"/>
    <m/>
    <s v="2"/>
    <s v="Fertilizers"/>
    <n v="28"/>
    <d v="2023-07-03T00:00:00"/>
    <n v="1010100"/>
    <s v="VENDAS MERCADO INTERNO"/>
    <n v="338"/>
    <n v="178370"/>
    <n v="0"/>
    <n v="0"/>
    <n v="0"/>
    <n v="0"/>
    <n v="0"/>
    <n v="0"/>
    <n v="178370"/>
    <n v="178370"/>
    <n v="178370"/>
    <s v="Recuperação Judicial"/>
    <m/>
  </r>
  <r>
    <n v="6132"/>
    <x v="15"/>
    <s v="02.560.903/0001-52"/>
    <n v="142696"/>
    <n v="1246091833"/>
    <d v="2024-05-24T00:00:00"/>
    <m/>
    <s v="2"/>
    <s v="Fertilizers"/>
    <n v="116"/>
    <d v="2023-07-11T00:00:00"/>
    <n v="1010100"/>
    <s v="VENDAS MERCADO INTERNO"/>
    <n v="372"/>
    <n v="142696"/>
    <n v="0"/>
    <n v="0"/>
    <n v="0"/>
    <n v="0"/>
    <n v="0"/>
    <n v="0"/>
    <n v="142696"/>
    <n v="142696"/>
    <n v="142696"/>
    <s v="Recuperação Judicial"/>
    <m/>
  </r>
  <r>
    <n v="6132"/>
    <x v="15"/>
    <s v="02.560.903/0001-52"/>
    <n v="60766.2"/>
    <n v="1246095119"/>
    <d v="2024-06-04T00:00:00"/>
    <m/>
    <s v="2"/>
    <s v="Fertilizers"/>
    <n v="93"/>
    <d v="2023-07-31T00:00:00"/>
    <n v="1010100"/>
    <s v="VENDAS MERCADO INTERNO"/>
    <n v="361"/>
    <n v="60766.2"/>
    <n v="0"/>
    <n v="0"/>
    <n v="0"/>
    <n v="0"/>
    <n v="0"/>
    <n v="0"/>
    <n v="60766.2"/>
    <n v="60766.2"/>
    <n v="60766.2"/>
    <s v="Recuperação Judicial"/>
    <m/>
  </r>
  <r>
    <n v="6132"/>
    <x v="15"/>
    <s v="02.560.903/0001-52"/>
    <n v="178260"/>
    <n v="1246091832"/>
    <d v="2024-05-24T00:00:00"/>
    <m/>
    <s v="2"/>
    <s v="Fertilizers"/>
    <n v="115"/>
    <d v="2023-07-11T00:00:00"/>
    <n v="1010100"/>
    <s v="VENDAS MERCADO INTERNO"/>
    <n v="372"/>
    <n v="178260"/>
    <n v="0"/>
    <n v="0"/>
    <n v="0"/>
    <n v="0"/>
    <n v="0"/>
    <n v="0"/>
    <n v="178260"/>
    <n v="178260"/>
    <n v="178260"/>
    <s v="Recuperação Judicial"/>
    <m/>
  </r>
  <r>
    <n v="6132"/>
    <x v="15"/>
    <s v="02.560.903/0001-52"/>
    <n v="151915.50000000003"/>
    <n v="1246095049"/>
    <d v="2024-06-04T00:00:00"/>
    <m/>
    <s v="2"/>
    <s v="Fertilizers"/>
    <n v="92"/>
    <d v="2023-07-31T00:00:00"/>
    <n v="1010100"/>
    <s v="VENDAS MERCADO INTERNO"/>
    <n v="361"/>
    <n v="151915.50000000003"/>
    <n v="0"/>
    <n v="0"/>
    <n v="0"/>
    <n v="0"/>
    <n v="0"/>
    <n v="0"/>
    <n v="151915.50000000003"/>
    <n v="151915.50000000003"/>
    <n v="151915.50000000003"/>
    <s v="Recuperação Judicial"/>
    <m/>
  </r>
  <r>
    <n v="6132"/>
    <x v="15"/>
    <s v="02.560.903/0001-52"/>
    <n v="91149.3"/>
    <n v="1246095124"/>
    <d v="2024-06-04T00:00:00"/>
    <m/>
    <s v="2"/>
    <s v="Fertilizers"/>
    <n v="94"/>
    <d v="2023-07-31T00:00:00"/>
    <n v="1010100"/>
    <s v="VENDAS MERCADO INTERNO"/>
    <n v="361"/>
    <n v="91149.3"/>
    <n v="0"/>
    <n v="0"/>
    <n v="0"/>
    <n v="0"/>
    <n v="0"/>
    <n v="0"/>
    <n v="91149.3"/>
    <n v="91149.3"/>
    <n v="91149.3"/>
    <s v="Recuperação Judicial"/>
    <m/>
  </r>
  <r>
    <n v="6132"/>
    <x v="15"/>
    <s v="02.560.903/0001-52"/>
    <n v="85223.34"/>
    <n v="1246097799"/>
    <d v="2024-05-30T00:00:00"/>
    <m/>
    <s v="2"/>
    <s v="Fertilizers"/>
    <n v="678"/>
    <d v="2023-08-14T00:00:00"/>
    <n v="1010100"/>
    <s v="VENDAS MERCADO INTERNO"/>
    <n v="366"/>
    <n v="85223.34"/>
    <n v="0"/>
    <n v="0"/>
    <n v="0"/>
    <n v="0"/>
    <n v="0"/>
    <n v="0"/>
    <n v="85223.34"/>
    <n v="85223.34"/>
    <n v="85223.34"/>
    <s v="Recuperação Judicial"/>
    <m/>
  </r>
  <r>
    <n v="6132"/>
    <x v="15"/>
    <s v="02.560.903/0001-52"/>
    <n v="84323.41"/>
    <n v="1246121990"/>
    <d v="2024-09-22T00:00:00"/>
    <m/>
    <s v="2"/>
    <s v="Fertilizers"/>
    <n v="2361"/>
    <d v="2023-12-29T00:00:00"/>
    <n v="1010100"/>
    <s v="VENDAS MERCADO INTERNO"/>
    <n v="251"/>
    <n v="22687.330670741947"/>
    <n v="0"/>
    <n v="0"/>
    <n v="0"/>
    <n v="0"/>
    <n v="0"/>
    <n v="0"/>
    <n v="84323.41"/>
    <n v="22687.330670741947"/>
    <n v="22687.330670741947"/>
    <s v="Recuperação Judicial"/>
    <m/>
  </r>
  <r>
    <n v="6132"/>
    <x v="15"/>
    <s v="02.560.903/0001-52"/>
    <n v="63251.12"/>
    <n v="1246128996"/>
    <d v="2024-10-06T00:00:00"/>
    <m/>
    <s v="2"/>
    <s v="Fertilizers"/>
    <n v="2766"/>
    <d v="2024-02-09T00:00:00"/>
    <n v="1010100"/>
    <s v="VENDAS MERCADO INTERNO"/>
    <n v="237"/>
    <n v="17017.801755583405"/>
    <n v="0"/>
    <n v="0"/>
    <n v="0"/>
    <n v="0"/>
    <n v="0"/>
    <n v="0"/>
    <n v="63251.12"/>
    <n v="17017.801755583405"/>
    <n v="17017.801755583405"/>
    <s v="Recuperação Judicial"/>
    <m/>
  </r>
  <r>
    <n v="6132"/>
    <x v="15"/>
    <s v="02.560.903/0001-52"/>
    <n v="52062"/>
    <n v="1246115169"/>
    <d v="2024-06-23T00:00:00"/>
    <m/>
    <s v="2"/>
    <s v="Fertilizers"/>
    <n v="1974"/>
    <d v="2023-11-14T00:00:00"/>
    <n v="1010100"/>
    <s v="VENDAS MERCADO INTERNO"/>
    <n v="342"/>
    <n v="52062"/>
    <n v="0"/>
    <n v="0"/>
    <n v="0"/>
    <n v="0"/>
    <n v="0"/>
    <n v="0"/>
    <n v="52062"/>
    <n v="52062"/>
    <n v="52062"/>
    <s v="Recuperação Judicial"/>
    <m/>
  </r>
  <r>
    <n v="6132"/>
    <x v="15"/>
    <s v="02.560.903/0001-52"/>
    <n v="32002.66"/>
    <n v="1246120211"/>
    <d v="2024-08-14T00:00:00"/>
    <m/>
    <s v="2"/>
    <s v="Fertilizers"/>
    <n v="2284"/>
    <d v="2023-12-18T00:00:00"/>
    <n v="1010100"/>
    <s v="VENDAS MERCADO INTERNO"/>
    <n v="290"/>
    <n v="8610.3601569638413"/>
    <n v="0"/>
    <n v="0"/>
    <n v="0"/>
    <n v="0"/>
    <n v="0"/>
    <n v="0"/>
    <n v="32002.66"/>
    <n v="8610.3601569638413"/>
    <n v="8610.3601569638413"/>
    <s v="Recuperação Judicial"/>
    <m/>
  </r>
  <r>
    <n v="6132"/>
    <x v="15"/>
    <s v="02.560.903/0001-52"/>
    <n v="112435.2"/>
    <n v="1246116054"/>
    <d v="2024-07-18T00:00:00"/>
    <m/>
    <s v="2"/>
    <s v="Fertilizers"/>
    <n v="2046"/>
    <d v="2023-11-21T00:00:00"/>
    <n v="1010100"/>
    <s v="VENDAS MERCADO INTERNO"/>
    <n v="317"/>
    <n v="30250.846845864093"/>
    <n v="0"/>
    <n v="0"/>
    <n v="0"/>
    <n v="0"/>
    <n v="0"/>
    <n v="0"/>
    <n v="112435.2"/>
    <n v="30250.846845864093"/>
    <n v="30250.846845864093"/>
    <s v="Recuperação Judicial"/>
    <m/>
  </r>
  <r>
    <n v="6132"/>
    <x v="15"/>
    <s v="02.560.903/0001-52"/>
    <n v="29450.6"/>
    <n v="1246128801"/>
    <d v="2024-11-09T00:00:00"/>
    <m/>
    <s v="2"/>
    <s v="Fertilizers"/>
    <n v="2746"/>
    <d v="2024-02-08T00:00:00"/>
    <n v="1010100"/>
    <s v="VENDAS MERCADO INTERNO"/>
    <n v="203"/>
    <n v="7923.724866579194"/>
    <n v="0"/>
    <n v="0"/>
    <n v="0"/>
    <n v="0"/>
    <n v="0"/>
    <n v="0"/>
    <n v="29450.6"/>
    <n v="7923.724866579194"/>
    <n v="7923.724866579194"/>
    <s v="Recuperação Judicial"/>
    <m/>
  </r>
  <r>
    <n v="6132"/>
    <x v="15"/>
    <s v="02.560.903/0001-52"/>
    <n v="87840"/>
    <n v="1246113431"/>
    <d v="2024-07-03T00:00:00"/>
    <m/>
    <s v="2"/>
    <s v="Fertilizers"/>
    <n v="1852"/>
    <d v="2023-11-06T00:00:00"/>
    <n v="1010100"/>
    <s v="VENDAS MERCADO INTERNO"/>
    <n v="332"/>
    <n v="23633.474098331324"/>
    <n v="0"/>
    <n v="0"/>
    <n v="0"/>
    <n v="0"/>
    <n v="0"/>
    <n v="0"/>
    <n v="87840"/>
    <n v="23633.474098331324"/>
    <n v="23633.474098331324"/>
    <s v="Recuperação Judicial"/>
    <m/>
  </r>
  <r>
    <n v="6132"/>
    <x v="15"/>
    <s v="02.560.903/0001-52"/>
    <n v="27201.1"/>
    <n v="1246124199"/>
    <d v="2024-09-22T00:00:00"/>
    <m/>
    <s v="2"/>
    <s v="Fertilizers"/>
    <n v="2454"/>
    <d v="2024-01-10T00:00:00"/>
    <n v="1010100"/>
    <s v="VENDAS MERCADO INTERNO"/>
    <n v="251"/>
    <n v="7318.4937647554652"/>
    <n v="0"/>
    <n v="0"/>
    <n v="0"/>
    <n v="0"/>
    <n v="0"/>
    <n v="0"/>
    <n v="27201.1"/>
    <n v="7318.4937647554652"/>
    <n v="7318.4937647554652"/>
    <s v="Recuperação Judicial"/>
    <m/>
  </r>
  <r>
    <n v="6132"/>
    <x v="15"/>
    <s v="02.560.903/0001-52"/>
    <n v="86529.600000000006"/>
    <n v="1246116354"/>
    <d v="2024-07-02T00:00:00"/>
    <m/>
    <s v="2"/>
    <s v="Fertilizers"/>
    <n v="2068"/>
    <d v="2023-11-23T00:00:00"/>
    <n v="1010100"/>
    <s v="VENDAS MERCADO INTERNO"/>
    <n v="333"/>
    <n v="23280.909156864414"/>
    <n v="0"/>
    <n v="0"/>
    <n v="0"/>
    <n v="0"/>
    <n v="0"/>
    <n v="0"/>
    <n v="86529.600000000006"/>
    <n v="23280.909156864414"/>
    <n v="23280.909156864414"/>
    <s v="Recuperação Judicial"/>
    <m/>
  </r>
  <r>
    <n v="6132"/>
    <x v="15"/>
    <s v="02.560.903/0001-52"/>
    <n v="171010"/>
    <n v="1246117256"/>
    <d v="2024-07-01T00:00:00"/>
    <m/>
    <s v="2"/>
    <s v="Fertilizers"/>
    <n v="2130"/>
    <d v="2023-11-30T00:00:00"/>
    <n v="1010100"/>
    <s v="VENDAS MERCADO INTERNO"/>
    <n v="334"/>
    <n v="46010.478205323765"/>
    <n v="0"/>
    <n v="0"/>
    <n v="0"/>
    <n v="0"/>
    <n v="0"/>
    <n v="0"/>
    <n v="171010"/>
    <n v="46010.478205323765"/>
    <n v="46010.478205323765"/>
    <s v="Recuperação Judicial"/>
    <m/>
  </r>
  <r>
    <n v="6132"/>
    <x v="15"/>
    <s v="02.560.903/0001-52"/>
    <n v="94461"/>
    <n v="1246125716"/>
    <d v="2024-10-13T00:00:00"/>
    <m/>
    <s v="2"/>
    <s v="Fertilizers"/>
    <n v="2541"/>
    <d v="2024-01-19T00:00:00"/>
    <n v="1010100"/>
    <s v="VENDAS MERCADO INTERNO"/>
    <n v="230"/>
    <n v="25414.863351576445"/>
    <n v="0"/>
    <n v="0"/>
    <n v="0"/>
    <n v="0"/>
    <n v="0"/>
    <n v="0"/>
    <n v="94461"/>
    <n v="25414.863351576445"/>
    <n v="25414.863351576445"/>
    <s v="Recuperação Judicial"/>
    <m/>
  </r>
  <r>
    <n v="6132"/>
    <x v="15"/>
    <s v="02.560.903/0001-52"/>
    <n v="67967"/>
    <n v="1246128327"/>
    <d v="2024-10-02T00:00:00"/>
    <m/>
    <s v="2"/>
    <s v="Fertilizers"/>
    <n v="2712"/>
    <d v="2024-02-05T00:00:00"/>
    <n v="1010100"/>
    <s v="VENDAS MERCADO INTERNO"/>
    <n v="241"/>
    <n v="18286.615824695866"/>
    <n v="0"/>
    <n v="0"/>
    <n v="0"/>
    <n v="0"/>
    <n v="0"/>
    <n v="0"/>
    <n v="67967"/>
    <n v="18286.615824695866"/>
    <n v="18286.615824695866"/>
    <s v="Recuperação Judicial"/>
    <m/>
  </r>
  <r>
    <n v="6132"/>
    <x v="15"/>
    <s v="02.560.903/0001-52"/>
    <n v="77852.5"/>
    <n v="1246128328"/>
    <d v="2024-10-02T00:00:00"/>
    <m/>
    <s v="2"/>
    <s v="Fertilizers"/>
    <n v="2713"/>
    <d v="2024-02-05T00:00:00"/>
    <n v="1010100"/>
    <s v="VENDAS MERCADO INTERNO"/>
    <n v="241"/>
    <n v="20946.32334062317"/>
    <n v="0"/>
    <n v="0"/>
    <n v="0"/>
    <n v="0"/>
    <n v="0"/>
    <n v="0"/>
    <n v="77852.5"/>
    <n v="20946.32334062317"/>
    <n v="20946.32334062317"/>
    <s v="Recuperação Judicial"/>
    <m/>
  </r>
  <r>
    <n v="6132"/>
    <x v="15"/>
    <s v="02.560.903/0001-52"/>
    <n v="41610.269999999997"/>
    <n v="1246128682"/>
    <d v="2024-11-08T00:00:00"/>
    <m/>
    <s v="2"/>
    <s v="Fertilizers"/>
    <n v="2737"/>
    <d v="2024-02-07T00:00:00"/>
    <n v="1010100"/>
    <s v="VENDAS MERCADO INTERNO"/>
    <n v="204"/>
    <n v="11195.300982121731"/>
    <n v="0"/>
    <n v="0"/>
    <n v="0"/>
    <n v="0"/>
    <n v="0"/>
    <n v="0"/>
    <n v="41610.269999999997"/>
    <n v="11195.300982121731"/>
    <n v="11195.300982121731"/>
    <s v="Recuperação Judicial"/>
    <m/>
  </r>
  <r>
    <n v="6132"/>
    <x v="15"/>
    <s v="02.560.903/0001-52"/>
    <n v="107254.39999999999"/>
    <n v="1246126442"/>
    <d v="2024-09-30T00:00:00"/>
    <m/>
    <s v="2"/>
    <s v="Fertilizers"/>
    <n v="2587"/>
    <d v="2024-01-24T00:00:00"/>
    <n v="1010100"/>
    <s v="VENDAS MERCADO INTERNO"/>
    <n v="243"/>
    <n v="28856.945404508959"/>
    <n v="0"/>
    <n v="0"/>
    <n v="0"/>
    <n v="0"/>
    <n v="0"/>
    <n v="0"/>
    <n v="107254.39999999999"/>
    <n v="28856.945404508959"/>
    <n v="28856.945404508959"/>
    <s v="Recuperação Judicial"/>
    <m/>
  </r>
  <r>
    <n v="6132"/>
    <x v="15"/>
    <s v="02.560.903/0001-52"/>
    <n v="56218.2"/>
    <n v="1246128800"/>
    <d v="2024-11-09T00:00:00"/>
    <m/>
    <s v="2"/>
    <s v="Fertilizers"/>
    <n v="2745"/>
    <d v="2024-02-08T00:00:00"/>
    <n v="1010100"/>
    <s v="VENDAS MERCADO INTERNO"/>
    <n v="203"/>
    <n v="15125.584853766051"/>
    <n v="0"/>
    <n v="0"/>
    <n v="0"/>
    <n v="0"/>
    <n v="0"/>
    <n v="0"/>
    <n v="56218.2"/>
    <n v="15125.584853766051"/>
    <n v="15125.584853766051"/>
    <s v="Recuperação Judicial"/>
    <m/>
  </r>
  <r>
    <n v="6132"/>
    <x v="15"/>
    <s v="02.560.903/0001-52"/>
    <n v="24480.99"/>
    <n v="1246127802"/>
    <d v="2024-11-07T00:00:00"/>
    <m/>
    <s v="2"/>
    <s v="Fertilizers"/>
    <n v="2674"/>
    <d v="2024-02-01T00:00:00"/>
    <n v="1010100"/>
    <s v="VENDAS MERCADO INTERNO"/>
    <n v="205"/>
    <n v="6586.6443882799194"/>
    <n v="0"/>
    <n v="0"/>
    <n v="0"/>
    <n v="0"/>
    <n v="0"/>
    <n v="0"/>
    <n v="24480.99"/>
    <n v="6586.6443882799194"/>
    <n v="6586.6443882799194"/>
    <s v="Recuperação Judicial"/>
    <m/>
  </r>
  <r>
    <n v="6132"/>
    <x v="15"/>
    <s v="02.560.903/0001-52"/>
    <n v="87043.520000000004"/>
    <n v="1246120531"/>
    <d v="2024-09-24T00:00:00"/>
    <m/>
    <s v="2"/>
    <s v="Fertilizers"/>
    <n v="2295"/>
    <d v="2023-12-19T00:00:00"/>
    <n v="1010100"/>
    <s v="VENDAS MERCADO INTERNO"/>
    <n v="249"/>
    <n v="23419.180047217491"/>
    <n v="0"/>
    <n v="0"/>
    <n v="0"/>
    <n v="0"/>
    <n v="0"/>
    <n v="0"/>
    <n v="87043.520000000004"/>
    <n v="23419.180047217491"/>
    <n v="23419.180047217491"/>
    <s v="Recuperação Judicial"/>
    <m/>
  </r>
  <r>
    <n v="6132"/>
    <x v="15"/>
    <s v="02.560.903/0001-52"/>
    <n v="87504.97"/>
    <n v="1246119910"/>
    <d v="2024-09-20T00:00:00"/>
    <m/>
    <s v="2"/>
    <s v="Fertilizers"/>
    <n v="2248"/>
    <d v="2023-12-15T00:00:00"/>
    <n v="1010100"/>
    <s v="VENDAS MERCADO INTERNO"/>
    <n v="253"/>
    <n v="23543.333811136832"/>
    <n v="0"/>
    <n v="0"/>
    <n v="0"/>
    <n v="0"/>
    <n v="0"/>
    <n v="0"/>
    <n v="87504.97"/>
    <n v="23543.333811136832"/>
    <n v="23543.333811136832"/>
    <s v="Recuperação Judicial"/>
    <m/>
  </r>
  <r>
    <n v="6132"/>
    <x v="15"/>
    <s v="02.560.903/0001-52"/>
    <n v="22997.32"/>
    <n v="1246119982"/>
    <d v="2024-08-11T00:00:00"/>
    <m/>
    <s v="2"/>
    <s v="Fertilizers"/>
    <n v="2263"/>
    <d v="2023-12-15T00:00:00"/>
    <n v="1010100"/>
    <s v="VENDAS MERCADO INTERNO"/>
    <n v="293"/>
    <n v="6187.4609124662666"/>
    <n v="0"/>
    <n v="0"/>
    <n v="0"/>
    <n v="0"/>
    <n v="0"/>
    <n v="0"/>
    <n v="22997.32"/>
    <n v="6187.4609124662666"/>
    <n v="6187.4609124662666"/>
    <s v="Recuperação Judicial"/>
    <m/>
  </r>
  <r>
    <n v="6132"/>
    <x v="15"/>
    <s v="02.560.903/0001-52"/>
    <n v="10860"/>
    <n v="1246122169"/>
    <d v="2024-06-26T00:00:00"/>
    <m/>
    <s v="2"/>
    <s v="Fertilizers"/>
    <n v="2373"/>
    <d v="2023-12-29T00:00:00"/>
    <n v="1010100"/>
    <s v="VENDAS MERCADO INTERNO"/>
    <n v="339"/>
    <n v="10860"/>
    <n v="0"/>
    <n v="0"/>
    <n v="0"/>
    <n v="0"/>
    <n v="0"/>
    <n v="0"/>
    <n v="10860"/>
    <n v="10860"/>
    <n v="10860"/>
    <s v="Recuperação Judicial"/>
    <m/>
  </r>
  <r>
    <n v="6132"/>
    <x v="15"/>
    <s v="02.560.903/0001-52"/>
    <n v="57205.5"/>
    <n v="1246122168"/>
    <d v="2024-09-22T00:00:00"/>
    <m/>
    <s v="2"/>
    <s v="Fertilizers"/>
    <n v="2372"/>
    <d v="2023-12-29T00:00:00"/>
    <n v="1010100"/>
    <s v="VENDAS MERCADO INTERNO"/>
    <n v="251"/>
    <n v="15391.219291121271"/>
    <n v="0"/>
    <n v="0"/>
    <n v="0"/>
    <n v="0"/>
    <n v="0"/>
    <n v="0"/>
    <n v="57205.5"/>
    <n v="15391.219291121271"/>
    <n v="15391.219291121271"/>
    <s v="Recuperação Judicial"/>
    <m/>
  </r>
  <r>
    <n v="6132"/>
    <x v="15"/>
    <s v="02.560.903/0001-52"/>
    <n v="109750.39999999999"/>
    <n v="1246117165"/>
    <d v="2024-06-30T00:00:00"/>
    <m/>
    <s v="2"/>
    <s v="Fertilizers"/>
    <n v="2128"/>
    <d v="2023-11-29T00:00:00"/>
    <n v="1010100"/>
    <s v="VENDAS MERCADO INTERNO"/>
    <n v="335"/>
    <n v="29528.497673969738"/>
    <n v="0"/>
    <n v="0"/>
    <n v="0"/>
    <n v="0"/>
    <n v="0"/>
    <n v="0"/>
    <n v="109750.39999999999"/>
    <n v="29528.497673969738"/>
    <n v="29528.497673969738"/>
    <s v="Recuperação Judicial"/>
    <m/>
  </r>
  <r>
    <n v="6132"/>
    <x v="15"/>
    <s v="02.560.903/0001-52"/>
    <n v="111644.8"/>
    <n v="1246117516"/>
    <d v="2024-09-01T00:00:00"/>
    <m/>
    <s v="2"/>
    <s v="Fertilizers"/>
    <n v="2140"/>
    <d v="2023-12-01T00:00:00"/>
    <n v="1010100"/>
    <s v="VENDAS MERCADO INTERNO"/>
    <n v="272"/>
    <n v="30038.188627201514"/>
    <n v="0"/>
    <n v="0"/>
    <n v="0"/>
    <n v="0"/>
    <n v="0"/>
    <n v="0"/>
    <n v="111644.8"/>
    <n v="30038.188627201514"/>
    <n v="30038.188627201514"/>
    <s v="Recuperação Judicial"/>
    <m/>
  </r>
  <r>
    <n v="6132"/>
    <x v="15"/>
    <s v="02.560.903/0001-52"/>
    <n v="136005.5"/>
    <n v="1246120768"/>
    <d v="2024-09-25T00:00:00"/>
    <m/>
    <s v="2"/>
    <s v="Fertilizers"/>
    <n v="2299"/>
    <d v="2023-12-20T00:00:00"/>
    <n v="1010100"/>
    <s v="VENDAS MERCADO INTERNO"/>
    <n v="248"/>
    <n v="36592.46882377733"/>
    <n v="0"/>
    <n v="0"/>
    <n v="0"/>
    <n v="0"/>
    <n v="0"/>
    <n v="0"/>
    <n v="136005.5"/>
    <n v="36592.46882377733"/>
    <n v="36592.46882377733"/>
    <s v="Recuperação Judicial"/>
    <m/>
  </r>
  <r>
    <n v="6132"/>
    <x v="15"/>
    <s v="02.560.903/0001-52"/>
    <n v="136005.5"/>
    <n v="1246124946"/>
    <d v="2024-10-01T00:00:00"/>
    <m/>
    <s v="2"/>
    <s v="Fertilizers"/>
    <n v="2498"/>
    <d v="2024-01-15T00:00:00"/>
    <n v="1010100"/>
    <s v="VENDAS MERCADO INTERNO"/>
    <n v="242"/>
    <n v="36592.46882377733"/>
    <n v="0"/>
    <n v="0"/>
    <n v="0"/>
    <n v="0"/>
    <n v="0"/>
    <n v="0"/>
    <n v="136005.5"/>
    <n v="36592.46882377733"/>
    <n v="36592.46882377733"/>
    <s v="Recuperação Judicial"/>
    <m/>
  </r>
  <r>
    <n v="6132"/>
    <x v="15"/>
    <s v="02.560.903/0001-52"/>
    <n v="87043.520000000004"/>
    <n v="1246120099"/>
    <d v="2024-09-23T00:00:00"/>
    <m/>
    <s v="2"/>
    <s v="Fertilizers"/>
    <n v="2279"/>
    <d v="2023-12-18T00:00:00"/>
    <n v="1010100"/>
    <s v="VENDAS MERCADO INTERNO"/>
    <n v="250"/>
    <n v="23419.180047217491"/>
    <n v="0"/>
    <n v="0"/>
    <n v="0"/>
    <n v="0"/>
    <n v="0"/>
    <n v="0"/>
    <n v="87043.520000000004"/>
    <n v="23419.180047217491"/>
    <n v="23419.180047217491"/>
    <s v="Recuperação Judicial"/>
    <m/>
  </r>
  <r>
    <n v="6132"/>
    <x v="15"/>
    <s v="02.560.903/0001-52"/>
    <n v="111465.88"/>
    <n v="1246127801"/>
    <d v="2024-11-07T00:00:00"/>
    <m/>
    <s v="2"/>
    <s v="Fertilizers"/>
    <n v="2673"/>
    <d v="2024-02-01T00:00:00"/>
    <n v="1010100"/>
    <s v="VENDAS MERCADO INTERNO"/>
    <n v="205"/>
    <n v="29990.049952501224"/>
    <n v="0"/>
    <n v="0"/>
    <n v="0"/>
    <n v="0"/>
    <n v="0"/>
    <n v="0"/>
    <n v="111465.88"/>
    <n v="29990.049952501224"/>
    <n v="29990.049952501224"/>
    <s v="Recuperação Judicial"/>
    <m/>
  </r>
  <r>
    <n v="6132"/>
    <x v="15"/>
    <s v="02.560.903/0001-52"/>
    <n v="47937.4"/>
    <n v="1246118354"/>
    <d v="2024-09-06T00:00:00"/>
    <m/>
    <s v="2"/>
    <s v="Fertilizers"/>
    <n v="2184"/>
    <d v="2023-12-06T00:00:00"/>
    <n v="1010100"/>
    <s v="VENDAS MERCADO INTERNO"/>
    <n v="267"/>
    <n v="12897.624103385109"/>
    <n v="0"/>
    <n v="0"/>
    <n v="0"/>
    <n v="0"/>
    <n v="0"/>
    <n v="0"/>
    <n v="47937.4"/>
    <n v="12897.624103385109"/>
    <n v="12897.624103385109"/>
    <s v="Recuperação Judicial"/>
    <m/>
  </r>
  <r>
    <n v="6132"/>
    <x v="15"/>
    <s v="02.560.903/0001-52"/>
    <n v="155705"/>
    <n v="1246129974"/>
    <d v="2024-10-03T00:00:00"/>
    <m/>
    <s v="2"/>
    <s v="Fertilizers"/>
    <n v="2839"/>
    <d v="2024-02-19T00:00:00"/>
    <n v="1010100"/>
    <s v="VENDAS MERCADO INTERNO"/>
    <n v="240"/>
    <n v="41892.64668124634"/>
    <n v="0"/>
    <n v="0"/>
    <n v="0"/>
    <n v="0"/>
    <n v="0"/>
    <n v="0"/>
    <n v="155705"/>
    <n v="41892.64668124634"/>
    <n v="41892.64668124634"/>
    <s v="Recuperação Judicial"/>
    <m/>
  </r>
  <r>
    <n v="6132"/>
    <x v="15"/>
    <s v="02.560.903/0001-52"/>
    <n v="42163.65"/>
    <n v="1246124200"/>
    <d v="2024-10-04T00:00:00"/>
    <m/>
    <s v="2"/>
    <s v="Fertilizers"/>
    <n v="2455"/>
    <d v="2024-01-10T00:00:00"/>
    <n v="1010100"/>
    <s v="VENDAS MERCADO INTERNO"/>
    <n v="239"/>
    <n v="11344.188640324539"/>
    <n v="0"/>
    <n v="0"/>
    <n v="0"/>
    <n v="0"/>
    <n v="0"/>
    <n v="0"/>
    <n v="42163.65"/>
    <n v="11344.188640324539"/>
    <n v="11344.188640324539"/>
    <s v="Recuperação Judicial"/>
    <m/>
  </r>
  <r>
    <n v="6132"/>
    <x v="15"/>
    <s v="02.560.903/0001-52"/>
    <n v="111065.60000000001"/>
    <n v="1246114703"/>
    <d v="2024-06-20T00:00:00"/>
    <m/>
    <s v="2"/>
    <s v="Fertilizers"/>
    <n v="1937"/>
    <d v="2023-11-11T00:00:00"/>
    <n v="1010100"/>
    <s v="VENDAS MERCADO INTERNO"/>
    <n v="345"/>
    <n v="111065.60000000001"/>
    <n v="0"/>
    <n v="0"/>
    <n v="0"/>
    <n v="0"/>
    <n v="0"/>
    <n v="0"/>
    <n v="111065.60000000001"/>
    <n v="111065.60000000001"/>
    <n v="111065.60000000001"/>
    <s v="Recuperação Judicial"/>
    <m/>
  </r>
  <r>
    <n v="6132"/>
    <x v="15"/>
    <s v="02.560.903/0001-52"/>
    <n v="27201.1"/>
    <n v="1246125717"/>
    <d v="2024-10-01T00:00:00"/>
    <m/>
    <s v="2"/>
    <s v="Fertilizers"/>
    <n v="2542"/>
    <d v="2024-01-19T00:00:00"/>
    <n v="1010100"/>
    <s v="VENDAS MERCADO INTERNO"/>
    <n v="242"/>
    <n v="7318.4937647554652"/>
    <n v="0"/>
    <n v="0"/>
    <n v="0"/>
    <n v="0"/>
    <n v="0"/>
    <n v="0"/>
    <n v="27201.1"/>
    <n v="7318.4937647554652"/>
    <n v="7318.4937647554652"/>
    <s v="Recuperação Judicial"/>
    <m/>
  </r>
  <r>
    <n v="6132"/>
    <x v="15"/>
    <s v="02.560.903/0001-52"/>
    <n v="136005.5"/>
    <n v="1246124718"/>
    <d v="2024-09-28T00:00:00"/>
    <m/>
    <s v="2"/>
    <s v="Fertilizers"/>
    <n v="2489"/>
    <d v="2024-01-12T00:00:00"/>
    <n v="1010100"/>
    <s v="VENDAS MERCADO INTERNO"/>
    <n v="245"/>
    <n v="36592.46882377733"/>
    <n v="0"/>
    <n v="0"/>
    <n v="0"/>
    <n v="0"/>
    <n v="0"/>
    <n v="0"/>
    <n v="136005.5"/>
    <n v="36592.46882377733"/>
    <n v="36592.46882377733"/>
    <s v="Recuperação Judicial"/>
    <m/>
  </r>
  <r>
    <n v="6132"/>
    <x v="15"/>
    <s v="02.560.903/0001-52"/>
    <n v="45093"/>
    <n v="1246128683"/>
    <d v="2024-11-08T00:00:00"/>
    <m/>
    <s v="2"/>
    <s v="Fertilizers"/>
    <n v="2738"/>
    <d v="2024-02-07T00:00:00"/>
    <n v="1010100"/>
    <s v="VENDAS MERCADO INTERNO"/>
    <n v="204"/>
    <n v="12132.334329645428"/>
    <n v="0"/>
    <n v="0"/>
    <n v="0"/>
    <n v="0"/>
    <n v="0"/>
    <n v="0"/>
    <n v="45093"/>
    <n v="12132.334329645428"/>
    <n v="12132.334329645428"/>
    <s v="Recuperação Judicial"/>
    <m/>
  </r>
  <r>
    <n v="6132"/>
    <x v="15"/>
    <s v="02.560.903/0001-52"/>
    <n v="82986.649999999994"/>
    <n v="1246113430"/>
    <d v="2024-07-03T00:00:00"/>
    <m/>
    <s v="2"/>
    <s v="Fertilizers"/>
    <n v="1851"/>
    <d v="2023-11-06T00:00:00"/>
    <n v="1010100"/>
    <s v="VENDAS MERCADO INTERNO"/>
    <n v="332"/>
    <n v="22327.673534634414"/>
    <n v="0"/>
    <n v="0"/>
    <n v="0"/>
    <n v="0"/>
    <n v="0"/>
    <n v="0"/>
    <n v="82986.649999999994"/>
    <n v="22327.673534634414"/>
    <n v="22327.673534634414"/>
    <s v="Recuperação Judicial"/>
    <m/>
  </r>
  <r>
    <n v="6132"/>
    <x v="15"/>
    <s v="02.560.903/0001-52"/>
    <n v="174445"/>
    <n v="1246116577"/>
    <d v="2024-06-25T00:00:00"/>
    <m/>
    <s v="2"/>
    <s v="Fertilizers"/>
    <n v="2091"/>
    <d v="2023-11-24T00:00:00"/>
    <n v="1010100"/>
    <s v="VENDAS MERCADO INTERNO"/>
    <n v="340"/>
    <n v="174445"/>
    <n v="0"/>
    <n v="0"/>
    <n v="0"/>
    <n v="0"/>
    <n v="0"/>
    <n v="0"/>
    <n v="174445"/>
    <n v="174445"/>
    <n v="174445"/>
    <s v="Recuperação Judicial"/>
    <m/>
  </r>
  <r>
    <n v="6132"/>
    <x v="15"/>
    <s v="02.560.903/0001-52"/>
    <n v="158956.25"/>
    <n v="1246104181"/>
    <d v="2024-06-01T00:00:00"/>
    <m/>
    <s v="2"/>
    <s v="Fertilizers"/>
    <n v="1180"/>
    <d v="2023-09-15T00:00:00"/>
    <n v="1010100"/>
    <s v="VENDAS MERCADO INTERNO"/>
    <n v="364"/>
    <n v="158956.25"/>
    <n v="0"/>
    <n v="0"/>
    <n v="0"/>
    <n v="0"/>
    <n v="0"/>
    <n v="0"/>
    <n v="158956.25"/>
    <n v="158956.25"/>
    <n v="158956.25"/>
    <s v="Recuperação Judicial"/>
    <m/>
  </r>
  <r>
    <n v="6132"/>
    <x v="15"/>
    <s v="02.560.903/0001-52"/>
    <n v="171662.49999999997"/>
    <n v="1246112815"/>
    <d v="2024-06-28T00:00:00"/>
    <m/>
    <s v="2"/>
    <s v="Fertilizers"/>
    <n v="1799"/>
    <d v="2023-11-01T00:00:00"/>
    <n v="1010100"/>
    <s v="VENDAS MERCADO INTERNO"/>
    <n v="337"/>
    <n v="171662.49999999997"/>
    <n v="0"/>
    <n v="0"/>
    <n v="0"/>
    <n v="0"/>
    <n v="0"/>
    <n v="0"/>
    <n v="171662.49999999997"/>
    <n v="171662.49999999997"/>
    <n v="171662.49999999997"/>
    <s v="Recuperação Judicial"/>
    <m/>
  </r>
  <r>
    <n v="6132"/>
    <x v="15"/>
    <s v="02.560.903/0001-52"/>
    <n v="174610"/>
    <n v="1246113736"/>
    <d v="2024-07-05T00:00:00"/>
    <m/>
    <s v="2"/>
    <s v="Fertilizers"/>
    <n v="1878"/>
    <d v="2023-11-08T00:00:00"/>
    <n v="1010100"/>
    <s v="VENDAS MERCADO INTERNO"/>
    <n v="330"/>
    <n v="46979.063209353735"/>
    <n v="0"/>
    <n v="0"/>
    <n v="0"/>
    <n v="0"/>
    <n v="0"/>
    <n v="0"/>
    <n v="174610"/>
    <n v="46979.063209353735"/>
    <n v="46979.063209353735"/>
    <s v="Recuperação Judicial"/>
    <m/>
  </r>
  <r>
    <n v="6132"/>
    <x v="15"/>
    <s v="02.560.903/0001-52"/>
    <n v="87840"/>
    <n v="1246111212"/>
    <d v="2024-06-21T00:00:00"/>
    <m/>
    <s v="2"/>
    <s v="Fertilizers"/>
    <n v="1720"/>
    <d v="2023-10-25T00:00:00"/>
    <n v="1010100"/>
    <s v="VENDAS MERCADO INTERNO"/>
    <n v="344"/>
    <n v="87840"/>
    <n v="0"/>
    <n v="0"/>
    <n v="0"/>
    <n v="0"/>
    <n v="0"/>
    <n v="0"/>
    <n v="87840"/>
    <n v="87840"/>
    <n v="87840"/>
    <s v="Recuperação Judicial"/>
    <m/>
  </r>
  <r>
    <n v="6132"/>
    <x v="15"/>
    <s v="02.560.903/0001-52"/>
    <n v="23787.68"/>
    <n v="1246115170"/>
    <d v="2024-06-23T00:00:00"/>
    <m/>
    <s v="2"/>
    <s v="Fertilizers"/>
    <n v="1975"/>
    <d v="2023-11-14T00:00:00"/>
    <n v="1010100"/>
    <s v="VENDAS MERCADO INTERNO"/>
    <n v="342"/>
    <n v="23787.68"/>
    <n v="0"/>
    <n v="0"/>
    <n v="0"/>
    <n v="0"/>
    <n v="0"/>
    <n v="0"/>
    <n v="23787.68"/>
    <n v="23787.68"/>
    <n v="23787.68"/>
    <s v="Recuperação Judicial"/>
    <m/>
  </r>
  <r>
    <n v="6132"/>
    <x v="15"/>
    <s v="02.560.903/0001-52"/>
    <n v="30381.599999999999"/>
    <n v="1246115171"/>
    <d v="2024-06-23T00:00:00"/>
    <m/>
    <s v="2"/>
    <s v="Fertilizers"/>
    <n v="1976"/>
    <d v="2023-11-14T00:00:00"/>
    <n v="1010100"/>
    <s v="VENDAS MERCADO INTERNO"/>
    <n v="342"/>
    <n v="30381.599999999999"/>
    <n v="0"/>
    <n v="0"/>
    <n v="0"/>
    <n v="0"/>
    <n v="0"/>
    <n v="0"/>
    <n v="30381.599999999999"/>
    <n v="30381.599999999999"/>
    <n v="30381.599999999999"/>
    <s v="Recuperação Judicial"/>
    <m/>
  </r>
  <r>
    <n v="6132"/>
    <x v="15"/>
    <s v="02.560.903/0001-52"/>
    <n v="107022"/>
    <n v="1246110109"/>
    <d v="2024-05-27T00:00:00"/>
    <m/>
    <s v="2"/>
    <s v="Fertilizers"/>
    <n v="347"/>
    <d v="2023-10-18T00:00:00"/>
    <n v="1010100"/>
    <s v="VENDAS MERCADO INTERNO"/>
    <n v="369"/>
    <n v="107022"/>
    <n v="0"/>
    <n v="0"/>
    <n v="0"/>
    <n v="0"/>
    <n v="0"/>
    <n v="0"/>
    <n v="107022"/>
    <n v="107022"/>
    <n v="107022"/>
    <s v="Recuperação Judicial"/>
    <m/>
  </r>
  <r>
    <n v="6132"/>
    <x v="15"/>
    <s v="02.560.903/0001-52"/>
    <n v="83822.5"/>
    <n v="1246111211"/>
    <d v="2024-06-21T00:00:00"/>
    <m/>
    <s v="2"/>
    <s v="Fertilizers"/>
    <n v="1719"/>
    <d v="2023-10-25T00:00:00"/>
    <n v="1010100"/>
    <s v="VENDAS MERCADO INTERNO"/>
    <n v="344"/>
    <n v="83822.5"/>
    <n v="0"/>
    <n v="0"/>
    <n v="0"/>
    <n v="0"/>
    <n v="0"/>
    <n v="0"/>
    <n v="83822.5"/>
    <n v="83822.5"/>
    <n v="83822.5"/>
    <s v="Recuperação Judicial"/>
    <m/>
  </r>
  <r>
    <n v="6132"/>
    <x v="15"/>
    <s v="02.560.903/0001-52"/>
    <n v="169458.49999999997"/>
    <n v="1246110264"/>
    <d v="2024-05-28T00:00:00"/>
    <m/>
    <s v="2"/>
    <s v="Fertilizers"/>
    <n v="1662"/>
    <d v="2023-10-19T00:00:00"/>
    <n v="1010100"/>
    <s v="VENDAS MERCADO INTERNO"/>
    <n v="368"/>
    <n v="169458.49999999997"/>
    <n v="0"/>
    <n v="0"/>
    <n v="0"/>
    <n v="0"/>
    <n v="0"/>
    <n v="0"/>
    <n v="169458.49999999997"/>
    <n v="169458.49999999997"/>
    <n v="169458.49999999997"/>
    <s v="Recuperação Judicial"/>
    <m/>
  </r>
  <r>
    <n v="6132"/>
    <x v="15"/>
    <s v="02.560.903/0001-52"/>
    <n v="135934"/>
    <n v="1246131961"/>
    <d v="2024-10-01T00:00:00"/>
    <m/>
    <s v="2"/>
    <s v="Fertilizers"/>
    <n v="2969"/>
    <d v="2024-03-01T00:00:00"/>
    <n v="1010100"/>
    <s v="VENDAS MERCADO INTERNO"/>
    <n v="242"/>
    <n v="36573.231649391731"/>
    <n v="0"/>
    <n v="0"/>
    <n v="0"/>
    <n v="0"/>
    <n v="0"/>
    <n v="0"/>
    <n v="135934"/>
    <n v="36573.231649391731"/>
    <n v="36573.231649391731"/>
    <s v="Recuperação Judicial"/>
    <m/>
  </r>
  <r>
    <n v="6132"/>
    <x v="15"/>
    <s v="02.560.903/0001-52"/>
    <n v="108747.2"/>
    <n v="1246132951"/>
    <d v="2024-10-07T00:00:00"/>
    <m/>
    <s v="2"/>
    <s v="Fertilizers"/>
    <n v="3007"/>
    <d v="2024-03-07T00:00:00"/>
    <n v="1010100"/>
    <s v="VENDAS MERCADO INTERNO"/>
    <n v="236"/>
    <n v="29258.585319513386"/>
    <n v="0"/>
    <n v="0"/>
    <n v="0"/>
    <n v="0"/>
    <n v="0"/>
    <n v="0"/>
    <n v="108747.2"/>
    <n v="29258.585319513386"/>
    <n v="29258.585319513386"/>
    <s v="Recuperação Judicial"/>
    <m/>
  </r>
  <r>
    <n v="6132"/>
    <x v="15"/>
    <s v="02.560.903/0001-52"/>
    <n v="86997.759999999995"/>
    <n v="1246131102"/>
    <d v="2024-10-05T00:00:00"/>
    <m/>
    <s v="2"/>
    <s v="Fertilizers"/>
    <n v="2917"/>
    <d v="2024-02-26T00:00:00"/>
    <n v="1010100"/>
    <s v="VENDAS MERCADO INTERNO"/>
    <n v="238"/>
    <n v="23406.868255610709"/>
    <n v="0"/>
    <n v="0"/>
    <n v="0"/>
    <n v="0"/>
    <n v="0"/>
    <n v="0"/>
    <n v="86997.759999999995"/>
    <n v="23406.868255610709"/>
    <n v="23406.868255610709"/>
    <s v="Recuperação Judicial"/>
    <m/>
  </r>
  <r>
    <n v="6132"/>
    <x v="15"/>
    <s v="02.560.903/0001-52"/>
    <n v="29450.6"/>
    <n v="1246146931"/>
    <d v="2024-10-19T00:00:00"/>
    <m/>
    <s v="2"/>
    <s v="Fertilizers"/>
    <n v="3632"/>
    <d v="2024-05-22T00:00:00"/>
    <n v="1010100"/>
    <s v="VENDAS MERCADO INTERNO"/>
    <n v="224"/>
    <n v="7923.724866579194"/>
    <n v="0"/>
    <n v="0"/>
    <n v="0"/>
    <n v="0"/>
    <n v="0"/>
    <n v="0"/>
    <n v="29450.6"/>
    <n v="7923.724866579194"/>
    <n v="7923.724866579194"/>
    <s v="Recuperação Judicial"/>
    <m/>
  </r>
  <r>
    <n v="6132"/>
    <x v="15"/>
    <s v="02.560.903/0001-52"/>
    <n v="38061.519999999997"/>
    <n v="1246146932"/>
    <d v="2024-10-04T00:00:00"/>
    <m/>
    <s v="2"/>
    <s v="Fertilizers"/>
    <n v="3633"/>
    <d v="2024-05-22T00:00:00"/>
    <n v="1010100"/>
    <s v="VENDAS MERCADO INTERNO"/>
    <n v="239"/>
    <n v="10240.504861829684"/>
    <n v="0"/>
    <n v="0"/>
    <n v="0"/>
    <n v="0"/>
    <n v="0"/>
    <n v="0"/>
    <n v="38061.519999999997"/>
    <n v="10240.504861829684"/>
    <n v="10240.504861829684"/>
    <s v="Recuperação Judicial"/>
    <m/>
  </r>
  <r>
    <n v="6132"/>
    <x v="15"/>
    <s v="02.560.903/0001-52"/>
    <n v="8760"/>
    <n v="1246146933"/>
    <d v="2024-06-19T00:00:00"/>
    <m/>
    <s v="2"/>
    <s v="Fertilizers"/>
    <n v="3634"/>
    <d v="2024-05-22T00:00:00"/>
    <n v="1010100"/>
    <s v="VENDAS MERCADO INTERNO"/>
    <n v="346"/>
    <n v="8760"/>
    <n v="0"/>
    <n v="0"/>
    <n v="0"/>
    <n v="0"/>
    <n v="0"/>
    <n v="0"/>
    <n v="8760"/>
    <n v="8760"/>
    <n v="8760"/>
    <s v="Recuperação Judicial"/>
    <m/>
  </r>
  <r>
    <n v="6132"/>
    <x v="15"/>
    <s v="02.560.903/0001-52"/>
    <n v="14851.85"/>
    <n v="1246132474"/>
    <d v="2024-10-05T00:00:00"/>
    <m/>
    <s v="2"/>
    <s v="Fertilizers"/>
    <n v="2989"/>
    <d v="2024-03-05T00:00:00"/>
    <n v="1010100"/>
    <s v="VENDAS MERCADO INTERNO"/>
    <n v="238"/>
    <n v="3995.910886695151"/>
    <n v="0"/>
    <n v="0"/>
    <n v="0"/>
    <n v="0"/>
    <n v="0"/>
    <n v="0"/>
    <n v="14851.85"/>
    <n v="3995.910886695151"/>
    <n v="3995.910886695151"/>
    <s v="Recuperação Judicial"/>
    <m/>
  </r>
  <r>
    <n v="6132"/>
    <x v="15"/>
    <s v="02.560.903/0001-52"/>
    <n v="99200.52"/>
    <n v="1246147269"/>
    <d v="2024-10-06T00:00:00"/>
    <m/>
    <s v="2"/>
    <s v="Fertilizers"/>
    <n v="3665"/>
    <d v="2024-05-24T00:00:00"/>
    <n v="1010100"/>
    <s v="VENDAS MERCADO INTERNO"/>
    <n v="237"/>
    <n v="26690.037795548706"/>
    <n v="0"/>
    <n v="0"/>
    <n v="0"/>
    <n v="0"/>
    <n v="0"/>
    <n v="0"/>
    <n v="99200.52"/>
    <n v="26690.037795548706"/>
    <n v="26690.037795548706"/>
    <s v="Recuperação Judicial"/>
    <m/>
  </r>
  <r>
    <n v="6132"/>
    <x v="15"/>
    <s v="02.560.903/0001-52"/>
    <n v="33509.519999999997"/>
    <n v="1246148020"/>
    <d v="2024-10-11T00:00:00"/>
    <m/>
    <s v="2"/>
    <s v="Fertilizers"/>
    <n v="3714"/>
    <d v="2024-05-29T00:00:00"/>
    <n v="1010100"/>
    <s v="VENDAS MERCADO INTERNO"/>
    <n v="232"/>
    <n v="9015.7829345117862"/>
    <n v="0"/>
    <n v="0"/>
    <n v="0"/>
    <n v="0"/>
    <n v="0"/>
    <n v="0"/>
    <n v="33509.519999999997"/>
    <n v="9015.7829345117862"/>
    <n v="9015.7829345117862"/>
    <s v="Recuperação Judicial"/>
    <m/>
  </r>
  <r>
    <n v="6132"/>
    <x v="15"/>
    <s v="02.560.903/0001-52"/>
    <n v="56218.2"/>
    <n v="1246148019"/>
    <d v="2024-10-11T00:00:00"/>
    <m/>
    <s v="2"/>
    <s v="Fertilizers"/>
    <n v="3713"/>
    <d v="2024-05-29T00:00:00"/>
    <n v="1010100"/>
    <s v="VENDAS MERCADO INTERNO"/>
    <n v="232"/>
    <n v="15125.584853766051"/>
    <n v="0"/>
    <n v="0"/>
    <n v="0"/>
    <n v="0"/>
    <n v="0"/>
    <n v="0"/>
    <n v="56218.2"/>
    <n v="15125.584853766051"/>
    <n v="15125.584853766051"/>
    <s v="Recuperação Judicial"/>
    <m/>
  </r>
  <r>
    <n v="6132"/>
    <x v="15"/>
    <s v="02.560.903/0001-52"/>
    <n v="95220.3"/>
    <n v="1246135170"/>
    <d v="2024-10-01T00:00:00"/>
    <m/>
    <s v="2"/>
    <s v="Fertilizers"/>
    <n v="3136"/>
    <d v="2024-03-21T00:00:00"/>
    <n v="1010100"/>
    <s v="VENDAS MERCADO INTERNO"/>
    <n v="242"/>
    <n v="25619.154072009769"/>
    <n v="0"/>
    <n v="0"/>
    <n v="0"/>
    <n v="0"/>
    <n v="0"/>
    <n v="0"/>
    <n v="95220.3"/>
    <n v="25619.154072009769"/>
    <n v="25619.154072009769"/>
    <s v="Recuperação Judicial"/>
    <m/>
  </r>
  <r>
    <n v="6132"/>
    <x v="15"/>
    <s v="02.560.903/0001-52"/>
    <n v="29542.9"/>
    <n v="1246135172"/>
    <d v="2024-10-01T00:00:00"/>
    <m/>
    <s v="2"/>
    <s v="Fertilizers"/>
    <n v="3137"/>
    <d v="2024-03-21T00:00:00"/>
    <n v="1010100"/>
    <s v="VENDAS MERCADO INTERNO"/>
    <n v="242"/>
    <n v="7948.558309876963"/>
    <n v="0"/>
    <n v="0"/>
    <n v="0"/>
    <n v="0"/>
    <n v="0"/>
    <n v="0"/>
    <n v="29542.9"/>
    <n v="7948.558309876963"/>
    <n v="7948.558309876963"/>
    <s v="Recuperação Judicial"/>
    <m/>
  </r>
  <r>
    <n v="6132"/>
    <x v="15"/>
    <s v="02.560.903/0001-52"/>
    <n v="92588.02"/>
    <n v="1246138275"/>
    <d v="2024-10-05T00:00:00"/>
    <m/>
    <s v="2"/>
    <s v="Fertilizers"/>
    <n v="3249"/>
    <d v="2024-04-08T00:00:00"/>
    <n v="1010100"/>
    <s v="VENDAS MERCADO INTERNO"/>
    <n v="238"/>
    <n v="24910.935479118652"/>
    <n v="0"/>
    <n v="0"/>
    <n v="0"/>
    <n v="0"/>
    <n v="0"/>
    <n v="0"/>
    <n v="92588.02"/>
    <n v="24910.935479118652"/>
    <n v="24910.935479118652"/>
    <s v="Recuperação Judicial"/>
    <m/>
  </r>
  <r>
    <n v="6132"/>
    <x v="15"/>
    <s v="02.560.903/0001-52"/>
    <n v="97872.48"/>
    <n v="1246135813"/>
    <d v="2024-10-05T00:00:00"/>
    <m/>
    <s v="2"/>
    <s v="Fertilizers"/>
    <n v="3160"/>
    <d v="2024-03-25T00:00:00"/>
    <n v="1010100"/>
    <s v="VENDAS MERCADO INTERNO"/>
    <n v="238"/>
    <n v="26332.726787562049"/>
    <n v="0"/>
    <n v="0"/>
    <n v="0"/>
    <n v="0"/>
    <n v="0"/>
    <n v="0"/>
    <n v="97872.48"/>
    <n v="26332.726787562049"/>
    <n v="26332.726787562049"/>
    <s v="Recuperação Judicial"/>
    <m/>
  </r>
  <r>
    <n v="6132"/>
    <x v="15"/>
    <s v="02.560.903/0001-52"/>
    <n v="155705"/>
    <n v="1246130904"/>
    <d v="2024-10-02T00:00:00"/>
    <m/>
    <s v="2"/>
    <s v="Fertilizers"/>
    <n v="2906"/>
    <d v="2024-02-23T00:00:00"/>
    <n v="1010100"/>
    <s v="VENDAS MERCADO INTERNO"/>
    <n v="241"/>
    <n v="41892.64668124634"/>
    <n v="0"/>
    <n v="0"/>
    <n v="0"/>
    <n v="0"/>
    <n v="0"/>
    <n v="0"/>
    <n v="155705"/>
    <n v="41892.64668124634"/>
    <n v="41892.64668124634"/>
    <s v="Recuperação Judicial"/>
    <m/>
  </r>
  <r>
    <n v="6132"/>
    <x v="15"/>
    <s v="02.560.903/0001-52"/>
    <n v="86997.759999999995"/>
    <n v="1246137598"/>
    <d v="2024-10-01T00:00:00"/>
    <m/>
    <s v="2"/>
    <s v="Fertilizers"/>
    <n v="3223"/>
    <d v="2024-04-04T00:00:00"/>
    <n v="1010100"/>
    <s v="VENDAS MERCADO INTERNO"/>
    <n v="242"/>
    <n v="23406.868255610709"/>
    <n v="0"/>
    <n v="0"/>
    <n v="0"/>
    <n v="0"/>
    <n v="0"/>
    <n v="0"/>
    <n v="86997.759999999995"/>
    <n v="23406.868255610709"/>
    <n v="23406.868255610709"/>
    <s v="Recuperação Judicial"/>
    <m/>
  </r>
  <r>
    <n v="6132"/>
    <x v="15"/>
    <s v="02.560.903/0001-52"/>
    <n v="55849.2"/>
    <n v="1246147270"/>
    <d v="2024-10-06T00:00:00"/>
    <m/>
    <s v="2"/>
    <s v="Fertilizers"/>
    <n v="3666"/>
    <d v="2024-05-24T00:00:00"/>
    <n v="1010100"/>
    <s v="VENDAS MERCADO INTERNO"/>
    <n v="237"/>
    <n v="15026.304890852978"/>
    <n v="0"/>
    <n v="0"/>
    <n v="0"/>
    <n v="0"/>
    <n v="0"/>
    <n v="0"/>
    <n v="55849.2"/>
    <n v="15026.304890852978"/>
    <n v="15026.304890852978"/>
    <s v="Recuperação Judicial"/>
    <m/>
  </r>
  <r>
    <n v="6132"/>
    <x v="15"/>
    <s v="02.560.903/0001-52"/>
    <n v="97872.48"/>
    <n v="1246131241"/>
    <d v="2024-10-06T00:00:00"/>
    <m/>
    <s v="2"/>
    <s v="Fertilizers"/>
    <n v="2928"/>
    <d v="2024-02-27T00:00:00"/>
    <n v="1010100"/>
    <s v="VENDAS MERCADO INTERNO"/>
    <n v="237"/>
    <n v="26332.726787562049"/>
    <n v="0"/>
    <n v="0"/>
    <n v="0"/>
    <n v="0"/>
    <n v="0"/>
    <n v="0"/>
    <n v="97872.48"/>
    <n v="26332.726787562049"/>
    <n v="26332.726787562049"/>
    <s v="Recuperação Judicial"/>
    <m/>
  </r>
  <r>
    <n v="6132"/>
    <x v="15"/>
    <s v="02.560.903/0001-52"/>
    <n v="57092.28"/>
    <n v="1246133070"/>
    <d v="2024-10-08T00:00:00"/>
    <m/>
    <s v="2"/>
    <s v="Fertilizers"/>
    <n v="3012"/>
    <d v="2024-03-08T00:00:00"/>
    <n v="1010100"/>
    <s v="VENDAS MERCADO INTERNO"/>
    <n v="235"/>
    <n v="15360.757292744529"/>
    <n v="0"/>
    <n v="0"/>
    <n v="0"/>
    <n v="0"/>
    <n v="0"/>
    <n v="0"/>
    <n v="57092.28"/>
    <n v="15360.757292744529"/>
    <n v="15360.757292744529"/>
    <s v="Recuperação Judicial"/>
    <m/>
  </r>
  <r>
    <n v="6132"/>
    <x v="15"/>
    <s v="02.560.903/0001-52"/>
    <n v="86997.759999999995"/>
    <n v="1246131594"/>
    <d v="2024-10-08T00:00:00"/>
    <m/>
    <s v="2"/>
    <s v="Fertilizers"/>
    <n v="2956"/>
    <d v="2024-02-29T00:00:00"/>
    <n v="1010100"/>
    <s v="VENDAS MERCADO INTERNO"/>
    <n v="235"/>
    <n v="23406.868255610709"/>
    <n v="0"/>
    <n v="0"/>
    <n v="0"/>
    <n v="0"/>
    <n v="0"/>
    <n v="0"/>
    <n v="86997.759999999995"/>
    <n v="23406.868255610709"/>
    <n v="23406.868255610709"/>
    <s v="Recuperação Judicial"/>
    <m/>
  </r>
  <r>
    <n v="6132"/>
    <x v="15"/>
    <s v="02.560.903/0001-52"/>
    <n v="86997.759999999995"/>
    <n v="1246133332"/>
    <d v="2024-10-11T00:00:00"/>
    <m/>
    <s v="2"/>
    <s v="Fertilizers"/>
    <n v="3028"/>
    <d v="2024-03-11T00:00:00"/>
    <n v="1010100"/>
    <s v="VENDAS MERCADO INTERNO"/>
    <n v="232"/>
    <n v="23406.868255610709"/>
    <n v="0"/>
    <n v="0"/>
    <n v="0"/>
    <n v="0"/>
    <n v="0"/>
    <n v="0"/>
    <n v="86997.759999999995"/>
    <n v="23406.868255610709"/>
    <n v="23406.868255610709"/>
    <s v="Recuperação Judicial"/>
    <m/>
  </r>
  <r>
    <n v="6132"/>
    <x v="15"/>
    <s v="02.560.903/0001-52"/>
    <n v="95153.8"/>
    <n v="1246133718"/>
    <d v="2024-10-13T00:00:00"/>
    <m/>
    <s v="2"/>
    <s v="Fertilizers"/>
    <n v="3051"/>
    <d v="2024-03-13T00:00:00"/>
    <n v="1010100"/>
    <s v="VENDAS MERCADO INTERNO"/>
    <n v="230"/>
    <n v="25601.262154574215"/>
    <n v="0"/>
    <n v="0"/>
    <n v="0"/>
    <n v="0"/>
    <n v="0"/>
    <n v="0"/>
    <n v="95153.8"/>
    <n v="25601.262154574215"/>
    <n v="25601.262154574215"/>
    <s v="Recuperação Judicial"/>
    <m/>
  </r>
  <r>
    <n v="6132"/>
    <x v="15"/>
    <s v="02.560.903/0001-52"/>
    <n v="116501.9"/>
    <n v="1246138114"/>
    <d v="2024-10-05T00:00:00"/>
    <m/>
    <s v="2"/>
    <s v="Fertilizers"/>
    <n v="3243"/>
    <d v="2024-04-08T00:00:00"/>
    <n v="1010100"/>
    <s v="VENDAS MERCADO INTERNO"/>
    <n v="238"/>
    <n v="31344.998133610949"/>
    <n v="0"/>
    <n v="0"/>
    <n v="0"/>
    <n v="0"/>
    <n v="0"/>
    <n v="0"/>
    <n v="116501.9"/>
    <n v="31344.998133610949"/>
    <n v="31344.998133610949"/>
    <s v="Recuperação Judicial"/>
    <m/>
  </r>
  <r>
    <n v="6132"/>
    <x v="15"/>
    <s v="02.560.903/0001-52"/>
    <n v="134954"/>
    <n v="1246130651"/>
    <d v="2024-10-01T00:00:00"/>
    <m/>
    <s v="2"/>
    <s v="Fertilizers"/>
    <n v="2889"/>
    <d v="2024-02-22T00:00:00"/>
    <n v="1010100"/>
    <s v="VENDAS MERCADO INTERNO"/>
    <n v="242"/>
    <n v="36309.561287183576"/>
    <n v="0"/>
    <n v="0"/>
    <n v="0"/>
    <n v="0"/>
    <n v="0"/>
    <n v="0"/>
    <n v="134954"/>
    <n v="36309.561287183576"/>
    <n v="36309.561287183576"/>
    <s v="Recuperação Judicial"/>
    <m/>
  </r>
  <r>
    <n v="6132"/>
    <x v="15"/>
    <s v="02.560.903/0001-52"/>
    <n v="86997.759999999995"/>
    <n v="1246131630"/>
    <d v="2024-10-08T00:00:00"/>
    <m/>
    <s v="2"/>
    <s v="Fertilizers"/>
    <n v="2958"/>
    <d v="2024-02-29T00:00:00"/>
    <n v="1010100"/>
    <s v="VENDAS MERCADO INTERNO"/>
    <n v="235"/>
    <n v="23406.868255610709"/>
    <n v="0"/>
    <n v="0"/>
    <n v="0"/>
    <n v="0"/>
    <n v="0"/>
    <n v="0"/>
    <n v="86997.759999999995"/>
    <n v="23406.868255610709"/>
    <n v="23406.868255610709"/>
    <s v="Recuperação Judicial"/>
    <m/>
  </r>
  <r>
    <n v="6132"/>
    <x v="15"/>
    <s v="02.560.903/0001-52"/>
    <n v="29949.599999999999"/>
    <n v="1246133071"/>
    <d v="2024-10-08T00:00:00"/>
    <m/>
    <s v="2"/>
    <s v="Fertilizers"/>
    <n v="3013"/>
    <d v="2024-03-08T00:00:00"/>
    <n v="1010100"/>
    <s v="VENDAS MERCADO INTERNO"/>
    <n v="235"/>
    <n v="8057.9815101933482"/>
    <n v="0"/>
    <n v="0"/>
    <n v="0"/>
    <n v="0"/>
    <n v="0"/>
    <n v="0"/>
    <n v="29949.599999999999"/>
    <n v="8057.9815101933482"/>
    <n v="8057.9815101933482"/>
    <s v="Recuperação Judicial"/>
    <m/>
  </r>
  <r>
    <n v="6132"/>
    <x v="15"/>
    <s v="02.560.903/0001-52"/>
    <n v="54275.6"/>
    <n v="1246132475"/>
    <d v="2024-10-05T00:00:00"/>
    <m/>
    <s v="2"/>
    <s v="Fertilizers"/>
    <n v="2990"/>
    <d v="2024-03-05T00:00:00"/>
    <n v="1010100"/>
    <s v="VENDAS MERCADO INTERNO"/>
    <n v="238"/>
    <n v="14602.925623535877"/>
    <n v="0"/>
    <n v="0"/>
    <n v="0"/>
    <n v="0"/>
    <n v="0"/>
    <n v="0"/>
    <n v="54275.6"/>
    <n v="14602.925623535877"/>
    <n v="14602.925623535877"/>
    <s v="Recuperação Judicial"/>
    <m/>
  </r>
  <r>
    <n v="6132"/>
    <x v="15"/>
    <s v="02.560.903/0001-52"/>
    <n v="97872.48"/>
    <n v="1246132869"/>
    <d v="2024-10-07T00:00:00"/>
    <m/>
    <s v="2"/>
    <s v="Fertilizers"/>
    <n v="3001"/>
    <d v="2024-03-07T00:00:00"/>
    <n v="1010100"/>
    <s v="VENDAS MERCADO INTERNO"/>
    <n v="236"/>
    <n v="26332.726787562049"/>
    <n v="0"/>
    <n v="0"/>
    <n v="0"/>
    <n v="0"/>
    <n v="0"/>
    <n v="0"/>
    <n v="97872.48"/>
    <n v="26332.726787562049"/>
    <n v="26332.726787562049"/>
    <s v="Recuperação Judicial"/>
    <m/>
  </r>
  <r>
    <n v="6132"/>
    <x v="15"/>
    <s v="02.560.903/0001-52"/>
    <n v="86997.759999999995"/>
    <n v="1246147192"/>
    <d v="2024-10-06T00:00:00"/>
    <m/>
    <s v="2"/>
    <s v="Fertilizers"/>
    <n v="3654"/>
    <d v="2024-05-24T00:00:00"/>
    <n v="1010100"/>
    <s v="VENDAS MERCADO INTERNO"/>
    <n v="237"/>
    <n v="23406.868255610709"/>
    <n v="0"/>
    <n v="0"/>
    <n v="0"/>
    <n v="0"/>
    <n v="0"/>
    <n v="0"/>
    <n v="86997.759999999995"/>
    <n v="23406.868255610709"/>
    <n v="23406.868255610709"/>
    <s v="Recuperação Judicial"/>
    <m/>
  </r>
  <r>
    <n v="6132"/>
    <x v="15"/>
    <s v="02.560.903/0001-52"/>
    <n v="101192.76"/>
    <n v="1246148270"/>
    <d v="2024-10-13T00:00:00"/>
    <m/>
    <s v="2"/>
    <s v="Fertilizers"/>
    <n v="3731"/>
    <d v="2024-05-31T00:00:00"/>
    <n v="1010100"/>
    <s v="VENDAS MERCADO INTERNO"/>
    <n v="230"/>
    <n v="27226.052736778893"/>
    <n v="0"/>
    <n v="0"/>
    <n v="0"/>
    <n v="0"/>
    <n v="0"/>
    <n v="0"/>
    <n v="101192.76"/>
    <n v="27226.052736778893"/>
    <n v="27226.052736778893"/>
    <s v="Recuperação Judicial"/>
    <m/>
  </r>
  <r>
    <n v="6304"/>
    <x v="16"/>
    <s v="20.354.986/0001-05"/>
    <n v="116900"/>
    <n v="1246176435"/>
    <d v="2025-02-15T00:00:00"/>
    <m/>
    <s v="2"/>
    <s v="Fertilizers"/>
    <n v="5643"/>
    <d v="2024-10-11T00:00:00"/>
    <n v="1010100"/>
    <s v="VENDAS MERCADO INTERNO"/>
    <n v="105"/>
    <n v="0"/>
    <n v="3507"/>
    <n v="0"/>
    <n v="0"/>
    <n v="3507"/>
    <n v="0"/>
    <n v="0"/>
    <n v="0"/>
    <n v="0"/>
    <n v="3507"/>
    <s v="Cobrança Administrativa"/>
    <m/>
  </r>
  <r>
    <n v="6304"/>
    <x v="16"/>
    <s v="20.354.986/0001-05"/>
    <n v="90600"/>
    <n v="1246176030"/>
    <d v="2025-02-15T00:00:00"/>
    <m/>
    <s v="2"/>
    <s v="Fertilizers"/>
    <n v="5613"/>
    <d v="2024-10-09T00:00:00"/>
    <n v="1010100"/>
    <s v="VENDAS MERCADO INTERNO"/>
    <n v="105"/>
    <n v="0"/>
    <n v="2718"/>
    <n v="0"/>
    <n v="0"/>
    <n v="2718"/>
    <n v="0"/>
    <n v="0"/>
    <n v="0"/>
    <n v="0"/>
    <n v="2718"/>
    <s v="Cobrança Administrativa"/>
    <m/>
  </r>
  <r>
    <n v="6304"/>
    <x v="16"/>
    <s v="20.354.986/0001-05"/>
    <n v="96640"/>
    <n v="1246179612"/>
    <d v="2025-02-15T00:00:00"/>
    <m/>
    <s v="2"/>
    <s v="Fertilizers"/>
    <n v="5902"/>
    <d v="2024-10-30T00:00:00"/>
    <n v="1010100"/>
    <s v="VENDAS MERCADO INTERNO"/>
    <n v="105"/>
    <n v="0"/>
    <n v="2899.2"/>
    <n v="0"/>
    <n v="0"/>
    <n v="2899.2"/>
    <n v="0"/>
    <n v="0"/>
    <n v="0"/>
    <n v="0"/>
    <n v="2899.2"/>
    <s v="Cobrança Administrativa"/>
    <m/>
  </r>
  <r>
    <n v="6304"/>
    <x v="16"/>
    <s v="20.354.986/0001-05"/>
    <n v="45030"/>
    <n v="1246181004"/>
    <d v="2025-02-15T00:00:00"/>
    <m/>
    <s v="2"/>
    <s v="Fertilizers"/>
    <n v="5993"/>
    <d v="2024-11-06T00:00:00"/>
    <n v="1010100"/>
    <s v="VENDAS MERCADO INTERNO"/>
    <n v="105"/>
    <n v="0"/>
    <n v="1350.8999999999999"/>
    <n v="0"/>
    <n v="0"/>
    <n v="1350.8999999999999"/>
    <n v="0"/>
    <n v="0"/>
    <n v="0"/>
    <n v="0"/>
    <n v="1350.8999999999999"/>
    <s v="Cobrança Administrativa"/>
    <m/>
  </r>
  <r>
    <n v="6304"/>
    <x v="16"/>
    <s v="20.354.986/0001-05"/>
    <n v="36240"/>
    <n v="1246179653"/>
    <d v="2025-02-15T00:00:00"/>
    <m/>
    <s v="2"/>
    <s v="Fertilizers"/>
    <n v="5905"/>
    <d v="2024-10-30T00:00:00"/>
    <n v="1010100"/>
    <s v="VENDAS MERCADO INTERNO"/>
    <n v="105"/>
    <n v="0"/>
    <n v="1087.2"/>
    <n v="0"/>
    <n v="0"/>
    <n v="1087.2"/>
    <n v="0"/>
    <n v="0"/>
    <n v="0"/>
    <n v="0"/>
    <n v="1087.2"/>
    <s v="Cobrança Administrativa"/>
    <m/>
  </r>
  <r>
    <n v="6304"/>
    <x v="16"/>
    <s v="20.354.986/0001-05"/>
    <n v="66456"/>
    <n v="1246176527"/>
    <d v="2025-02-15T00:00:00"/>
    <m/>
    <s v="2"/>
    <s v="Fertilizers"/>
    <n v="5648"/>
    <d v="2024-10-11T00:00:00"/>
    <n v="1010100"/>
    <s v="VENDAS MERCADO INTERNO"/>
    <n v="105"/>
    <n v="0"/>
    <n v="1993.6799999999998"/>
    <n v="0"/>
    <n v="0"/>
    <n v="1993.6799999999998"/>
    <n v="0"/>
    <n v="0"/>
    <n v="0"/>
    <n v="0"/>
    <n v="1993.6799999999998"/>
    <s v="Cobrança Administrativa"/>
    <m/>
  </r>
  <r>
    <n v="6304"/>
    <x v="16"/>
    <s v="20.354.986/0001-05"/>
    <n v="93520"/>
    <n v="1246175967"/>
    <d v="2025-02-15T00:00:00"/>
    <m/>
    <s v="2"/>
    <s v="Fertilizers"/>
    <n v="5611"/>
    <d v="2024-10-09T00:00:00"/>
    <n v="1010100"/>
    <s v="VENDAS MERCADO INTERNO"/>
    <n v="105"/>
    <n v="0"/>
    <n v="2805.6"/>
    <n v="0"/>
    <n v="0"/>
    <n v="2805.6"/>
    <n v="0"/>
    <n v="0"/>
    <n v="0"/>
    <n v="0"/>
    <n v="2805.6"/>
    <s v="Cobrança Administrativa"/>
    <m/>
  </r>
  <r>
    <n v="6304"/>
    <x v="16"/>
    <s v="20.354.986/0001-05"/>
    <n v="45300"/>
    <n v="1246181003"/>
    <d v="2025-02-15T00:00:00"/>
    <m/>
    <s v="2"/>
    <s v="Fertilizers"/>
    <n v="5992"/>
    <d v="2024-11-06T00:00:00"/>
    <n v="1010100"/>
    <s v="VENDAS MERCADO INTERNO"/>
    <n v="105"/>
    <n v="0"/>
    <n v="1359"/>
    <n v="0"/>
    <n v="0"/>
    <n v="1359"/>
    <n v="0"/>
    <n v="0"/>
    <n v="0"/>
    <n v="0"/>
    <n v="1359"/>
    <s v="Cobrança Administrativa"/>
    <m/>
  </r>
  <r>
    <n v="6304"/>
    <x v="16"/>
    <s v="20.354.986/0001-05"/>
    <n v="51688"/>
    <n v="1246179654"/>
    <d v="2025-02-15T00:00:00"/>
    <m/>
    <s v="2"/>
    <s v="Fertilizers"/>
    <n v="5906"/>
    <d v="2024-10-30T00:00:00"/>
    <n v="1010100"/>
    <s v="VENDAS MERCADO INTERNO"/>
    <n v="105"/>
    <n v="0"/>
    <n v="1550.6399999999999"/>
    <n v="0"/>
    <n v="0"/>
    <n v="1550.6399999999999"/>
    <n v="0"/>
    <n v="0"/>
    <n v="0"/>
    <n v="0"/>
    <n v="1550.6399999999999"/>
    <s v="Cobrança Administrativa"/>
    <m/>
  </r>
  <r>
    <n v="6304"/>
    <x v="16"/>
    <s v="20.354.986/0001-05"/>
    <n v="16700"/>
    <n v="1246176032"/>
    <d v="2025-02-15T00:00:00"/>
    <m/>
    <s v="2"/>
    <s v="Fertilizers"/>
    <n v="5614"/>
    <d v="2024-10-09T00:00:00"/>
    <n v="1010100"/>
    <s v="VENDAS MERCADO INTERNO"/>
    <n v="105"/>
    <n v="0"/>
    <n v="501"/>
    <n v="0"/>
    <n v="0"/>
    <n v="501"/>
    <n v="0"/>
    <n v="0"/>
    <n v="0"/>
    <n v="0"/>
    <n v="501"/>
    <s v="Cobrança Administrativa"/>
    <m/>
  </r>
  <r>
    <n v="5900"/>
    <x v="17"/>
    <s v="23.518.337/0001-90"/>
    <n v="69080"/>
    <n v="1245995296"/>
    <d v="2022-07-29T00:00:00"/>
    <m/>
    <s v="2"/>
    <s v="Fertilizers"/>
    <n v="16694"/>
    <d v="2022-01-18T00:00:00"/>
    <n v="1010100"/>
    <s v="VENDAS MERCADO INTERNO"/>
    <n v="1037"/>
    <n v="69079.999999999985"/>
    <n v="0"/>
    <n v="0"/>
    <n v="0"/>
    <n v="2072.4"/>
    <n v="0"/>
    <n v="67007.599999999991"/>
    <n v="69080"/>
    <n v="0"/>
    <n v="69079.999999999985"/>
    <s v="Cobrança Administrativa"/>
    <m/>
  </r>
  <r>
    <n v="5900"/>
    <x v="17"/>
    <s v="23.518.337/0001-90"/>
    <n v="41448"/>
    <n v="1245995293"/>
    <d v="2022-07-29T00:00:00"/>
    <m/>
    <s v="2"/>
    <s v="Fertilizers"/>
    <n v="16693"/>
    <d v="2022-01-18T00:00:00"/>
    <n v="1010100"/>
    <s v="VENDAS MERCADO INTERNO"/>
    <n v="1037"/>
    <n v="41448"/>
    <n v="0"/>
    <n v="0"/>
    <n v="0"/>
    <n v="1243.44"/>
    <n v="0"/>
    <n v="40204.559999999998"/>
    <n v="41448"/>
    <n v="0"/>
    <n v="41448"/>
    <s v="Cobrança Administrativa"/>
    <m/>
  </r>
  <r>
    <n v="4575"/>
    <x v="18"/>
    <s v="15.807.135/0001-30"/>
    <n v="20940"/>
    <n v="1246113043"/>
    <d v="2024-01-20T00:00:00"/>
    <m/>
    <s v="1"/>
    <s v="Adtives"/>
    <n v="1821"/>
    <d v="2023-11-03T00:00:00"/>
    <n v="1010100"/>
    <s v="VENDAS MERCADO INTERNO"/>
    <n v="497"/>
    <n v="20940"/>
    <n v="0"/>
    <n v="0"/>
    <n v="0"/>
    <n v="628.19999999999993"/>
    <n v="0"/>
    <n v="20311.8"/>
    <n v="20940"/>
    <n v="0"/>
    <n v="20940"/>
    <s v="Recuperação Judicial"/>
    <m/>
  </r>
  <r>
    <n v="6056"/>
    <x v="19"/>
    <s v="24.130.589/0001-00"/>
    <n v="1204"/>
    <n v="1246128476"/>
    <d v="2024-02-21T00:00:00"/>
    <m/>
    <m/>
    <s v="Não encontrado"/>
    <n v="2722"/>
    <d v="2024-02-06T00:00:00"/>
    <n v="1020400"/>
    <s v="VENDA DE SUCATAS"/>
    <n v="465"/>
    <n v="1203.9999999999998"/>
    <n v="0"/>
    <n v="0"/>
    <n v="0"/>
    <n v="36.119999999999997"/>
    <n v="0"/>
    <n v="1167.8799999999999"/>
    <n v="1204"/>
    <n v="0"/>
    <n v="1203.9999999999998"/>
    <s v="Cobrança Administrativa"/>
    <m/>
  </r>
  <r>
    <n v="6056"/>
    <x v="19"/>
    <s v="24.130.589/0001-00"/>
    <n v="38.5"/>
    <n v="1246128477"/>
    <d v="2024-02-21T00:00:00"/>
    <m/>
    <m/>
    <s v="Não encontrado"/>
    <n v="733"/>
    <d v="2024-02-06T00:00:00"/>
    <n v="1020400"/>
    <s v="VENDA DE SUCATAS"/>
    <n v="465"/>
    <n v="38.5"/>
    <n v="0"/>
    <n v="0"/>
    <n v="0"/>
    <n v="1.155"/>
    <n v="0"/>
    <n v="37.344999999999999"/>
    <n v="38.5"/>
    <n v="0"/>
    <n v="38.5"/>
    <s v="Cobrança Administrativa"/>
    <m/>
  </r>
  <r>
    <n v="6056"/>
    <x v="19"/>
    <s v="24.130.589/0001-00"/>
    <n v="99.5"/>
    <n v="1246128695"/>
    <d v="2024-02-23T00:00:00"/>
    <m/>
    <m/>
    <s v="Não encontrado"/>
    <n v="737"/>
    <d v="2024-02-08T00:00:00"/>
    <n v="1020400"/>
    <s v="VENDA DE SUCATAS"/>
    <n v="463"/>
    <n v="99.5"/>
    <n v="0"/>
    <n v="0"/>
    <n v="0"/>
    <n v="2.9849999999999999"/>
    <n v="0"/>
    <n v="96.515000000000001"/>
    <n v="99.5"/>
    <n v="0"/>
    <n v="99.5"/>
    <s v="Cobrança Administrativa"/>
    <m/>
  </r>
  <r>
    <n v="6056"/>
    <x v="19"/>
    <s v="24.130.589/0001-00"/>
    <n v="77.5"/>
    <n v="1246128013"/>
    <d v="2024-02-17T00:00:00"/>
    <m/>
    <m/>
    <s v="Não encontrado"/>
    <n v="2689"/>
    <d v="2024-02-02T00:00:00"/>
    <n v="1020400"/>
    <s v="VENDA DE SUCATAS"/>
    <n v="469"/>
    <n v="77.5"/>
    <n v="0"/>
    <n v="0"/>
    <n v="0"/>
    <n v="2.3249999999999997"/>
    <n v="0"/>
    <n v="75.174999999999997"/>
    <n v="77.5"/>
    <n v="0"/>
    <n v="77.5"/>
    <s v="Cobrança Administrativa"/>
    <m/>
  </r>
  <r>
    <n v="6056"/>
    <x v="19"/>
    <s v="24.130.589/0001-00"/>
    <n v="96"/>
    <n v="1246128978"/>
    <d v="2024-03-10T00:00:00"/>
    <m/>
    <m/>
    <s v="Não encontrado"/>
    <n v="747"/>
    <d v="2024-02-09T00:00:00"/>
    <n v="1020400"/>
    <s v="VENDA DE SUCATAS"/>
    <n v="447"/>
    <n v="96"/>
    <n v="0"/>
    <n v="0"/>
    <n v="0"/>
    <n v="2.88"/>
    <n v="0"/>
    <n v="93.12"/>
    <n v="96"/>
    <n v="0"/>
    <n v="96"/>
    <s v="Cobrança Administrativa"/>
    <m/>
  </r>
  <r>
    <n v="6406"/>
    <x v="20"/>
    <s v="640.463.706-53"/>
    <n v="13040"/>
    <n v="1246001242"/>
    <d v="2022-03-18T00:00:00"/>
    <m/>
    <s v="1"/>
    <s v="Adtives"/>
    <n v="16961"/>
    <d v="2022-02-18T00:00:00"/>
    <n v="1010100"/>
    <s v="VENDAS MERCADO INTERNO"/>
    <n v="1170"/>
    <n v="13040"/>
    <n v="0"/>
    <n v="0"/>
    <n v="0"/>
    <n v="391.2"/>
    <n v="0"/>
    <n v="12648.8"/>
    <n v="13040"/>
    <n v="0"/>
    <n v="13040"/>
    <s v="Cobrança Administrativa"/>
    <m/>
  </r>
  <r>
    <n v="6406"/>
    <x v="20"/>
    <s v="640.463.706-53"/>
    <n v="13040"/>
    <n v="1246000783"/>
    <d v="2022-03-17T00:00:00"/>
    <m/>
    <s v="1"/>
    <s v="Adtives"/>
    <n v="16937"/>
    <d v="2022-02-16T00:00:00"/>
    <n v="1010100"/>
    <s v="VENDAS MERCADO INTERNO"/>
    <n v="1171"/>
    <n v="13040"/>
    <n v="0"/>
    <n v="0"/>
    <n v="0"/>
    <n v="391.2"/>
    <n v="0"/>
    <n v="12648.8"/>
    <n v="13040"/>
    <n v="0"/>
    <n v="13040"/>
    <s v="Cobrança Administrativa"/>
    <m/>
  </r>
  <r>
    <n v="6477"/>
    <x v="0"/>
    <s v="61.156.501/0109-76"/>
    <n v="5400"/>
    <n v="1246054441"/>
    <d v="2022-12-02T00:00:00"/>
    <m/>
    <s v="1"/>
    <s v="Adtives"/>
    <n v="1246054441"/>
    <d v="2022-11-17T00:00:00"/>
    <n v="3041000"/>
    <s v="FRETES DIVERSOS"/>
    <n v="911"/>
    <n v="5400"/>
    <n v="0"/>
    <n v="0"/>
    <n v="0"/>
    <n v="162"/>
    <n v="0"/>
    <n v="5238"/>
    <n v="5400"/>
    <n v="0"/>
    <n v="5400"/>
    <s v="Cobrança Administrativa"/>
    <m/>
  </r>
  <r>
    <n v="6477"/>
    <x v="0"/>
    <s v="61.156.501/0109-76"/>
    <n v="6302.6"/>
    <n v="1246212732"/>
    <d v="2025-01-25T00:00:00"/>
    <m/>
    <s v="1"/>
    <s v="Adtives"/>
    <n v="6197"/>
    <d v="2024-11-26T00:00:00"/>
    <n v="1010100"/>
    <s v="VENDAS MERCADO INTERNO"/>
    <n v="126"/>
    <n v="0"/>
    <n v="189.078"/>
    <n v="0"/>
    <n v="0"/>
    <n v="189.078"/>
    <n v="0"/>
    <n v="0"/>
    <n v="0"/>
    <n v="0"/>
    <n v="189.078"/>
    <s v="Cobrança Administrativa"/>
    <m/>
  </r>
  <r>
    <n v="7022"/>
    <x v="21"/>
    <s v="31.009.644/0001-74"/>
    <n v="1800"/>
    <n v="1246054442"/>
    <d v="2022-12-02T00:00:00"/>
    <m/>
    <s v="1"/>
    <s v="Adtives"/>
    <n v="1246054442"/>
    <d v="2022-11-17T00:00:00"/>
    <n v="3041000"/>
    <s v="FRETES DIVERSOS"/>
    <n v="911"/>
    <n v="1800"/>
    <n v="0"/>
    <n v="0"/>
    <n v="0"/>
    <n v="54"/>
    <n v="0"/>
    <n v="1746"/>
    <n v="1800"/>
    <n v="0"/>
    <n v="1800"/>
    <s v="Cobrança Administrativa"/>
    <m/>
  </r>
  <r>
    <n v="7097"/>
    <x v="0"/>
    <s v="61.156.501/0125-96"/>
    <n v="11300"/>
    <n v="1246058687"/>
    <d v="2022-12-30T00:00:00"/>
    <m/>
    <s v="1"/>
    <s v="Adtives"/>
    <n v="1246058687"/>
    <d v="2022-12-15T00:00:00"/>
    <n v="3041000"/>
    <s v="FRETES DIVERSOS"/>
    <n v="883"/>
    <n v="11300"/>
    <n v="0"/>
    <n v="0"/>
    <n v="0"/>
    <n v="339"/>
    <n v="0"/>
    <n v="10961"/>
    <n v="11300"/>
    <n v="0"/>
    <n v="11300"/>
    <s v="Cobrança Administrativa"/>
    <m/>
  </r>
  <r>
    <n v="7097"/>
    <x v="0"/>
    <s v="61.156.501/0125-96"/>
    <n v="10183.120000000001"/>
    <n v="1246057240"/>
    <d v="2022-12-27T00:00:00"/>
    <m/>
    <s v="1"/>
    <s v="Adtives"/>
    <n v="71222"/>
    <d v="2022-12-07T00:00:00"/>
    <n v="3041000"/>
    <s v="FRETES DIVERSOS"/>
    <n v="886"/>
    <n v="10183.120000000001"/>
    <n v="0"/>
    <n v="0"/>
    <n v="0"/>
    <n v="305.49360000000001"/>
    <n v="0"/>
    <n v="9877.626400000001"/>
    <n v="10183.120000000001"/>
    <n v="0"/>
    <n v="10183.120000000001"/>
    <s v="Cobrança Administrativa"/>
    <m/>
  </r>
  <r>
    <n v="7443"/>
    <x v="0"/>
    <s v="61.156.501/0113-52"/>
    <n v="1200"/>
    <n v="1246156403"/>
    <d v="2024-07-23T00:00:00"/>
    <m/>
    <s v="1"/>
    <s v="Adtives"/>
    <n v="1246156403"/>
    <d v="2024-07-08T00:00:00"/>
    <n v="3041000"/>
    <s v="FRETES DIVERSOS"/>
    <n v="312"/>
    <n v="36"/>
    <n v="0"/>
    <n v="0"/>
    <n v="0"/>
    <n v="36"/>
    <n v="0"/>
    <n v="0"/>
    <n v="1200"/>
    <n v="0"/>
    <n v="36"/>
    <s v="Cobrança Administrativa"/>
    <m/>
  </r>
  <r>
    <n v="7443"/>
    <x v="0"/>
    <s v="61.156.501/0113-52"/>
    <n v="1200"/>
    <n v="1246156396"/>
    <d v="2024-07-23T00:00:00"/>
    <m/>
    <s v="1"/>
    <s v="Adtives"/>
    <n v="1246156396"/>
    <d v="2024-07-08T00:00:00"/>
    <n v="3041000"/>
    <s v="FRETES DIVERSOS"/>
    <n v="312"/>
    <n v="36"/>
    <n v="0"/>
    <n v="0"/>
    <n v="0"/>
    <n v="36"/>
    <n v="0"/>
    <n v="0"/>
    <n v="1200"/>
    <n v="0"/>
    <n v="36"/>
    <s v="Cobrança Administrativa"/>
    <m/>
  </r>
  <r>
    <n v="6694"/>
    <x v="22"/>
    <s v="863.175.636-91"/>
    <n v="7900"/>
    <n v="1245986175"/>
    <d v="2022-03-10T00:00:00"/>
    <m/>
    <s v="1"/>
    <s v="Adtives"/>
    <n v="16208"/>
    <d v="2021-12-02T00:00:00"/>
    <n v="1010100"/>
    <s v="VENDAS MERCADO INTERNO"/>
    <n v="1178"/>
    <n v="7900"/>
    <n v="0"/>
    <n v="0"/>
    <n v="0"/>
    <n v="237"/>
    <n v="0"/>
    <n v="7663"/>
    <n v="7900"/>
    <n v="0"/>
    <n v="7900"/>
    <s v="Cobrança Administrativa"/>
    <m/>
  </r>
  <r>
    <n v="7321"/>
    <x v="23"/>
    <s v="18.631.875/0001-57"/>
    <n v="5600"/>
    <n v="1246070435"/>
    <d v="2023-04-03T00:00:00"/>
    <m/>
    <s v="1"/>
    <s v="Adtives"/>
    <n v="20814"/>
    <d v="2023-03-06T00:00:00"/>
    <n v="1020400"/>
    <s v="VENDA DE SUCATAS"/>
    <n v="789"/>
    <n v="5600"/>
    <n v="0"/>
    <n v="0"/>
    <n v="0"/>
    <n v="168"/>
    <n v="0"/>
    <n v="5432"/>
    <n v="5600"/>
    <n v="0"/>
    <n v="5600"/>
    <s v="Cobrança Administrativa"/>
    <m/>
  </r>
  <r>
    <n v="7321"/>
    <x v="23"/>
    <s v="18.631.875/0001-57"/>
    <n v="3780"/>
    <n v="1246071556"/>
    <d v="2023-04-11T00:00:00"/>
    <m/>
    <s v="1"/>
    <s v="Adtives"/>
    <n v="20885"/>
    <d v="2023-03-14T00:00:00"/>
    <n v="1020400"/>
    <s v="VENDA DE SUCATAS"/>
    <n v="781"/>
    <n v="3780"/>
    <n v="0"/>
    <n v="0"/>
    <n v="0"/>
    <n v="113.39999999999999"/>
    <n v="0"/>
    <n v="3666.6"/>
    <n v="3780"/>
    <n v="0"/>
    <n v="3780"/>
    <s v="Cobrança Administrativa"/>
    <m/>
  </r>
  <r>
    <n v="7321"/>
    <x v="23"/>
    <s v="18.631.875/0001-57"/>
    <n v="2240"/>
    <n v="1246070969"/>
    <d v="2023-04-06T00:00:00"/>
    <m/>
    <s v="1"/>
    <s v="Adtives"/>
    <n v="20841"/>
    <d v="2023-03-09T00:00:00"/>
    <n v="1020400"/>
    <s v="VENDA DE SUCATAS"/>
    <n v="786"/>
    <n v="2239.9999999999995"/>
    <n v="0"/>
    <n v="0"/>
    <n v="0"/>
    <n v="67.2"/>
    <n v="0"/>
    <n v="2172.7999999999997"/>
    <n v="2240"/>
    <n v="0"/>
    <n v="2239.9999999999995"/>
    <s v="Cobrança Administrativa"/>
    <m/>
  </r>
  <r>
    <n v="7321"/>
    <x v="23"/>
    <s v="18.631.875/0001-57"/>
    <n v="4200"/>
    <n v="1246093575"/>
    <d v="2023-08-17T00:00:00"/>
    <m/>
    <s v="1"/>
    <s v="Adtives"/>
    <n v="280"/>
    <d v="2023-07-21T00:00:00"/>
    <n v="1020400"/>
    <s v="VENDA DE SUCATAS"/>
    <n v="653"/>
    <n v="4200"/>
    <n v="0"/>
    <n v="0"/>
    <n v="0"/>
    <n v="126"/>
    <n v="0"/>
    <n v="4074"/>
    <n v="4200"/>
    <n v="0"/>
    <n v="4200"/>
    <s v="Cobrança Administrativa"/>
    <m/>
  </r>
  <r>
    <n v="7302"/>
    <x v="0"/>
    <s v="61.156.501/0080-50"/>
    <n v="1800"/>
    <n v="1246045752"/>
    <d v="2022-10-14T00:00:00"/>
    <m/>
    <s v="1"/>
    <s v="Adtives"/>
    <n v="290922"/>
    <d v="2022-09-29T00:00:00"/>
    <n v="3041000"/>
    <s v="FRETES DIVERSOS"/>
    <n v="960"/>
    <n v="1800"/>
    <n v="0"/>
    <n v="0"/>
    <n v="0"/>
    <n v="54"/>
    <n v="0"/>
    <n v="1746"/>
    <n v="1800"/>
    <n v="0"/>
    <n v="1800"/>
    <s v="Cobrança Administrativa"/>
    <m/>
  </r>
  <r>
    <n v="7302"/>
    <x v="0"/>
    <s v="61.156.501/0080-50"/>
    <n v="7200"/>
    <n v="1246033417"/>
    <d v="2022-08-19T00:00:00"/>
    <m/>
    <s v="1"/>
    <s v="Adtives"/>
    <n v="1246033417"/>
    <d v="2022-08-04T00:00:00"/>
    <n v="3041000"/>
    <s v="FRETES DIVERSOS"/>
    <n v="1016"/>
    <n v="7200"/>
    <n v="0"/>
    <n v="0"/>
    <n v="0"/>
    <n v="216"/>
    <n v="0"/>
    <n v="6984"/>
    <n v="7200"/>
    <n v="0"/>
    <n v="7200"/>
    <s v="Cobrança Administrativa"/>
    <m/>
  </r>
  <r>
    <n v="7302"/>
    <x v="0"/>
    <s v="61.156.501/0080-50"/>
    <n v="1431.76"/>
    <n v="1246062794"/>
    <d v="2023-01-13T00:00:00"/>
    <m/>
    <s v="1"/>
    <s v="Adtives"/>
    <n v="19884"/>
    <d v="2022-11-14T00:00:00"/>
    <n v="1010100"/>
    <s v="VENDAS MERCADO INTERNO"/>
    <n v="869"/>
    <n v="1431.76"/>
    <n v="0"/>
    <n v="0"/>
    <n v="0"/>
    <n v="42.952799999999996"/>
    <n v="0"/>
    <n v="1388.8072"/>
    <n v="1431.76"/>
    <n v="0"/>
    <n v="1431.76"/>
    <s v="Cobrança Administrativa"/>
    <m/>
  </r>
  <r>
    <n v="7302"/>
    <x v="0"/>
    <s v="61.156.501/0080-50"/>
    <n v="9000"/>
    <n v="1246054438"/>
    <d v="2022-12-02T00:00:00"/>
    <m/>
    <s v="1"/>
    <s v="Adtives"/>
    <n v="1246054438"/>
    <d v="2022-11-17T00:00:00"/>
    <n v="3041000"/>
    <s v="FRETES DIVERSOS"/>
    <n v="911"/>
    <n v="9000"/>
    <n v="0"/>
    <n v="0"/>
    <n v="0"/>
    <n v="270"/>
    <n v="0"/>
    <n v="8730"/>
    <n v="9000"/>
    <n v="0"/>
    <n v="9000"/>
    <s v="Cobrança Administrativa"/>
    <m/>
  </r>
  <r>
    <n v="7302"/>
    <x v="0"/>
    <s v="61.156.501/0080-50"/>
    <n v="7200"/>
    <n v="1246057914"/>
    <d v="2022-12-27T00:00:00"/>
    <m/>
    <s v="1"/>
    <s v="Adtives"/>
    <n v="1246057914"/>
    <d v="2022-12-12T00:00:00"/>
    <n v="3041000"/>
    <s v="FRETES DIVERSOS"/>
    <n v="886"/>
    <n v="7200"/>
    <n v="0"/>
    <n v="0"/>
    <n v="0"/>
    <n v="216"/>
    <n v="0"/>
    <n v="6984"/>
    <n v="7200"/>
    <n v="0"/>
    <n v="7200"/>
    <s v="Cobrança Administrativa"/>
    <m/>
  </r>
  <r>
    <n v="7302"/>
    <x v="0"/>
    <s v="61.156.501/0080-50"/>
    <n v="2517.4"/>
    <n v="1246055324"/>
    <d v="2022-11-22T00:00:00"/>
    <m/>
    <s v="1"/>
    <s v="Adtives"/>
    <n v="19314"/>
    <d v="2022-09-23T00:00:00"/>
    <n v="1010100"/>
    <s v="VENDAS MERCADO INTERNO"/>
    <n v="921"/>
    <n v="2517.4"/>
    <n v="0"/>
    <n v="0"/>
    <n v="0"/>
    <n v="75.522000000000006"/>
    <n v="0"/>
    <n v="2441.8780000000002"/>
    <n v="2517.4"/>
    <n v="0"/>
    <n v="2517.4"/>
    <s v="Cobrança Administrativa"/>
    <m/>
  </r>
  <r>
    <n v="6415"/>
    <x v="0"/>
    <s v="33.931.486/0033-18"/>
    <n v="3600"/>
    <n v="1245985693"/>
    <d v="2022-05-11T00:00:00"/>
    <m/>
    <s v="1"/>
    <s v="Adtives"/>
    <n v="1245985693"/>
    <d v="2021-12-01T00:00:00"/>
    <n v="3041000"/>
    <s v="FRETES DIVERSOS"/>
    <n v="1116"/>
    <n v="3600"/>
    <n v="0"/>
    <n v="0"/>
    <n v="0"/>
    <n v="108"/>
    <n v="0"/>
    <n v="3492"/>
    <n v="3600"/>
    <n v="0"/>
    <n v="3600"/>
    <s v="Cobrança Administrativa"/>
    <m/>
  </r>
  <r>
    <n v="6853"/>
    <x v="24"/>
    <s v="35.366.255/0001-57"/>
    <n v="3796"/>
    <n v="1245975281"/>
    <d v="2022-03-25T00:00:00"/>
    <m/>
    <s v="1"/>
    <s v="Adtives"/>
    <n v="15335"/>
    <d v="2021-09-28T00:00:00"/>
    <n v="1010100"/>
    <s v="VENDAS MERCADO INTERNO"/>
    <n v="1163"/>
    <n v="3796"/>
    <n v="0"/>
    <n v="0"/>
    <n v="0"/>
    <n v="113.88"/>
    <n v="0"/>
    <n v="3682.12"/>
    <n v="3796"/>
    <n v="0"/>
    <n v="3796"/>
    <s v="Cobrança Administrativa"/>
    <m/>
  </r>
  <r>
    <n v="7167"/>
    <x v="25"/>
    <s v="09.263.706/0001-10"/>
    <n v="22222.25"/>
    <n v="1246035401"/>
    <d v="2022-06-30T00:00:00"/>
    <m/>
    <s v="2"/>
    <s v="Fertilizers"/>
    <n v="16299"/>
    <d v="2021-12-09T00:00:00"/>
    <n v="1010100"/>
    <s v="VENDAS MERCADO INTERNO"/>
    <n v="1066"/>
    <n v="22222.25"/>
    <n v="0"/>
    <n v="0"/>
    <n v="0"/>
    <n v="666.66750000000002"/>
    <n v="0"/>
    <n v="21555.5825"/>
    <n v="0"/>
    <n v="0"/>
    <n v="22222.25"/>
    <s v="Pendência de Baixa "/>
    <m/>
  </r>
  <r>
    <n v="9591"/>
    <x v="26"/>
    <s v="14.673.857/0001-87"/>
    <n v="1547.96"/>
    <n v="1246028461"/>
    <d v="2022-07-27T00:00:00"/>
    <m/>
    <s v="1"/>
    <s v="Adtives"/>
    <n v="13072022"/>
    <d v="2022-07-13T00:00:00"/>
    <n v="3041000"/>
    <s v="FRETES DIVERSOS"/>
    <n v="1039"/>
    <n v="1547.9599999999998"/>
    <n v="0"/>
    <n v="0"/>
    <n v="0"/>
    <n v="46.438800000000001"/>
    <n v="0"/>
    <n v="1501.5211999999999"/>
    <n v="1547.96"/>
    <n v="0"/>
    <n v="1547.9599999999998"/>
    <s v="Cobrança Administrativa"/>
    <m/>
  </r>
  <r>
    <n v="9298"/>
    <x v="27"/>
    <s v="15.003.086/0001-83"/>
    <n v="112475"/>
    <n v="1246069174"/>
    <d v="2024-09-20T00:00:00"/>
    <m/>
    <s v="2"/>
    <s v="Fertilizers"/>
    <n v="20770"/>
    <d v="2023-02-28T00:00:00"/>
    <n v="1010100"/>
    <s v="VENDAS MERCADO INTERNO"/>
    <n v="253"/>
    <n v="3374.25"/>
    <n v="0"/>
    <n v="0"/>
    <n v="0"/>
    <n v="3374.25"/>
    <n v="0"/>
    <n v="0"/>
    <n v="0"/>
    <n v="0"/>
    <n v="3374.25"/>
    <s v="Em Procedimento Judicial"/>
    <m/>
  </r>
  <r>
    <n v="9298"/>
    <x v="27"/>
    <s v="15.003.086/0001-83"/>
    <n v="111799"/>
    <n v="1246070285"/>
    <d v="2024-09-20T00:00:00"/>
    <m/>
    <s v="2"/>
    <s v="Fertilizers"/>
    <n v="20808"/>
    <d v="2023-03-06T00:00:00"/>
    <n v="1010100"/>
    <s v="VENDAS MERCADO INTERNO"/>
    <n v="253"/>
    <n v="3353.97"/>
    <n v="0"/>
    <n v="0"/>
    <n v="0"/>
    <n v="3353.97"/>
    <n v="0"/>
    <n v="0"/>
    <n v="0"/>
    <n v="0"/>
    <n v="3353.97"/>
    <s v="Em Procedimento Judicial"/>
    <m/>
  </r>
  <r>
    <n v="9298"/>
    <x v="27"/>
    <s v="15.003.086/0001-83"/>
    <n v="165851"/>
    <n v="1246068354"/>
    <d v="2024-09-20T00:00:00"/>
    <m/>
    <s v="2"/>
    <s v="Fertilizers"/>
    <n v="20726"/>
    <d v="2023-02-22T00:00:00"/>
    <n v="1010100"/>
    <s v="VENDAS MERCADO INTERNO"/>
    <n v="253"/>
    <n v="4975.53"/>
    <n v="0"/>
    <n v="0"/>
    <n v="0"/>
    <n v="4975.53"/>
    <n v="0"/>
    <n v="0"/>
    <n v="0"/>
    <n v="0"/>
    <n v="4975.53"/>
    <s v="Em Procedimento Judicial"/>
    <m/>
  </r>
  <r>
    <n v="9298"/>
    <x v="27"/>
    <s v="15.003.086/0001-83"/>
    <n v="111799"/>
    <n v="1246070436"/>
    <d v="2024-09-20T00:00:00"/>
    <m/>
    <s v="2"/>
    <s v="Fertilizers"/>
    <n v="20815"/>
    <d v="2023-03-06T00:00:00"/>
    <n v="1010100"/>
    <s v="VENDAS MERCADO INTERNO"/>
    <n v="253"/>
    <n v="3353.97"/>
    <n v="0"/>
    <n v="0"/>
    <n v="0"/>
    <n v="3353.97"/>
    <n v="0"/>
    <n v="0"/>
    <n v="0"/>
    <n v="0"/>
    <n v="3353.97"/>
    <s v="Em Procedimento Judicial"/>
    <m/>
  </r>
  <r>
    <n v="9298"/>
    <x v="27"/>
    <s v="15.003.086/0001-83"/>
    <n v="65548"/>
    <n v="1246070905"/>
    <d v="2024-09-20T00:00:00"/>
    <m/>
    <s v="2"/>
    <s v="Fertilizers"/>
    <n v="20839"/>
    <d v="2023-03-09T00:00:00"/>
    <n v="1010100"/>
    <s v="VENDAS MERCADO INTERNO"/>
    <n v="253"/>
    <n v="1966.4399999999998"/>
    <n v="0"/>
    <n v="0"/>
    <n v="0"/>
    <n v="1966.4399999999998"/>
    <n v="0"/>
    <n v="0"/>
    <n v="0"/>
    <n v="0"/>
    <n v="1966.4399999999998"/>
    <s v="Em Procedimento Judicial"/>
    <m/>
  </r>
  <r>
    <n v="9298"/>
    <x v="27"/>
    <s v="15.003.086/0001-83"/>
    <n v="112475"/>
    <n v="1246068948"/>
    <d v="2024-09-20T00:00:00"/>
    <m/>
    <s v="2"/>
    <s v="Fertilizers"/>
    <n v="20763"/>
    <d v="2023-02-27T00:00:00"/>
    <n v="1010100"/>
    <s v="VENDAS MERCADO INTERNO"/>
    <n v="253"/>
    <n v="3374.25"/>
    <n v="0"/>
    <n v="0"/>
    <n v="0"/>
    <n v="3374.25"/>
    <n v="0"/>
    <n v="0"/>
    <n v="0"/>
    <n v="0"/>
    <n v="3374.25"/>
    <s v="Em Procedimento Judicial"/>
    <m/>
  </r>
  <r>
    <n v="9298"/>
    <x v="27"/>
    <s v="15.003.086/0001-83"/>
    <n v="149824"/>
    <n v="1246068778"/>
    <d v="2024-09-20T00:00:00"/>
    <m/>
    <s v="2"/>
    <s v="Fertilizers"/>
    <n v="20750"/>
    <d v="2023-02-24T00:00:00"/>
    <n v="1010100"/>
    <s v="VENDAS MERCADO INTERNO"/>
    <n v="253"/>
    <n v="4494.72"/>
    <n v="0"/>
    <n v="0"/>
    <n v="0"/>
    <n v="4494.72"/>
    <n v="0"/>
    <n v="0"/>
    <n v="0"/>
    <n v="0"/>
    <n v="4494.72"/>
    <s v="Em Procedimento Judicial"/>
    <m/>
  </r>
  <r>
    <n v="9298"/>
    <x v="27"/>
    <s v="15.003.086/0001-83"/>
    <n v="131203"/>
    <n v="1246070820"/>
    <d v="2024-09-20T00:00:00"/>
    <m/>
    <s v="2"/>
    <s v="Fertilizers"/>
    <n v="20836"/>
    <d v="2023-03-08T00:00:00"/>
    <n v="1010100"/>
    <s v="VENDAS MERCADO INTERNO"/>
    <n v="253"/>
    <n v="3936.0899999999997"/>
    <n v="0"/>
    <n v="0"/>
    <n v="0"/>
    <n v="3936.0899999999997"/>
    <n v="0"/>
    <n v="0"/>
    <n v="0"/>
    <n v="0"/>
    <n v="3936.0899999999997"/>
    <s v="Em Procedimento Judicial"/>
    <m/>
  </r>
  <r>
    <n v="9298"/>
    <x v="27"/>
    <s v="15.003.086/0001-83"/>
    <n v="119356.2"/>
    <n v="1246068614"/>
    <d v="2024-09-20T00:00:00"/>
    <m/>
    <s v="2"/>
    <s v="Fertilizers"/>
    <n v="20734"/>
    <d v="2023-02-23T00:00:00"/>
    <n v="1010100"/>
    <s v="VENDAS MERCADO INTERNO"/>
    <n v="253"/>
    <n v="3580.6859999999997"/>
    <n v="0"/>
    <n v="0"/>
    <n v="0"/>
    <n v="3580.6859999999997"/>
    <n v="0"/>
    <n v="0"/>
    <n v="0"/>
    <n v="0"/>
    <n v="3580.6859999999997"/>
    <s v="Em Procedimento Judicial"/>
    <m/>
  </r>
  <r>
    <n v="9298"/>
    <x v="27"/>
    <s v="15.003.086/0001-83"/>
    <n v="122521"/>
    <n v="1246068997"/>
    <d v="2024-09-20T00:00:00"/>
    <m/>
    <s v="2"/>
    <s v="Fertilizers"/>
    <n v="20767"/>
    <d v="2023-02-27T00:00:00"/>
    <n v="1010100"/>
    <s v="VENDAS MERCADO INTERNO"/>
    <n v="253"/>
    <n v="3675.6299999999997"/>
    <n v="0"/>
    <n v="0"/>
    <n v="0"/>
    <n v="3675.6299999999997"/>
    <n v="0"/>
    <n v="0"/>
    <n v="0"/>
    <n v="0"/>
    <n v="3675.6299999999997"/>
    <s v="Em Procedimento Judicial"/>
    <m/>
  </r>
  <r>
    <n v="9298"/>
    <x v="27"/>
    <s v="15.003.086/0001-83"/>
    <n v="118731.49"/>
    <n v="1246083500"/>
    <d v="2024-09-20T00:00:00"/>
    <m/>
    <s v="2"/>
    <s v="Fertilizers"/>
    <n v="21456"/>
    <d v="2023-05-24T00:00:00"/>
    <n v="1010100"/>
    <s v="VENDAS MERCADO INTERNO"/>
    <n v="253"/>
    <n v="3561.9447"/>
    <n v="0"/>
    <n v="0"/>
    <n v="0"/>
    <n v="3561.9447"/>
    <n v="0"/>
    <n v="0"/>
    <n v="0"/>
    <n v="0"/>
    <n v="3561.9447"/>
    <s v="Em Procedimento Judicial"/>
    <m/>
  </r>
  <r>
    <n v="9298"/>
    <x v="27"/>
    <s v="15.003.086/0001-83"/>
    <n v="52557.4"/>
    <n v="1246083593"/>
    <d v="2024-09-20T00:00:00"/>
    <m/>
    <s v="2"/>
    <s v="Fertilizers"/>
    <n v="21460"/>
    <d v="2023-05-24T00:00:00"/>
    <n v="1010100"/>
    <s v="VENDAS MERCADO INTERNO"/>
    <n v="253"/>
    <n v="1576.722"/>
    <n v="0"/>
    <n v="0"/>
    <n v="0"/>
    <n v="1576.722"/>
    <n v="0"/>
    <n v="0"/>
    <n v="0"/>
    <n v="0"/>
    <n v="1576.722"/>
    <s v="Em Procedimento Judicial"/>
    <m/>
  </r>
  <r>
    <n v="9298"/>
    <x v="27"/>
    <s v="15.003.086/0001-83"/>
    <n v="52557.4"/>
    <n v="1246083373"/>
    <d v="2024-09-20T00:00:00"/>
    <m/>
    <s v="2"/>
    <s v="Fertilizers"/>
    <n v="21444"/>
    <d v="2023-05-23T00:00:00"/>
    <n v="1010100"/>
    <s v="VENDAS MERCADO INTERNO"/>
    <n v="253"/>
    <n v="1576.722"/>
    <n v="0"/>
    <n v="0"/>
    <n v="0"/>
    <n v="1576.722"/>
    <n v="0"/>
    <n v="0"/>
    <n v="0"/>
    <n v="0"/>
    <n v="1576.722"/>
    <s v="Em Procedimento Judicial"/>
    <m/>
  </r>
  <r>
    <n v="9298"/>
    <x v="27"/>
    <s v="15.003.086/0001-83"/>
    <n v="13957.5"/>
    <n v="1246084673"/>
    <d v="2024-09-20T00:00:00"/>
    <m/>
    <s v="2"/>
    <s v="Fertilizers"/>
    <n v="21538"/>
    <d v="2023-05-31T00:00:00"/>
    <n v="1010100"/>
    <s v="VENDAS MERCADO INTERNO"/>
    <n v="253"/>
    <n v="418.72499999999997"/>
    <n v="0"/>
    <n v="0"/>
    <n v="0"/>
    <n v="418.72499999999997"/>
    <n v="0"/>
    <n v="0"/>
    <n v="13957.5"/>
    <n v="0"/>
    <n v="418.72499999999997"/>
    <s v="Em Procedimento Judicial"/>
    <m/>
  </r>
  <r>
    <n v="9298"/>
    <x v="27"/>
    <s v="15.003.086/0001-83"/>
    <n v="40756.75"/>
    <n v="1246084671"/>
    <d v="2024-09-20T00:00:00"/>
    <m/>
    <s v="2"/>
    <s v="Fertilizers"/>
    <n v="21537"/>
    <d v="2023-05-31T00:00:00"/>
    <n v="1010100"/>
    <s v="VENDAS MERCADO INTERNO"/>
    <n v="253"/>
    <n v="1222.7024999999999"/>
    <n v="0"/>
    <n v="0"/>
    <n v="0"/>
    <n v="1222.7024999999999"/>
    <n v="0"/>
    <n v="0"/>
    <n v="0"/>
    <n v="0"/>
    <n v="1222.7024999999999"/>
    <s v="Em Procedimento Judicial"/>
    <m/>
  </r>
  <r>
    <n v="9298"/>
    <x v="27"/>
    <s v="15.003.086/0001-83"/>
    <n v="13238.05"/>
    <n v="1246088994"/>
    <d v="2024-09-20T00:00:00"/>
    <m/>
    <s v="2"/>
    <s v="Fertilizers"/>
    <n v="20723"/>
    <d v="2023-02-22T00:00:00"/>
    <n v="1010100"/>
    <s v="VENDAS MERCADO INTERNO"/>
    <n v="253"/>
    <n v="397.14149999999995"/>
    <n v="0"/>
    <n v="0"/>
    <n v="0"/>
    <n v="397.14149999999995"/>
    <n v="0"/>
    <n v="0"/>
    <n v="13238.05"/>
    <n v="0"/>
    <n v="397.14149999999995"/>
    <s v="Em Procedimento Judicial"/>
    <m/>
  </r>
  <r>
    <n v="9298"/>
    <x v="27"/>
    <s v="15.003.086/0001-83"/>
    <n v="59732.4"/>
    <n v="1246095048"/>
    <d v="2024-09-13T00:00:00"/>
    <m/>
    <s v="2"/>
    <s v="Fertilizers"/>
    <n v="437"/>
    <d v="2023-07-31T00:00:00"/>
    <n v="1010100"/>
    <s v="VENDAS MERCADO INTERNO"/>
    <n v="260"/>
    <n v="1791.972"/>
    <n v="0"/>
    <n v="0"/>
    <n v="0"/>
    <n v="1791.972"/>
    <n v="0"/>
    <n v="0"/>
    <n v="0"/>
    <n v="0"/>
    <n v="1791.972"/>
    <s v="Em Procedimento Judicial"/>
    <m/>
  </r>
  <r>
    <n v="9298"/>
    <x v="27"/>
    <s v="15.003.086/0001-83"/>
    <n v="133637.4"/>
    <n v="1246099829"/>
    <d v="2024-09-11T00:00:00"/>
    <m/>
    <s v="2"/>
    <s v="Fertilizers"/>
    <n v="828"/>
    <d v="2023-08-23T00:00:00"/>
    <n v="1010100"/>
    <s v="VENDAS MERCADO INTERNO"/>
    <n v="262"/>
    <n v="4009.1219999999998"/>
    <n v="0"/>
    <n v="0"/>
    <n v="0"/>
    <n v="4009.1219999999998"/>
    <n v="0"/>
    <n v="0"/>
    <n v="0"/>
    <n v="0"/>
    <n v="4009.1219999999998"/>
    <s v="Em Procedimento Judicial"/>
    <m/>
  </r>
  <r>
    <n v="9298"/>
    <x v="27"/>
    <s v="15.003.086/0001-83"/>
    <n v="118788.8"/>
    <n v="1246099199"/>
    <d v="2024-09-27T00:00:00"/>
    <m/>
    <s v="2"/>
    <s v="Fertilizers"/>
    <n v="768"/>
    <d v="2023-08-21T00:00:00"/>
    <n v="1010100"/>
    <s v="VENDAS MERCADO INTERNO"/>
    <n v="246"/>
    <n v="3563.6639999999998"/>
    <n v="0"/>
    <n v="0"/>
    <n v="0"/>
    <n v="3563.6639999999998"/>
    <n v="0"/>
    <n v="0"/>
    <n v="0"/>
    <n v="0"/>
    <n v="3563.6639999999998"/>
    <s v="Em Procedimento Judicial"/>
    <m/>
  </r>
  <r>
    <n v="9298"/>
    <x v="27"/>
    <s v="15.003.086/0001-83"/>
    <n v="118788.8"/>
    <n v="1246099294"/>
    <d v="2024-09-27T00:00:00"/>
    <m/>
    <s v="2"/>
    <s v="Fertilizers"/>
    <n v="777"/>
    <d v="2023-08-21T00:00:00"/>
    <n v="1010100"/>
    <s v="VENDAS MERCADO INTERNO"/>
    <n v="246"/>
    <n v="3563.6639999999998"/>
    <n v="0"/>
    <n v="0"/>
    <n v="0"/>
    <n v="3563.6639999999998"/>
    <n v="0"/>
    <n v="0"/>
    <n v="0"/>
    <n v="0"/>
    <n v="3563.6639999999998"/>
    <s v="Em Procedimento Judicial"/>
    <m/>
  </r>
  <r>
    <n v="9298"/>
    <x v="27"/>
    <s v="15.003.086/0001-83"/>
    <n v="148492.1"/>
    <n v="1246105304"/>
    <d v="2024-09-20T00:00:00"/>
    <m/>
    <s v="2"/>
    <s v="Fertilizers"/>
    <n v="1270"/>
    <d v="2023-09-21T00:00:00"/>
    <n v="1010100"/>
    <s v="VENDAS MERCADO INTERNO"/>
    <n v="253"/>
    <n v="4454.7629999999999"/>
    <n v="0"/>
    <n v="0"/>
    <n v="0"/>
    <n v="4454.7629999999999"/>
    <n v="0"/>
    <n v="0"/>
    <n v="0"/>
    <n v="0"/>
    <n v="4454.7629999999999"/>
    <s v="Em Procedimento Judicial"/>
    <m/>
  </r>
  <r>
    <n v="9298"/>
    <x v="27"/>
    <s v="15.003.086/0001-83"/>
    <n v="79894"/>
    <n v="1246114860"/>
    <d v="2024-09-20T00:00:00"/>
    <m/>
    <s v="2"/>
    <s v="Fertilizers"/>
    <n v="1951"/>
    <d v="2023-11-13T00:00:00"/>
    <n v="1010100"/>
    <s v="VENDAS MERCADO INTERNO"/>
    <n v="253"/>
    <n v="2396.8199999999997"/>
    <n v="0"/>
    <n v="0"/>
    <n v="0"/>
    <n v="2396.8199999999997"/>
    <n v="0"/>
    <n v="0"/>
    <n v="0"/>
    <n v="0"/>
    <n v="2396.8199999999997"/>
    <s v="Em Procedimento Judicial"/>
    <m/>
  </r>
  <r>
    <n v="9298"/>
    <x v="27"/>
    <s v="15.003.086/0001-83"/>
    <n v="123567.8"/>
    <n v="1246103672"/>
    <d v="2024-10-02T00:00:00"/>
    <m/>
    <s v="2"/>
    <s v="Fertilizers"/>
    <n v="1150"/>
    <d v="2023-09-13T00:00:00"/>
    <n v="1010100"/>
    <s v="VENDAS MERCADO INTERNO"/>
    <n v="241"/>
    <n v="3707.0340000000001"/>
    <n v="0"/>
    <n v="0"/>
    <n v="0"/>
    <n v="3707.0340000000001"/>
    <n v="0"/>
    <n v="0"/>
    <n v="0"/>
    <n v="0"/>
    <n v="3707.0340000000001"/>
    <s v="Em Procedimento Judicial"/>
    <m/>
  </r>
  <r>
    <n v="9298"/>
    <x v="27"/>
    <s v="15.003.086/0001-83"/>
    <n v="113355.6"/>
    <n v="1246116199"/>
    <d v="2024-09-26T00:00:00"/>
    <m/>
    <s v="2"/>
    <s v="Fertilizers"/>
    <n v="2054"/>
    <d v="2023-11-22T00:00:00"/>
    <n v="1010100"/>
    <s v="VENDAS MERCADO INTERNO"/>
    <n v="247"/>
    <n v="3400.6680000000001"/>
    <n v="0"/>
    <n v="0"/>
    <n v="0"/>
    <n v="3400.6680000000001"/>
    <n v="0"/>
    <n v="0"/>
    <n v="0"/>
    <n v="0"/>
    <n v="3400.6680000000001"/>
    <s v="Em Procedimento Judicial"/>
    <m/>
  </r>
  <r>
    <n v="9298"/>
    <x v="27"/>
    <s v="15.003.086/0001-83"/>
    <n v="143583.76"/>
    <n v="1246106222"/>
    <d v="2024-09-25T00:00:00"/>
    <m/>
    <s v="2"/>
    <s v="Fertilizers"/>
    <n v="1341"/>
    <d v="2023-09-26T00:00:00"/>
    <n v="1010100"/>
    <s v="VENDAS MERCADO INTERNO"/>
    <n v="248"/>
    <n v="4307.5128000000004"/>
    <n v="0"/>
    <n v="0"/>
    <n v="0"/>
    <n v="4307.5128000000004"/>
    <n v="0"/>
    <n v="0"/>
    <n v="0"/>
    <n v="0"/>
    <n v="4307.5128000000004"/>
    <s v="Em Procedimento Judicial"/>
    <m/>
  </r>
  <r>
    <n v="9298"/>
    <x v="27"/>
    <s v="15.003.086/0001-83"/>
    <n v="55612.2"/>
    <n v="1246104999"/>
    <d v="2024-09-20T00:00:00"/>
    <m/>
    <s v="2"/>
    <s v="Fertilizers"/>
    <n v="1249"/>
    <d v="2023-09-20T00:00:00"/>
    <n v="1010100"/>
    <s v="VENDAS MERCADO INTERNO"/>
    <n v="253"/>
    <n v="1668.3659999999998"/>
    <n v="0"/>
    <n v="0"/>
    <n v="0"/>
    <n v="1668.3659999999998"/>
    <n v="0"/>
    <n v="0"/>
    <n v="0"/>
    <n v="0"/>
    <n v="1668.3659999999998"/>
    <s v="Em Procedimento Judicial"/>
    <m/>
  </r>
  <r>
    <n v="9298"/>
    <x v="27"/>
    <s v="15.003.086/0001-83"/>
    <n v="64234.84"/>
    <n v="1246115394"/>
    <d v="2024-09-20T00:00:00"/>
    <m/>
    <s v="2"/>
    <s v="Fertilizers"/>
    <n v="1991"/>
    <d v="2023-11-16T00:00:00"/>
    <n v="1010100"/>
    <s v="VENDAS MERCADO INTERNO"/>
    <n v="253"/>
    <n v="1927.0451999999998"/>
    <n v="0"/>
    <n v="0"/>
    <n v="0"/>
    <n v="1927.0451999999998"/>
    <n v="0"/>
    <n v="0"/>
    <n v="0"/>
    <n v="0"/>
    <n v="1927.0451999999998"/>
    <s v="Em Procedimento Judicial"/>
    <m/>
  </r>
  <r>
    <n v="9298"/>
    <x v="27"/>
    <s v="15.003.086/0001-83"/>
    <n v="54534.2"/>
    <n v="1246115392"/>
    <d v="2024-09-20T00:00:00"/>
    <m/>
    <s v="2"/>
    <s v="Fertilizers"/>
    <n v="1990"/>
    <d v="2023-11-16T00:00:00"/>
    <n v="1010100"/>
    <s v="VENDAS MERCADO INTERNO"/>
    <n v="253"/>
    <n v="1636.0259999999998"/>
    <n v="0"/>
    <n v="0"/>
    <n v="0"/>
    <n v="1636.0259999999998"/>
    <n v="0"/>
    <n v="0"/>
    <n v="0"/>
    <n v="0"/>
    <n v="1636.0259999999998"/>
    <s v="Em Procedimento Judicial"/>
    <m/>
  </r>
  <r>
    <n v="9298"/>
    <x v="27"/>
    <s v="15.003.086/0001-83"/>
    <n v="139293.64000000001"/>
    <n v="1246105902"/>
    <d v="2024-09-24T00:00:00"/>
    <m/>
    <s v="2"/>
    <s v="Fertilizers"/>
    <n v="1319"/>
    <d v="2023-09-25T00:00:00"/>
    <n v="1010100"/>
    <s v="VENDAS MERCADO INTERNO"/>
    <n v="249"/>
    <n v="4178.8092000000006"/>
    <n v="0"/>
    <n v="0"/>
    <n v="0"/>
    <n v="4178.8092000000006"/>
    <n v="0"/>
    <n v="0"/>
    <n v="0"/>
    <n v="0"/>
    <n v="4178.8092000000006"/>
    <s v="Em Procedimento Judicial"/>
    <m/>
  </r>
  <r>
    <n v="9298"/>
    <x v="27"/>
    <s v="15.003.086/0001-83"/>
    <n v="68013.36"/>
    <n v="1246114866"/>
    <d v="2024-09-20T00:00:00"/>
    <m/>
    <s v="2"/>
    <s v="Fertilizers"/>
    <n v="1952"/>
    <d v="2023-11-13T00:00:00"/>
    <n v="1010100"/>
    <s v="VENDAS MERCADO INTERNO"/>
    <n v="253"/>
    <n v="2040.4007999999999"/>
    <n v="0"/>
    <n v="0"/>
    <n v="0"/>
    <n v="2040.4007999999999"/>
    <n v="0"/>
    <n v="0"/>
    <n v="0"/>
    <n v="0"/>
    <n v="2040.4007999999999"/>
    <s v="Em Procedimento Judicial"/>
    <m/>
  </r>
  <r>
    <n v="9298"/>
    <x v="27"/>
    <s v="15.003.086/0001-83"/>
    <n v="55611.199999999997"/>
    <n v="1246167304"/>
    <d v="2024-09-20T00:00:00"/>
    <m/>
    <s v="2"/>
    <s v="Fertilizers"/>
    <n v="1244"/>
    <d v="2023-09-20T00:00:00"/>
    <n v="1010100"/>
    <s v="VENDAS MERCADO INTERNO"/>
    <n v="253"/>
    <n v="1668.3359999999998"/>
    <n v="0"/>
    <n v="0"/>
    <n v="0"/>
    <n v="1668.3359999999998"/>
    <n v="0"/>
    <n v="0"/>
    <n v="0"/>
    <n v="0"/>
    <n v="1668.3359999999998"/>
    <s v="Em Procedimento Judicial"/>
    <m/>
  </r>
  <r>
    <n v="10660"/>
    <x v="8"/>
    <s v="92.660.604/0170-77"/>
    <n v="1282.56"/>
    <n v="1246157883"/>
    <d v="2024-06-29T00:00:00"/>
    <m/>
    <s v="1"/>
    <s v="Adtives"/>
    <n v="3740"/>
    <d v="2024-06-01T00:00:00"/>
    <n v="1010100"/>
    <s v="VENDAS MERCADO INTERNO"/>
    <n v="336"/>
    <n v="38.476799999999997"/>
    <n v="0"/>
    <n v="0"/>
    <n v="0"/>
    <n v="38.476799999999997"/>
    <n v="0"/>
    <n v="0"/>
    <n v="1282.56"/>
    <n v="0"/>
    <n v="38.476799999999997"/>
    <s v="Cobrança Administrativa"/>
    <m/>
  </r>
  <r>
    <n v="10660"/>
    <x v="8"/>
    <s v="92.660.604/0170-77"/>
    <n v="1603.2"/>
    <n v="1246176576"/>
    <d v="2024-10-12T00:00:00"/>
    <m/>
    <s v="1"/>
    <s v="Adtives"/>
    <n v="5264"/>
    <d v="2024-09-14T00:00:00"/>
    <n v="1010100"/>
    <s v="VENDAS MERCADO INTERNO"/>
    <n v="231"/>
    <n v="48.095999999999997"/>
    <n v="0"/>
    <n v="0"/>
    <n v="0"/>
    <n v="48.095999999999997"/>
    <n v="0"/>
    <n v="0"/>
    <n v="1603.2"/>
    <n v="0"/>
    <n v="48.095999999999997"/>
    <s v="Cobrança Administrativa"/>
    <m/>
  </r>
  <r>
    <n v="10660"/>
    <x v="8"/>
    <s v="92.660.604/0170-77"/>
    <n v="1282.56"/>
    <n v="1246184893"/>
    <d v="2024-11-27T00:00:00"/>
    <m/>
    <s v="1"/>
    <s v="Adtives"/>
    <n v="5907"/>
    <d v="2024-10-30T00:00:00"/>
    <n v="1010100"/>
    <s v="VENDAS MERCADO INTERNO"/>
    <n v="185"/>
    <n v="38.476799999999997"/>
    <n v="0"/>
    <n v="0"/>
    <n v="0"/>
    <n v="38.476799999999997"/>
    <n v="0"/>
    <n v="0"/>
    <n v="1282.56"/>
    <n v="0"/>
    <n v="38.476799999999997"/>
    <s v="Cobrança Administrativa"/>
    <m/>
  </r>
  <r>
    <n v="10434"/>
    <x v="28"/>
    <s v="00.117.842/0016-04"/>
    <n v="1200"/>
    <n v="1246180341"/>
    <d v="2024-11-19T00:00:00"/>
    <m/>
    <s v="1"/>
    <s v="Adtives"/>
    <n v="1246180341"/>
    <d v="2024-11-04T00:00:00"/>
    <n v="3041000"/>
    <s v="FRETES DIVERSOS"/>
    <n v="193"/>
    <n v="36"/>
    <n v="0"/>
    <n v="0"/>
    <n v="0"/>
    <n v="36"/>
    <n v="0"/>
    <n v="0"/>
    <n v="1200"/>
    <n v="0"/>
    <n v="36"/>
    <s v="Cobrança Administrativa"/>
    <m/>
  </r>
  <r>
    <n v="11207"/>
    <x v="29"/>
    <s v="08.685.699/0001-82"/>
    <n v="153825.49"/>
    <n v="1246067872"/>
    <d v="2024-04-30T00:00:00"/>
    <m/>
    <s v="2"/>
    <s v="Fertilizers"/>
    <n v="20696"/>
    <d v="2023-02-16T00:00:00"/>
    <n v="1010100"/>
    <s v="VENDAS MERCADO INTERNO"/>
    <n v="396"/>
    <n v="153825.49"/>
    <n v="0"/>
    <n v="0"/>
    <n v="0"/>
    <n v="0"/>
    <n v="0"/>
    <n v="0"/>
    <n v="153825.49"/>
    <n v="153825.49"/>
    <n v="153825.49"/>
    <s v="Em Procedimento Judicial"/>
    <m/>
  </r>
  <r>
    <n v="11207"/>
    <x v="29"/>
    <s v="08.685.699/0001-82"/>
    <n v="118231.86"/>
    <n v="1246074301"/>
    <d v="2024-04-30T00:00:00"/>
    <m/>
    <s v="2"/>
    <s v="Fertilizers"/>
    <n v="21005"/>
    <d v="2023-03-30T00:00:00"/>
    <n v="1010100"/>
    <s v="VENDAS MERCADO INTERNO"/>
    <n v="396"/>
    <n v="118231.86"/>
    <n v="0"/>
    <n v="0"/>
    <n v="0"/>
    <n v="0"/>
    <n v="0"/>
    <n v="0"/>
    <n v="118231.86"/>
    <n v="118231.86"/>
    <n v="118231.86"/>
    <s v="Em Procedimento Judicial"/>
    <m/>
  </r>
  <r>
    <n v="11207"/>
    <x v="29"/>
    <s v="08.685.699/0001-82"/>
    <n v="91167.15"/>
    <n v="1246075550"/>
    <d v="2024-04-30T00:00:00"/>
    <m/>
    <s v="2"/>
    <s v="Fertilizers"/>
    <n v="21053"/>
    <d v="2023-04-06T00:00:00"/>
    <n v="1010100"/>
    <s v="VENDAS MERCADO INTERNO"/>
    <n v="396"/>
    <n v="91167.15"/>
    <n v="0"/>
    <n v="0"/>
    <n v="0"/>
    <n v="0"/>
    <n v="0"/>
    <n v="0"/>
    <n v="91167.15"/>
    <n v="91167.15"/>
    <n v="91167.15"/>
    <s v="Em Procedimento Judicial"/>
    <m/>
  </r>
  <r>
    <n v="11207"/>
    <x v="29"/>
    <s v="08.685.699/0001-82"/>
    <n v="43771.16"/>
    <n v="1246094423"/>
    <d v="2024-05-11T00:00:00"/>
    <m/>
    <s v="2"/>
    <s v="Fertilizers"/>
    <n v="356"/>
    <d v="2023-07-26T00:00:00"/>
    <n v="1010100"/>
    <s v="VENDAS MERCADO INTERNO"/>
    <n v="385"/>
    <n v="43771.16"/>
    <n v="0"/>
    <n v="0"/>
    <n v="0"/>
    <n v="0"/>
    <n v="0"/>
    <n v="0"/>
    <n v="43771.16"/>
    <n v="43771.16"/>
    <n v="43771.16"/>
    <s v="Em Procedimento Judicial"/>
    <m/>
  </r>
  <r>
    <n v="11207"/>
    <x v="29"/>
    <s v="08.685.699/0001-82"/>
    <n v="44760.26"/>
    <n v="1246092027"/>
    <d v="2024-07-31T00:00:00"/>
    <m/>
    <s v="2"/>
    <s v="Fertilizers"/>
    <n v="138"/>
    <d v="2023-07-12T00:00:00"/>
    <n v="1010100"/>
    <s v="VENDAS MERCADO INTERNO"/>
    <n v="304"/>
    <n v="44760.26"/>
    <n v="0"/>
    <n v="0"/>
    <n v="0"/>
    <n v="0"/>
    <n v="0"/>
    <n v="0"/>
    <n v="0"/>
    <n v="44760.26"/>
    <n v="44760.26"/>
    <s v="Em Procedimento Judicial"/>
    <m/>
  </r>
  <r>
    <n v="11207"/>
    <x v="29"/>
    <s v="08.685.699/0001-82"/>
    <n v="43771.16"/>
    <n v="1246093362"/>
    <d v="2024-05-05T00:00:00"/>
    <m/>
    <s v="2"/>
    <s v="Fertilizers"/>
    <n v="253"/>
    <d v="2023-07-20T00:00:00"/>
    <n v="1010100"/>
    <s v="VENDAS MERCADO INTERNO"/>
    <n v="391"/>
    <n v="43771.16"/>
    <n v="0"/>
    <n v="0"/>
    <n v="0"/>
    <n v="0"/>
    <n v="0"/>
    <n v="0"/>
    <n v="43771.16"/>
    <n v="43771.16"/>
    <n v="43771.16"/>
    <s v="Em Procedimento Judicial"/>
    <m/>
  </r>
  <r>
    <n v="11207"/>
    <x v="29"/>
    <s v="08.685.699/0001-82"/>
    <n v="47925.4"/>
    <n v="1246094864"/>
    <d v="2024-09-09T00:00:00"/>
    <m/>
    <s v="2"/>
    <s v="Fertilizers"/>
    <n v="407"/>
    <d v="2023-07-28T00:00:00"/>
    <n v="1010100"/>
    <s v="VENDAS MERCADO INTERNO"/>
    <n v="264"/>
    <n v="47925.4"/>
    <n v="0"/>
    <n v="0"/>
    <n v="0"/>
    <n v="0"/>
    <n v="0"/>
    <n v="0"/>
    <n v="0"/>
    <n v="47925.4"/>
    <n v="47925.4"/>
    <s v="Em Procedimento Judicial"/>
    <m/>
  </r>
  <r>
    <n v="11207"/>
    <x v="29"/>
    <s v="08.685.699/0001-82"/>
    <n v="106301.38"/>
    <n v="1246094863"/>
    <d v="2024-05-13T00:00:00"/>
    <m/>
    <s v="2"/>
    <s v="Fertilizers"/>
    <n v="406"/>
    <d v="2023-07-28T00:00:00"/>
    <n v="1010100"/>
    <s v="VENDAS MERCADO INTERNO"/>
    <n v="383"/>
    <n v="106301.38"/>
    <n v="0"/>
    <n v="0"/>
    <n v="0"/>
    <n v="0"/>
    <n v="0"/>
    <n v="0"/>
    <n v="106301.38"/>
    <n v="106301.38"/>
    <n v="106301.38"/>
    <s v="Em Procedimento Judicial"/>
    <m/>
  </r>
  <r>
    <n v="11207"/>
    <x v="29"/>
    <s v="08.685.699/0001-82"/>
    <n v="150072.54"/>
    <n v="1246095554"/>
    <d v="2024-05-03T00:00:00"/>
    <m/>
    <s v="2"/>
    <s v="Fertilizers"/>
    <n v="485"/>
    <d v="2023-08-02T00:00:00"/>
    <n v="1010100"/>
    <s v="VENDAS MERCADO INTERNO"/>
    <n v="393"/>
    <n v="150072.54"/>
    <n v="0"/>
    <n v="0"/>
    <n v="0"/>
    <n v="0"/>
    <n v="0"/>
    <n v="0"/>
    <n v="150072.54"/>
    <n v="150072.54"/>
    <n v="150072.54"/>
    <s v="Em Procedimento Judicial"/>
    <m/>
  </r>
  <r>
    <n v="11207"/>
    <x v="29"/>
    <s v="08.685.699/0001-82"/>
    <n v="150072.54999999999"/>
    <n v="1246098101"/>
    <d v="2024-05-02T00:00:00"/>
    <m/>
    <s v="2"/>
    <s v="Fertilizers"/>
    <n v="151"/>
    <d v="2023-08-16T00:00:00"/>
    <n v="1010100"/>
    <s v="VENDAS MERCADO INTERNO"/>
    <n v="394"/>
    <n v="150072.54999999999"/>
    <n v="0"/>
    <n v="0"/>
    <n v="0"/>
    <n v="0"/>
    <n v="0"/>
    <n v="0"/>
    <n v="150072.54999999999"/>
    <n v="150072.54999999999"/>
    <n v="150072.54999999999"/>
    <s v="Em Procedimento Judicial"/>
    <m/>
  </r>
  <r>
    <n v="11207"/>
    <x v="29"/>
    <s v="08.685.699/0001-82"/>
    <n v="43771.16"/>
    <n v="1246098102"/>
    <d v="2024-05-02T00:00:00"/>
    <m/>
    <s v="2"/>
    <s v="Fertilizers"/>
    <n v="152"/>
    <d v="2023-08-16T00:00:00"/>
    <n v="1010100"/>
    <s v="VENDAS MERCADO INTERNO"/>
    <n v="394"/>
    <n v="43771.16"/>
    <n v="0"/>
    <n v="0"/>
    <n v="0"/>
    <n v="0"/>
    <n v="0"/>
    <n v="0"/>
    <n v="43771.16"/>
    <n v="43771.16"/>
    <n v="43771.16"/>
    <s v="Em Procedimento Judicial"/>
    <m/>
  </r>
  <r>
    <n v="11207"/>
    <x v="29"/>
    <s v="08.685.699/0001-82"/>
    <n v="150072.54"/>
    <n v="1246096042"/>
    <d v="2024-05-05T00:00:00"/>
    <m/>
    <s v="2"/>
    <s v="Fertilizers"/>
    <n v="520"/>
    <d v="2023-08-04T00:00:00"/>
    <n v="1010100"/>
    <s v="VENDAS MERCADO INTERNO"/>
    <n v="391"/>
    <n v="150072.54"/>
    <n v="0"/>
    <n v="0"/>
    <n v="0"/>
    <n v="0"/>
    <n v="0"/>
    <n v="0"/>
    <n v="150072.54"/>
    <n v="150072.54"/>
    <n v="150072.54"/>
    <s v="Em Procedimento Judicial"/>
    <m/>
  </r>
  <r>
    <n v="11207"/>
    <x v="29"/>
    <s v="08.685.699/0001-82"/>
    <n v="150072.54999999999"/>
    <n v="1246098739"/>
    <d v="2024-06-03T00:00:00"/>
    <m/>
    <s v="2"/>
    <s v="Fertilizers"/>
    <n v="161"/>
    <d v="2023-08-18T00:00:00"/>
    <n v="1010100"/>
    <s v="VENDAS MERCADO INTERNO"/>
    <n v="362"/>
    <n v="150072.54999999999"/>
    <n v="0"/>
    <n v="0"/>
    <n v="0"/>
    <n v="0"/>
    <n v="0"/>
    <n v="0"/>
    <n v="0"/>
    <n v="150072.54999999999"/>
    <n v="150072.54999999999"/>
    <s v="Em Procedimento Judicial"/>
    <m/>
  </r>
  <r>
    <n v="11207"/>
    <x v="29"/>
    <s v="08.685.699/0001-82"/>
    <n v="150072.54"/>
    <n v="1246103409"/>
    <d v="2024-05-09T00:00:00"/>
    <m/>
    <s v="2"/>
    <s v="Fertilizers"/>
    <n v="231"/>
    <d v="2023-09-12T00:00:00"/>
    <n v="1010100"/>
    <s v="VENDAS MERCADO INTERNO"/>
    <n v="387"/>
    <n v="150072.54"/>
    <n v="0"/>
    <n v="0"/>
    <n v="0"/>
    <n v="0"/>
    <n v="0"/>
    <n v="0"/>
    <n v="150072.54"/>
    <n v="150072.54"/>
    <n v="150072.54"/>
    <s v="Em Procedimento Judicial"/>
    <m/>
  </r>
  <r>
    <n v="11207"/>
    <x v="29"/>
    <s v="08.685.699/0001-82"/>
    <n v="150072.54999999999"/>
    <n v="1246104480"/>
    <d v="2024-05-15T00:00:00"/>
    <m/>
    <s v="2"/>
    <s v="Fertilizers"/>
    <n v="1209"/>
    <d v="2023-09-18T00:00:00"/>
    <n v="1010100"/>
    <s v="VENDAS MERCADO INTERNO"/>
    <n v="381"/>
    <n v="150072.54999999999"/>
    <n v="0"/>
    <n v="0"/>
    <n v="0"/>
    <n v="0"/>
    <n v="0"/>
    <n v="0"/>
    <n v="150072.54999999999"/>
    <n v="150072.54999999999"/>
    <n v="150072.54999999999"/>
    <s v="Em Procedimento Judicial"/>
    <m/>
  </r>
  <r>
    <n v="11207"/>
    <x v="29"/>
    <s v="08.685.699/0001-82"/>
    <n v="98152.42"/>
    <n v="1246128194"/>
    <d v="2024-10-30T00:00:00"/>
    <m/>
    <s v="2"/>
    <s v="Fertilizers"/>
    <n v="2705"/>
    <d v="2024-02-05T00:00:00"/>
    <n v="1010100"/>
    <s v="VENDAS MERCADO INTERNO"/>
    <n v="213"/>
    <n v="98152.42"/>
    <n v="0"/>
    <n v="0"/>
    <n v="0"/>
    <n v="0"/>
    <n v="0"/>
    <n v="0"/>
    <n v="0"/>
    <n v="98152.42"/>
    <n v="98152.42"/>
    <s v="Em Procedimento Judicial"/>
    <m/>
  </r>
  <r>
    <n v="11207"/>
    <x v="29"/>
    <s v="08.685.699/0001-82"/>
    <n v="98152.43"/>
    <n v="1246128212"/>
    <d v="2024-10-30T00:00:00"/>
    <m/>
    <s v="2"/>
    <s v="Fertilizers"/>
    <n v="2708"/>
    <d v="2024-02-05T00:00:00"/>
    <n v="1010100"/>
    <s v="VENDAS MERCADO INTERNO"/>
    <n v="213"/>
    <n v="98152.43"/>
    <n v="0"/>
    <n v="0"/>
    <n v="0"/>
    <n v="0"/>
    <n v="0"/>
    <n v="0"/>
    <n v="0"/>
    <n v="98152.43"/>
    <n v="98152.43"/>
    <s v="Em Procedimento Judicial"/>
    <m/>
  </r>
  <r>
    <n v="11207"/>
    <x v="29"/>
    <s v="08.685.699/0001-82"/>
    <n v="43771.16"/>
    <n v="1246102312"/>
    <d v="2024-05-02T00:00:00"/>
    <m/>
    <s v="2"/>
    <s v="Fertilizers"/>
    <n v="1038"/>
    <d v="2023-09-05T00:00:00"/>
    <n v="1010100"/>
    <s v="VENDAS MERCADO INTERNO"/>
    <n v="394"/>
    <n v="43771.16"/>
    <n v="0"/>
    <n v="0"/>
    <n v="0"/>
    <n v="0"/>
    <n v="0"/>
    <n v="0"/>
    <n v="43771.16"/>
    <n v="43771.16"/>
    <n v="43771.16"/>
    <s v="Em Procedimento Judicial"/>
    <m/>
  </r>
  <r>
    <n v="11207"/>
    <x v="29"/>
    <s v="08.685.699/0001-82"/>
    <n v="43771.16"/>
    <n v="1246103425"/>
    <d v="2024-05-09T00:00:00"/>
    <m/>
    <s v="2"/>
    <s v="Fertilizers"/>
    <n v="232"/>
    <d v="2023-09-12T00:00:00"/>
    <n v="1010100"/>
    <s v="VENDAS MERCADO INTERNO"/>
    <n v="387"/>
    <n v="43771.16"/>
    <n v="0"/>
    <n v="0"/>
    <n v="0"/>
    <n v="0"/>
    <n v="0"/>
    <n v="0"/>
    <n v="43771.16"/>
    <n v="43771.16"/>
    <n v="43771.16"/>
    <s v="Em Procedimento Judicial"/>
    <m/>
  </r>
  <r>
    <n v="11207"/>
    <x v="29"/>
    <s v="08.685.699/0001-82"/>
    <n v="85883.37"/>
    <n v="1246128634"/>
    <d v="2024-11-01T00:00:00"/>
    <m/>
    <s v="2"/>
    <s v="Fertilizers"/>
    <n v="2731"/>
    <d v="2024-02-07T00:00:00"/>
    <n v="1010100"/>
    <s v="VENDAS MERCADO INTERNO"/>
    <n v="211"/>
    <n v="85883.37"/>
    <n v="0"/>
    <n v="0"/>
    <n v="0"/>
    <n v="0"/>
    <n v="0"/>
    <n v="0"/>
    <n v="0"/>
    <n v="85883.37"/>
    <n v="85883.37"/>
    <s v="Em Procedimento Judicial"/>
    <m/>
  </r>
  <r>
    <n v="11207"/>
    <x v="29"/>
    <s v="08.685.699/0001-82"/>
    <n v="150072.54"/>
    <n v="1246106013"/>
    <d v="2024-05-04T00:00:00"/>
    <m/>
    <s v="2"/>
    <s v="Fertilizers"/>
    <n v="1329"/>
    <d v="2023-09-25T00:00:00"/>
    <n v="1010100"/>
    <s v="VENDAS MERCADO INTERNO"/>
    <n v="392"/>
    <n v="150072.54"/>
    <n v="0"/>
    <n v="0"/>
    <n v="0"/>
    <n v="0"/>
    <n v="0"/>
    <n v="0"/>
    <n v="150072.54"/>
    <n v="150072.54"/>
    <n v="150072.54"/>
    <s v="Em Procedimento Judicial"/>
    <m/>
  </r>
  <r>
    <n v="11207"/>
    <x v="29"/>
    <s v="08.685.699/0001-82"/>
    <n v="150072.54"/>
    <n v="1246102752"/>
    <d v="2024-05-03T00:00:00"/>
    <m/>
    <s v="2"/>
    <s v="Fertilizers"/>
    <n v="1071"/>
    <d v="2023-09-06T00:00:00"/>
    <n v="1010100"/>
    <s v="VENDAS MERCADO INTERNO"/>
    <n v="393"/>
    <n v="150072.54"/>
    <n v="0"/>
    <n v="0"/>
    <n v="0"/>
    <n v="0"/>
    <n v="0"/>
    <n v="0"/>
    <n v="150072.54"/>
    <n v="150072.54"/>
    <n v="150072.54"/>
    <s v="Em Procedimento Judicial"/>
    <m/>
  </r>
  <r>
    <n v="11207"/>
    <x v="29"/>
    <s v="08.685.699/0001-82"/>
    <n v="43771.16"/>
    <n v="1246103933"/>
    <d v="2024-05-11T00:00:00"/>
    <m/>
    <s v="2"/>
    <s v="Fertilizers"/>
    <n v="1167"/>
    <d v="2023-09-14T00:00:00"/>
    <n v="1010100"/>
    <s v="VENDAS MERCADO INTERNO"/>
    <n v="385"/>
    <n v="43771.16"/>
    <n v="0"/>
    <n v="0"/>
    <n v="0"/>
    <n v="0"/>
    <n v="0"/>
    <n v="0"/>
    <n v="43771.16"/>
    <n v="43771.16"/>
    <n v="43771.16"/>
    <s v="Em Procedimento Judicial"/>
    <m/>
  </r>
  <r>
    <n v="11207"/>
    <x v="29"/>
    <s v="08.685.699/0001-82"/>
    <n v="150072.54"/>
    <n v="1246105096"/>
    <d v="2024-05-17T00:00:00"/>
    <m/>
    <s v="2"/>
    <s v="Fertilizers"/>
    <n v="1263"/>
    <d v="2023-09-20T00:00:00"/>
    <n v="1010100"/>
    <s v="VENDAS MERCADO INTERNO"/>
    <n v="379"/>
    <n v="150072.54"/>
    <n v="0"/>
    <n v="0"/>
    <n v="0"/>
    <n v="0"/>
    <n v="0"/>
    <n v="0"/>
    <n v="150072.54"/>
    <n v="150072.54"/>
    <n v="150072.54"/>
    <s v="Em Procedimento Judicial"/>
    <m/>
  </r>
  <r>
    <n v="11207"/>
    <x v="29"/>
    <s v="08.685.699/0001-82"/>
    <n v="85883.37"/>
    <n v="1246131973"/>
    <d v="2024-10-30T00:00:00"/>
    <m/>
    <s v="2"/>
    <s v="Fertilizers"/>
    <n v="2972"/>
    <d v="2024-03-01T00:00:00"/>
    <n v="1010100"/>
    <s v="VENDAS MERCADO INTERNO"/>
    <n v="213"/>
    <n v="85883.37"/>
    <n v="0"/>
    <n v="0"/>
    <n v="0"/>
    <n v="0"/>
    <n v="0"/>
    <n v="0"/>
    <n v="0"/>
    <n v="85883.37"/>
    <n v="85883.37"/>
    <s v="Em Procedimento Judicial"/>
    <m/>
  </r>
  <r>
    <n v="10456"/>
    <x v="30"/>
    <s v="03.285.659/0001-20"/>
    <n v="88700.98"/>
    <n v="1246071886"/>
    <d v="2023-09-30T00:00:00"/>
    <m/>
    <s v="2"/>
    <s v="Fertilizers"/>
    <n v="20898"/>
    <d v="2023-03-15T00:00:00"/>
    <n v="1010100"/>
    <s v="VENDAS MERCADO INTERNO"/>
    <n v="609"/>
    <n v="88700.98"/>
    <n v="0"/>
    <n v="0"/>
    <n v="0"/>
    <n v="0"/>
    <n v="0"/>
    <n v="0"/>
    <n v="88700.98"/>
    <n v="88700.98"/>
    <n v="88700.98"/>
    <s v="Em Procedimento Judicial"/>
    <m/>
  </r>
  <r>
    <n v="10456"/>
    <x v="30"/>
    <s v="03.285.659/0001-20"/>
    <n v="111322.27"/>
    <n v="1246093334"/>
    <d v="2024-09-02T00:00:00"/>
    <m/>
    <s v="2"/>
    <s v="Fertilizers"/>
    <n v="251"/>
    <d v="2023-07-20T00:00:00"/>
    <n v="1010100"/>
    <s v="VENDAS MERCADO INTERNO"/>
    <n v="271"/>
    <n v="111322.27"/>
    <n v="0"/>
    <n v="0"/>
    <n v="0"/>
    <n v="0"/>
    <n v="0"/>
    <n v="0"/>
    <n v="0"/>
    <n v="111322.27"/>
    <n v="111322.27"/>
    <s v="Em Procedimento Judicial"/>
    <m/>
  </r>
  <r>
    <n v="10456"/>
    <x v="30"/>
    <s v="03.285.659/0001-20"/>
    <n v="118491.86"/>
    <n v="1246097861"/>
    <d v="2024-09-30T00:00:00"/>
    <m/>
    <s v="2"/>
    <s v="Fertilizers"/>
    <n v="683"/>
    <d v="2023-08-14T00:00:00"/>
    <n v="1010100"/>
    <s v="VENDAS MERCADO INTERNO"/>
    <n v="243"/>
    <n v="118491.86"/>
    <n v="0"/>
    <n v="0"/>
    <n v="0"/>
    <n v="0"/>
    <n v="0"/>
    <n v="0"/>
    <n v="0"/>
    <n v="118491.86"/>
    <n v="118491.86"/>
    <s v="Em Procedimento Judicial"/>
    <m/>
  </r>
  <r>
    <n v="10456"/>
    <x v="30"/>
    <s v="03.285.659/0001-20"/>
    <n v="117498.04"/>
    <n v="1246099432"/>
    <d v="2024-09-10T00:00:00"/>
    <m/>
    <s v="2"/>
    <s v="Fertilizers"/>
    <n v="787"/>
    <d v="2023-08-22T00:00:00"/>
    <n v="1010100"/>
    <s v="VENDAS MERCADO INTERNO"/>
    <n v="263"/>
    <n v="117498.04"/>
    <n v="0"/>
    <n v="0"/>
    <n v="0"/>
    <n v="0"/>
    <n v="0"/>
    <n v="0"/>
    <n v="0"/>
    <n v="117498.04"/>
    <n v="117498.04"/>
    <s v="Em Procedimento Judicial"/>
    <m/>
  </r>
  <r>
    <n v="10456"/>
    <x v="30"/>
    <s v="03.285.659/0001-20"/>
    <n v="100560.82"/>
    <n v="1246100417"/>
    <d v="2024-09-13T00:00:00"/>
    <m/>
    <s v="2"/>
    <s v="Fertilizers"/>
    <n v="183"/>
    <d v="2023-08-25T00:00:00"/>
    <n v="1010100"/>
    <s v="VENDAS MERCADO INTERNO"/>
    <n v="260"/>
    <n v="100560.82"/>
    <n v="0"/>
    <n v="0"/>
    <n v="0"/>
    <n v="0"/>
    <n v="0"/>
    <n v="0"/>
    <n v="0"/>
    <n v="100560.82"/>
    <n v="100560.82"/>
    <s v="Em Procedimento Judicial"/>
    <m/>
  </r>
  <r>
    <n v="10456"/>
    <x v="30"/>
    <s v="03.285.659/0001-20"/>
    <n v="61416.78"/>
    <n v="1246065449"/>
    <d v="2023-09-30T00:00:00"/>
    <m/>
    <s v="2"/>
    <s v="Fertilizers"/>
    <n v="20596"/>
    <d v="2023-02-01T00:00:00"/>
    <n v="1010100"/>
    <s v="VENDAS MERCADO INTERNO"/>
    <n v="609"/>
    <n v="61416.78"/>
    <n v="0"/>
    <n v="0"/>
    <n v="0"/>
    <n v="0"/>
    <n v="0"/>
    <n v="0"/>
    <n v="61416.78"/>
    <n v="61416.78"/>
    <n v="61416.78"/>
    <s v="Em Procedimento Judicial"/>
    <m/>
  </r>
  <r>
    <n v="10456"/>
    <x v="30"/>
    <s v="03.285.659/0001-20"/>
    <n v="106537.82"/>
    <n v="1246110763"/>
    <d v="2024-08-30T00:00:00"/>
    <m/>
    <s v="2"/>
    <s v="Fertilizers"/>
    <n v="1702"/>
    <d v="2023-10-23T00:00:00"/>
    <n v="1010100"/>
    <s v="VENDAS MERCADO INTERNO"/>
    <n v="274"/>
    <n v="106537.82"/>
    <n v="0"/>
    <n v="0"/>
    <n v="0"/>
    <n v="0"/>
    <n v="0"/>
    <n v="0"/>
    <n v="0"/>
    <n v="106537.82"/>
    <n v="106537.82"/>
    <s v="Em Procedimento Judicial"/>
    <m/>
  </r>
  <r>
    <n v="10456"/>
    <x v="30"/>
    <s v="03.285.659/0001-20"/>
    <n v="110173.77"/>
    <n v="1246067444"/>
    <d v="2023-09-30T00:00:00"/>
    <m/>
    <s v="2"/>
    <s v="Fertilizers"/>
    <n v="20680"/>
    <d v="2023-02-14T00:00:00"/>
    <n v="1010100"/>
    <s v="VENDAS MERCADO INTERNO"/>
    <n v="609"/>
    <n v="110173.77"/>
    <n v="0"/>
    <n v="0"/>
    <n v="0"/>
    <n v="0"/>
    <n v="0"/>
    <n v="0"/>
    <n v="110173.77"/>
    <n v="110173.77"/>
    <n v="110173.77"/>
    <s v="Em Procedimento Judicial"/>
    <m/>
  </r>
  <r>
    <n v="10456"/>
    <x v="30"/>
    <s v="03.285.659/0001-20"/>
    <n v="153644.62"/>
    <n v="1246066037"/>
    <d v="2023-09-30T00:00:00"/>
    <m/>
    <s v="2"/>
    <s v="Fertilizers"/>
    <n v="20619"/>
    <d v="2023-02-06T00:00:00"/>
    <n v="1010100"/>
    <s v="VENDAS MERCADO INTERNO"/>
    <n v="609"/>
    <n v="153644.62"/>
    <n v="0"/>
    <n v="0"/>
    <n v="0"/>
    <n v="0"/>
    <n v="0"/>
    <n v="0"/>
    <n v="153644.62"/>
    <n v="153644.62"/>
    <n v="153644.62"/>
    <s v="Em Procedimento Judicial"/>
    <m/>
  </r>
  <r>
    <n v="10456"/>
    <x v="30"/>
    <s v="03.285.659/0001-20"/>
    <n v="121627.64"/>
    <n v="1246061337"/>
    <d v="2023-09-30T00:00:00"/>
    <m/>
    <s v="2"/>
    <s v="Fertilizers"/>
    <n v="20371"/>
    <d v="2023-01-04T00:00:00"/>
    <n v="1010100"/>
    <s v="VENDAS MERCADO INTERNO"/>
    <n v="609"/>
    <n v="121627.64"/>
    <n v="0"/>
    <n v="0"/>
    <n v="0"/>
    <n v="0"/>
    <n v="0"/>
    <n v="0"/>
    <n v="121627.64"/>
    <n v="121627.64"/>
    <n v="121627.64"/>
    <s v="Em Procedimento Judicial"/>
    <m/>
  </r>
  <r>
    <n v="10456"/>
    <x v="30"/>
    <s v="03.285.659/0001-20"/>
    <n v="119763.56"/>
    <n v="1246107272"/>
    <d v="2024-09-01T00:00:00"/>
    <m/>
    <s v="2"/>
    <s v="Fertilizers"/>
    <n v="1444"/>
    <d v="2023-10-02T00:00:00"/>
    <n v="1010100"/>
    <s v="VENDAS MERCADO INTERNO"/>
    <n v="272"/>
    <n v="119763.56"/>
    <n v="0"/>
    <n v="0"/>
    <n v="0"/>
    <n v="0"/>
    <n v="0"/>
    <n v="0"/>
    <n v="0"/>
    <n v="119763.56"/>
    <n v="119763.56"/>
    <s v="Em Procedimento Judicial"/>
    <m/>
  </r>
  <r>
    <n v="10456"/>
    <x v="30"/>
    <s v="03.285.659/0001-20"/>
    <n v="129996.55"/>
    <n v="1246063009"/>
    <d v="2023-09-30T00:00:00"/>
    <m/>
    <s v="2"/>
    <s v="Fertilizers"/>
    <n v="20458"/>
    <d v="2023-01-17T00:00:00"/>
    <n v="1010100"/>
    <s v="VENDAS MERCADO INTERNO"/>
    <n v="609"/>
    <n v="129996.55"/>
    <n v="0"/>
    <n v="0"/>
    <n v="0"/>
    <n v="0"/>
    <n v="0"/>
    <n v="0"/>
    <n v="129996.55"/>
    <n v="129996.55"/>
    <n v="129996.55"/>
    <s v="Em Procedimento Judicial"/>
    <m/>
  </r>
  <r>
    <n v="10456"/>
    <x v="30"/>
    <s v="03.285.659/0001-20"/>
    <n v="61021.61"/>
    <n v="1246063058"/>
    <d v="2023-09-30T00:00:00"/>
    <m/>
    <s v="2"/>
    <s v="Fertilizers"/>
    <n v="20480"/>
    <d v="2023-01-17T00:00:00"/>
    <n v="1010100"/>
    <s v="VENDAS MERCADO INTERNO"/>
    <n v="609"/>
    <n v="61021.61"/>
    <n v="0"/>
    <n v="0"/>
    <n v="0"/>
    <n v="0"/>
    <n v="0"/>
    <n v="0"/>
    <n v="61021.61"/>
    <n v="61021.61"/>
    <n v="61021.61"/>
    <s v="Em Procedimento Judicial"/>
    <m/>
  </r>
  <r>
    <n v="10456"/>
    <x v="30"/>
    <s v="03.285.659/0001-20"/>
    <n v="111090.76"/>
    <n v="1246063995"/>
    <d v="2023-09-30T00:00:00"/>
    <m/>
    <s v="2"/>
    <s v="Fertilizers"/>
    <n v="20513"/>
    <d v="2023-01-23T00:00:00"/>
    <n v="1010100"/>
    <s v="VENDAS MERCADO INTERNO"/>
    <n v="609"/>
    <n v="111090.76"/>
    <n v="0"/>
    <n v="0"/>
    <n v="0"/>
    <n v="0"/>
    <n v="0"/>
    <n v="0"/>
    <n v="111090.76"/>
    <n v="111090.76"/>
    <n v="111090.76"/>
    <s v="Em Procedimento Judicial"/>
    <m/>
  </r>
  <r>
    <n v="10456"/>
    <x v="30"/>
    <s v="03.285.659/0001-20"/>
    <n v="110522.5"/>
    <n v="1246106689"/>
    <d v="2024-09-22T00:00:00"/>
    <m/>
    <s v="2"/>
    <s v="Fertilizers"/>
    <n v="1400"/>
    <d v="2023-09-28T00:00:00"/>
    <n v="1010100"/>
    <s v="VENDAS MERCADO INTERNO"/>
    <n v="251"/>
    <n v="110522.5"/>
    <n v="0"/>
    <n v="0"/>
    <n v="0"/>
    <n v="0"/>
    <n v="0"/>
    <n v="0"/>
    <n v="0"/>
    <n v="110522.5"/>
    <n v="110522.5"/>
    <s v="Em Procedimento Judicial"/>
    <m/>
  </r>
  <r>
    <n v="10456"/>
    <x v="30"/>
    <s v="03.285.659/0001-20"/>
    <n v="94275.76"/>
    <n v="1246103838"/>
    <d v="2024-09-08T00:00:00"/>
    <m/>
    <s v="2"/>
    <s v="Fertilizers"/>
    <n v="1159"/>
    <d v="2023-09-14T00:00:00"/>
    <n v="1010100"/>
    <s v="VENDAS MERCADO INTERNO"/>
    <n v="265"/>
    <n v="94275.76"/>
    <n v="0"/>
    <n v="0"/>
    <n v="0"/>
    <n v="0"/>
    <n v="0"/>
    <n v="0"/>
    <n v="0"/>
    <n v="94275.76"/>
    <n v="94275.76"/>
    <s v="Em Procedimento Judicial"/>
    <m/>
  </r>
  <r>
    <n v="11456"/>
    <x v="29"/>
    <s v="294.299.338-33"/>
    <n v="108608.88999999998"/>
    <n v="1246074872"/>
    <d v="2024-04-30T00:00:00"/>
    <m/>
    <s v="2"/>
    <s v="Fertilizers"/>
    <n v="21029"/>
    <d v="2023-04-03T00:00:00"/>
    <n v="1010100"/>
    <s v="VENDAS MERCADO INTERNO"/>
    <n v="396"/>
    <n v="108608.88999999998"/>
    <n v="0"/>
    <n v="0"/>
    <n v="0"/>
    <n v="0"/>
    <n v="0"/>
    <n v="0"/>
    <n v="108608.88999999998"/>
    <n v="108608.88999999998"/>
    <n v="108608.88999999998"/>
    <s v="Em Procedimento Judicial"/>
    <m/>
  </r>
  <r>
    <n v="11456"/>
    <x v="29"/>
    <s v="294.299.338-33"/>
    <n v="136139"/>
    <n v="1246074571"/>
    <d v="2024-04-30T00:00:00"/>
    <m/>
    <s v="2"/>
    <s v="Fertilizers"/>
    <n v="21023"/>
    <d v="2023-04-01T00:00:00"/>
    <n v="1010100"/>
    <s v="VENDAS MERCADO INTERNO"/>
    <n v="396"/>
    <n v="136139"/>
    <n v="0"/>
    <n v="0"/>
    <n v="0"/>
    <n v="0"/>
    <n v="0"/>
    <n v="0"/>
    <n v="136139"/>
    <n v="136139"/>
    <n v="136139"/>
    <s v="Em Procedimento Judicial"/>
    <m/>
  </r>
  <r>
    <n v="11456"/>
    <x v="29"/>
    <s v="294.299.338-33"/>
    <n v="150110.1"/>
    <n v="1246127149"/>
    <d v="2024-11-19T00:00:00"/>
    <m/>
    <s v="2"/>
    <s v="Fertilizers"/>
    <n v="2634"/>
    <d v="2024-01-29T00:00:00"/>
    <n v="1010100"/>
    <s v="VENDAS MERCADO INTERNO"/>
    <n v="193"/>
    <n v="150110.1"/>
    <n v="0"/>
    <n v="0"/>
    <n v="0"/>
    <n v="0"/>
    <n v="0"/>
    <n v="0"/>
    <n v="0"/>
    <n v="150110.1"/>
    <n v="150110.1"/>
    <s v="Em Procedimento Judicial"/>
    <m/>
  </r>
  <r>
    <n v="11456"/>
    <x v="29"/>
    <s v="294.299.338-33"/>
    <n v="150110.1"/>
    <n v="1246128463"/>
    <d v="2024-11-27T00:00:00"/>
    <m/>
    <s v="2"/>
    <s v="Fertilizers"/>
    <n v="2720"/>
    <d v="2024-02-06T00:00:00"/>
    <n v="1010100"/>
    <s v="VENDAS MERCADO INTERNO"/>
    <n v="185"/>
    <n v="150110.1"/>
    <n v="0"/>
    <n v="0"/>
    <n v="0"/>
    <n v="0"/>
    <n v="0"/>
    <n v="0"/>
    <n v="0"/>
    <n v="150110.1"/>
    <n v="150110.1"/>
    <s v="Em Procedimento Judicial"/>
    <m/>
  </r>
  <r>
    <n v="10676"/>
    <x v="31"/>
    <s v="00.000.000/0000-00"/>
    <n v="256935.85"/>
    <n v="1246069607"/>
    <d v="2023-08-29T00:00:00"/>
    <m/>
    <s v="1"/>
    <s v="Adtives"/>
    <n v="2347"/>
    <d v="2023-03-02T00:00:00"/>
    <n v="1010200"/>
    <s v="VENDAS MERCADO EXTERNO"/>
    <n v="641"/>
    <n v="256935.85"/>
    <n v="0"/>
    <n v="0"/>
    <n v="0"/>
    <n v="0"/>
    <n v="0"/>
    <n v="0"/>
    <n v="0"/>
    <n v="256935.85"/>
    <n v="256935.85"/>
    <s v="Cobrança Administrativa"/>
    <m/>
  </r>
  <r>
    <n v="12943"/>
    <x v="32"/>
    <s v="07.571.116/0015-25"/>
    <n v="82290"/>
    <n v="1246187828"/>
    <d v="2025-01-10T00:00:00"/>
    <m/>
    <s v="1"/>
    <s v="Adtives"/>
    <n v="1585"/>
    <d v="2024-12-13T00:00:00"/>
    <n v="1010100"/>
    <s v="VENDAS MERCADO INTERNO"/>
    <n v="141"/>
    <n v="2468.6999999999998"/>
    <n v="0"/>
    <n v="0"/>
    <n v="0"/>
    <n v="2468.6999999999998"/>
    <n v="0"/>
    <n v="0"/>
    <n v="0"/>
    <n v="0"/>
    <n v="2468.6999999999998"/>
    <s v="Cobrança Administrativa"/>
    <m/>
  </r>
  <r>
    <n v="12943"/>
    <x v="32"/>
    <s v="07.571.116/0015-25"/>
    <n v="82290"/>
    <n v="1246187829"/>
    <d v="2025-02-07T00:00:00"/>
    <m/>
    <s v="1"/>
    <s v="Adtives"/>
    <n v="1585"/>
    <d v="2024-12-13T00:00:00"/>
    <n v="1010100"/>
    <s v="VENDAS MERCADO INTERNO"/>
    <n v="113"/>
    <n v="0"/>
    <n v="2468.6999999999998"/>
    <n v="0"/>
    <n v="0"/>
    <n v="2468.6999999999998"/>
    <n v="0"/>
    <n v="0"/>
    <n v="0"/>
    <n v="0"/>
    <n v="2468.6999999999998"/>
    <s v="Cobrança Administrativa"/>
    <m/>
  </r>
  <r>
    <n v="12943"/>
    <x v="32"/>
    <s v="07.571.116/0015-25"/>
    <n v="49170"/>
    <n v="1246183176"/>
    <d v="2024-12-16T00:00:00"/>
    <m/>
    <s v="1"/>
    <s v="Adtives"/>
    <n v="6129"/>
    <d v="2024-11-18T00:00:00"/>
    <n v="1010100"/>
    <s v="VENDAS MERCADO INTERNO"/>
    <n v="166"/>
    <n v="1475.1"/>
    <n v="0"/>
    <n v="0"/>
    <n v="0"/>
    <n v="1475.1"/>
    <n v="0"/>
    <n v="0"/>
    <n v="0"/>
    <n v="0"/>
    <n v="1475.1"/>
    <s v="Cobrança Administrativa"/>
    <m/>
  </r>
  <r>
    <n v="12365"/>
    <x v="33"/>
    <s v="..-"/>
    <n v="86145.42"/>
    <n v="1246181410"/>
    <d v="2025-02-06T00:00:00"/>
    <m/>
    <s v="1"/>
    <s v="Adtives"/>
    <n v="6005"/>
    <d v="2024-11-08T00:00:00"/>
    <n v="1010200"/>
    <s v="VENDAS MERCADO EXTERNO"/>
    <n v="114"/>
    <n v="0"/>
    <n v="2584.3625999999999"/>
    <n v="0"/>
    <n v="0"/>
    <n v="2584.3625999999999"/>
    <n v="0"/>
    <n v="0"/>
    <n v="0"/>
    <n v="0"/>
    <n v="2584.3625999999999"/>
    <s v="Cobrança Administrativa"/>
    <m/>
  </r>
  <r>
    <n v="12365"/>
    <x v="33"/>
    <s v="..-"/>
    <n v="110758.38999999998"/>
    <n v="1246181553"/>
    <d v="2025-02-06T00:00:00"/>
    <m/>
    <s v="1"/>
    <s v="Adtives"/>
    <n v="6015"/>
    <d v="2024-11-08T00:00:00"/>
    <n v="1010200"/>
    <s v="VENDAS MERCADO EXTERNO"/>
    <n v="114"/>
    <n v="0"/>
    <n v="3322.7516999999993"/>
    <n v="0"/>
    <n v="0"/>
    <n v="3322.7516999999993"/>
    <n v="0"/>
    <n v="0"/>
    <n v="0"/>
    <n v="0"/>
    <n v="3322.7516999999993"/>
    <s v="Cobrança Administrativa"/>
    <m/>
  </r>
  <r>
    <n v="12295"/>
    <x v="34"/>
    <s v="37.743.701/0001-20"/>
    <n v="129728"/>
    <n v="1246100036"/>
    <d v="2024-09-12T00:00:00"/>
    <m/>
    <s v="2"/>
    <s v="Fertilizers"/>
    <n v="843"/>
    <d v="2023-08-24T00:00:00"/>
    <n v="1010100"/>
    <s v="VENDAS MERCADO INTERNO"/>
    <n v="261"/>
    <n v="129728"/>
    <n v="0"/>
    <n v="0"/>
    <n v="0"/>
    <n v="0"/>
    <n v="0"/>
    <n v="0"/>
    <n v="0"/>
    <n v="129728"/>
    <n v="129728"/>
    <s v="Em Procedimento Judicial"/>
    <m/>
  </r>
  <r>
    <n v="12295"/>
    <x v="34"/>
    <s v="37.743.701/0001-20"/>
    <n v="126208"/>
    <n v="1246106003"/>
    <d v="2024-09-24T00:00:00"/>
    <m/>
    <s v="2"/>
    <s v="Fertilizers"/>
    <n v="1328"/>
    <d v="2023-09-25T00:00:00"/>
    <n v="1010100"/>
    <s v="VENDAS MERCADO INTERNO"/>
    <n v="249"/>
    <n v="126208"/>
    <n v="0"/>
    <n v="0"/>
    <n v="0"/>
    <n v="0"/>
    <n v="0"/>
    <n v="0"/>
    <n v="0"/>
    <n v="126208"/>
    <n v="126208"/>
    <s v="Em Procedimento Judicial"/>
    <m/>
  </r>
  <r>
    <n v="12295"/>
    <x v="34"/>
    <s v="37.743.701/0001-20"/>
    <n v="19965"/>
    <n v="1246100409"/>
    <d v="2024-09-13T00:00:00"/>
    <m/>
    <s v="2"/>
    <s v="Fertilizers"/>
    <n v="864"/>
    <d v="2023-08-25T00:00:00"/>
    <n v="1010100"/>
    <s v="VENDAS MERCADO INTERNO"/>
    <n v="260"/>
    <n v="19965"/>
    <n v="0"/>
    <n v="0"/>
    <n v="0"/>
    <n v="0"/>
    <n v="0"/>
    <n v="0"/>
    <n v="0"/>
    <n v="19965"/>
    <n v="19965"/>
    <s v="Em Procedimento Judicial"/>
    <m/>
  </r>
  <r>
    <n v="12295"/>
    <x v="34"/>
    <s v="37.743.701/0001-20"/>
    <n v="102625"/>
    <n v="1246100411"/>
    <d v="2024-09-13T00:00:00"/>
    <m/>
    <s v="2"/>
    <s v="Fertilizers"/>
    <n v="865"/>
    <d v="2023-08-25T00:00:00"/>
    <n v="1010100"/>
    <s v="VENDAS MERCADO INTERNO"/>
    <n v="260"/>
    <n v="102625"/>
    <n v="0"/>
    <n v="0"/>
    <n v="0"/>
    <n v="0"/>
    <n v="0"/>
    <n v="0"/>
    <n v="0"/>
    <n v="102625"/>
    <n v="102625"/>
    <s v="Em Procedimento Judicial"/>
    <m/>
  </r>
  <r>
    <n v="12295"/>
    <x v="34"/>
    <s v="37.743.701/0001-20"/>
    <n v="23664"/>
    <n v="1246100034"/>
    <d v="2024-09-12T00:00:00"/>
    <m/>
    <s v="2"/>
    <s v="Fertilizers"/>
    <n v="842"/>
    <d v="2023-08-24T00:00:00"/>
    <n v="1010100"/>
    <s v="VENDAS MERCADO INTERNO"/>
    <n v="261"/>
    <n v="23664"/>
    <n v="0"/>
    <n v="0"/>
    <n v="0"/>
    <n v="0"/>
    <n v="0"/>
    <n v="0"/>
    <n v="0"/>
    <n v="23664"/>
    <n v="23664"/>
    <s v="Em Procedimento Judicial"/>
    <m/>
  </r>
  <r>
    <n v="12295"/>
    <x v="34"/>
    <s v="37.743.701/0001-20"/>
    <n v="126845"/>
    <n v="1246102685"/>
    <d v="2024-09-25T00:00:00"/>
    <m/>
    <s v="2"/>
    <s v="Fertilizers"/>
    <n v="1060"/>
    <d v="2023-09-06T00:00:00"/>
    <n v="1010100"/>
    <s v="VENDAS MERCADO INTERNO"/>
    <n v="248"/>
    <n v="126845"/>
    <n v="0"/>
    <n v="0"/>
    <n v="0"/>
    <n v="0"/>
    <n v="0"/>
    <n v="0"/>
    <n v="0"/>
    <n v="126845"/>
    <n v="126845"/>
    <s v="Em Procedimento Judicial"/>
    <m/>
  </r>
  <r>
    <n v="12295"/>
    <x v="34"/>
    <s v="37.743.701/0001-20"/>
    <n v="119790"/>
    <n v="1246100311"/>
    <d v="2024-09-13T00:00:00"/>
    <m/>
    <s v="2"/>
    <s v="Fertilizers"/>
    <n v="851"/>
    <d v="2023-08-25T00:00:00"/>
    <n v="1010100"/>
    <s v="VENDAS MERCADO INTERNO"/>
    <n v="260"/>
    <n v="119790"/>
    <n v="0"/>
    <n v="0"/>
    <n v="0"/>
    <n v="0"/>
    <n v="0"/>
    <n v="0"/>
    <n v="0"/>
    <n v="119790"/>
    <n v="119790"/>
    <s v="Em Procedimento Judicial"/>
    <m/>
  </r>
  <r>
    <n v="12295"/>
    <x v="34"/>
    <s v="37.743.701/0001-20"/>
    <n v="149872"/>
    <n v="1246099793"/>
    <d v="2024-09-11T00:00:00"/>
    <m/>
    <s v="2"/>
    <s v="Fertilizers"/>
    <n v="176"/>
    <d v="2023-08-23T00:00:00"/>
    <n v="1010100"/>
    <s v="VENDAS MERCADO INTERNO"/>
    <n v="262"/>
    <n v="149872"/>
    <n v="0"/>
    <n v="0"/>
    <n v="0"/>
    <n v="0"/>
    <n v="0"/>
    <n v="0"/>
    <n v="0"/>
    <n v="149872"/>
    <n v="149872"/>
    <s v="Em Procedimento Judicial"/>
    <m/>
  </r>
  <r>
    <n v="12295"/>
    <x v="34"/>
    <s v="37.743.701/0001-20"/>
    <n v="127776"/>
    <n v="1246102654"/>
    <d v="2024-09-25T00:00:00"/>
    <m/>
    <s v="2"/>
    <s v="Fertilizers"/>
    <n v="1053"/>
    <d v="2023-09-06T00:00:00"/>
    <n v="1010100"/>
    <s v="VENDAS MERCADO INTERNO"/>
    <n v="248"/>
    <n v="127776"/>
    <n v="0"/>
    <n v="0"/>
    <n v="0"/>
    <n v="0"/>
    <n v="0"/>
    <n v="0"/>
    <n v="0"/>
    <n v="127776"/>
    <n v="127776"/>
    <s v="Em Procedimento Judicial"/>
    <m/>
  </r>
  <r>
    <n v="12295"/>
    <x v="34"/>
    <s v="37.743.701/0001-20"/>
    <n v="7328"/>
    <n v="1246210431"/>
    <d v="2024-09-11T00:00:00"/>
    <m/>
    <s v="2"/>
    <s v="Fertilizers"/>
    <n v="177"/>
    <d v="2023-08-23T00:00:00"/>
    <n v="1010100"/>
    <s v="VENDAS MERCADO INTERNO"/>
    <n v="262"/>
    <n v="7328"/>
    <n v="0"/>
    <n v="0"/>
    <n v="0"/>
    <n v="0"/>
    <n v="0"/>
    <n v="0"/>
    <n v="7328"/>
    <n v="7328"/>
    <n v="7328"/>
    <s v="Em Procedimento Judicial"/>
    <m/>
  </r>
  <r>
    <n v="12295"/>
    <x v="34"/>
    <s v="37.743.701/0001-20"/>
    <n v="76544"/>
    <n v="1246211113"/>
    <d v="2024-09-11T00:00:00"/>
    <m/>
    <s v="2"/>
    <s v="Fertilizers"/>
    <n v="829"/>
    <d v="2023-08-23T00:00:00"/>
    <n v="1010100"/>
    <s v="VENDAS MERCADO INTERNO"/>
    <n v="262"/>
    <n v="76544"/>
    <n v="0"/>
    <n v="0"/>
    <n v="0"/>
    <n v="0"/>
    <n v="0"/>
    <n v="0"/>
    <n v="0"/>
    <n v="76544"/>
    <n v="76544"/>
    <s v="Em Procedimento Judicial"/>
    <m/>
  </r>
  <r>
    <n v="13193"/>
    <x v="35"/>
    <s v="28.321.521/0001-60"/>
    <n v="39218.19"/>
    <n v="1246129675"/>
    <d v="2024-11-02T00:00:00"/>
    <m/>
    <s v="2"/>
    <s v="Fertilizers"/>
    <n v="2817"/>
    <d v="2024-02-16T00:00:00"/>
    <n v="1010100"/>
    <s v="VENDAS MERCADO INTERNO"/>
    <n v="210"/>
    <n v="1176.5457000000001"/>
    <n v="0"/>
    <n v="0"/>
    <n v="0"/>
    <n v="1176.5457000000001"/>
    <n v="0"/>
    <n v="0"/>
    <n v="0"/>
    <n v="0"/>
    <n v="1176.5457000000001"/>
    <s v="Em Procedimento Judicial"/>
    <m/>
  </r>
  <r>
    <n v="13193"/>
    <x v="35"/>
    <s v="28.321.521/0001-60"/>
    <n v="96537.1"/>
    <n v="1246128994"/>
    <d v="2024-11-03T00:00:00"/>
    <m/>
    <s v="2"/>
    <s v="Fertilizers"/>
    <n v="2765"/>
    <d v="2024-02-09T00:00:00"/>
    <n v="1010100"/>
    <s v="VENDAS MERCADO INTERNO"/>
    <n v="209"/>
    <n v="2896.1130000000003"/>
    <n v="0"/>
    <n v="0"/>
    <n v="0"/>
    <n v="2896.1130000000003"/>
    <n v="0"/>
    <n v="0"/>
    <n v="0"/>
    <n v="0"/>
    <n v="2896.1130000000003"/>
    <s v="Em Procedimento Judicial"/>
    <m/>
  </r>
  <r>
    <n v="13193"/>
    <x v="35"/>
    <s v="28.321.521/0001-60"/>
    <n v="14369.79"/>
    <n v="1246129687"/>
    <d v="2024-10-29T00:00:00"/>
    <m/>
    <s v="2"/>
    <s v="Fertilizers"/>
    <n v="2824"/>
    <d v="2024-02-16T00:00:00"/>
    <n v="1010100"/>
    <s v="VENDAS MERCADO INTERNO"/>
    <n v="214"/>
    <n v="431.09370000000001"/>
    <n v="0"/>
    <n v="0"/>
    <n v="0"/>
    <n v="431.09370000000001"/>
    <n v="0"/>
    <n v="0"/>
    <n v="14369.79"/>
    <n v="0"/>
    <n v="431.09370000000001"/>
    <s v="Em Procedimento Judicial"/>
    <m/>
  </r>
  <r>
    <n v="13193"/>
    <x v="35"/>
    <s v="28.321.521/0001-60"/>
    <n v="102482.69"/>
    <n v="1246129689"/>
    <d v="2024-10-29T00:00:00"/>
    <m/>
    <s v="2"/>
    <s v="Fertilizers"/>
    <n v="2825"/>
    <d v="2024-02-16T00:00:00"/>
    <n v="1010100"/>
    <s v="VENDAS MERCADO INTERNO"/>
    <n v="214"/>
    <n v="3074.4807000000001"/>
    <n v="0"/>
    <n v="0"/>
    <n v="0"/>
    <n v="3074.4807000000001"/>
    <n v="0"/>
    <n v="0"/>
    <n v="0"/>
    <n v="0"/>
    <n v="3074.4807000000001"/>
    <s v="Em Procedimento Judicial"/>
    <m/>
  </r>
  <r>
    <n v="13193"/>
    <x v="35"/>
    <s v="28.321.521/0001-60"/>
    <n v="96537.1"/>
    <n v="1246128030"/>
    <d v="2024-11-08T00:00:00"/>
    <m/>
    <s v="2"/>
    <s v="Fertilizers"/>
    <n v="2691"/>
    <d v="2024-02-02T00:00:00"/>
    <n v="1010100"/>
    <s v="VENDAS MERCADO INTERNO"/>
    <n v="204"/>
    <n v="2896.1130000000003"/>
    <n v="0"/>
    <n v="0"/>
    <n v="0"/>
    <n v="2896.1130000000003"/>
    <n v="0"/>
    <n v="0"/>
    <n v="0"/>
    <n v="0"/>
    <n v="2896.1130000000003"/>
    <s v="Em Procedimento Judicial"/>
    <m/>
  </r>
  <r>
    <n v="13193"/>
    <x v="35"/>
    <s v="28.321.521/0001-60"/>
    <n v="96537.1"/>
    <n v="1246129535"/>
    <d v="2024-11-01T00:00:00"/>
    <m/>
    <s v="2"/>
    <s v="Fertilizers"/>
    <n v="2797"/>
    <d v="2024-02-15T00:00:00"/>
    <n v="1010100"/>
    <s v="VENDAS MERCADO INTERNO"/>
    <n v="211"/>
    <n v="2896.1130000000003"/>
    <n v="0"/>
    <n v="0"/>
    <n v="0"/>
    <n v="2896.1130000000003"/>
    <n v="0"/>
    <n v="0"/>
    <n v="0"/>
    <n v="0"/>
    <n v="2896.1130000000003"/>
    <s v="Em Procedimento Judicial"/>
    <m/>
  </r>
  <r>
    <n v="13193"/>
    <x v="35"/>
    <s v="28.321.521/0001-60"/>
    <n v="12586.97"/>
    <n v="1246129615"/>
    <d v="2024-10-29T00:00:00"/>
    <m/>
    <s v="2"/>
    <s v="Fertilizers"/>
    <n v="2804"/>
    <d v="2024-02-16T00:00:00"/>
    <n v="1010100"/>
    <s v="VENDAS MERCADO INTERNO"/>
    <n v="214"/>
    <n v="377.60909999999996"/>
    <n v="0"/>
    <n v="0"/>
    <n v="0"/>
    <n v="377.60909999999996"/>
    <n v="0"/>
    <n v="0"/>
    <n v="12586.97"/>
    <n v="0"/>
    <n v="377.60909999999996"/>
    <s v="Em Procedimento Judicial"/>
    <m/>
  </r>
  <r>
    <n v="13193"/>
    <x v="35"/>
    <s v="28.321.521/0001-60"/>
    <n v="96537.1"/>
    <n v="1246129423"/>
    <d v="2024-11-01T00:00:00"/>
    <m/>
    <s v="2"/>
    <s v="Fertilizers"/>
    <n v="2793"/>
    <d v="2024-02-15T00:00:00"/>
    <n v="1010100"/>
    <s v="VENDAS MERCADO INTERNO"/>
    <n v="211"/>
    <n v="2896.1130000000003"/>
    <n v="0"/>
    <n v="0"/>
    <n v="0"/>
    <n v="2896.1130000000003"/>
    <n v="0"/>
    <n v="0"/>
    <n v="0"/>
    <n v="0"/>
    <n v="2896.1130000000003"/>
    <s v="Em Procedimento Judicial"/>
    <m/>
  </r>
  <r>
    <n v="13193"/>
    <x v="35"/>
    <s v="28.321.521/0001-60"/>
    <n v="96537.1"/>
    <n v="1246129513"/>
    <d v="2024-11-09T00:00:00"/>
    <m/>
    <s v="2"/>
    <s v="Fertilizers"/>
    <n v="2795"/>
    <d v="2024-02-15T00:00:00"/>
    <n v="1010100"/>
    <s v="VENDAS MERCADO INTERNO"/>
    <n v="203"/>
    <n v="2896.1130000000003"/>
    <n v="0"/>
    <n v="0"/>
    <n v="0"/>
    <n v="2896.1130000000003"/>
    <n v="0"/>
    <n v="0"/>
    <n v="0"/>
    <n v="0"/>
    <n v="2896.1130000000003"/>
    <s v="Em Procedimento Judicial"/>
    <m/>
  </r>
  <r>
    <n v="13193"/>
    <x v="35"/>
    <s v="28.321.521/0001-60"/>
    <n v="100695.77"/>
    <n v="1246129348"/>
    <d v="2024-10-27T00:00:00"/>
    <m/>
    <s v="2"/>
    <s v="Fertilizers"/>
    <n v="2788"/>
    <d v="2024-02-14T00:00:00"/>
    <n v="1010100"/>
    <s v="VENDAS MERCADO INTERNO"/>
    <n v="216"/>
    <n v="3020.8730999999998"/>
    <n v="0"/>
    <n v="0"/>
    <n v="0"/>
    <n v="3020.8730999999998"/>
    <n v="0"/>
    <n v="0"/>
    <n v="0"/>
    <n v="0"/>
    <n v="3020.8730999999998"/>
    <s v="Em Procedimento Judicial"/>
    <m/>
  </r>
  <r>
    <n v="13193"/>
    <x v="35"/>
    <s v="28.321.521/0001-60"/>
    <n v="96537.12"/>
    <n v="1246129613"/>
    <d v="2024-11-02T00:00:00"/>
    <m/>
    <s v="2"/>
    <s v="Fertilizers"/>
    <n v="2803"/>
    <d v="2024-02-16T00:00:00"/>
    <n v="1010100"/>
    <s v="VENDAS MERCADO INTERNO"/>
    <n v="210"/>
    <n v="2896.1135999999997"/>
    <n v="0"/>
    <n v="0"/>
    <n v="0"/>
    <n v="2896.1135999999997"/>
    <n v="0"/>
    <n v="0"/>
    <n v="0"/>
    <n v="0"/>
    <n v="2896.1135999999997"/>
    <s v="Em Procedimento Judicial"/>
    <m/>
  </r>
  <r>
    <n v="13193"/>
    <x v="35"/>
    <s v="28.321.521/0001-60"/>
    <n v="114958.38999999998"/>
    <n v="1246126152"/>
    <d v="2024-10-29T00:00:00"/>
    <m/>
    <s v="2"/>
    <s v="Fertilizers"/>
    <n v="2568"/>
    <d v="2024-01-23T00:00:00"/>
    <n v="1010100"/>
    <s v="VENDAS MERCADO INTERNO"/>
    <n v="214"/>
    <n v="3448.7516999999993"/>
    <n v="0"/>
    <n v="0"/>
    <n v="0"/>
    <n v="3448.7516999999993"/>
    <n v="0"/>
    <n v="0"/>
    <n v="0"/>
    <n v="0"/>
    <n v="3448.7516999999993"/>
    <s v="Em Procedimento Judicial"/>
    <m/>
  </r>
  <r>
    <n v="13193"/>
    <x v="35"/>
    <s v="28.321.521/0001-60"/>
    <n v="111898.75000000001"/>
    <n v="1246126325"/>
    <d v="2024-10-30T00:00:00"/>
    <m/>
    <s v="2"/>
    <s v="Fertilizers"/>
    <n v="2581"/>
    <d v="2024-01-24T00:00:00"/>
    <n v="1010100"/>
    <s v="VENDAS MERCADO INTERNO"/>
    <n v="213"/>
    <n v="3356.9625000000001"/>
    <n v="0"/>
    <n v="0"/>
    <n v="0"/>
    <n v="3356.9625000000001"/>
    <n v="0"/>
    <n v="0"/>
    <n v="0"/>
    <n v="0"/>
    <n v="3356.9625000000001"/>
    <s v="Em Procedimento Judicial"/>
    <m/>
  </r>
  <r>
    <n v="13193"/>
    <x v="35"/>
    <s v="28.321.521/0001-60"/>
    <n v="108604.24"/>
    <n v="1246126878"/>
    <d v="2024-11-01T00:00:00"/>
    <m/>
    <s v="2"/>
    <s v="Fertilizers"/>
    <n v="2614"/>
    <d v="2024-01-26T00:00:00"/>
    <n v="1010100"/>
    <s v="VENDAS MERCADO INTERNO"/>
    <n v="211"/>
    <n v="3258.1271999999999"/>
    <n v="0"/>
    <n v="0"/>
    <n v="0"/>
    <n v="3258.1271999999999"/>
    <n v="0"/>
    <n v="0"/>
    <n v="0"/>
    <n v="0"/>
    <n v="3258.1271999999999"/>
    <s v="Em Procedimento Judicial"/>
    <m/>
  </r>
  <r>
    <n v="13193"/>
    <x v="35"/>
    <s v="28.321.521/0001-60"/>
    <n v="110524.44"/>
    <n v="1246126771"/>
    <d v="2024-11-01T00:00:00"/>
    <m/>
    <s v="2"/>
    <s v="Fertilizers"/>
    <n v="2605"/>
    <d v="2024-01-26T00:00:00"/>
    <n v="1010100"/>
    <s v="VENDAS MERCADO INTERNO"/>
    <n v="211"/>
    <n v="3315.7332000000001"/>
    <n v="0"/>
    <n v="0"/>
    <n v="0"/>
    <n v="3315.7332000000001"/>
    <n v="0"/>
    <n v="0"/>
    <n v="0"/>
    <n v="0"/>
    <n v="3315.7332000000001"/>
    <s v="Em Procedimento Judicial"/>
    <m/>
  </r>
  <r>
    <n v="13193"/>
    <x v="35"/>
    <s v="28.321.521/0001-60"/>
    <n v="81453.179999999993"/>
    <n v="1246126682"/>
    <d v="2024-10-31T00:00:00"/>
    <m/>
    <s v="2"/>
    <s v="Fertilizers"/>
    <n v="2598"/>
    <d v="2024-01-25T00:00:00"/>
    <n v="1010100"/>
    <s v="VENDAS MERCADO INTERNO"/>
    <n v="212"/>
    <n v="2443.5953999999997"/>
    <n v="0"/>
    <n v="0"/>
    <n v="0"/>
    <n v="2443.5953999999997"/>
    <n v="0"/>
    <n v="0"/>
    <n v="0"/>
    <n v="0"/>
    <n v="2443.5953999999997"/>
    <s v="Em Procedimento Judicial"/>
    <m/>
  </r>
  <r>
    <n v="13193"/>
    <x v="35"/>
    <s v="28.321.521/0001-60"/>
    <n v="97994.5"/>
    <n v="1246124699"/>
    <d v="2024-10-28T00:00:00"/>
    <m/>
    <s v="2"/>
    <s v="Fertilizers"/>
    <n v="2485"/>
    <d v="2024-01-12T00:00:00"/>
    <n v="1010100"/>
    <s v="VENDAS MERCADO INTERNO"/>
    <n v="215"/>
    <n v="2939.835"/>
    <n v="0"/>
    <n v="0"/>
    <n v="0"/>
    <n v="2939.835"/>
    <n v="0"/>
    <n v="0"/>
    <n v="0"/>
    <n v="0"/>
    <n v="2939.835"/>
    <s v="Em Procedimento Judicial"/>
    <m/>
  </r>
  <r>
    <n v="13193"/>
    <x v="35"/>
    <s v="28.321.521/0001-60"/>
    <n v="102482.69"/>
    <n v="1246129677"/>
    <d v="2024-10-29T00:00:00"/>
    <m/>
    <s v="2"/>
    <s v="Fertilizers"/>
    <n v="2818"/>
    <d v="2024-02-16T00:00:00"/>
    <n v="1010100"/>
    <s v="VENDAS MERCADO INTERNO"/>
    <n v="214"/>
    <n v="3074.4807000000001"/>
    <n v="0"/>
    <n v="0"/>
    <n v="0"/>
    <n v="3074.4807000000001"/>
    <n v="0"/>
    <n v="0"/>
    <n v="0"/>
    <n v="0"/>
    <n v="3074.4807000000001"/>
    <s v="Em Procedimento Judicial"/>
    <m/>
  </r>
  <r>
    <n v="13193"/>
    <x v="35"/>
    <s v="28.321.521/0001-60"/>
    <n v="140175.09"/>
    <n v="1246130332"/>
    <d v="2024-11-03T00:00:00"/>
    <m/>
    <s v="2"/>
    <s v="Fertilizers"/>
    <n v="2873"/>
    <d v="2024-02-21T00:00:00"/>
    <n v="1010100"/>
    <s v="VENDAS MERCADO INTERNO"/>
    <n v="209"/>
    <n v="4205.2527"/>
    <n v="0"/>
    <n v="0"/>
    <n v="0"/>
    <n v="4205.2527"/>
    <n v="0"/>
    <n v="0"/>
    <n v="0"/>
    <n v="0"/>
    <n v="4205.2527"/>
    <s v="Em Procedimento Judicial"/>
    <m/>
  </r>
  <r>
    <n v="13193"/>
    <x v="35"/>
    <s v="28.321.521/0001-60"/>
    <n v="112140.07"/>
    <n v="1246130309"/>
    <d v="2024-11-03T00:00:00"/>
    <m/>
    <s v="2"/>
    <s v="Fertilizers"/>
    <n v="2867"/>
    <d v="2024-02-21T00:00:00"/>
    <n v="1010100"/>
    <s v="VENDAS MERCADO INTERNO"/>
    <n v="209"/>
    <n v="3364.2021"/>
    <n v="0"/>
    <n v="0"/>
    <n v="0"/>
    <n v="3364.2021"/>
    <n v="0"/>
    <n v="0"/>
    <n v="0"/>
    <n v="0"/>
    <n v="3364.2021"/>
    <s v="Em Procedimento Judicial"/>
    <m/>
  </r>
  <r>
    <n v="13193"/>
    <x v="35"/>
    <s v="28.321.521/0001-60"/>
    <n v="105131.31"/>
    <n v="1246132575"/>
    <d v="2024-11-01T00:00:00"/>
    <m/>
    <s v="2"/>
    <s v="Fertilizers"/>
    <n v="2994"/>
    <d v="2024-03-06T00:00:00"/>
    <n v="1010100"/>
    <s v="VENDAS MERCADO INTERNO"/>
    <n v="211"/>
    <n v="3153.9393"/>
    <n v="0"/>
    <n v="0"/>
    <n v="0"/>
    <n v="3153.9393"/>
    <n v="0"/>
    <n v="0"/>
    <n v="0"/>
    <n v="0"/>
    <n v="3153.9393"/>
    <s v="Em Procedimento Judicial"/>
    <m/>
  </r>
  <r>
    <n v="13193"/>
    <x v="35"/>
    <s v="28.321.521/0001-60"/>
    <n v="97257.29"/>
    <n v="1246139180"/>
    <d v="2024-10-08T00:00:00"/>
    <m/>
    <s v="2"/>
    <s v="Fertilizers"/>
    <n v="3265"/>
    <d v="2024-04-11T00:00:00"/>
    <n v="1010100"/>
    <s v="VENDAS MERCADO INTERNO"/>
    <n v="235"/>
    <n v="2917.7186999999999"/>
    <n v="0"/>
    <n v="0"/>
    <n v="0"/>
    <n v="2917.7186999999999"/>
    <n v="0"/>
    <n v="0"/>
    <n v="0"/>
    <n v="0"/>
    <n v="2917.7186999999999"/>
    <s v="Em Procedimento Judicial"/>
    <m/>
  </r>
  <r>
    <n v="13193"/>
    <x v="35"/>
    <s v="28.321.521/0001-60"/>
    <n v="104293.46"/>
    <n v="1246135519"/>
    <d v="2024-11-04T00:00:00"/>
    <m/>
    <s v="2"/>
    <s v="Fertilizers"/>
    <n v="3146"/>
    <d v="2024-03-22T00:00:00"/>
    <n v="1010100"/>
    <s v="VENDAS MERCADO INTERNO"/>
    <n v="208"/>
    <n v="3128.8038000000001"/>
    <n v="0"/>
    <n v="0"/>
    <n v="0"/>
    <n v="3128.8038000000001"/>
    <n v="0"/>
    <n v="0"/>
    <n v="0"/>
    <n v="0"/>
    <n v="3128.8038000000001"/>
    <s v="Em Procedimento Judicial"/>
    <m/>
  </r>
  <r>
    <n v="13193"/>
    <x v="35"/>
    <s v="28.321.521/0001-60"/>
    <n v="120980.73"/>
    <n v="1246138904"/>
    <d v="2024-10-07T00:00:00"/>
    <m/>
    <s v="2"/>
    <s v="Fertilizers"/>
    <n v="3260"/>
    <d v="2024-04-10T00:00:00"/>
    <n v="1010100"/>
    <s v="VENDAS MERCADO INTERNO"/>
    <n v="236"/>
    <n v="3629.4218999999998"/>
    <n v="0"/>
    <n v="0"/>
    <n v="0"/>
    <n v="3629.4218999999998"/>
    <n v="0"/>
    <n v="0"/>
    <n v="0"/>
    <n v="0"/>
    <n v="3629.4218999999998"/>
    <s v="Em Procedimento Judicial"/>
    <m/>
  </r>
  <r>
    <n v="13193"/>
    <x v="35"/>
    <s v="28.321.521/0001-60"/>
    <n v="142145.26999999999"/>
    <n v="1246138695"/>
    <d v="2024-10-06T00:00:00"/>
    <m/>
    <s v="2"/>
    <s v="Fertilizers"/>
    <n v="3255"/>
    <d v="2024-04-09T00:00:00"/>
    <n v="1010100"/>
    <s v="VENDAS MERCADO INTERNO"/>
    <n v="237"/>
    <n v="4264.3580999999995"/>
    <n v="0"/>
    <n v="0"/>
    <n v="0"/>
    <n v="4264.3580999999995"/>
    <n v="0"/>
    <n v="0"/>
    <n v="0"/>
    <n v="0"/>
    <n v="4264.3580999999995"/>
    <s v="Em Procedimento Judicial"/>
    <m/>
  </r>
  <r>
    <n v="13193"/>
    <x v="35"/>
    <s v="28.321.521/0001-60"/>
    <n v="30167.84"/>
    <n v="1246134824"/>
    <d v="2024-11-01T00:00:00"/>
    <m/>
    <s v="2"/>
    <s v="Fertilizers"/>
    <n v="3122"/>
    <d v="2024-03-19T00:00:00"/>
    <n v="1010100"/>
    <s v="VENDAS MERCADO INTERNO"/>
    <n v="211"/>
    <n v="905.03519999999992"/>
    <n v="0"/>
    <n v="0"/>
    <n v="0"/>
    <n v="905.03519999999992"/>
    <n v="0"/>
    <n v="0"/>
    <n v="0"/>
    <n v="0"/>
    <n v="905.03519999999992"/>
    <s v="Em Procedimento Judicial"/>
    <m/>
  </r>
  <r>
    <n v="13193"/>
    <x v="35"/>
    <s v="28.321.521/0001-60"/>
    <n v="96077.53"/>
    <n v="1246134935"/>
    <d v="2024-11-02T00:00:00"/>
    <m/>
    <s v="2"/>
    <s v="Fertilizers"/>
    <n v="3128"/>
    <d v="2024-03-20T00:00:00"/>
    <n v="1010100"/>
    <s v="VENDAS MERCADO INTERNO"/>
    <n v="210"/>
    <n v="2882.3258999999998"/>
    <n v="0"/>
    <n v="0"/>
    <n v="0"/>
    <n v="2882.3258999999998"/>
    <n v="0"/>
    <n v="0"/>
    <n v="0"/>
    <n v="0"/>
    <n v="2882.3258999999998"/>
    <s v="Em Procedimento Judicial"/>
    <m/>
  </r>
  <r>
    <n v="13193"/>
    <x v="35"/>
    <s v="28.321.521/0001-60"/>
    <n v="90503.54"/>
    <n v="1246134807"/>
    <d v="2024-11-01T00:00:00"/>
    <m/>
    <s v="2"/>
    <s v="Fertilizers"/>
    <n v="3119"/>
    <d v="2024-03-19T00:00:00"/>
    <n v="1010100"/>
    <s v="VENDAS MERCADO INTERNO"/>
    <n v="211"/>
    <n v="2715.1061999999997"/>
    <n v="0"/>
    <n v="0"/>
    <n v="0"/>
    <n v="2715.1061999999997"/>
    <n v="0"/>
    <n v="0"/>
    <n v="0"/>
    <n v="0"/>
    <n v="2715.1061999999997"/>
    <s v="Em Procedimento Judicial"/>
    <m/>
  </r>
  <r>
    <n v="13193"/>
    <x v="35"/>
    <s v="28.321.521/0001-60"/>
    <n v="90503.54"/>
    <n v="1246134540"/>
    <d v="2024-10-31T00:00:00"/>
    <m/>
    <s v="2"/>
    <s v="Fertilizers"/>
    <n v="3110"/>
    <d v="2024-03-18T00:00:00"/>
    <n v="1010100"/>
    <s v="VENDAS MERCADO INTERNO"/>
    <n v="212"/>
    <n v="2715.1061999999997"/>
    <n v="0"/>
    <n v="0"/>
    <n v="0"/>
    <n v="2715.1061999999997"/>
    <n v="0"/>
    <n v="0"/>
    <n v="0"/>
    <n v="0"/>
    <n v="2715.1061999999997"/>
    <s v="Em Procedimento Judicial"/>
    <m/>
  </r>
  <r>
    <n v="13193"/>
    <x v="35"/>
    <s v="28.321.521/0001-60"/>
    <n v="82776.289999999994"/>
    <n v="1246139327"/>
    <d v="2024-10-08T00:00:00"/>
    <m/>
    <s v="2"/>
    <s v="Fertilizers"/>
    <n v="3272"/>
    <d v="2024-04-11T00:00:00"/>
    <n v="1010100"/>
    <s v="VENDAS MERCADO INTERNO"/>
    <n v="235"/>
    <n v="2483.2886999999996"/>
    <n v="0"/>
    <n v="0"/>
    <n v="0"/>
    <n v="2483.2886999999996"/>
    <n v="0"/>
    <n v="0"/>
    <n v="0"/>
    <n v="0"/>
    <n v="2483.2886999999996"/>
    <s v="Em Procedimento Judicial"/>
    <m/>
  </r>
  <r>
    <n v="13193"/>
    <x v="35"/>
    <s v="28.321.521/0001-60"/>
    <n v="64051.68"/>
    <n v="1246134828"/>
    <d v="2024-11-01T00:00:00"/>
    <m/>
    <s v="2"/>
    <s v="Fertilizers"/>
    <n v="3123"/>
    <d v="2024-03-19T00:00:00"/>
    <n v="1010100"/>
    <s v="VENDAS MERCADO INTERNO"/>
    <n v="211"/>
    <n v="1921.5503999999999"/>
    <n v="0"/>
    <n v="0"/>
    <n v="0"/>
    <n v="1921.5503999999999"/>
    <n v="0"/>
    <n v="0"/>
    <n v="0"/>
    <n v="0"/>
    <n v="1921.5503999999999"/>
    <s v="Em Procedimento Judicial"/>
    <m/>
  </r>
  <r>
    <n v="13193"/>
    <x v="35"/>
    <s v="28.321.521/0001-60"/>
    <n v="96077.53"/>
    <n v="1246134926"/>
    <d v="2024-11-02T00:00:00"/>
    <m/>
    <s v="2"/>
    <s v="Fertilizers"/>
    <n v="3126"/>
    <d v="2024-03-20T00:00:00"/>
    <n v="1010100"/>
    <s v="VENDAS MERCADO INTERNO"/>
    <n v="210"/>
    <n v="2882.3258999999998"/>
    <n v="0"/>
    <n v="0"/>
    <n v="0"/>
    <n v="2882.3258999999998"/>
    <n v="0"/>
    <n v="0"/>
    <n v="0"/>
    <n v="0"/>
    <n v="2882.3258999999998"/>
    <s v="Em Procedimento Judicial"/>
    <m/>
  </r>
  <r>
    <n v="13193"/>
    <x v="35"/>
    <s v="28.321.521/0001-60"/>
    <n v="96077.53"/>
    <n v="1246135475"/>
    <d v="2024-11-04T00:00:00"/>
    <m/>
    <s v="2"/>
    <s v="Fertilizers"/>
    <n v="3143"/>
    <d v="2024-03-22T00:00:00"/>
    <n v="1010100"/>
    <s v="VENDAS MERCADO INTERNO"/>
    <n v="208"/>
    <n v="2882.3258999999998"/>
    <n v="0"/>
    <n v="0"/>
    <n v="0"/>
    <n v="2882.3258999999998"/>
    <n v="0"/>
    <n v="0"/>
    <n v="0"/>
    <n v="0"/>
    <n v="2882.3258999999998"/>
    <s v="Em Procedimento Judicial"/>
    <m/>
  </r>
  <r>
    <n v="14094"/>
    <x v="36"/>
    <s v="014.415.101-41"/>
    <n v="100"/>
    <n v="1246154530"/>
    <d v="2024-07-01T00:00:00"/>
    <m/>
    <m/>
    <s v="Não encontrado"/>
    <n v="4088"/>
    <d v="2024-07-01T00:00:00"/>
    <n v="4010300"/>
    <s v="MÓVEIS E UTENSÍLIOS"/>
    <n v="334"/>
    <n v="3"/>
    <n v="0"/>
    <n v="0"/>
    <n v="0"/>
    <n v="3"/>
    <n v="0"/>
    <n v="0"/>
    <n v="100"/>
    <n v="0"/>
    <n v="3"/>
    <s v="-"/>
    <m/>
  </r>
  <r>
    <n v="13873"/>
    <x v="37"/>
    <s v="844.462.855-72"/>
    <n v="50"/>
    <n v="1246166396"/>
    <d v="2024-08-21T00:00:00"/>
    <m/>
    <m/>
    <s v="Não encontrado"/>
    <n v="4854"/>
    <d v="2024-08-21T00:00:00"/>
    <n v="4010300"/>
    <s v="MÓVEIS E UTENSÍLIOS"/>
    <n v="283"/>
    <n v="1.5"/>
    <n v="0"/>
    <n v="0"/>
    <n v="0"/>
    <n v="1.5"/>
    <n v="0"/>
    <n v="0"/>
    <n v="50"/>
    <n v="0"/>
    <n v="1.5"/>
    <s v="-"/>
    <m/>
  </r>
  <r>
    <n v="14106"/>
    <x v="38"/>
    <s v="50.454.037/0001-68"/>
    <n v="300"/>
    <n v="1246182736"/>
    <d v="2024-11-29T00:00:00"/>
    <m/>
    <m/>
    <s v="Não encontrado"/>
    <n v="6092"/>
    <d v="2024-11-14T00:00:00"/>
    <n v="1020400"/>
    <s v="VENDA DE SUCATAS"/>
    <n v="183"/>
    <n v="9"/>
    <n v="0"/>
    <n v="0"/>
    <n v="0"/>
    <n v="9"/>
    <n v="0"/>
    <n v="0"/>
    <n v="300"/>
    <n v="0"/>
    <n v="9"/>
    <s v="Cobrança Administrativa"/>
    <m/>
  </r>
  <r>
    <n v="14447"/>
    <x v="39"/>
    <s v="112.519.456-19"/>
    <n v="960"/>
    <n v="1246187011"/>
    <d v="2024-12-24T00:00:00"/>
    <m/>
    <m/>
    <s v="Não encontrado"/>
    <n v="6358"/>
    <d v="2024-12-09T00:00:00"/>
    <n v="1010100"/>
    <s v="VENDAS MERCADO INTERNO"/>
    <n v="158"/>
    <n v="28.799999999999997"/>
    <n v="0"/>
    <n v="0"/>
    <n v="0"/>
    <n v="28.799999999999997"/>
    <n v="0"/>
    <n v="0"/>
    <n v="0"/>
    <n v="0"/>
    <n v="28.799999999999997"/>
    <s v="-"/>
    <m/>
  </r>
  <r>
    <m/>
    <x v="40"/>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60683-3868-4D87-8AA4-6E7B127863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6">
    <pivotField showAll="0"/>
    <pivotField axis="axisRow" showAll="0">
      <items count="42">
        <item x="35"/>
        <item x="24"/>
        <item x="23"/>
        <item x="30"/>
        <item x="34"/>
        <item x="15"/>
        <item x="12"/>
        <item x="3"/>
        <item x="25"/>
        <item x="22"/>
        <item x="6"/>
        <item x="18"/>
        <item x="5"/>
        <item x="28"/>
        <item x="14"/>
        <item x="9"/>
        <item x="29"/>
        <item x="0"/>
        <item x="1"/>
        <item x="16"/>
        <item x="10"/>
        <item x="8"/>
        <item x="33"/>
        <item x="32"/>
        <item x="20"/>
        <item x="39"/>
        <item x="36"/>
        <item x="13"/>
        <item x="31"/>
        <item x="26"/>
        <item x="37"/>
        <item x="21"/>
        <item x="4"/>
        <item x="17"/>
        <item x="11"/>
        <item x="38"/>
        <item x="7"/>
        <item x="27"/>
        <item x="2"/>
        <item x="19"/>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Total Write off" fld="23" baseField="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9"/>
  <sheetViews>
    <sheetView showGridLines="0" topLeftCell="A20" zoomScale="70" zoomScaleNormal="70" workbookViewId="0">
      <pane xSplit="4" ySplit="6" topLeftCell="G29" activePane="bottomRight" state="frozen"/>
      <selection activeCell="A9" sqref="A9:XFD9"/>
      <selection pane="topRight" activeCell="A9" sqref="A9:XFD9"/>
      <selection pane="bottomLeft" activeCell="A9" sqref="A9:XFD9"/>
      <selection pane="bottomRight" activeCell="B26" sqref="B26:B37"/>
    </sheetView>
  </sheetViews>
  <sheetFormatPr defaultColWidth="8.88671875" defaultRowHeight="14.4" outlineLevelRow="2" x14ac:dyDescent="0.25"/>
  <cols>
    <col min="1" max="1" width="2.109375" style="193" customWidth="1"/>
    <col min="2" max="2" width="45.44140625" style="193" bestFit="1" customWidth="1"/>
    <col min="3" max="3" width="0.88671875" style="195" customWidth="1"/>
    <col min="4" max="4" width="13.44140625" style="193" bestFit="1" customWidth="1"/>
    <col min="5" max="5" width="16.44140625" style="193" bestFit="1" customWidth="1"/>
    <col min="6" max="6" width="15" style="193" bestFit="1" customWidth="1"/>
    <col min="7" max="7" width="16.88671875" style="193" bestFit="1" customWidth="1"/>
    <col min="8" max="8" width="0.88671875" style="195" customWidth="1"/>
    <col min="9" max="9" width="19" style="193" bestFit="1" customWidth="1"/>
    <col min="10" max="10" width="13.33203125" style="193" customWidth="1"/>
    <col min="11" max="11" width="0.88671875" style="195" customWidth="1"/>
    <col min="12" max="12" width="16.33203125" style="193" bestFit="1" customWidth="1"/>
    <col min="13" max="13" width="16.109375" style="193" bestFit="1" customWidth="1"/>
    <col min="14" max="14" width="14.33203125" style="193" customWidth="1"/>
    <col min="15" max="15" width="0.88671875" style="195" customWidth="1"/>
    <col min="16" max="16" width="92.88671875" style="193" customWidth="1"/>
    <col min="17" max="17" width="16" style="193" bestFit="1" customWidth="1"/>
    <col min="18" max="18" width="13.6640625" style="193" customWidth="1"/>
    <col min="19" max="19" width="14" style="193" bestFit="1" customWidth="1"/>
    <col min="20" max="20" width="11.109375" style="193" bestFit="1" customWidth="1"/>
    <col min="21" max="21" width="9" style="193" customWidth="1"/>
    <col min="22" max="16384" width="8.88671875" style="193"/>
  </cols>
  <sheetData>
    <row r="1" spans="2:16" ht="15.6" hidden="1" x14ac:dyDescent="0.25">
      <c r="B1" s="193" t="s">
        <v>556</v>
      </c>
      <c r="C1" s="194"/>
    </row>
    <row r="2" spans="2:16" ht="15.6" hidden="1" x14ac:dyDescent="0.25">
      <c r="B2" s="421" t="s">
        <v>557</v>
      </c>
      <c r="C2" s="421"/>
      <c r="D2" s="421"/>
      <c r="E2" s="421"/>
      <c r="F2" s="421"/>
      <c r="G2" s="228"/>
      <c r="I2" s="196">
        <f>I22/1000</f>
        <v>61380.63306</v>
      </c>
      <c r="J2" s="196">
        <f>J22/1000</f>
        <v>99724.765440000017</v>
      </c>
    </row>
    <row r="3" spans="2:16" ht="14.4" hidden="1" customHeight="1" x14ac:dyDescent="0.25">
      <c r="C3" s="193"/>
    </row>
    <row r="4" spans="2:16" ht="15.6" hidden="1" x14ac:dyDescent="0.25">
      <c r="B4" s="419" t="s">
        <v>558</v>
      </c>
      <c r="C4" s="194"/>
      <c r="D4" s="419" t="s">
        <v>339</v>
      </c>
      <c r="E4" s="419" t="s">
        <v>27</v>
      </c>
      <c r="F4" s="419" t="s">
        <v>8</v>
      </c>
      <c r="G4" s="419" t="s">
        <v>8</v>
      </c>
      <c r="I4" s="419" t="s">
        <v>340</v>
      </c>
      <c r="J4" s="419" t="s">
        <v>340</v>
      </c>
      <c r="L4" s="419" t="s">
        <v>559</v>
      </c>
      <c r="M4" s="419"/>
      <c r="N4" s="419"/>
      <c r="P4" s="419" t="s">
        <v>338</v>
      </c>
    </row>
    <row r="5" spans="2:16" ht="15.6" hidden="1" x14ac:dyDescent="0.25">
      <c r="B5" s="420"/>
      <c r="C5" s="194"/>
      <c r="D5" s="420"/>
      <c r="E5" s="420"/>
      <c r="F5" s="420"/>
      <c r="G5" s="420"/>
      <c r="I5" s="420"/>
      <c r="J5" s="420"/>
      <c r="L5" s="51" t="s">
        <v>483</v>
      </c>
      <c r="M5" s="51" t="s">
        <v>484</v>
      </c>
      <c r="N5" s="51" t="s">
        <v>485</v>
      </c>
      <c r="P5" s="420"/>
    </row>
    <row r="6" spans="2:16" ht="46.8" hidden="1" x14ac:dyDescent="0.25">
      <c r="B6" s="133" t="s">
        <v>504</v>
      </c>
      <c r="C6" s="194"/>
      <c r="D6" s="133" t="s">
        <v>342</v>
      </c>
      <c r="E6" s="134">
        <f t="shared" ref="E6:I12" si="0">E26/1000</f>
        <v>7560.7277999999969</v>
      </c>
      <c r="F6" s="134">
        <f t="shared" si="0"/>
        <v>0</v>
      </c>
      <c r="G6" s="134">
        <f t="shared" ref="G6" si="1">G26/1000</f>
        <v>7560.7277999999969</v>
      </c>
      <c r="I6" s="134">
        <f t="shared" si="0"/>
        <v>0</v>
      </c>
      <c r="J6" s="134">
        <f t="shared" ref="J6" si="2">J26/1000</f>
        <v>0</v>
      </c>
      <c r="L6" s="134">
        <f t="shared" ref="L6:N12" si="3">L26/1000</f>
        <v>0</v>
      </c>
      <c r="M6" s="134">
        <f t="shared" si="3"/>
        <v>7560.7277999999969</v>
      </c>
      <c r="N6" s="134">
        <f t="shared" si="3"/>
        <v>0</v>
      </c>
      <c r="P6" s="197" t="s">
        <v>560</v>
      </c>
    </row>
    <row r="7" spans="2:16" ht="15.6" hidden="1" x14ac:dyDescent="0.25">
      <c r="B7" s="133" t="s">
        <v>505</v>
      </c>
      <c r="C7" s="194"/>
      <c r="D7" s="133" t="s">
        <v>342</v>
      </c>
      <c r="E7" s="134">
        <f t="shared" si="0"/>
        <v>3088.5310700000009</v>
      </c>
      <c r="F7" s="134">
        <f t="shared" si="0"/>
        <v>0</v>
      </c>
      <c r="G7" s="134">
        <f t="shared" ref="G7" si="4">G27/1000</f>
        <v>3088.5310700000009</v>
      </c>
      <c r="I7" s="134">
        <f t="shared" si="0"/>
        <v>3088.5310700000009</v>
      </c>
      <c r="J7" s="134">
        <f t="shared" ref="J7" si="5">J27/1000</f>
        <v>0</v>
      </c>
      <c r="L7" s="134">
        <f t="shared" si="3"/>
        <v>3088.5310700000009</v>
      </c>
      <c r="M7" s="134">
        <f t="shared" si="3"/>
        <v>0</v>
      </c>
      <c r="N7" s="134">
        <f t="shared" si="3"/>
        <v>0</v>
      </c>
      <c r="P7" s="197" t="s">
        <v>506</v>
      </c>
    </row>
    <row r="8" spans="2:16" ht="46.8" hidden="1" x14ac:dyDescent="0.25">
      <c r="B8" s="133" t="s">
        <v>507</v>
      </c>
      <c r="C8" s="194"/>
      <c r="D8" s="133" t="s">
        <v>342</v>
      </c>
      <c r="E8" s="134">
        <f t="shared" si="0"/>
        <v>3044.8509199999994</v>
      </c>
      <c r="F8" s="134">
        <f t="shared" si="0"/>
        <v>0</v>
      </c>
      <c r="G8" s="134">
        <f t="shared" ref="G8" si="6">G28/1000</f>
        <v>3044.8509199999994</v>
      </c>
      <c r="I8" s="134">
        <f t="shared" si="0"/>
        <v>3044.8509199999994</v>
      </c>
      <c r="J8" s="134">
        <f t="shared" ref="J8" si="7">J28/1000</f>
        <v>0</v>
      </c>
      <c r="L8" s="134">
        <f t="shared" si="3"/>
        <v>3044.8509199999994</v>
      </c>
      <c r="M8" s="134">
        <f t="shared" si="3"/>
        <v>0</v>
      </c>
      <c r="N8" s="134">
        <f t="shared" si="3"/>
        <v>0</v>
      </c>
      <c r="P8" s="197" t="s">
        <v>561</v>
      </c>
    </row>
    <row r="9" spans="2:16" ht="46.8" hidden="1" x14ac:dyDescent="0.25">
      <c r="B9" s="133" t="s">
        <v>508</v>
      </c>
      <c r="C9" s="194"/>
      <c r="D9" s="133" t="s">
        <v>342</v>
      </c>
      <c r="E9" s="134">
        <f t="shared" si="0"/>
        <v>2492.8420500000007</v>
      </c>
      <c r="F9" s="134">
        <f t="shared" si="0"/>
        <v>0</v>
      </c>
      <c r="G9" s="134">
        <f t="shared" ref="G9" si="8">G29/1000</f>
        <v>2492.8420500000007</v>
      </c>
      <c r="I9" s="134">
        <f t="shared" si="0"/>
        <v>0</v>
      </c>
      <c r="J9" s="134">
        <f t="shared" ref="J9" si="9">J29/1000</f>
        <v>0</v>
      </c>
      <c r="L9" s="134">
        <f t="shared" si="3"/>
        <v>0</v>
      </c>
      <c r="M9" s="134">
        <f t="shared" si="3"/>
        <v>2492.8420500000007</v>
      </c>
      <c r="N9" s="134">
        <f t="shared" si="3"/>
        <v>0</v>
      </c>
      <c r="P9" s="198" t="s">
        <v>509</v>
      </c>
    </row>
    <row r="10" spans="2:16" ht="15.6" hidden="1" x14ac:dyDescent="0.25">
      <c r="B10" s="133" t="s">
        <v>510</v>
      </c>
      <c r="C10" s="194"/>
      <c r="D10" s="133" t="s">
        <v>342</v>
      </c>
      <c r="E10" s="134">
        <f t="shared" si="0"/>
        <v>1863.2008999999998</v>
      </c>
      <c r="F10" s="134">
        <f t="shared" si="0"/>
        <v>0</v>
      </c>
      <c r="G10" s="134">
        <f t="shared" ref="G10" si="10">G30/1000</f>
        <v>1863.2008999999998</v>
      </c>
      <c r="I10" s="134">
        <f t="shared" si="0"/>
        <v>1863.2008999999998</v>
      </c>
      <c r="J10" s="134">
        <f t="shared" ref="J10" si="11">J30/1000</f>
        <v>0</v>
      </c>
      <c r="L10" s="134">
        <f t="shared" si="3"/>
        <v>1863.2008999999998</v>
      </c>
      <c r="M10" s="134">
        <f t="shared" si="3"/>
        <v>0</v>
      </c>
      <c r="N10" s="134">
        <f t="shared" si="3"/>
        <v>0</v>
      </c>
      <c r="P10" s="197" t="s">
        <v>511</v>
      </c>
    </row>
    <row r="11" spans="2:16" ht="31.2" hidden="1" x14ac:dyDescent="0.25">
      <c r="B11" s="133" t="s">
        <v>512</v>
      </c>
      <c r="C11" s="194"/>
      <c r="D11" s="133" t="s">
        <v>342</v>
      </c>
      <c r="E11" s="134">
        <f t="shared" si="0"/>
        <v>1702.8487400000001</v>
      </c>
      <c r="F11" s="134">
        <f t="shared" si="0"/>
        <v>0</v>
      </c>
      <c r="G11" s="134">
        <f t="shared" ref="G11" si="12">G31/1000</f>
        <v>1702.8487400000001</v>
      </c>
      <c r="I11" s="134">
        <f t="shared" si="0"/>
        <v>1702.8487400000001</v>
      </c>
      <c r="J11" s="134">
        <f t="shared" ref="J11" si="13">J31/1000</f>
        <v>0</v>
      </c>
      <c r="L11" s="134">
        <f t="shared" si="3"/>
        <v>1702.8487400000001</v>
      </c>
      <c r="M11" s="134">
        <f t="shared" si="3"/>
        <v>0</v>
      </c>
      <c r="N11" s="134">
        <f t="shared" si="3"/>
        <v>0</v>
      </c>
      <c r="P11" s="198" t="s">
        <v>513</v>
      </c>
    </row>
    <row r="12" spans="2:16" ht="15.6" hidden="1" x14ac:dyDescent="0.25">
      <c r="B12" s="133" t="s">
        <v>514</v>
      </c>
      <c r="C12" s="194"/>
      <c r="D12" s="133" t="s">
        <v>342</v>
      </c>
      <c r="E12" s="134">
        <f t="shared" si="0"/>
        <v>876.01175000000001</v>
      </c>
      <c r="F12" s="134">
        <f t="shared" si="0"/>
        <v>0</v>
      </c>
      <c r="G12" s="134">
        <f t="shared" ref="G12" si="14">G32/1000</f>
        <v>876.01175000000001</v>
      </c>
      <c r="I12" s="134">
        <f t="shared" si="0"/>
        <v>0</v>
      </c>
      <c r="J12" s="134">
        <f t="shared" ref="J12" si="15">J32/1000</f>
        <v>0</v>
      </c>
      <c r="L12" s="134">
        <f t="shared" si="3"/>
        <v>0</v>
      </c>
      <c r="M12" s="134">
        <f t="shared" si="3"/>
        <v>876.01175000000001</v>
      </c>
      <c r="N12" s="134">
        <f t="shared" si="3"/>
        <v>0</v>
      </c>
      <c r="P12" s="197" t="s">
        <v>506</v>
      </c>
    </row>
    <row r="13" spans="2:16" ht="15.6" hidden="1" x14ac:dyDescent="0.25">
      <c r="B13" s="133"/>
      <c r="C13" s="194"/>
      <c r="D13" s="133"/>
      <c r="E13" s="134"/>
      <c r="F13" s="134"/>
      <c r="G13" s="134"/>
      <c r="I13" s="134"/>
      <c r="J13" s="134"/>
      <c r="L13" s="138"/>
      <c r="M13" s="139"/>
      <c r="N13" s="134"/>
      <c r="P13" s="197"/>
    </row>
    <row r="14" spans="2:16" ht="15.6" hidden="1" x14ac:dyDescent="0.25">
      <c r="B14" s="199" t="s">
        <v>515</v>
      </c>
      <c r="C14" s="194"/>
      <c r="D14" s="199"/>
      <c r="E14" s="200">
        <f>E39/1000</f>
        <v>22315.752189999999</v>
      </c>
      <c r="F14" s="200">
        <v>0</v>
      </c>
      <c r="G14" s="200">
        <v>0</v>
      </c>
      <c r="I14" s="200">
        <f>I39/1000</f>
        <v>10427.319537200001</v>
      </c>
      <c r="J14" s="200">
        <f>J39/1000</f>
        <v>0</v>
      </c>
      <c r="L14" s="200">
        <f>L39/1000</f>
        <v>10427.319537200001</v>
      </c>
      <c r="M14" s="200">
        <f>M39/1000</f>
        <v>11888.432652799998</v>
      </c>
      <c r="N14" s="200">
        <v>0</v>
      </c>
      <c r="P14" s="200"/>
    </row>
    <row r="15" spans="2:16" ht="15.6" hidden="1" x14ac:dyDescent="0.25">
      <c r="B15" s="148" t="s">
        <v>348</v>
      </c>
      <c r="C15" s="194"/>
      <c r="D15" s="148"/>
      <c r="E15" s="149">
        <f>E45/1000</f>
        <v>6.0763199999999999</v>
      </c>
      <c r="F15" s="149">
        <v>0</v>
      </c>
      <c r="G15" s="149">
        <v>0</v>
      </c>
      <c r="I15" s="149">
        <f>I45/1000</f>
        <v>6.0763199999999999</v>
      </c>
      <c r="J15" s="149">
        <f>J45/1000</f>
        <v>0</v>
      </c>
      <c r="L15" s="149">
        <f>L45/1000</f>
        <v>6.0763199999999999</v>
      </c>
      <c r="M15" s="149">
        <f>M45/1000</f>
        <v>0</v>
      </c>
      <c r="N15" s="149">
        <v>0</v>
      </c>
      <c r="P15" s="149"/>
    </row>
    <row r="16" spans="2:16" ht="15.6" hidden="1" x14ac:dyDescent="0.25">
      <c r="B16" s="148" t="s">
        <v>349</v>
      </c>
      <c r="C16" s="194"/>
      <c r="D16" s="148"/>
      <c r="E16" s="149">
        <f>E46/1000</f>
        <v>714.67216999999994</v>
      </c>
      <c r="F16" s="149">
        <f>F46/1000</f>
        <v>0</v>
      </c>
      <c r="G16" s="149">
        <f>G46/1000</f>
        <v>714.67216999999994</v>
      </c>
      <c r="I16" s="149">
        <f>I46/1000</f>
        <v>177.26660509999999</v>
      </c>
      <c r="J16" s="149">
        <f>J46/1000</f>
        <v>0</v>
      </c>
      <c r="L16" s="149">
        <f>L46/1000</f>
        <v>0</v>
      </c>
      <c r="M16" s="149">
        <f>M46/1000</f>
        <v>0</v>
      </c>
      <c r="N16" s="149">
        <f>N46/1000</f>
        <v>714.67216999999994</v>
      </c>
      <c r="P16" s="149" t="s">
        <v>350</v>
      </c>
    </row>
    <row r="17" spans="2:19" ht="15.6" hidden="1" x14ac:dyDescent="0.25">
      <c r="B17" s="157" t="s">
        <v>351</v>
      </c>
      <c r="C17" s="194"/>
      <c r="D17" s="158"/>
      <c r="E17" s="159">
        <f>E16+E15+E14</f>
        <v>23036.500679999997</v>
      </c>
      <c r="F17" s="159">
        <f>F16+F15+F14</f>
        <v>0</v>
      </c>
      <c r="G17" s="159">
        <f>G16+G15+G14</f>
        <v>714.67216999999994</v>
      </c>
      <c r="I17" s="159">
        <f>I16+I15+I14</f>
        <v>10610.662462300001</v>
      </c>
      <c r="J17" s="159">
        <f>J16+J15+J14</f>
        <v>0</v>
      </c>
      <c r="L17" s="159">
        <f>L14+L15</f>
        <v>10433.395857200001</v>
      </c>
      <c r="M17" s="159">
        <f>M16+M14</f>
        <v>11888.432652799998</v>
      </c>
      <c r="N17" s="159">
        <f>N16+N14</f>
        <v>714.67216999999994</v>
      </c>
      <c r="P17" s="160"/>
    </row>
    <row r="18" spans="2:19" hidden="1" x14ac:dyDescent="0.25"/>
    <row r="19" spans="2:19" ht="15.6" hidden="1" x14ac:dyDescent="0.25">
      <c r="B19" s="130" t="s">
        <v>502</v>
      </c>
      <c r="I19" s="201"/>
      <c r="J19" s="201"/>
    </row>
    <row r="20" spans="2:19" ht="15.6" x14ac:dyDescent="0.25">
      <c r="B20" s="130"/>
      <c r="I20" s="202"/>
      <c r="J20" s="202"/>
    </row>
    <row r="21" spans="2:19" ht="15.6" x14ac:dyDescent="0.25">
      <c r="B21" s="130"/>
      <c r="I21" s="201"/>
      <c r="J21" s="201"/>
      <c r="P21" s="195"/>
    </row>
    <row r="22" spans="2:19" ht="15.6" hidden="1" x14ac:dyDescent="0.25">
      <c r="B22" s="51" t="s">
        <v>557</v>
      </c>
      <c r="C22" s="51"/>
      <c r="D22" s="51"/>
      <c r="E22" s="51"/>
      <c r="F22" s="51"/>
      <c r="G22" s="51"/>
      <c r="I22" s="196">
        <f>SUM(E132:F132)</f>
        <v>61380633.060000002</v>
      </c>
      <c r="J22" s="196">
        <f>SUM(F132:G132)</f>
        <v>99724765.440000013</v>
      </c>
    </row>
    <row r="23" spans="2:19" ht="15.6" hidden="1" x14ac:dyDescent="0.25">
      <c r="B23" s="130"/>
    </row>
    <row r="24" spans="2:19" ht="15.6" x14ac:dyDescent="0.25">
      <c r="B24" s="419" t="s">
        <v>919</v>
      </c>
      <c r="C24" s="194"/>
      <c r="D24" s="419" t="s">
        <v>339</v>
      </c>
      <c r="E24" s="419" t="s">
        <v>27</v>
      </c>
      <c r="F24" s="419" t="s">
        <v>8</v>
      </c>
      <c r="G24" s="419" t="s">
        <v>351</v>
      </c>
      <c r="I24" s="419" t="s">
        <v>340</v>
      </c>
      <c r="J24" s="419" t="s">
        <v>616</v>
      </c>
      <c r="L24" s="419" t="s">
        <v>574</v>
      </c>
      <c r="M24" s="419"/>
      <c r="N24" s="419"/>
      <c r="P24" s="419" t="s">
        <v>338</v>
      </c>
    </row>
    <row r="25" spans="2:19" ht="15.6" x14ac:dyDescent="0.25">
      <c r="B25" s="420"/>
      <c r="C25" s="194"/>
      <c r="D25" s="420"/>
      <c r="E25" s="420"/>
      <c r="F25" s="420"/>
      <c r="G25" s="420"/>
      <c r="I25" s="420"/>
      <c r="J25" s="420"/>
      <c r="L25" s="51" t="s">
        <v>483</v>
      </c>
      <c r="M25" s="51" t="s">
        <v>484</v>
      </c>
      <c r="N25" s="51" t="s">
        <v>485</v>
      </c>
      <c r="P25" s="420"/>
    </row>
    <row r="26" spans="2:19" ht="116.4" customHeight="1" x14ac:dyDescent="0.25">
      <c r="B26" s="133" t="s">
        <v>177</v>
      </c>
      <c r="C26" s="194"/>
      <c r="D26" s="145" t="s">
        <v>174</v>
      </c>
      <c r="E26" s="134">
        <v>7560727.799999997</v>
      </c>
      <c r="F26" s="134">
        <v>0</v>
      </c>
      <c r="G26" s="249">
        <f>SUM(E26:F26)</f>
        <v>7560727.799999997</v>
      </c>
      <c r="H26" s="250"/>
      <c r="I26" s="134">
        <v>0</v>
      </c>
      <c r="J26" s="134"/>
      <c r="L26" s="67">
        <f>I26</f>
        <v>0</v>
      </c>
      <c r="M26" s="67">
        <f>E26-I26</f>
        <v>7560727.799999997</v>
      </c>
      <c r="N26" s="67"/>
      <c r="P26" s="219" t="s">
        <v>707</v>
      </c>
      <c r="S26" s="215"/>
    </row>
    <row r="27" spans="2:19" ht="72" customHeight="1" x14ac:dyDescent="0.25">
      <c r="B27" s="133" t="s">
        <v>429</v>
      </c>
      <c r="C27" s="194"/>
      <c r="D27" s="145" t="s">
        <v>174</v>
      </c>
      <c r="E27" s="134">
        <v>3088531.0700000008</v>
      </c>
      <c r="F27" s="134">
        <v>0</v>
      </c>
      <c r="G27" s="249">
        <f t="shared" ref="G27:G30" si="16">SUM(E27:F27)</f>
        <v>3088531.0700000008</v>
      </c>
      <c r="I27" s="134">
        <v>3088531.0700000008</v>
      </c>
      <c r="J27" s="134"/>
      <c r="L27" s="67">
        <f t="shared" ref="L27:L32" si="17">I27</f>
        <v>3088531.0700000008</v>
      </c>
      <c r="M27" s="67">
        <f t="shared" ref="M27:M37" si="18">E27-I27</f>
        <v>0</v>
      </c>
      <c r="N27" s="67"/>
      <c r="P27" s="219" t="s">
        <v>562</v>
      </c>
      <c r="S27" s="215"/>
    </row>
    <row r="28" spans="2:19" ht="57.6" customHeight="1" x14ac:dyDescent="0.25">
      <c r="B28" s="133" t="s">
        <v>210</v>
      </c>
      <c r="C28" s="194"/>
      <c r="D28" s="145" t="s">
        <v>174</v>
      </c>
      <c r="E28" s="134">
        <v>3044850.9199999995</v>
      </c>
      <c r="F28" s="134">
        <v>0</v>
      </c>
      <c r="G28" s="249">
        <f>SUM(E28:F28)</f>
        <v>3044850.9199999995</v>
      </c>
      <c r="I28" s="134">
        <v>3044850.9199999995</v>
      </c>
      <c r="J28" s="134"/>
      <c r="L28" s="67">
        <f t="shared" si="17"/>
        <v>3044850.9199999995</v>
      </c>
      <c r="M28" s="67">
        <f t="shared" si="18"/>
        <v>0</v>
      </c>
      <c r="N28" s="67"/>
      <c r="P28" s="219" t="s">
        <v>708</v>
      </c>
      <c r="S28" s="216"/>
    </row>
    <row r="29" spans="2:19" s="195" customFormat="1" ht="135.6" customHeight="1" x14ac:dyDescent="0.25">
      <c r="B29" s="145" t="s">
        <v>187</v>
      </c>
      <c r="C29" s="194"/>
      <c r="D29" s="145" t="s">
        <v>174</v>
      </c>
      <c r="E29" s="134">
        <v>2492842.0500000007</v>
      </c>
      <c r="F29" s="142">
        <v>0</v>
      </c>
      <c r="G29" s="290">
        <f>SUM(E29:F29)</f>
        <v>2492842.0500000007</v>
      </c>
      <c r="I29" s="134">
        <v>0</v>
      </c>
      <c r="J29" s="142"/>
      <c r="L29" s="291">
        <f t="shared" si="17"/>
        <v>0</v>
      </c>
      <c r="M29" s="67">
        <f t="shared" si="18"/>
        <v>2492842.0500000007</v>
      </c>
      <c r="N29" s="291"/>
      <c r="P29" s="220" t="s">
        <v>564</v>
      </c>
      <c r="Q29" s="292"/>
      <c r="S29" s="293"/>
    </row>
    <row r="30" spans="2:19" ht="181.95" customHeight="1" x14ac:dyDescent="0.25">
      <c r="B30" s="133" t="s">
        <v>195</v>
      </c>
      <c r="C30" s="194"/>
      <c r="D30" s="145" t="s">
        <v>174</v>
      </c>
      <c r="E30" s="134">
        <v>1863200.9</v>
      </c>
      <c r="F30" s="134">
        <v>0</v>
      </c>
      <c r="G30" s="249">
        <f t="shared" si="16"/>
        <v>1863200.9</v>
      </c>
      <c r="I30" s="134">
        <v>1863200.9</v>
      </c>
      <c r="J30" s="134"/>
      <c r="L30" s="67">
        <f t="shared" si="17"/>
        <v>1863200.9</v>
      </c>
      <c r="M30" s="67">
        <f t="shared" si="18"/>
        <v>0</v>
      </c>
      <c r="N30" s="67"/>
      <c r="P30" s="219" t="s">
        <v>709</v>
      </c>
      <c r="S30" s="216"/>
    </row>
    <row r="31" spans="2:19" ht="79.95" customHeight="1" x14ac:dyDescent="0.25">
      <c r="B31" s="133" t="s">
        <v>199</v>
      </c>
      <c r="C31" s="194"/>
      <c r="D31" s="145" t="s">
        <v>174</v>
      </c>
      <c r="E31" s="134">
        <v>1702848.7400000002</v>
      </c>
      <c r="F31" s="134">
        <v>0</v>
      </c>
      <c r="G31" s="249">
        <f t="shared" ref="G31:G37" si="19">SUM(E31:F31)</f>
        <v>1702848.7400000002</v>
      </c>
      <c r="I31" s="134">
        <v>1702848.7400000002</v>
      </c>
      <c r="J31" s="134"/>
      <c r="L31" s="67">
        <f>I31</f>
        <v>1702848.7400000002</v>
      </c>
      <c r="M31" s="67">
        <f t="shared" si="18"/>
        <v>0</v>
      </c>
      <c r="N31" s="67"/>
      <c r="P31" s="220" t="s">
        <v>563</v>
      </c>
    </row>
    <row r="32" spans="2:19" ht="140.4" x14ac:dyDescent="0.25">
      <c r="B32" s="133" t="s">
        <v>207</v>
      </c>
      <c r="C32" s="194"/>
      <c r="D32" s="145" t="s">
        <v>174</v>
      </c>
      <c r="E32" s="134">
        <v>876011.75</v>
      </c>
      <c r="F32" s="134">
        <v>0</v>
      </c>
      <c r="G32" s="249">
        <f t="shared" si="19"/>
        <v>876011.75</v>
      </c>
      <c r="I32" s="134">
        <v>0</v>
      </c>
      <c r="J32" s="134"/>
      <c r="L32" s="67">
        <f t="shared" si="17"/>
        <v>0</v>
      </c>
      <c r="M32" s="67">
        <f t="shared" si="18"/>
        <v>876011.75</v>
      </c>
      <c r="N32" s="67"/>
      <c r="P32" s="219" t="s">
        <v>710</v>
      </c>
    </row>
    <row r="33" spans="2:19" ht="62.4" x14ac:dyDescent="0.25">
      <c r="B33" s="145" t="s">
        <v>427</v>
      </c>
      <c r="C33" s="389"/>
      <c r="D33" s="145" t="s">
        <v>174</v>
      </c>
      <c r="E33" s="134">
        <v>237309.12</v>
      </c>
      <c r="F33" s="142">
        <v>0</v>
      </c>
      <c r="G33" s="290">
        <f t="shared" si="19"/>
        <v>237309.12</v>
      </c>
      <c r="H33" s="390"/>
      <c r="I33" s="142">
        <v>237309.12</v>
      </c>
      <c r="J33" s="142"/>
      <c r="K33" s="390"/>
      <c r="L33" s="142">
        <f>I33</f>
        <v>237309.12</v>
      </c>
      <c r="M33" s="67">
        <f t="shared" si="18"/>
        <v>0</v>
      </c>
      <c r="N33" s="142"/>
      <c r="O33" s="390"/>
      <c r="P33" s="220" t="s">
        <v>711</v>
      </c>
    </row>
    <row r="34" spans="2:19" ht="46.8" x14ac:dyDescent="0.25">
      <c r="B34" s="145" t="s">
        <v>53</v>
      </c>
      <c r="C34" s="194"/>
      <c r="D34" s="145" t="s">
        <v>520</v>
      </c>
      <c r="E34" s="142">
        <v>226233.60000000001</v>
      </c>
      <c r="F34" s="142">
        <v>0</v>
      </c>
      <c r="G34" s="290">
        <f t="shared" si="19"/>
        <v>226233.60000000001</v>
      </c>
      <c r="I34" s="142">
        <v>226233.60000000001</v>
      </c>
      <c r="J34" s="142"/>
      <c r="L34" s="291">
        <f t="shared" ref="L34:L37" si="20">I34</f>
        <v>226233.60000000001</v>
      </c>
      <c r="M34" s="291">
        <f t="shared" si="18"/>
        <v>0</v>
      </c>
      <c r="N34" s="291"/>
      <c r="P34" s="220" t="s">
        <v>615</v>
      </c>
    </row>
    <row r="35" spans="2:19" ht="33" customHeight="1" x14ac:dyDescent="0.25">
      <c r="B35" s="145" t="s">
        <v>270</v>
      </c>
      <c r="C35" s="194"/>
      <c r="D35" s="145" t="s">
        <v>174</v>
      </c>
      <c r="E35" s="142">
        <v>988506.24</v>
      </c>
      <c r="F35" s="142">
        <v>0</v>
      </c>
      <c r="G35" s="290">
        <f t="shared" si="19"/>
        <v>988506.24</v>
      </c>
      <c r="I35" s="142">
        <v>29655.1872</v>
      </c>
      <c r="J35" s="142"/>
      <c r="L35" s="291">
        <f t="shared" si="20"/>
        <v>29655.1872</v>
      </c>
      <c r="M35" s="291">
        <f t="shared" si="18"/>
        <v>958851.05279999995</v>
      </c>
      <c r="N35" s="291"/>
      <c r="P35" s="220" t="s">
        <v>776</v>
      </c>
    </row>
    <row r="36" spans="2:19" ht="45.6" customHeight="1" x14ac:dyDescent="0.25">
      <c r="B36" s="145" t="s">
        <v>294</v>
      </c>
      <c r="C36" s="194"/>
      <c r="D36" s="145" t="s">
        <v>520</v>
      </c>
      <c r="E36" s="142">
        <v>213750</v>
      </c>
      <c r="F36" s="142">
        <v>0</v>
      </c>
      <c r="G36" s="290">
        <f t="shared" si="19"/>
        <v>213750</v>
      </c>
      <c r="I36" s="142">
        <v>213750</v>
      </c>
      <c r="J36" s="142"/>
      <c r="L36" s="291">
        <f t="shared" si="20"/>
        <v>213750</v>
      </c>
      <c r="M36" s="291">
        <f t="shared" si="18"/>
        <v>0</v>
      </c>
      <c r="N36" s="291"/>
      <c r="P36" s="220" t="s">
        <v>706</v>
      </c>
    </row>
    <row r="37" spans="2:19" ht="51" customHeight="1" x14ac:dyDescent="0.25">
      <c r="B37" s="145" t="s">
        <v>91</v>
      </c>
      <c r="C37" s="194"/>
      <c r="D37" s="145" t="s">
        <v>520</v>
      </c>
      <c r="E37" s="142">
        <v>20940</v>
      </c>
      <c r="F37" s="142">
        <v>0</v>
      </c>
      <c r="G37" s="290">
        <f t="shared" si="19"/>
        <v>20940</v>
      </c>
      <c r="I37" s="142">
        <v>20940</v>
      </c>
      <c r="J37" s="142"/>
      <c r="L37" s="291">
        <f t="shared" si="20"/>
        <v>20940</v>
      </c>
      <c r="M37" s="291">
        <f t="shared" si="18"/>
        <v>0</v>
      </c>
      <c r="N37" s="291"/>
      <c r="P37" s="220" t="s">
        <v>610</v>
      </c>
    </row>
    <row r="38" spans="2:19" ht="15.6" x14ac:dyDescent="0.25">
      <c r="B38" s="133"/>
      <c r="C38" s="194"/>
      <c r="D38" s="133"/>
      <c r="E38" s="134"/>
      <c r="F38" s="134"/>
      <c r="G38" s="134"/>
      <c r="I38" s="134"/>
      <c r="J38" s="134"/>
      <c r="L38" s="67"/>
      <c r="M38" s="67"/>
      <c r="N38" s="134"/>
      <c r="P38" s="197"/>
    </row>
    <row r="39" spans="2:19" ht="13.95" customHeight="1" x14ac:dyDescent="0.25">
      <c r="B39" s="199" t="s">
        <v>922</v>
      </c>
      <c r="C39" s="194"/>
      <c r="D39" s="199"/>
      <c r="E39" s="200">
        <f>SUM(E26:E37)</f>
        <v>22315752.189999998</v>
      </c>
      <c r="F39" s="200">
        <f>SUM(F26:F37)</f>
        <v>0</v>
      </c>
      <c r="G39" s="200">
        <f>SUM(G26:G37)</f>
        <v>22315752.189999998</v>
      </c>
      <c r="I39" s="282">
        <f>SUM(I26:I37)</f>
        <v>10427319.5372</v>
      </c>
      <c r="J39" s="200">
        <f>SUM(J26:J37)</f>
        <v>0</v>
      </c>
      <c r="L39" s="282">
        <f>SUM(L26:L37)</f>
        <v>10427319.5372</v>
      </c>
      <c r="M39" s="200">
        <f>SUM(M26:M37)</f>
        <v>11888432.652799997</v>
      </c>
      <c r="N39" s="200">
        <f>SUM(N26:N37)</f>
        <v>0</v>
      </c>
      <c r="P39" s="200"/>
    </row>
    <row r="40" spans="2:19" ht="31.2" outlineLevel="1" x14ac:dyDescent="0.25">
      <c r="B40" s="214" t="s">
        <v>265</v>
      </c>
      <c r="C40" s="194"/>
      <c r="D40" s="145" t="s">
        <v>520</v>
      </c>
      <c r="E40" s="146">
        <v>100</v>
      </c>
      <c r="F40" s="134">
        <v>0</v>
      </c>
      <c r="G40" s="147">
        <f t="shared" ref="G40:G43" si="21">SUM(E40:F40)</f>
        <v>100</v>
      </c>
      <c r="I40" s="134">
        <v>100</v>
      </c>
      <c r="J40" s="142"/>
      <c r="L40" s="146">
        <f>I40</f>
        <v>100</v>
      </c>
      <c r="M40" s="146">
        <f t="shared" ref="M40:M43" si="22">E40-L40</f>
        <v>0</v>
      </c>
      <c r="N40" s="146"/>
      <c r="P40" s="391" t="s">
        <v>613</v>
      </c>
    </row>
    <row r="41" spans="2:19" ht="31.2" outlineLevel="1" x14ac:dyDescent="0.25">
      <c r="B41" s="214" t="s">
        <v>309</v>
      </c>
      <c r="C41" s="194"/>
      <c r="D41" s="145" t="s">
        <v>520</v>
      </c>
      <c r="E41" s="146">
        <v>50</v>
      </c>
      <c r="F41" s="134">
        <v>0</v>
      </c>
      <c r="G41" s="147">
        <f t="shared" si="21"/>
        <v>50</v>
      </c>
      <c r="I41" s="134">
        <v>50</v>
      </c>
      <c r="J41" s="142"/>
      <c r="L41" s="146">
        <f t="shared" ref="L41:L42" si="23">I41</f>
        <v>50</v>
      </c>
      <c r="M41" s="146">
        <f t="shared" si="22"/>
        <v>0</v>
      </c>
      <c r="N41" s="146"/>
      <c r="P41" s="391" t="s">
        <v>614</v>
      </c>
    </row>
    <row r="42" spans="2:19" ht="15.6" outlineLevel="1" x14ac:dyDescent="0.25">
      <c r="B42" s="214" t="s">
        <v>420</v>
      </c>
      <c r="C42" s="194"/>
      <c r="D42" s="145" t="s">
        <v>520</v>
      </c>
      <c r="E42" s="146">
        <v>5626.32</v>
      </c>
      <c r="F42" s="134">
        <v>0</v>
      </c>
      <c r="G42" s="147">
        <f t="shared" si="21"/>
        <v>5626.32</v>
      </c>
      <c r="I42" s="134">
        <v>5626.32</v>
      </c>
      <c r="J42" s="142"/>
      <c r="L42" s="146">
        <f t="shared" si="23"/>
        <v>5626.32</v>
      </c>
      <c r="M42" s="146">
        <f>E42-L42</f>
        <v>0</v>
      </c>
      <c r="N42" s="146"/>
      <c r="P42" s="391" t="s">
        <v>611</v>
      </c>
    </row>
    <row r="43" spans="2:19" ht="16.95" customHeight="1" outlineLevel="1" x14ac:dyDescent="0.25">
      <c r="B43" s="214" t="s">
        <v>383</v>
      </c>
      <c r="C43" s="194"/>
      <c r="D43" s="145" t="s">
        <v>520</v>
      </c>
      <c r="E43" s="146">
        <v>300</v>
      </c>
      <c r="F43" s="134">
        <v>0</v>
      </c>
      <c r="G43" s="147">
        <f t="shared" si="21"/>
        <v>300</v>
      </c>
      <c r="I43" s="134">
        <v>300</v>
      </c>
      <c r="J43" s="142"/>
      <c r="L43" s="146">
        <f>I43</f>
        <v>300</v>
      </c>
      <c r="M43" s="146">
        <f t="shared" si="22"/>
        <v>0</v>
      </c>
      <c r="N43" s="146"/>
      <c r="P43" s="217" t="s">
        <v>612</v>
      </c>
    </row>
    <row r="44" spans="2:19" ht="16.95" customHeight="1" outlineLevel="1" x14ac:dyDescent="0.25">
      <c r="B44" s="145"/>
      <c r="C44" s="194"/>
      <c r="D44" s="145"/>
      <c r="E44" s="259"/>
      <c r="F44" s="134"/>
      <c r="G44" s="147"/>
      <c r="I44" s="134"/>
      <c r="J44" s="134"/>
      <c r="L44" s="146"/>
      <c r="M44" s="146"/>
      <c r="N44" s="147"/>
      <c r="P44" s="221"/>
    </row>
    <row r="45" spans="2:19" ht="15.6" collapsed="1" x14ac:dyDescent="0.25">
      <c r="B45" s="148" t="s">
        <v>575</v>
      </c>
      <c r="C45" s="194"/>
      <c r="D45" s="148"/>
      <c r="E45" s="149">
        <f>SUM(E40:E44)</f>
        <v>6076.32</v>
      </c>
      <c r="F45" s="149">
        <f>SUM(F40:F44)</f>
        <v>0</v>
      </c>
      <c r="G45" s="149">
        <f>SUM(G40:G44)</f>
        <v>6076.32</v>
      </c>
      <c r="I45" s="281">
        <f>SUM(I40:I44)</f>
        <v>6076.32</v>
      </c>
      <c r="J45" s="149">
        <f>SUM(J40:J44)</f>
        <v>0</v>
      </c>
      <c r="L45" s="149">
        <f>SUM(L40:L44)</f>
        <v>6076.32</v>
      </c>
      <c r="M45" s="149">
        <f>SUM(M40:M44)</f>
        <v>0</v>
      </c>
      <c r="N45" s="149">
        <f>SUM(N40:N44)</f>
        <v>0</v>
      </c>
      <c r="P45" s="149"/>
    </row>
    <row r="46" spans="2:19" ht="15.6" x14ac:dyDescent="0.25">
      <c r="B46" s="148" t="s">
        <v>349</v>
      </c>
      <c r="C46" s="194"/>
      <c r="D46" s="148"/>
      <c r="E46" s="149">
        <f>SUM(E47:E56)</f>
        <v>714672.16999999993</v>
      </c>
      <c r="F46" s="149">
        <f>F57+F58+F59</f>
        <v>0</v>
      </c>
      <c r="G46" s="149">
        <f>SUM(G47:G56)</f>
        <v>714672.16999999993</v>
      </c>
      <c r="I46" s="281">
        <f>SUM(I47:I56)</f>
        <v>177266.60509999999</v>
      </c>
      <c r="J46" s="149">
        <f>SUM(J47:J56)</f>
        <v>0</v>
      </c>
      <c r="L46" s="149">
        <f>SUM(L47:L56)</f>
        <v>0</v>
      </c>
      <c r="M46" s="149">
        <f>SUM(M47:M56)</f>
        <v>0</v>
      </c>
      <c r="N46" s="149">
        <f>SUM(N47:N56)</f>
        <v>714672.16999999993</v>
      </c>
      <c r="P46" s="149" t="s">
        <v>350</v>
      </c>
    </row>
    <row r="47" spans="2:19" s="195" customFormat="1" ht="15.6" outlineLevel="2" x14ac:dyDescent="0.3">
      <c r="B47" s="145" t="s">
        <v>128</v>
      </c>
      <c r="C47" s="194"/>
      <c r="D47" s="145" t="s">
        <v>918</v>
      </c>
      <c r="E47" s="146">
        <v>449507.68999999994</v>
      </c>
      <c r="F47" s="147">
        <v>0</v>
      </c>
      <c r="G47" s="147">
        <v>449507.68999999994</v>
      </c>
      <c r="I47" s="134">
        <v>13485.2307</v>
      </c>
      <c r="J47" s="134"/>
      <c r="L47" s="146"/>
      <c r="M47" s="146"/>
      <c r="N47" s="146">
        <f>E47</f>
        <v>449507.68999999994</v>
      </c>
      <c r="P47" s="217" t="s">
        <v>780</v>
      </c>
      <c r="S47" s="269"/>
    </row>
    <row r="48" spans="2:19" s="195" customFormat="1" ht="15.6" outlineLevel="2" x14ac:dyDescent="0.3">
      <c r="B48" s="145" t="s">
        <v>438</v>
      </c>
      <c r="C48" s="194"/>
      <c r="D48" s="145" t="s">
        <v>918</v>
      </c>
      <c r="E48" s="146">
        <v>14548.35</v>
      </c>
      <c r="F48" s="147"/>
      <c r="G48" s="147">
        <f>SUM(E48:F48)</f>
        <v>14548.35</v>
      </c>
      <c r="I48" s="134">
        <v>0</v>
      </c>
      <c r="J48" s="134"/>
      <c r="L48" s="146"/>
      <c r="M48" s="146"/>
      <c r="N48" s="146">
        <f>E48</f>
        <v>14548.35</v>
      </c>
      <c r="P48" s="217" t="s">
        <v>870</v>
      </c>
      <c r="S48" s="269"/>
    </row>
    <row r="49" spans="2:18" s="195" customFormat="1" ht="15.6" outlineLevel="2" x14ac:dyDescent="0.25">
      <c r="B49" s="145" t="s">
        <v>422</v>
      </c>
      <c r="C49" s="194"/>
      <c r="D49" s="145" t="s">
        <v>520</v>
      </c>
      <c r="E49" s="146">
        <v>10200.799999999999</v>
      </c>
      <c r="F49" s="147"/>
      <c r="G49" s="147">
        <f t="shared" ref="G49:G56" si="24">SUM(E49:F49)</f>
        <v>10200.799999999999</v>
      </c>
      <c r="I49" s="134">
        <v>0</v>
      </c>
      <c r="J49" s="134"/>
      <c r="L49" s="146"/>
      <c r="M49" s="146"/>
      <c r="N49" s="146">
        <f t="shared" ref="N49:N55" si="25">E49</f>
        <v>10200.799999999999</v>
      </c>
      <c r="P49" s="217"/>
    </row>
    <row r="50" spans="2:18" s="195" customFormat="1" ht="15.6" outlineLevel="2" x14ac:dyDescent="0.25">
      <c r="B50" s="145" t="s">
        <v>841</v>
      </c>
      <c r="C50" s="194"/>
      <c r="D50" s="145" t="s">
        <v>520</v>
      </c>
      <c r="E50" s="146">
        <v>49440</v>
      </c>
      <c r="F50" s="147"/>
      <c r="G50" s="147">
        <f t="shared" si="24"/>
        <v>49440</v>
      </c>
      <c r="I50" s="134">
        <v>0</v>
      </c>
      <c r="J50" s="134"/>
      <c r="L50" s="146"/>
      <c r="M50" s="146"/>
      <c r="N50" s="146">
        <f t="shared" si="25"/>
        <v>49440</v>
      </c>
      <c r="P50" s="217" t="s">
        <v>921</v>
      </c>
    </row>
    <row r="51" spans="2:18" s="195" customFormat="1" ht="15.6" outlineLevel="2" x14ac:dyDescent="0.25">
      <c r="B51" s="145" t="s">
        <v>794</v>
      </c>
      <c r="C51" s="194"/>
      <c r="D51" s="145" t="s">
        <v>520</v>
      </c>
      <c r="E51" s="146">
        <v>1750</v>
      </c>
      <c r="F51" s="147"/>
      <c r="G51" s="147">
        <f t="shared" si="24"/>
        <v>1750</v>
      </c>
      <c r="I51" s="134">
        <v>0</v>
      </c>
      <c r="J51" s="134"/>
      <c r="L51" s="146"/>
      <c r="M51" s="146"/>
      <c r="N51" s="146">
        <f t="shared" si="25"/>
        <v>1750</v>
      </c>
      <c r="P51" s="217" t="s">
        <v>920</v>
      </c>
    </row>
    <row r="52" spans="2:18" s="195" customFormat="1" ht="15.6" outlineLevel="2" x14ac:dyDescent="0.25">
      <c r="B52" s="145" t="s">
        <v>739</v>
      </c>
      <c r="C52" s="194"/>
      <c r="D52" s="145" t="s">
        <v>520</v>
      </c>
      <c r="E52" s="146">
        <v>303.01</v>
      </c>
      <c r="F52" s="147"/>
      <c r="G52" s="147">
        <f t="shared" si="24"/>
        <v>303.01</v>
      </c>
      <c r="I52" s="134">
        <v>0</v>
      </c>
      <c r="J52" s="134"/>
      <c r="L52" s="146"/>
      <c r="M52" s="146"/>
      <c r="N52" s="146">
        <f t="shared" si="25"/>
        <v>303.01</v>
      </c>
      <c r="P52" s="217" t="s">
        <v>869</v>
      </c>
      <c r="R52" s="250"/>
    </row>
    <row r="53" spans="2:18" s="195" customFormat="1" ht="15.6" outlineLevel="2" x14ac:dyDescent="0.25">
      <c r="B53" s="145" t="s">
        <v>500</v>
      </c>
      <c r="C53" s="194"/>
      <c r="D53" s="145" t="s">
        <v>520</v>
      </c>
      <c r="E53" s="146">
        <v>16818.920000000002</v>
      </c>
      <c r="F53" s="147"/>
      <c r="G53" s="147">
        <f t="shared" si="24"/>
        <v>16818.920000000002</v>
      </c>
      <c r="I53" s="134">
        <v>16756.646000000001</v>
      </c>
      <c r="J53" s="134"/>
      <c r="L53" s="146"/>
      <c r="M53" s="146"/>
      <c r="N53" s="146">
        <f t="shared" si="25"/>
        <v>16818.920000000002</v>
      </c>
      <c r="P53" s="217" t="s">
        <v>779</v>
      </c>
    </row>
    <row r="54" spans="2:18" s="195" customFormat="1" ht="15.6" outlineLevel="2" x14ac:dyDescent="0.25">
      <c r="B54" s="145" t="s">
        <v>658</v>
      </c>
      <c r="C54" s="194"/>
      <c r="D54" s="145" t="s">
        <v>520</v>
      </c>
      <c r="E54" s="146">
        <v>3393</v>
      </c>
      <c r="F54" s="147"/>
      <c r="G54" s="147">
        <f t="shared" si="24"/>
        <v>3393</v>
      </c>
      <c r="I54" s="134">
        <v>101.78999999999999</v>
      </c>
      <c r="J54" s="134"/>
      <c r="L54" s="146"/>
      <c r="M54" s="146"/>
      <c r="N54" s="146">
        <f t="shared" si="25"/>
        <v>3393</v>
      </c>
      <c r="P54" s="217" t="s">
        <v>781</v>
      </c>
    </row>
    <row r="55" spans="2:18" s="195" customFormat="1" ht="15.6" outlineLevel="2" x14ac:dyDescent="0.25">
      <c r="B55" s="145" t="s">
        <v>679</v>
      </c>
      <c r="C55" s="194"/>
      <c r="D55" s="145" t="s">
        <v>918</v>
      </c>
      <c r="E55" s="146">
        <v>527.28</v>
      </c>
      <c r="F55" s="147"/>
      <c r="G55" s="147">
        <f t="shared" si="24"/>
        <v>527.28</v>
      </c>
      <c r="I55" s="134">
        <v>15.818399999999999</v>
      </c>
      <c r="J55" s="134"/>
      <c r="L55" s="146"/>
      <c r="M55" s="146"/>
      <c r="N55" s="146">
        <f t="shared" si="25"/>
        <v>527.28</v>
      </c>
      <c r="P55" s="217" t="s">
        <v>777</v>
      </c>
    </row>
    <row r="56" spans="2:18" s="195" customFormat="1" ht="46.8" outlineLevel="2" x14ac:dyDescent="0.25">
      <c r="B56" s="145" t="s">
        <v>529</v>
      </c>
      <c r="C56" s="194"/>
      <c r="D56" s="145" t="s">
        <v>520</v>
      </c>
      <c r="E56" s="387">
        <v>168183.12</v>
      </c>
      <c r="F56" s="147"/>
      <c r="G56" s="147">
        <f t="shared" si="24"/>
        <v>168183.12</v>
      </c>
      <c r="I56" s="134">
        <v>146907.12</v>
      </c>
      <c r="J56" s="146"/>
      <c r="L56" s="146"/>
      <c r="M56" s="146"/>
      <c r="N56" s="146">
        <f>E56</f>
        <v>168183.12</v>
      </c>
      <c r="P56" s="391" t="s">
        <v>778</v>
      </c>
    </row>
    <row r="57" spans="2:18" ht="15.6" outlineLevel="1" x14ac:dyDescent="0.25">
      <c r="B57" s="416" t="s">
        <v>8</v>
      </c>
      <c r="C57" s="194"/>
      <c r="D57" s="148" t="s">
        <v>520</v>
      </c>
      <c r="E57" s="150"/>
      <c r="F57" s="149"/>
      <c r="G57" s="149"/>
      <c r="I57" s="149"/>
      <c r="J57" s="149"/>
      <c r="L57" s="149"/>
      <c r="M57" s="149"/>
      <c r="N57" s="149"/>
      <c r="P57" s="149"/>
    </row>
    <row r="58" spans="2:18" ht="15.6" outlineLevel="1" x14ac:dyDescent="0.25">
      <c r="B58" s="417"/>
      <c r="C58" s="194"/>
      <c r="D58" s="148" t="s">
        <v>918</v>
      </c>
      <c r="E58" s="150"/>
      <c r="F58" s="149"/>
      <c r="G58" s="149"/>
      <c r="I58" s="149"/>
      <c r="J58" s="149"/>
      <c r="L58" s="149"/>
      <c r="M58" s="149"/>
      <c r="N58" s="149"/>
      <c r="P58" s="149"/>
    </row>
    <row r="59" spans="2:18" ht="15.6" outlineLevel="1" x14ac:dyDescent="0.25">
      <c r="B59" s="418"/>
      <c r="C59" s="194"/>
      <c r="D59" s="148" t="s">
        <v>174</v>
      </c>
      <c r="E59" s="150"/>
      <c r="F59" s="149"/>
      <c r="G59" s="149"/>
      <c r="I59" s="149"/>
      <c r="J59" s="149"/>
      <c r="L59" s="149"/>
      <c r="M59" s="149"/>
      <c r="N59" s="149"/>
      <c r="P59" s="149"/>
    </row>
    <row r="60" spans="2:18" s="195" customFormat="1" ht="21" customHeight="1" outlineLevel="2" x14ac:dyDescent="0.25">
      <c r="B60" s="152" t="s">
        <v>531</v>
      </c>
      <c r="C60" s="203"/>
      <c r="D60" s="145" t="s">
        <v>520</v>
      </c>
      <c r="E60" s="153"/>
      <c r="F60" s="153">
        <v>5607780.2999999998</v>
      </c>
      <c r="G60" s="153">
        <f t="shared" ref="G60:G103" si="26">E60+F60</f>
        <v>5607780.2999999998</v>
      </c>
      <c r="I60" s="154"/>
      <c r="J60" s="154"/>
      <c r="L60" s="155"/>
      <c r="M60" s="155"/>
      <c r="N60" s="153"/>
      <c r="O60" s="153">
        <v>475235</v>
      </c>
      <c r="P60" s="223"/>
    </row>
    <row r="61" spans="2:18" s="195" customFormat="1" ht="15.6" outlineLevel="2" x14ac:dyDescent="0.25">
      <c r="B61" s="152" t="s">
        <v>500</v>
      </c>
      <c r="C61" s="194"/>
      <c r="D61" s="145" t="s">
        <v>520</v>
      </c>
      <c r="E61" s="146"/>
      <c r="F61" s="146">
        <v>5479695.75</v>
      </c>
      <c r="G61" s="153">
        <f t="shared" si="26"/>
        <v>5479695.75</v>
      </c>
      <c r="I61" s="146"/>
      <c r="J61" s="146"/>
      <c r="L61" s="146"/>
      <c r="M61" s="146"/>
      <c r="N61" s="146"/>
      <c r="O61" s="146">
        <v>3633158.100000001</v>
      </c>
      <c r="P61" s="222"/>
    </row>
    <row r="62" spans="2:18" s="195" customFormat="1" ht="15.6" outlineLevel="2" x14ac:dyDescent="0.25">
      <c r="B62" s="152" t="s">
        <v>420</v>
      </c>
      <c r="C62" s="194"/>
      <c r="D62" s="145" t="s">
        <v>520</v>
      </c>
      <c r="E62" s="146"/>
      <c r="F62" s="146">
        <v>3073292.2</v>
      </c>
      <c r="G62" s="153">
        <f t="shared" si="26"/>
        <v>3073292.2</v>
      </c>
      <c r="I62" s="146"/>
      <c r="J62" s="146"/>
      <c r="L62" s="146"/>
      <c r="M62" s="146"/>
      <c r="N62" s="146"/>
      <c r="O62" s="146"/>
      <c r="P62" s="222"/>
    </row>
    <row r="63" spans="2:18" s="195" customFormat="1" ht="15.6" outlineLevel="2" x14ac:dyDescent="0.25">
      <c r="B63" s="152" t="s">
        <v>577</v>
      </c>
      <c r="C63" s="194"/>
      <c r="D63" s="145" t="s">
        <v>520</v>
      </c>
      <c r="E63" s="146"/>
      <c r="F63" s="146">
        <v>973206.83000000007</v>
      </c>
      <c r="G63" s="153">
        <f t="shared" si="26"/>
        <v>973206.83000000007</v>
      </c>
      <c r="I63" s="146"/>
      <c r="J63" s="146"/>
      <c r="L63" s="146"/>
      <c r="M63" s="146"/>
      <c r="N63" s="146"/>
      <c r="O63" s="146"/>
      <c r="P63" s="222"/>
    </row>
    <row r="64" spans="2:18" s="195" customFormat="1" ht="15.6" outlineLevel="2" x14ac:dyDescent="0.25">
      <c r="B64" s="152" t="s">
        <v>83</v>
      </c>
      <c r="C64" s="194"/>
      <c r="D64" s="145" t="s">
        <v>520</v>
      </c>
      <c r="E64" s="146"/>
      <c r="F64" s="146">
        <v>831017.13</v>
      </c>
      <c r="G64" s="153">
        <f t="shared" si="26"/>
        <v>831017.13</v>
      </c>
      <c r="I64" s="146"/>
      <c r="J64" s="146"/>
      <c r="L64" s="146"/>
      <c r="M64" s="146"/>
      <c r="N64" s="146"/>
      <c r="O64" s="146"/>
      <c r="P64" s="222"/>
    </row>
    <row r="65" spans="2:16" s="195" customFormat="1" ht="15.6" outlineLevel="2" x14ac:dyDescent="0.25">
      <c r="B65" s="152" t="s">
        <v>120</v>
      </c>
      <c r="C65" s="194"/>
      <c r="D65" s="145" t="s">
        <v>520</v>
      </c>
      <c r="E65" s="146"/>
      <c r="F65" s="146">
        <v>798155.7</v>
      </c>
      <c r="G65" s="153">
        <f t="shared" si="26"/>
        <v>798155.7</v>
      </c>
      <c r="I65" s="146"/>
      <c r="J65" s="146"/>
      <c r="L65" s="146"/>
      <c r="M65" s="146"/>
      <c r="N65" s="146"/>
      <c r="O65" s="146">
        <v>3231664.82</v>
      </c>
      <c r="P65" s="222"/>
    </row>
    <row r="66" spans="2:16" s="195" customFormat="1" ht="15.6" outlineLevel="2" x14ac:dyDescent="0.25">
      <c r="B66" s="152" t="s">
        <v>417</v>
      </c>
      <c r="C66" s="194"/>
      <c r="D66" s="145" t="s">
        <v>520</v>
      </c>
      <c r="E66" s="146"/>
      <c r="F66" s="146">
        <v>797138.1</v>
      </c>
      <c r="G66" s="153">
        <f t="shared" si="26"/>
        <v>797138.1</v>
      </c>
      <c r="I66" s="146"/>
      <c r="J66" s="146"/>
      <c r="L66" s="146"/>
      <c r="M66" s="146"/>
      <c r="N66" s="146"/>
      <c r="O66" s="146">
        <v>225884.2</v>
      </c>
      <c r="P66" s="222"/>
    </row>
    <row r="67" spans="2:16" s="195" customFormat="1" ht="15.6" outlineLevel="2" x14ac:dyDescent="0.25">
      <c r="B67" s="152" t="s">
        <v>792</v>
      </c>
      <c r="C67" s="194"/>
      <c r="D67" s="145" t="s">
        <v>520</v>
      </c>
      <c r="E67" s="146"/>
      <c r="F67" s="146">
        <v>782849.8</v>
      </c>
      <c r="G67" s="153">
        <f t="shared" si="26"/>
        <v>782849.8</v>
      </c>
      <c r="I67" s="146"/>
      <c r="J67" s="146"/>
      <c r="L67" s="146"/>
      <c r="M67" s="146"/>
      <c r="N67" s="146"/>
      <c r="O67" s="146">
        <v>6158350.8999999994</v>
      </c>
      <c r="P67" s="222"/>
    </row>
    <row r="68" spans="2:16" s="195" customFormat="1" ht="15.6" outlineLevel="2" x14ac:dyDescent="0.25">
      <c r="B68" s="152" t="s">
        <v>428</v>
      </c>
      <c r="C68" s="194"/>
      <c r="D68" s="145" t="s">
        <v>520</v>
      </c>
      <c r="E68" s="146"/>
      <c r="F68" s="146">
        <v>631958.30000000005</v>
      </c>
      <c r="G68" s="153">
        <f t="shared" si="26"/>
        <v>631958.30000000005</v>
      </c>
      <c r="I68" s="146"/>
      <c r="J68" s="146"/>
      <c r="L68" s="146"/>
      <c r="M68" s="146"/>
      <c r="N68" s="146"/>
      <c r="O68" s="146">
        <v>866804.7</v>
      </c>
      <c r="P68" s="222"/>
    </row>
    <row r="69" spans="2:16" s="195" customFormat="1" ht="15.6" outlineLevel="2" x14ac:dyDescent="0.25">
      <c r="B69" s="152" t="s">
        <v>576</v>
      </c>
      <c r="C69" s="194"/>
      <c r="D69" s="145" t="s">
        <v>520</v>
      </c>
      <c r="E69" s="146"/>
      <c r="F69" s="146">
        <v>611643.59999999986</v>
      </c>
      <c r="G69" s="153">
        <f t="shared" si="26"/>
        <v>611643.59999999986</v>
      </c>
      <c r="I69" s="146"/>
      <c r="J69" s="146"/>
      <c r="L69" s="146"/>
      <c r="M69" s="146"/>
      <c r="N69" s="146"/>
      <c r="O69" s="146">
        <v>158126.39999999999</v>
      </c>
      <c r="P69" s="222"/>
    </row>
    <row r="70" spans="2:16" s="195" customFormat="1" ht="15.6" outlineLevel="2" x14ac:dyDescent="0.25">
      <c r="B70" s="152" t="s">
        <v>430</v>
      </c>
      <c r="C70" s="194"/>
      <c r="D70" s="145" t="s">
        <v>520</v>
      </c>
      <c r="E70" s="146"/>
      <c r="F70" s="146">
        <v>520104</v>
      </c>
      <c r="G70" s="153">
        <f t="shared" si="26"/>
        <v>520104</v>
      </c>
      <c r="I70" s="146"/>
      <c r="J70" s="146"/>
      <c r="L70" s="146"/>
      <c r="M70" s="146"/>
      <c r="N70" s="146"/>
      <c r="O70" s="146">
        <v>1227102.3999999999</v>
      </c>
      <c r="P70" s="222"/>
    </row>
    <row r="71" spans="2:16" s="195" customFormat="1" ht="15.6" outlineLevel="2" x14ac:dyDescent="0.25">
      <c r="B71" s="152" t="s">
        <v>618</v>
      </c>
      <c r="C71" s="194"/>
      <c r="D71" s="145" t="s">
        <v>520</v>
      </c>
      <c r="E71" s="146"/>
      <c r="F71" s="146">
        <v>500890</v>
      </c>
      <c r="G71" s="153">
        <f t="shared" si="26"/>
        <v>500890</v>
      </c>
      <c r="I71" s="146"/>
      <c r="J71" s="146"/>
      <c r="L71" s="146"/>
      <c r="M71" s="146"/>
      <c r="N71" s="146"/>
      <c r="O71" s="146">
        <v>53489.3</v>
      </c>
      <c r="P71" s="222"/>
    </row>
    <row r="72" spans="2:16" s="195" customFormat="1" ht="15.6" outlineLevel="2" x14ac:dyDescent="0.25">
      <c r="B72" s="152" t="s">
        <v>416</v>
      </c>
      <c r="C72" s="194"/>
      <c r="D72" s="145" t="s">
        <v>520</v>
      </c>
      <c r="E72" s="146"/>
      <c r="F72" s="146">
        <v>482208.1</v>
      </c>
      <c r="G72" s="153">
        <f t="shared" si="26"/>
        <v>482208.1</v>
      </c>
      <c r="I72" s="146"/>
      <c r="J72" s="146"/>
      <c r="L72" s="146"/>
      <c r="M72" s="146"/>
      <c r="N72" s="146"/>
      <c r="O72" s="146"/>
      <c r="P72" s="222"/>
    </row>
    <row r="73" spans="2:16" s="195" customFormat="1" ht="15.6" outlineLevel="2" x14ac:dyDescent="0.25">
      <c r="B73" s="152" t="s">
        <v>532</v>
      </c>
      <c r="C73" s="194"/>
      <c r="D73" s="145" t="s">
        <v>520</v>
      </c>
      <c r="E73" s="146"/>
      <c r="F73" s="146">
        <v>408048.2</v>
      </c>
      <c r="G73" s="153">
        <f t="shared" si="26"/>
        <v>408048.2</v>
      </c>
      <c r="I73" s="146"/>
      <c r="J73" s="146"/>
      <c r="L73" s="146"/>
      <c r="M73" s="146"/>
      <c r="N73" s="146"/>
      <c r="O73" s="146">
        <v>528498.80000000005</v>
      </c>
      <c r="P73" s="222"/>
    </row>
    <row r="74" spans="2:16" s="195" customFormat="1" ht="15.6" outlineLevel="2" x14ac:dyDescent="0.25">
      <c r="B74" s="152" t="s">
        <v>40</v>
      </c>
      <c r="C74" s="194"/>
      <c r="D74" s="145" t="s">
        <v>520</v>
      </c>
      <c r="E74" s="146"/>
      <c r="F74" s="146">
        <v>391080</v>
      </c>
      <c r="G74" s="153">
        <f t="shared" si="26"/>
        <v>391080</v>
      </c>
      <c r="I74" s="146"/>
      <c r="J74" s="146"/>
      <c r="L74" s="146"/>
      <c r="M74" s="146"/>
      <c r="N74" s="146"/>
      <c r="O74" s="146">
        <v>417989.80000000005</v>
      </c>
      <c r="P74" s="222"/>
    </row>
    <row r="75" spans="2:16" s="195" customFormat="1" ht="15.6" outlineLevel="2" x14ac:dyDescent="0.25">
      <c r="B75" s="152" t="s">
        <v>30</v>
      </c>
      <c r="C75" s="194"/>
      <c r="D75" s="145" t="s">
        <v>520</v>
      </c>
      <c r="E75" s="146"/>
      <c r="F75" s="146">
        <v>350989.1</v>
      </c>
      <c r="G75" s="153">
        <f t="shared" si="26"/>
        <v>350989.1</v>
      </c>
      <c r="I75" s="146"/>
      <c r="J75" s="146"/>
      <c r="L75" s="146"/>
      <c r="M75" s="146"/>
      <c r="N75" s="146"/>
      <c r="O75" s="146">
        <v>1424871.4000000001</v>
      </c>
      <c r="P75" s="222"/>
    </row>
    <row r="76" spans="2:16" s="195" customFormat="1" ht="15.6" outlineLevel="2" x14ac:dyDescent="0.25">
      <c r="B76" s="152" t="s">
        <v>683</v>
      </c>
      <c r="C76" s="194"/>
      <c r="D76" s="145" t="s">
        <v>520</v>
      </c>
      <c r="E76" s="146"/>
      <c r="F76" s="146">
        <v>327257.90000000002</v>
      </c>
      <c r="G76" s="153">
        <f t="shared" si="26"/>
        <v>327257.90000000002</v>
      </c>
      <c r="I76" s="146"/>
      <c r="J76" s="146"/>
      <c r="L76" s="146"/>
      <c r="M76" s="146"/>
      <c r="N76" s="146"/>
      <c r="O76" s="146">
        <v>1708772</v>
      </c>
      <c r="P76" s="222"/>
    </row>
    <row r="77" spans="2:16" s="195" customFormat="1" ht="15.6" outlineLevel="2" x14ac:dyDescent="0.25">
      <c r="B77" s="152" t="s">
        <v>744</v>
      </c>
      <c r="C77" s="194"/>
      <c r="D77" s="145" t="s">
        <v>520</v>
      </c>
      <c r="E77" s="146"/>
      <c r="F77" s="146">
        <v>244770</v>
      </c>
      <c r="G77" s="153">
        <f t="shared" si="26"/>
        <v>244770</v>
      </c>
      <c r="I77" s="146"/>
      <c r="J77" s="146"/>
      <c r="L77" s="146"/>
      <c r="M77" s="146"/>
      <c r="N77" s="146"/>
      <c r="O77" s="146">
        <v>324729</v>
      </c>
      <c r="P77" s="222"/>
    </row>
    <row r="78" spans="2:16" s="195" customFormat="1" ht="15.6" outlineLevel="2" x14ac:dyDescent="0.25">
      <c r="B78" s="152" t="s">
        <v>735</v>
      </c>
      <c r="C78" s="194"/>
      <c r="D78" s="145" t="s">
        <v>520</v>
      </c>
      <c r="E78" s="146"/>
      <c r="F78" s="146">
        <v>218160</v>
      </c>
      <c r="G78" s="153">
        <f t="shared" si="26"/>
        <v>218160</v>
      </c>
      <c r="I78" s="146"/>
      <c r="J78" s="146"/>
      <c r="L78" s="146"/>
      <c r="M78" s="146"/>
      <c r="N78" s="146"/>
      <c r="O78" s="146">
        <v>1034572.5</v>
      </c>
      <c r="P78" s="222"/>
    </row>
    <row r="79" spans="2:16" s="195" customFormat="1" ht="15.6" outlineLevel="2" x14ac:dyDescent="0.25">
      <c r="B79" s="152" t="s">
        <v>530</v>
      </c>
      <c r="C79" s="194"/>
      <c r="D79" s="145" t="s">
        <v>520</v>
      </c>
      <c r="E79" s="146"/>
      <c r="F79" s="146">
        <v>195071.61</v>
      </c>
      <c r="G79" s="153">
        <f t="shared" si="26"/>
        <v>195071.61</v>
      </c>
      <c r="I79" s="146"/>
      <c r="J79" s="146"/>
      <c r="L79" s="146"/>
      <c r="M79" s="146"/>
      <c r="N79" s="146"/>
      <c r="O79" s="146">
        <v>444240</v>
      </c>
      <c r="P79" s="222"/>
    </row>
    <row r="80" spans="2:16" s="195" customFormat="1" ht="15.6" outlineLevel="2" x14ac:dyDescent="0.25">
      <c r="B80" s="152" t="s">
        <v>425</v>
      </c>
      <c r="C80" s="194"/>
      <c r="D80" s="145" t="s">
        <v>520</v>
      </c>
      <c r="E80" s="146"/>
      <c r="F80" s="146">
        <v>167464</v>
      </c>
      <c r="G80" s="153">
        <f t="shared" si="26"/>
        <v>167464</v>
      </c>
      <c r="I80" s="146"/>
      <c r="J80" s="146"/>
      <c r="L80" s="146"/>
      <c r="M80" s="146"/>
      <c r="N80" s="146"/>
      <c r="O80" s="146">
        <v>159679.79999999999</v>
      </c>
      <c r="P80" s="222"/>
    </row>
    <row r="81" spans="2:16" s="195" customFormat="1" ht="15.6" outlineLevel="2" x14ac:dyDescent="0.25">
      <c r="B81" s="152" t="s">
        <v>726</v>
      </c>
      <c r="C81" s="194"/>
      <c r="D81" s="145" t="s">
        <v>520</v>
      </c>
      <c r="E81" s="146"/>
      <c r="F81" s="146">
        <v>161379</v>
      </c>
      <c r="G81" s="153">
        <f t="shared" si="26"/>
        <v>161379</v>
      </c>
      <c r="I81" s="146"/>
      <c r="J81" s="146"/>
      <c r="L81" s="146"/>
      <c r="M81" s="146"/>
      <c r="N81" s="146"/>
      <c r="O81" s="146">
        <v>23451.75</v>
      </c>
      <c r="P81" s="222"/>
    </row>
    <row r="82" spans="2:16" s="195" customFormat="1" ht="15.6" outlineLevel="2" x14ac:dyDescent="0.25">
      <c r="B82" s="152" t="s">
        <v>65</v>
      </c>
      <c r="C82" s="194"/>
      <c r="D82" s="145" t="s">
        <v>520</v>
      </c>
      <c r="E82" s="146"/>
      <c r="F82" s="146">
        <v>150199.79999999999</v>
      </c>
      <c r="G82" s="153">
        <f t="shared" si="26"/>
        <v>150199.79999999999</v>
      </c>
      <c r="I82" s="146"/>
      <c r="J82" s="146"/>
      <c r="L82" s="146"/>
      <c r="M82" s="146"/>
      <c r="N82" s="146"/>
      <c r="O82" s="146"/>
      <c r="P82" s="222"/>
    </row>
    <row r="83" spans="2:16" s="195" customFormat="1" ht="15.6" outlineLevel="2" x14ac:dyDescent="0.25">
      <c r="B83" s="152" t="s">
        <v>550</v>
      </c>
      <c r="C83" s="194"/>
      <c r="D83" s="145" t="s">
        <v>520</v>
      </c>
      <c r="E83" s="146"/>
      <c r="F83" s="146">
        <v>148538.91999999998</v>
      </c>
      <c r="G83" s="153">
        <f t="shared" si="26"/>
        <v>148538.91999999998</v>
      </c>
      <c r="I83" s="146"/>
      <c r="J83" s="146"/>
      <c r="L83" s="146"/>
      <c r="M83" s="146"/>
      <c r="N83" s="146"/>
      <c r="O83" s="146"/>
      <c r="P83" s="222"/>
    </row>
    <row r="84" spans="2:16" s="195" customFormat="1" ht="15.6" outlineLevel="2" x14ac:dyDescent="0.25">
      <c r="B84" s="152" t="s">
        <v>488</v>
      </c>
      <c r="C84" s="194"/>
      <c r="D84" s="145" t="s">
        <v>520</v>
      </c>
      <c r="E84" s="146"/>
      <c r="F84" s="146">
        <v>137084.1</v>
      </c>
      <c r="G84" s="153">
        <f t="shared" si="26"/>
        <v>137084.1</v>
      </c>
      <c r="I84" s="146"/>
      <c r="J84" s="146"/>
      <c r="L84" s="146"/>
      <c r="M84" s="146"/>
      <c r="N84" s="146"/>
      <c r="O84" s="146"/>
      <c r="P84" s="222"/>
    </row>
    <row r="85" spans="2:16" s="195" customFormat="1" ht="15.6" outlineLevel="2" x14ac:dyDescent="0.25">
      <c r="B85" s="152" t="s">
        <v>421</v>
      </c>
      <c r="C85" s="194"/>
      <c r="D85" s="145" t="s">
        <v>520</v>
      </c>
      <c r="E85" s="146"/>
      <c r="F85" s="146">
        <v>99785</v>
      </c>
      <c r="G85" s="153">
        <f t="shared" si="26"/>
        <v>99785</v>
      </c>
      <c r="I85" s="146"/>
      <c r="J85" s="146"/>
      <c r="L85" s="146"/>
      <c r="M85" s="146"/>
      <c r="N85" s="146"/>
      <c r="O85" s="146"/>
      <c r="P85" s="222"/>
    </row>
    <row r="86" spans="2:16" s="195" customFormat="1" ht="15.6" outlineLevel="2" x14ac:dyDescent="0.25">
      <c r="B86" s="152" t="s">
        <v>658</v>
      </c>
      <c r="C86" s="194"/>
      <c r="D86" s="145" t="s">
        <v>520</v>
      </c>
      <c r="E86" s="146"/>
      <c r="F86" s="146">
        <v>99532</v>
      </c>
      <c r="G86" s="153">
        <f t="shared" si="26"/>
        <v>99532</v>
      </c>
      <c r="I86" s="146"/>
      <c r="J86" s="146"/>
      <c r="L86" s="146"/>
      <c r="M86" s="146"/>
      <c r="N86" s="146"/>
      <c r="O86" s="146"/>
      <c r="P86" s="222"/>
    </row>
    <row r="87" spans="2:16" s="195" customFormat="1" ht="15.6" outlineLevel="2" x14ac:dyDescent="0.25">
      <c r="B87" s="152" t="s">
        <v>303</v>
      </c>
      <c r="C87" s="194"/>
      <c r="D87" s="145" t="s">
        <v>520</v>
      </c>
      <c r="E87" s="146"/>
      <c r="F87" s="146">
        <v>87139.5</v>
      </c>
      <c r="G87" s="153">
        <f t="shared" si="26"/>
        <v>87139.5</v>
      </c>
      <c r="I87" s="146"/>
      <c r="J87" s="146"/>
      <c r="L87" s="146"/>
      <c r="M87" s="146"/>
      <c r="N87" s="146"/>
      <c r="O87" s="146"/>
      <c r="P87" s="222"/>
    </row>
    <row r="88" spans="2:16" s="195" customFormat="1" ht="15.6" outlineLevel="2" x14ac:dyDescent="0.25">
      <c r="B88" s="152" t="s">
        <v>89</v>
      </c>
      <c r="C88" s="194"/>
      <c r="D88" s="145" t="s">
        <v>520</v>
      </c>
      <c r="E88" s="146"/>
      <c r="F88" s="146">
        <v>83198.7</v>
      </c>
      <c r="G88" s="153">
        <f t="shared" si="26"/>
        <v>83198.7</v>
      </c>
      <c r="I88" s="146"/>
      <c r="J88" s="146"/>
      <c r="L88" s="146"/>
      <c r="M88" s="146"/>
      <c r="N88" s="146"/>
      <c r="O88" s="146"/>
      <c r="P88" s="222"/>
    </row>
    <row r="89" spans="2:16" s="195" customFormat="1" ht="15.6" outlineLevel="2" x14ac:dyDescent="0.25">
      <c r="B89" s="152" t="s">
        <v>419</v>
      </c>
      <c r="C89" s="194"/>
      <c r="D89" s="145" t="s">
        <v>520</v>
      </c>
      <c r="E89" s="146"/>
      <c r="F89" s="146">
        <v>80980</v>
      </c>
      <c r="G89" s="153">
        <f t="shared" si="26"/>
        <v>80980</v>
      </c>
      <c r="I89" s="146"/>
      <c r="J89" s="146"/>
      <c r="L89" s="146"/>
      <c r="M89" s="146"/>
      <c r="N89" s="146"/>
      <c r="O89" s="146">
        <v>73440</v>
      </c>
      <c r="P89" s="222"/>
    </row>
    <row r="90" spans="2:16" s="195" customFormat="1" ht="15.6" outlineLevel="2" x14ac:dyDescent="0.25">
      <c r="B90" s="152" t="s">
        <v>296</v>
      </c>
      <c r="C90" s="194"/>
      <c r="D90" s="145" t="s">
        <v>520</v>
      </c>
      <c r="E90" s="146"/>
      <c r="F90" s="146">
        <v>74021.399999999994</v>
      </c>
      <c r="G90" s="153">
        <f t="shared" si="26"/>
        <v>74021.399999999994</v>
      </c>
      <c r="I90" s="146"/>
      <c r="J90" s="146"/>
      <c r="L90" s="146"/>
      <c r="M90" s="146"/>
      <c r="N90" s="146"/>
      <c r="O90" s="146">
        <v>112012.5</v>
      </c>
      <c r="P90" s="222"/>
    </row>
    <row r="91" spans="2:16" s="195" customFormat="1" ht="15.6" outlineLevel="2" x14ac:dyDescent="0.25">
      <c r="B91" s="152" t="s">
        <v>555</v>
      </c>
      <c r="C91" s="194"/>
      <c r="D91" s="145" t="s">
        <v>520</v>
      </c>
      <c r="E91" s="146"/>
      <c r="F91" s="146">
        <v>66740</v>
      </c>
      <c r="G91" s="153">
        <f t="shared" si="26"/>
        <v>66740</v>
      </c>
      <c r="I91" s="146"/>
      <c r="J91" s="146"/>
      <c r="L91" s="146"/>
      <c r="M91" s="146"/>
      <c r="N91" s="146"/>
      <c r="O91" s="146">
        <v>42240</v>
      </c>
      <c r="P91" s="222"/>
    </row>
    <row r="92" spans="2:16" s="195" customFormat="1" ht="15.6" outlineLevel="2" x14ac:dyDescent="0.25">
      <c r="B92" s="152" t="s">
        <v>252</v>
      </c>
      <c r="C92" s="194"/>
      <c r="D92" s="145" t="s">
        <v>520</v>
      </c>
      <c r="E92" s="146"/>
      <c r="F92" s="146">
        <v>66308</v>
      </c>
      <c r="G92" s="153">
        <f t="shared" si="26"/>
        <v>66308</v>
      </c>
      <c r="I92" s="146"/>
      <c r="J92" s="146"/>
      <c r="L92" s="146"/>
      <c r="M92" s="146"/>
      <c r="N92" s="146"/>
      <c r="O92" s="146">
        <v>462630</v>
      </c>
      <c r="P92" s="222"/>
    </row>
    <row r="93" spans="2:16" s="195" customFormat="1" ht="15.6" outlineLevel="2" x14ac:dyDescent="0.25">
      <c r="B93" s="152" t="s">
        <v>414</v>
      </c>
      <c r="C93" s="194"/>
      <c r="D93" s="145" t="s">
        <v>520</v>
      </c>
      <c r="E93" s="146"/>
      <c r="F93" s="146">
        <v>60117.8</v>
      </c>
      <c r="G93" s="153">
        <f t="shared" si="26"/>
        <v>60117.8</v>
      </c>
      <c r="I93" s="146"/>
      <c r="J93" s="146"/>
      <c r="L93" s="146"/>
      <c r="M93" s="146"/>
      <c r="N93" s="146"/>
      <c r="O93" s="146">
        <v>3860</v>
      </c>
      <c r="P93" s="222"/>
    </row>
    <row r="94" spans="2:16" s="195" customFormat="1" ht="15.6" outlineLevel="2" x14ac:dyDescent="0.25">
      <c r="B94" s="152" t="s">
        <v>95</v>
      </c>
      <c r="C94" s="194"/>
      <c r="D94" s="145" t="s">
        <v>520</v>
      </c>
      <c r="E94" s="146"/>
      <c r="F94" s="146">
        <v>52840</v>
      </c>
      <c r="G94" s="153">
        <f t="shared" si="26"/>
        <v>52840</v>
      </c>
      <c r="I94" s="146"/>
      <c r="J94" s="146"/>
      <c r="L94" s="146"/>
      <c r="M94" s="146"/>
      <c r="N94" s="146"/>
      <c r="O94" s="146">
        <v>105854.98</v>
      </c>
      <c r="P94" s="222"/>
    </row>
    <row r="95" spans="2:16" s="195" customFormat="1" ht="15.6" outlineLevel="2" x14ac:dyDescent="0.25">
      <c r="B95" s="152" t="s">
        <v>50</v>
      </c>
      <c r="C95" s="194"/>
      <c r="D95" s="145" t="s">
        <v>520</v>
      </c>
      <c r="E95" s="146"/>
      <c r="F95" s="146">
        <v>42240</v>
      </c>
      <c r="G95" s="153">
        <f t="shared" si="26"/>
        <v>42240</v>
      </c>
      <c r="I95" s="146"/>
      <c r="J95" s="146"/>
      <c r="L95" s="146"/>
      <c r="M95" s="146"/>
      <c r="N95" s="146"/>
      <c r="O95" s="146">
        <v>149397</v>
      </c>
      <c r="P95" s="222"/>
    </row>
    <row r="96" spans="2:16" s="195" customFormat="1" ht="15.6" outlineLevel="2" x14ac:dyDescent="0.25">
      <c r="B96" s="152" t="s">
        <v>94</v>
      </c>
      <c r="C96" s="194"/>
      <c r="D96" s="145" t="s">
        <v>520</v>
      </c>
      <c r="E96" s="146"/>
      <c r="F96" s="146">
        <v>28444.5</v>
      </c>
      <c r="G96" s="153">
        <f t="shared" si="26"/>
        <v>28444.5</v>
      </c>
      <c r="I96" s="146"/>
      <c r="J96" s="146"/>
      <c r="L96" s="146"/>
      <c r="M96" s="146"/>
      <c r="N96" s="146"/>
      <c r="O96" s="146">
        <v>51900</v>
      </c>
      <c r="P96" s="222"/>
    </row>
    <row r="97" spans="2:16" s="195" customFormat="1" ht="15.6" outlineLevel="2" x14ac:dyDescent="0.25">
      <c r="B97" s="152" t="s">
        <v>422</v>
      </c>
      <c r="C97" s="194"/>
      <c r="D97" s="145" t="s">
        <v>520</v>
      </c>
      <c r="E97" s="146"/>
      <c r="F97" s="146">
        <v>10200.799999999999</v>
      </c>
      <c r="G97" s="153">
        <f t="shared" si="26"/>
        <v>10200.799999999999</v>
      </c>
      <c r="I97" s="146"/>
      <c r="J97" s="146"/>
      <c r="L97" s="146"/>
      <c r="M97" s="146"/>
      <c r="N97" s="146"/>
      <c r="O97" s="146">
        <v>71604.399999999994</v>
      </c>
      <c r="P97" s="222"/>
    </row>
    <row r="98" spans="2:16" s="195" customFormat="1" ht="15.6" outlineLevel="2" x14ac:dyDescent="0.25">
      <c r="B98" s="152" t="s">
        <v>418</v>
      </c>
      <c r="C98" s="194"/>
      <c r="D98" s="145" t="s">
        <v>520</v>
      </c>
      <c r="E98" s="146"/>
      <c r="F98" s="146">
        <v>2340</v>
      </c>
      <c r="G98" s="153">
        <f t="shared" si="26"/>
        <v>2340</v>
      </c>
      <c r="I98" s="146"/>
      <c r="J98" s="146"/>
      <c r="L98" s="146"/>
      <c r="M98" s="146"/>
      <c r="N98" s="146"/>
      <c r="O98" s="146">
        <v>245</v>
      </c>
      <c r="P98" s="222"/>
    </row>
    <row r="99" spans="2:16" s="195" customFormat="1" ht="15.6" outlineLevel="2" x14ac:dyDescent="0.25">
      <c r="B99" s="152" t="s">
        <v>877</v>
      </c>
      <c r="C99" s="194"/>
      <c r="D99" s="145" t="s">
        <v>520</v>
      </c>
      <c r="E99" s="146"/>
      <c r="F99" s="146">
        <v>1260</v>
      </c>
      <c r="G99" s="153">
        <f t="shared" si="26"/>
        <v>1260</v>
      </c>
      <c r="I99" s="146"/>
      <c r="J99" s="146"/>
      <c r="L99" s="146"/>
      <c r="M99" s="146"/>
      <c r="N99" s="146"/>
      <c r="O99" s="146"/>
      <c r="P99" s="222"/>
    </row>
    <row r="100" spans="2:16" s="195" customFormat="1" ht="15.6" outlineLevel="2" x14ac:dyDescent="0.25">
      <c r="B100" s="152" t="s">
        <v>854</v>
      </c>
      <c r="C100" s="194"/>
      <c r="D100" s="145" t="s">
        <v>520</v>
      </c>
      <c r="E100" s="146"/>
      <c r="F100" s="146">
        <v>1166.67</v>
      </c>
      <c r="G100" s="153">
        <f t="shared" si="26"/>
        <v>1166.67</v>
      </c>
      <c r="I100" s="146"/>
      <c r="J100" s="146"/>
      <c r="L100" s="146"/>
      <c r="M100" s="146"/>
      <c r="N100" s="146"/>
      <c r="O100" s="146"/>
      <c r="P100" s="222"/>
    </row>
    <row r="101" spans="2:16" s="195" customFormat="1" ht="15.6" outlineLevel="2" x14ac:dyDescent="0.25">
      <c r="B101" s="152" t="s">
        <v>875</v>
      </c>
      <c r="C101" s="194"/>
      <c r="D101" s="145" t="s">
        <v>520</v>
      </c>
      <c r="E101" s="146"/>
      <c r="F101" s="146">
        <v>662</v>
      </c>
      <c r="G101" s="153">
        <f t="shared" si="26"/>
        <v>662</v>
      </c>
      <c r="I101" s="146"/>
      <c r="J101" s="146"/>
      <c r="L101" s="146"/>
      <c r="M101" s="146"/>
      <c r="N101" s="146"/>
      <c r="O101" s="146">
        <v>183510</v>
      </c>
      <c r="P101" s="222"/>
    </row>
    <row r="102" spans="2:16" s="195" customFormat="1" ht="15.6" outlineLevel="2" x14ac:dyDescent="0.25">
      <c r="B102" s="152" t="s">
        <v>814</v>
      </c>
      <c r="C102" s="194"/>
      <c r="D102" s="145" t="s">
        <v>520</v>
      </c>
      <c r="E102" s="146"/>
      <c r="F102" s="146">
        <v>292.08</v>
      </c>
      <c r="G102" s="153">
        <f t="shared" si="26"/>
        <v>292.08</v>
      </c>
      <c r="I102" s="146"/>
      <c r="J102" s="146"/>
      <c r="L102" s="146"/>
      <c r="M102" s="146"/>
      <c r="N102" s="146"/>
      <c r="O102" s="146"/>
      <c r="P102" s="222"/>
    </row>
    <row r="103" spans="2:16" s="195" customFormat="1" ht="15.6" outlineLevel="2" x14ac:dyDescent="0.25">
      <c r="B103" s="152" t="s">
        <v>537</v>
      </c>
      <c r="C103" s="194"/>
      <c r="D103" s="145" t="s">
        <v>520</v>
      </c>
      <c r="E103" s="146"/>
      <c r="F103" s="146">
        <v>200</v>
      </c>
      <c r="G103" s="153">
        <f t="shared" si="26"/>
        <v>200</v>
      </c>
      <c r="I103" s="146"/>
      <c r="J103" s="146"/>
      <c r="L103" s="146"/>
      <c r="M103" s="146"/>
      <c r="N103" s="146"/>
      <c r="O103" s="146"/>
      <c r="P103" s="222"/>
    </row>
    <row r="104" spans="2:16" s="195" customFormat="1" ht="15.6" outlineLevel="2" x14ac:dyDescent="0.25">
      <c r="B104" s="152" t="s">
        <v>553</v>
      </c>
      <c r="C104" s="194"/>
      <c r="D104" s="145" t="s">
        <v>174</v>
      </c>
      <c r="E104" s="146"/>
      <c r="F104" s="146">
        <v>2033573.62</v>
      </c>
      <c r="G104" s="153">
        <f t="shared" ref="G104:G128" si="27">E104+F104</f>
        <v>2033573.62</v>
      </c>
      <c r="I104" s="146"/>
      <c r="J104" s="146"/>
      <c r="L104" s="146"/>
      <c r="M104" s="146"/>
      <c r="N104" s="146"/>
      <c r="O104" s="146"/>
      <c r="P104" s="222"/>
    </row>
    <row r="105" spans="2:16" s="195" customFormat="1" ht="15.6" outlineLevel="2" x14ac:dyDescent="0.25">
      <c r="B105" s="152" t="s">
        <v>182</v>
      </c>
      <c r="C105" s="194"/>
      <c r="D105" s="145" t="s">
        <v>174</v>
      </c>
      <c r="E105" s="146"/>
      <c r="F105" s="146">
        <v>1200190.42</v>
      </c>
      <c r="G105" s="153">
        <f t="shared" si="27"/>
        <v>1200190.42</v>
      </c>
      <c r="I105" s="146"/>
      <c r="J105" s="146"/>
      <c r="L105" s="146"/>
      <c r="M105" s="146"/>
      <c r="N105" s="146"/>
      <c r="O105" s="146"/>
      <c r="P105" s="222"/>
    </row>
    <row r="106" spans="2:16" s="195" customFormat="1" ht="15.6" outlineLevel="2" x14ac:dyDescent="0.25">
      <c r="B106" s="152" t="s">
        <v>335</v>
      </c>
      <c r="C106" s="194"/>
      <c r="D106" s="145" t="s">
        <v>174</v>
      </c>
      <c r="E106" s="146"/>
      <c r="F106" s="146">
        <v>815729</v>
      </c>
      <c r="G106" s="153">
        <f t="shared" si="27"/>
        <v>815729</v>
      </c>
      <c r="I106" s="146"/>
      <c r="J106" s="146"/>
      <c r="L106" s="146"/>
      <c r="M106" s="146"/>
      <c r="N106" s="146"/>
      <c r="O106" s="156"/>
      <c r="P106" s="222"/>
    </row>
    <row r="107" spans="2:16" s="195" customFormat="1" ht="15.6" outlineLevel="2" x14ac:dyDescent="0.25">
      <c r="B107" s="152" t="s">
        <v>432</v>
      </c>
      <c r="C107" s="194"/>
      <c r="D107" s="145" t="s">
        <v>174</v>
      </c>
      <c r="E107" s="146"/>
      <c r="F107" s="146">
        <v>770854.72</v>
      </c>
      <c r="G107" s="153">
        <f t="shared" si="27"/>
        <v>770854.72</v>
      </c>
      <c r="I107" s="146"/>
      <c r="J107" s="146"/>
      <c r="L107" s="146"/>
      <c r="M107" s="146"/>
      <c r="N107" s="146"/>
      <c r="P107" s="222"/>
    </row>
    <row r="108" spans="2:16" s="195" customFormat="1" ht="15.6" outlineLevel="2" x14ac:dyDescent="0.25">
      <c r="B108" s="152" t="s">
        <v>581</v>
      </c>
      <c r="C108" s="194"/>
      <c r="D108" s="145" t="s">
        <v>174</v>
      </c>
      <c r="E108" s="146"/>
      <c r="F108" s="146">
        <v>739540.06</v>
      </c>
      <c r="G108" s="153">
        <f t="shared" si="27"/>
        <v>739540.06</v>
      </c>
      <c r="I108" s="146"/>
      <c r="J108" s="146"/>
      <c r="L108" s="146"/>
      <c r="M108" s="146"/>
      <c r="N108" s="146"/>
      <c r="P108" s="222"/>
    </row>
    <row r="109" spans="2:16" s="195" customFormat="1" ht="15.6" outlineLevel="2" x14ac:dyDescent="0.25">
      <c r="B109" s="152" t="s">
        <v>83</v>
      </c>
      <c r="C109" s="194"/>
      <c r="D109" s="145" t="s">
        <v>174</v>
      </c>
      <c r="E109" s="146"/>
      <c r="F109" s="146">
        <v>662365.68000000005</v>
      </c>
      <c r="G109" s="153">
        <f t="shared" si="27"/>
        <v>662365.68000000005</v>
      </c>
      <c r="I109" s="146"/>
      <c r="J109" s="146"/>
      <c r="L109" s="146"/>
      <c r="M109" s="146"/>
      <c r="N109" s="146"/>
      <c r="P109" s="222"/>
    </row>
    <row r="110" spans="2:16" s="195" customFormat="1" ht="15.6" outlineLevel="2" x14ac:dyDescent="0.25">
      <c r="B110" s="152" t="s">
        <v>452</v>
      </c>
      <c r="C110" s="194"/>
      <c r="D110" s="145" t="s">
        <v>174</v>
      </c>
      <c r="E110" s="146"/>
      <c r="F110" s="146">
        <v>640473.04</v>
      </c>
      <c r="G110" s="153">
        <f t="shared" si="27"/>
        <v>640473.04</v>
      </c>
      <c r="I110" s="146"/>
      <c r="J110" s="146"/>
      <c r="L110" s="146"/>
      <c r="M110" s="146"/>
      <c r="N110" s="146"/>
      <c r="P110" s="222"/>
    </row>
    <row r="111" spans="2:16" s="195" customFormat="1" ht="15.6" outlineLevel="2" x14ac:dyDescent="0.25">
      <c r="B111" s="152" t="s">
        <v>380</v>
      </c>
      <c r="C111" s="194"/>
      <c r="D111" s="145" t="s">
        <v>174</v>
      </c>
      <c r="E111" s="146"/>
      <c r="F111" s="146">
        <v>566412.34000000008</v>
      </c>
      <c r="G111" s="153">
        <f t="shared" si="27"/>
        <v>566412.34000000008</v>
      </c>
      <c r="I111" s="146"/>
      <c r="J111" s="146"/>
      <c r="L111" s="146"/>
      <c r="M111" s="146"/>
      <c r="N111" s="146"/>
      <c r="P111" s="222"/>
    </row>
    <row r="112" spans="2:16" s="195" customFormat="1" ht="15.6" outlineLevel="2" x14ac:dyDescent="0.25">
      <c r="B112" s="152" t="s">
        <v>377</v>
      </c>
      <c r="C112" s="194"/>
      <c r="D112" s="145" t="s">
        <v>174</v>
      </c>
      <c r="E112" s="146"/>
      <c r="F112" s="146">
        <v>329327.90999999997</v>
      </c>
      <c r="G112" s="153">
        <f t="shared" si="27"/>
        <v>329327.90999999997</v>
      </c>
      <c r="I112" s="146"/>
      <c r="J112" s="146"/>
      <c r="L112" s="146"/>
      <c r="M112" s="146"/>
      <c r="N112" s="146"/>
      <c r="P112" s="222"/>
    </row>
    <row r="113" spans="2:16" s="195" customFormat="1" ht="15.6" outlineLevel="2" x14ac:dyDescent="0.25">
      <c r="B113" s="152" t="s">
        <v>197</v>
      </c>
      <c r="C113" s="194"/>
      <c r="D113" s="145" t="s">
        <v>174</v>
      </c>
      <c r="E113" s="146"/>
      <c r="F113" s="146">
        <v>269056</v>
      </c>
      <c r="G113" s="153">
        <f t="shared" si="27"/>
        <v>269056</v>
      </c>
      <c r="I113" s="146"/>
      <c r="J113" s="146"/>
      <c r="L113" s="146"/>
      <c r="M113" s="146"/>
      <c r="N113" s="146"/>
      <c r="P113" s="222"/>
    </row>
    <row r="114" spans="2:16" s="195" customFormat="1" ht="15.6" outlineLevel="2" x14ac:dyDescent="0.25">
      <c r="B114" s="152" t="s">
        <v>378</v>
      </c>
      <c r="C114" s="194"/>
      <c r="D114" s="145" t="s">
        <v>174</v>
      </c>
      <c r="E114" s="146"/>
      <c r="F114" s="146">
        <v>222808.17</v>
      </c>
      <c r="G114" s="153">
        <f t="shared" si="27"/>
        <v>222808.17</v>
      </c>
      <c r="I114" s="146"/>
      <c r="J114" s="146"/>
      <c r="L114" s="146"/>
      <c r="M114" s="146"/>
      <c r="N114" s="146"/>
      <c r="P114" s="222"/>
    </row>
    <row r="115" spans="2:16" s="195" customFormat="1" ht="15.6" outlineLevel="2" x14ac:dyDescent="0.25">
      <c r="B115" s="152" t="s">
        <v>433</v>
      </c>
      <c r="C115" s="194"/>
      <c r="D115" s="145" t="s">
        <v>174</v>
      </c>
      <c r="E115" s="146"/>
      <c r="F115" s="146">
        <v>133718</v>
      </c>
      <c r="G115" s="153">
        <f t="shared" si="27"/>
        <v>133718</v>
      </c>
      <c r="I115" s="146"/>
      <c r="J115" s="146"/>
      <c r="L115" s="146"/>
      <c r="M115" s="146"/>
      <c r="N115" s="146"/>
      <c r="P115" s="222"/>
    </row>
    <row r="116" spans="2:16" s="195" customFormat="1" ht="15.6" outlineLevel="2" x14ac:dyDescent="0.25">
      <c r="B116" s="152" t="s">
        <v>671</v>
      </c>
      <c r="C116" s="194"/>
      <c r="D116" s="145" t="s">
        <v>174</v>
      </c>
      <c r="E116" s="146"/>
      <c r="F116" s="146">
        <v>20525.8</v>
      </c>
      <c r="G116" s="153">
        <f t="shared" si="27"/>
        <v>20525.8</v>
      </c>
      <c r="I116" s="146"/>
      <c r="J116" s="146"/>
      <c r="L116" s="146"/>
      <c r="M116" s="146"/>
      <c r="N116" s="146"/>
      <c r="P116" s="222"/>
    </row>
    <row r="117" spans="2:16" s="195" customFormat="1" ht="15.6" outlineLevel="2" x14ac:dyDescent="0.25">
      <c r="B117" s="152" t="s">
        <v>862</v>
      </c>
      <c r="C117" s="194"/>
      <c r="D117" s="145" t="s">
        <v>174</v>
      </c>
      <c r="E117" s="146"/>
      <c r="F117" s="146">
        <v>11278.17</v>
      </c>
      <c r="G117" s="153">
        <f t="shared" si="27"/>
        <v>11278.17</v>
      </c>
      <c r="I117" s="146"/>
      <c r="J117" s="146"/>
      <c r="L117" s="146"/>
      <c r="M117" s="146"/>
      <c r="N117" s="146"/>
      <c r="P117" s="222"/>
    </row>
    <row r="118" spans="2:16" s="195" customFormat="1" ht="15.6" outlineLevel="2" x14ac:dyDescent="0.25">
      <c r="B118" s="152" t="s">
        <v>426</v>
      </c>
      <c r="C118" s="194"/>
      <c r="D118" s="145" t="s">
        <v>174</v>
      </c>
      <c r="E118" s="146"/>
      <c r="F118" s="146">
        <v>5030.5</v>
      </c>
      <c r="G118" s="153">
        <f t="shared" si="27"/>
        <v>5030.5</v>
      </c>
      <c r="I118" s="146"/>
      <c r="J118" s="146"/>
      <c r="L118" s="146"/>
      <c r="M118" s="146"/>
      <c r="N118" s="146"/>
      <c r="P118" s="222"/>
    </row>
    <row r="119" spans="2:16" s="195" customFormat="1" ht="15.6" outlineLevel="2" x14ac:dyDescent="0.25">
      <c r="B119" s="152" t="s">
        <v>337</v>
      </c>
      <c r="C119" s="194"/>
      <c r="D119" s="145" t="s">
        <v>918</v>
      </c>
      <c r="E119" s="146"/>
      <c r="F119" s="146">
        <v>3280155.1799999997</v>
      </c>
      <c r="G119" s="153">
        <f t="shared" si="27"/>
        <v>3280155.1799999997</v>
      </c>
      <c r="I119" s="146"/>
      <c r="J119" s="146"/>
      <c r="L119" s="146"/>
      <c r="M119" s="146"/>
      <c r="N119" s="146"/>
      <c r="P119" s="222"/>
    </row>
    <row r="120" spans="2:16" s="195" customFormat="1" ht="15.6" outlineLevel="2" x14ac:dyDescent="0.25">
      <c r="B120" s="152" t="s">
        <v>295</v>
      </c>
      <c r="C120" s="194"/>
      <c r="D120" s="145" t="s">
        <v>918</v>
      </c>
      <c r="E120" s="146"/>
      <c r="F120" s="146">
        <v>510391.22</v>
      </c>
      <c r="G120" s="153">
        <f t="shared" si="27"/>
        <v>510391.22</v>
      </c>
      <c r="I120" s="146"/>
      <c r="J120" s="146"/>
      <c r="L120" s="146"/>
      <c r="M120" s="146"/>
      <c r="N120" s="146"/>
      <c r="P120" s="222"/>
    </row>
    <row r="121" spans="2:16" s="195" customFormat="1" ht="15.6" outlineLevel="2" x14ac:dyDescent="0.25">
      <c r="B121" s="152" t="s">
        <v>355</v>
      </c>
      <c r="C121" s="194"/>
      <c r="D121" s="145" t="s">
        <v>918</v>
      </c>
      <c r="E121" s="146"/>
      <c r="F121" s="146">
        <v>224812.61</v>
      </c>
      <c r="G121" s="153">
        <f t="shared" si="27"/>
        <v>224812.61</v>
      </c>
      <c r="I121" s="146"/>
      <c r="J121" s="146"/>
      <c r="L121" s="146"/>
      <c r="M121" s="146"/>
      <c r="N121" s="146"/>
      <c r="P121" s="222"/>
    </row>
    <row r="122" spans="2:16" s="195" customFormat="1" ht="15.6" outlineLevel="2" x14ac:dyDescent="0.25">
      <c r="B122" s="152" t="s">
        <v>131</v>
      </c>
      <c r="C122" s="194"/>
      <c r="D122" s="145" t="s">
        <v>918</v>
      </c>
      <c r="E122" s="146"/>
      <c r="F122" s="146">
        <v>213717.72</v>
      </c>
      <c r="G122" s="153">
        <f t="shared" si="27"/>
        <v>213717.72</v>
      </c>
      <c r="I122" s="146"/>
      <c r="J122" s="146"/>
      <c r="L122" s="146"/>
      <c r="M122" s="146"/>
      <c r="N122" s="146"/>
      <c r="P122" s="222"/>
    </row>
    <row r="123" spans="2:16" s="195" customFormat="1" ht="15.6" outlineLevel="2" x14ac:dyDescent="0.25">
      <c r="B123" s="152" t="s">
        <v>126</v>
      </c>
      <c r="C123" s="194"/>
      <c r="D123" s="145" t="s">
        <v>918</v>
      </c>
      <c r="E123" s="146"/>
      <c r="F123" s="146">
        <v>157607.13</v>
      </c>
      <c r="G123" s="153">
        <f t="shared" si="27"/>
        <v>157607.13</v>
      </c>
      <c r="I123" s="146"/>
      <c r="J123" s="146"/>
      <c r="L123" s="146"/>
      <c r="M123" s="146"/>
      <c r="N123" s="146"/>
      <c r="P123" s="222"/>
    </row>
    <row r="124" spans="2:16" s="195" customFormat="1" ht="15.6" outlineLevel="2" x14ac:dyDescent="0.25">
      <c r="B124" s="152" t="s">
        <v>130</v>
      </c>
      <c r="C124" s="194"/>
      <c r="D124" s="145" t="s">
        <v>918</v>
      </c>
      <c r="E124" s="146"/>
      <c r="F124" s="146">
        <v>145895</v>
      </c>
      <c r="G124" s="153">
        <f t="shared" si="27"/>
        <v>145895</v>
      </c>
      <c r="I124" s="146"/>
      <c r="J124" s="146"/>
      <c r="L124" s="146"/>
      <c r="M124" s="146"/>
      <c r="N124" s="146"/>
      <c r="P124" s="222"/>
    </row>
    <row r="125" spans="2:16" s="195" customFormat="1" ht="15.6" outlineLevel="2" x14ac:dyDescent="0.25">
      <c r="B125" s="152" t="s">
        <v>382</v>
      </c>
      <c r="C125" s="194"/>
      <c r="D125" s="145" t="s">
        <v>918</v>
      </c>
      <c r="E125" s="146"/>
      <c r="F125" s="146">
        <v>132178.28</v>
      </c>
      <c r="G125" s="153">
        <f t="shared" si="27"/>
        <v>132178.28</v>
      </c>
      <c r="I125" s="146"/>
      <c r="J125" s="146"/>
      <c r="L125" s="146"/>
      <c r="M125" s="146"/>
      <c r="N125" s="146"/>
      <c r="P125" s="222"/>
    </row>
    <row r="126" spans="2:16" s="195" customFormat="1" ht="15.6" outlineLevel="2" x14ac:dyDescent="0.25">
      <c r="B126" s="152" t="s">
        <v>535</v>
      </c>
      <c r="C126" s="194"/>
      <c r="D126" s="145" t="s">
        <v>918</v>
      </c>
      <c r="E126" s="146"/>
      <c r="F126" s="146">
        <v>103419.88999999998</v>
      </c>
      <c r="G126" s="153">
        <f t="shared" si="27"/>
        <v>103419.88999999998</v>
      </c>
      <c r="I126" s="146"/>
      <c r="J126" s="146"/>
      <c r="L126" s="146"/>
      <c r="M126" s="146"/>
      <c r="N126" s="146"/>
      <c r="P126" s="222"/>
    </row>
    <row r="127" spans="2:16" s="195" customFormat="1" ht="15.6" outlineLevel="2" x14ac:dyDescent="0.25">
      <c r="B127" s="152" t="s">
        <v>305</v>
      </c>
      <c r="C127" s="194"/>
      <c r="D127" s="145" t="s">
        <v>918</v>
      </c>
      <c r="E127" s="146"/>
      <c r="F127" s="146">
        <v>86689.1</v>
      </c>
      <c r="G127" s="153">
        <f t="shared" si="27"/>
        <v>86689.1</v>
      </c>
      <c r="I127" s="146"/>
      <c r="J127" s="146"/>
      <c r="L127" s="146"/>
      <c r="M127" s="146"/>
      <c r="N127" s="146"/>
      <c r="P127" s="222"/>
    </row>
    <row r="128" spans="2:16" s="195" customFormat="1" ht="15.6" outlineLevel="2" x14ac:dyDescent="0.25">
      <c r="B128" s="152" t="s">
        <v>492</v>
      </c>
      <c r="C128" s="194"/>
      <c r="D128" s="145" t="s">
        <v>918</v>
      </c>
      <c r="E128" s="146"/>
      <c r="F128" s="146">
        <v>76480.23</v>
      </c>
      <c r="G128" s="153">
        <f t="shared" si="27"/>
        <v>76480.23</v>
      </c>
      <c r="I128" s="146"/>
      <c r="J128" s="146"/>
      <c r="L128" s="146"/>
      <c r="M128" s="146"/>
      <c r="N128" s="146"/>
      <c r="P128" s="222"/>
    </row>
    <row r="129" spans="2:16" s="195" customFormat="1" ht="15.6" outlineLevel="2" x14ac:dyDescent="0.25">
      <c r="B129" s="152" t="s">
        <v>905</v>
      </c>
      <c r="C129" s="194"/>
      <c r="D129" s="145" t="s">
        <v>918</v>
      </c>
      <c r="E129" s="146"/>
      <c r="F129" s="146">
        <v>58715.6</v>
      </c>
      <c r="G129" s="153">
        <f t="shared" ref="G129:G131" si="28">E129+F129</f>
        <v>58715.6</v>
      </c>
      <c r="I129" s="146"/>
      <c r="J129" s="146"/>
      <c r="L129" s="146"/>
      <c r="M129" s="146"/>
      <c r="N129" s="146"/>
      <c r="P129" s="222"/>
    </row>
    <row r="130" spans="2:16" s="195" customFormat="1" ht="15.6" outlineLevel="2" x14ac:dyDescent="0.25">
      <c r="B130" s="152" t="s">
        <v>852</v>
      </c>
      <c r="C130" s="194"/>
      <c r="D130" s="145" t="s">
        <v>918</v>
      </c>
      <c r="E130" s="146"/>
      <c r="F130" s="146">
        <v>45718.46</v>
      </c>
      <c r="G130" s="153">
        <f t="shared" si="28"/>
        <v>45718.46</v>
      </c>
      <c r="I130" s="146"/>
      <c r="J130" s="146"/>
      <c r="L130" s="146"/>
      <c r="M130" s="146"/>
      <c r="N130" s="146"/>
      <c r="P130" s="222"/>
    </row>
    <row r="131" spans="2:16" s="195" customFormat="1" ht="15.6" outlineLevel="2" x14ac:dyDescent="0.25">
      <c r="B131" s="152" t="s">
        <v>360</v>
      </c>
      <c r="C131" s="194"/>
      <c r="D131" s="145" t="s">
        <v>918</v>
      </c>
      <c r="E131" s="146"/>
      <c r="F131" s="146">
        <v>40017.64</v>
      </c>
      <c r="G131" s="153">
        <f t="shared" si="28"/>
        <v>40017.64</v>
      </c>
      <c r="I131" s="146"/>
      <c r="J131" s="146"/>
      <c r="L131" s="146"/>
      <c r="M131" s="146"/>
      <c r="N131" s="146"/>
      <c r="P131" s="222"/>
    </row>
    <row r="132" spans="2:16" ht="15.6" x14ac:dyDescent="0.25">
      <c r="B132" s="157" t="s">
        <v>351</v>
      </c>
      <c r="C132" s="194"/>
      <c r="D132" s="158"/>
      <c r="E132" s="159">
        <f>E46+E45+E39+SUM(E60:E131)</f>
        <v>23036500.679999996</v>
      </c>
      <c r="F132" s="159">
        <f>F46+F45+F39+SUM(F60:F131)</f>
        <v>38344132.38000001</v>
      </c>
      <c r="G132" s="159">
        <f>G46+G45+G39+SUM(G60:G131)</f>
        <v>61380633.060000002</v>
      </c>
      <c r="I132" s="159">
        <f>I46+I45+I39+SUM(I60:I131)</f>
        <v>10610662.462300001</v>
      </c>
      <c r="J132" s="159">
        <f>J46+J45+J39+SUM(J60:J131)</f>
        <v>0</v>
      </c>
      <c r="L132" s="159">
        <f>L46+L45+L39+SUM(L60:L131)</f>
        <v>10433395.8572</v>
      </c>
      <c r="M132" s="159">
        <f>M46+M45+M39+SUM(M60:M131)</f>
        <v>11888432.652799997</v>
      </c>
      <c r="N132" s="159">
        <f>N46+N45+N39+SUM(N60:N131)</f>
        <v>714672.16999999993</v>
      </c>
      <c r="P132" s="160"/>
    </row>
    <row r="133" spans="2:16" ht="15.6" x14ac:dyDescent="0.25">
      <c r="C133" s="194"/>
    </row>
    <row r="134" spans="2:16" ht="15.6" x14ac:dyDescent="0.25">
      <c r="B134" s="157"/>
      <c r="C134" s="194"/>
      <c r="D134" s="158" t="s">
        <v>918</v>
      </c>
      <c r="E134" s="159">
        <f t="shared" ref="E134:N136" si="29">SUMIF($D$26:$D$132,$D134,E$26:E$132)</f>
        <v>464583.31999999995</v>
      </c>
      <c r="F134" s="159">
        <f t="shared" si="29"/>
        <v>5075798.0599999987</v>
      </c>
      <c r="G134" s="159">
        <f t="shared" si="29"/>
        <v>5540381.379999999</v>
      </c>
      <c r="H134" s="195">
        <f t="shared" si="29"/>
        <v>0</v>
      </c>
      <c r="I134" s="159">
        <f t="shared" si="29"/>
        <v>13501.0491</v>
      </c>
      <c r="J134" s="159">
        <f t="shared" si="29"/>
        <v>0</v>
      </c>
      <c r="K134" s="195">
        <f t="shared" si="29"/>
        <v>0</v>
      </c>
      <c r="L134" s="159">
        <f t="shared" si="29"/>
        <v>0</v>
      </c>
      <c r="M134" s="159">
        <f t="shared" si="29"/>
        <v>0</v>
      </c>
      <c r="N134" s="159">
        <f t="shared" si="29"/>
        <v>464583.31999999995</v>
      </c>
      <c r="P134" s="160"/>
    </row>
    <row r="135" spans="2:16" ht="15.6" x14ac:dyDescent="0.25">
      <c r="B135" s="157"/>
      <c r="C135" s="194"/>
      <c r="D135" s="158" t="s">
        <v>174</v>
      </c>
      <c r="E135" s="159">
        <f t="shared" si="29"/>
        <v>21854828.589999996</v>
      </c>
      <c r="F135" s="159">
        <f t="shared" si="29"/>
        <v>8420883.4299999997</v>
      </c>
      <c r="G135" s="159">
        <f t="shared" si="29"/>
        <v>30275712.019999996</v>
      </c>
      <c r="H135" s="195">
        <f t="shared" si="29"/>
        <v>0</v>
      </c>
      <c r="I135" s="159">
        <f t="shared" si="29"/>
        <v>9966395.9372000005</v>
      </c>
      <c r="J135" s="159">
        <f t="shared" si="29"/>
        <v>0</v>
      </c>
      <c r="K135" s="195">
        <f t="shared" si="29"/>
        <v>0</v>
      </c>
      <c r="L135" s="159">
        <f t="shared" si="29"/>
        <v>9966395.9372000005</v>
      </c>
      <c r="M135" s="159">
        <f t="shared" si="29"/>
        <v>11888432.652799997</v>
      </c>
      <c r="N135" s="159">
        <f t="shared" si="29"/>
        <v>0</v>
      </c>
      <c r="P135" s="160"/>
    </row>
    <row r="136" spans="2:16" ht="15.6" x14ac:dyDescent="0.25">
      <c r="B136" s="157"/>
      <c r="C136" s="194"/>
      <c r="D136" s="158" t="s">
        <v>520</v>
      </c>
      <c r="E136" s="159">
        <f t="shared" si="29"/>
        <v>717088.77</v>
      </c>
      <c r="F136" s="159">
        <f t="shared" si="29"/>
        <v>24847450.890000008</v>
      </c>
      <c r="G136" s="159">
        <f t="shared" si="29"/>
        <v>25564539.660000008</v>
      </c>
      <c r="H136" s="195">
        <f t="shared" si="29"/>
        <v>0</v>
      </c>
      <c r="I136" s="159">
        <f t="shared" si="29"/>
        <v>630765.47600000002</v>
      </c>
      <c r="J136" s="159">
        <f t="shared" si="29"/>
        <v>0</v>
      </c>
      <c r="K136" s="195">
        <f t="shared" si="29"/>
        <v>0</v>
      </c>
      <c r="L136" s="159">
        <f t="shared" si="29"/>
        <v>466999.92</v>
      </c>
      <c r="M136" s="159">
        <f t="shared" si="29"/>
        <v>0</v>
      </c>
      <c r="N136" s="159">
        <f t="shared" si="29"/>
        <v>250088.85</v>
      </c>
      <c r="P136" s="160"/>
    </row>
    <row r="137" spans="2:16" ht="15.6" x14ac:dyDescent="0.25">
      <c r="B137" s="157"/>
      <c r="C137" s="194"/>
      <c r="D137" s="158" t="s">
        <v>351</v>
      </c>
      <c r="E137" s="159">
        <f>SUM(E134:E136)</f>
        <v>23036500.679999996</v>
      </c>
      <c r="F137" s="159">
        <f t="shared" ref="F137:N137" si="30">SUM(F134:F136)</f>
        <v>38344132.38000001</v>
      </c>
      <c r="G137" s="159">
        <f t="shared" si="30"/>
        <v>61380633.060000002</v>
      </c>
      <c r="H137" s="195">
        <f t="shared" si="30"/>
        <v>0</v>
      </c>
      <c r="I137" s="280">
        <f>SUM(I134:I136)</f>
        <v>10610662.462300001</v>
      </c>
      <c r="J137" s="159">
        <f t="shared" si="30"/>
        <v>0</v>
      </c>
      <c r="K137" s="195">
        <f t="shared" si="30"/>
        <v>0</v>
      </c>
      <c r="L137" s="159">
        <f t="shared" si="30"/>
        <v>10433395.8572</v>
      </c>
      <c r="M137" s="159">
        <f t="shared" si="30"/>
        <v>11888432.652799997</v>
      </c>
      <c r="N137" s="159">
        <f t="shared" si="30"/>
        <v>714672.16999999993</v>
      </c>
      <c r="P137" s="160"/>
    </row>
    <row r="138" spans="2:16" x14ac:dyDescent="0.25">
      <c r="E138" s="218">
        <f>+E137-E132</f>
        <v>0</v>
      </c>
      <c r="F138" s="218">
        <f>+F137-F132</f>
        <v>0</v>
      </c>
      <c r="G138" s="218">
        <f>+G137-G132</f>
        <v>0</v>
      </c>
      <c r="H138" s="218">
        <f t="shared" ref="H138:K138" si="31">+H137-H132</f>
        <v>0</v>
      </c>
      <c r="I138" s="218">
        <f>+I137-I132</f>
        <v>0</v>
      </c>
      <c r="J138" s="218">
        <f>+J137-J132</f>
        <v>0</v>
      </c>
      <c r="K138" s="218">
        <f t="shared" si="31"/>
        <v>0</v>
      </c>
      <c r="L138" s="218">
        <f>+L137-L132</f>
        <v>0</v>
      </c>
      <c r="M138" s="218">
        <f>+M137-M132</f>
        <v>0</v>
      </c>
      <c r="N138" s="218">
        <f>+N137-N132</f>
        <v>0</v>
      </c>
    </row>
    <row r="139" spans="2:16" x14ac:dyDescent="0.25">
      <c r="I139" s="218"/>
      <c r="J139" s="218"/>
      <c r="M139" s="218"/>
    </row>
    <row r="140" spans="2:16" x14ac:dyDescent="0.25">
      <c r="I140" s="216"/>
      <c r="J140" s="216"/>
    </row>
    <row r="141" spans="2:16" x14ac:dyDescent="0.25">
      <c r="E141" s="388">
        <f>22879117.56+157383.12</f>
        <v>23036500.68</v>
      </c>
      <c r="F141" s="258">
        <v>38344132.380000003</v>
      </c>
      <c r="G141" s="388">
        <f>61223249.94+157383.12</f>
        <v>61380633.059999995</v>
      </c>
      <c r="I141" s="258">
        <v>10610662.462299995</v>
      </c>
    </row>
    <row r="142" spans="2:16" x14ac:dyDescent="0.25">
      <c r="E142" s="218">
        <f>E141-E132</f>
        <v>0</v>
      </c>
      <c r="F142" s="218">
        <f>F141-F132</f>
        <v>0</v>
      </c>
      <c r="G142" s="218">
        <f>G132-G141</f>
        <v>0</v>
      </c>
      <c r="H142" s="218">
        <f t="shared" ref="H142" si="32">H132-H141</f>
        <v>0</v>
      </c>
      <c r="I142" s="258">
        <f>I132-I141</f>
        <v>0</v>
      </c>
    </row>
    <row r="145" spans="5:7" x14ac:dyDescent="0.25">
      <c r="E145" s="218"/>
      <c r="F145" s="218"/>
    </row>
    <row r="146" spans="5:7" x14ac:dyDescent="0.25">
      <c r="E146" s="215"/>
      <c r="F146" s="218"/>
    </row>
    <row r="147" spans="5:7" x14ac:dyDescent="0.25">
      <c r="E147" s="215"/>
    </row>
    <row r="148" spans="5:7" x14ac:dyDescent="0.25">
      <c r="E148" s="216"/>
      <c r="G148" s="218"/>
    </row>
    <row r="149" spans="5:7" x14ac:dyDescent="0.25">
      <c r="E149" s="216"/>
    </row>
  </sheetData>
  <autoFilter ref="A21:T138" xr:uid="{4E0151F4-2778-4E4A-BE26-75C4E309E92D}"/>
  <mergeCells count="21">
    <mergeCell ref="B2:D2"/>
    <mergeCell ref="E2:F2"/>
    <mergeCell ref="B4:B5"/>
    <mergeCell ref="D4:D5"/>
    <mergeCell ref="E4:E5"/>
    <mergeCell ref="F4:F5"/>
    <mergeCell ref="B57:B59"/>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4D62-86B4-4A8B-A8B8-38B0A71940A4}">
  <sheetPr>
    <tabColor rgb="FF00B050"/>
  </sheetPr>
  <dimension ref="B1:M113"/>
  <sheetViews>
    <sheetView showGridLines="0" zoomScale="70" zoomScaleNormal="70" workbookViewId="0">
      <pane xSplit="3" ySplit="3" topLeftCell="D4" activePane="bottomRight" state="frozen"/>
      <selection pane="topRight" activeCell="D1" sqref="D1"/>
      <selection pane="bottomLeft" activeCell="A6" sqref="A6"/>
      <selection pane="bottomRight" activeCell="G9" sqref="G9"/>
    </sheetView>
  </sheetViews>
  <sheetFormatPr defaultColWidth="8.88671875" defaultRowHeight="14.4" outlineLevelRow="1" x14ac:dyDescent="0.25"/>
  <cols>
    <col min="1" max="1" width="2.109375" style="132" customWidth="1"/>
    <col min="2" max="2" width="35.6640625" style="132" bestFit="1" customWidth="1"/>
    <col min="3" max="3" width="0.88671875" style="131" customWidth="1"/>
    <col min="4" max="4" width="10.44140625" style="132" bestFit="1" customWidth="1"/>
    <col min="5" max="5" width="13.5546875" style="132" bestFit="1" customWidth="1"/>
    <col min="6" max="6" width="15" style="132" bestFit="1" customWidth="1"/>
    <col min="7" max="7" width="13.33203125" style="132" customWidth="1"/>
    <col min="8" max="8" width="0.88671875" style="131" customWidth="1"/>
    <col min="9" max="9" width="11.6640625" style="132" customWidth="1"/>
    <col min="10" max="10" width="12.88671875" style="132" customWidth="1"/>
    <col min="11" max="11" width="11.6640625" style="132" customWidth="1"/>
    <col min="12" max="12" width="0.88671875" style="131" customWidth="1"/>
    <col min="13" max="13" width="140.33203125" style="132" customWidth="1"/>
    <col min="14" max="16384" width="8.88671875" style="132"/>
  </cols>
  <sheetData>
    <row r="1" spans="2:13" ht="15.6" x14ac:dyDescent="0.25">
      <c r="B1" s="130" t="s">
        <v>502</v>
      </c>
    </row>
    <row r="2" spans="2:13" ht="15.6" x14ac:dyDescent="0.25">
      <c r="B2" s="419" t="s">
        <v>543</v>
      </c>
      <c r="D2" s="419" t="s">
        <v>339</v>
      </c>
      <c r="E2" s="419" t="s">
        <v>27</v>
      </c>
      <c r="F2" s="419" t="s">
        <v>8</v>
      </c>
      <c r="G2" s="419" t="s">
        <v>340</v>
      </c>
      <c r="I2" s="419" t="s">
        <v>503</v>
      </c>
      <c r="J2" s="419"/>
      <c r="K2" s="419"/>
      <c r="M2" s="419" t="s">
        <v>338</v>
      </c>
    </row>
    <row r="3" spans="2:13" ht="15.6" x14ac:dyDescent="0.25">
      <c r="B3" s="420"/>
      <c r="D3" s="420"/>
      <c r="E3" s="420"/>
      <c r="F3" s="420"/>
      <c r="G3" s="420"/>
      <c r="I3" s="51" t="s">
        <v>483</v>
      </c>
      <c r="J3" s="51" t="s">
        <v>484</v>
      </c>
      <c r="K3" s="51" t="s">
        <v>485</v>
      </c>
      <c r="M3" s="420"/>
    </row>
    <row r="4" spans="2:13" ht="34.200000000000003" customHeight="1" x14ac:dyDescent="0.25">
      <c r="B4" s="133" t="s">
        <v>504</v>
      </c>
      <c r="D4" s="133" t="s">
        <v>342</v>
      </c>
      <c r="E4" s="134">
        <v>7560727.7999999998</v>
      </c>
      <c r="F4" s="134"/>
      <c r="G4" s="134">
        <v>3780363.9000000008</v>
      </c>
      <c r="I4" s="67">
        <v>3780363.8999999985</v>
      </c>
      <c r="J4" s="67">
        <v>3780363.8999999985</v>
      </c>
      <c r="K4" s="67"/>
      <c r="M4" s="135" t="s">
        <v>546</v>
      </c>
    </row>
    <row r="5" spans="2:13" ht="22.2" customHeight="1" x14ac:dyDescent="0.25">
      <c r="B5" s="133" t="s">
        <v>505</v>
      </c>
      <c r="D5" s="133" t="s">
        <v>342</v>
      </c>
      <c r="E5" s="134">
        <v>3088531.07</v>
      </c>
      <c r="F5" s="134">
        <v>0</v>
      </c>
      <c r="G5" s="134">
        <v>3088531.0700000008</v>
      </c>
      <c r="I5" s="67">
        <v>3088531.0700000008</v>
      </c>
      <c r="J5" s="67"/>
      <c r="K5" s="67"/>
      <c r="M5" s="135" t="s">
        <v>506</v>
      </c>
    </row>
    <row r="6" spans="2:13" ht="21.6" customHeight="1" x14ac:dyDescent="0.25">
      <c r="B6" s="133" t="s">
        <v>507</v>
      </c>
      <c r="D6" s="133" t="s">
        <v>342</v>
      </c>
      <c r="E6" s="134">
        <v>1076345</v>
      </c>
      <c r="F6" s="134">
        <v>0</v>
      </c>
      <c r="G6" s="134">
        <v>1076345</v>
      </c>
      <c r="I6" s="67">
        <v>1076345</v>
      </c>
      <c r="J6" s="67"/>
      <c r="K6" s="67"/>
      <c r="M6" s="136" t="s">
        <v>545</v>
      </c>
    </row>
    <row r="7" spans="2:13" ht="31.2" x14ac:dyDescent="0.25">
      <c r="B7" s="133" t="s">
        <v>508</v>
      </c>
      <c r="D7" s="133" t="s">
        <v>342</v>
      </c>
      <c r="E7" s="134">
        <v>1892359.96</v>
      </c>
      <c r="F7" s="134">
        <v>0</v>
      </c>
      <c r="G7" s="134">
        <v>0</v>
      </c>
      <c r="I7" s="67">
        <v>0</v>
      </c>
      <c r="J7" s="67">
        <v>1892359.9599999997</v>
      </c>
      <c r="K7" s="67"/>
      <c r="M7" s="137" t="s">
        <v>509</v>
      </c>
    </row>
    <row r="8" spans="2:13" ht="15.6" x14ac:dyDescent="0.25">
      <c r="B8" s="133" t="s">
        <v>510</v>
      </c>
      <c r="D8" s="133" t="s">
        <v>342</v>
      </c>
      <c r="E8" s="134">
        <v>1716645.3400000003</v>
      </c>
      <c r="F8" s="134"/>
      <c r="G8" s="134">
        <v>1716645.3400000003</v>
      </c>
      <c r="I8" s="67">
        <v>1716645.3400000003</v>
      </c>
      <c r="J8" s="67"/>
      <c r="K8" s="67"/>
      <c r="M8" s="135" t="s">
        <v>511</v>
      </c>
    </row>
    <row r="9" spans="2:13" ht="15.6" x14ac:dyDescent="0.25">
      <c r="B9" s="133" t="s">
        <v>512</v>
      </c>
      <c r="D9" s="133" t="s">
        <v>342</v>
      </c>
      <c r="E9" s="134">
        <v>2971789.8900000006</v>
      </c>
      <c r="F9" s="134"/>
      <c r="G9" s="134">
        <v>89153.696699999986</v>
      </c>
      <c r="I9" s="67"/>
      <c r="J9" s="67">
        <v>2971789.8900000006</v>
      </c>
      <c r="K9" s="67"/>
      <c r="M9" s="137" t="s">
        <v>513</v>
      </c>
    </row>
    <row r="10" spans="2:13" ht="15.6" x14ac:dyDescent="0.25">
      <c r="B10" s="133" t="s">
        <v>514</v>
      </c>
      <c r="D10" s="133" t="s">
        <v>342</v>
      </c>
      <c r="E10" s="134">
        <v>3044850.92</v>
      </c>
      <c r="F10" s="134">
        <v>0</v>
      </c>
      <c r="G10" s="134">
        <v>91345.527599999972</v>
      </c>
      <c r="I10" s="67"/>
      <c r="J10" s="67">
        <v>3044850.9199999995</v>
      </c>
      <c r="K10" s="67"/>
      <c r="M10" s="135" t="s">
        <v>506</v>
      </c>
    </row>
    <row r="11" spans="2:13" ht="1.95" customHeight="1" x14ac:dyDescent="0.25">
      <c r="B11" s="133"/>
      <c r="D11" s="133"/>
      <c r="E11" s="134"/>
      <c r="F11" s="134"/>
      <c r="G11" s="134"/>
      <c r="I11" s="138"/>
      <c r="J11" s="139"/>
      <c r="K11" s="134"/>
      <c r="M11" s="135"/>
    </row>
    <row r="12" spans="2:13" ht="15.6" x14ac:dyDescent="0.25">
      <c r="B12" s="140" t="s">
        <v>515</v>
      </c>
      <c r="D12" s="140"/>
      <c r="E12" s="141">
        <f>SUM(E4:E10)</f>
        <v>21351249.979999997</v>
      </c>
      <c r="F12" s="141">
        <f>SUM(F4:F10)</f>
        <v>0</v>
      </c>
      <c r="G12" s="141">
        <f>SUM(G4:G10)</f>
        <v>9842384.5343000013</v>
      </c>
      <c r="I12" s="141">
        <f>SUM(I4:I10)</f>
        <v>9661885.3099999987</v>
      </c>
      <c r="J12" s="141">
        <f>SUM(J4:J10)</f>
        <v>11689364.67</v>
      </c>
      <c r="K12" s="141">
        <f>SUM(K4:K10)</f>
        <v>0</v>
      </c>
      <c r="M12" s="141"/>
    </row>
    <row r="13" spans="2:13" ht="15.6" hidden="1" outlineLevel="1" x14ac:dyDescent="0.25">
      <c r="B13" s="133" t="s">
        <v>516</v>
      </c>
      <c r="D13" s="133" t="s">
        <v>174</v>
      </c>
      <c r="E13" s="64">
        <v>110528</v>
      </c>
      <c r="F13" s="134">
        <v>0</v>
      </c>
      <c r="G13" s="134">
        <v>110527.99999999999</v>
      </c>
      <c r="I13" s="64">
        <v>110528</v>
      </c>
      <c r="J13" s="142"/>
      <c r="K13" s="142"/>
      <c r="M13" s="143" t="s">
        <v>408</v>
      </c>
    </row>
    <row r="14" spans="2:13" ht="15.6" hidden="1" outlineLevel="1" x14ac:dyDescent="0.25">
      <c r="B14" s="133" t="s">
        <v>517</v>
      </c>
      <c r="D14" s="133" t="s">
        <v>174</v>
      </c>
      <c r="E14" s="64">
        <v>22222.25</v>
      </c>
      <c r="F14" s="134">
        <v>0</v>
      </c>
      <c r="G14" s="134">
        <v>22222.25</v>
      </c>
      <c r="I14" s="142">
        <v>22222.25</v>
      </c>
      <c r="J14" s="142"/>
      <c r="K14" s="142"/>
      <c r="M14" s="143" t="s">
        <v>518</v>
      </c>
    </row>
    <row r="15" spans="2:13" ht="15.6" hidden="1" outlineLevel="1" x14ac:dyDescent="0.25">
      <c r="B15" s="133" t="s">
        <v>519</v>
      </c>
      <c r="D15" s="133" t="s">
        <v>520</v>
      </c>
      <c r="E15" s="64">
        <v>226233.60000000001</v>
      </c>
      <c r="F15" s="134">
        <v>0</v>
      </c>
      <c r="G15" s="134">
        <v>6787.0079999999998</v>
      </c>
      <c r="I15" s="144">
        <v>226233.60000000001</v>
      </c>
      <c r="J15" s="142"/>
      <c r="K15" s="142"/>
      <c r="M15" s="143" t="s">
        <v>407</v>
      </c>
    </row>
    <row r="16" spans="2:13" ht="15.6" hidden="1" outlineLevel="1" x14ac:dyDescent="0.25">
      <c r="B16" s="133" t="s">
        <v>521</v>
      </c>
      <c r="D16" s="133" t="s">
        <v>520</v>
      </c>
      <c r="E16" s="64">
        <v>140872.6</v>
      </c>
      <c r="F16" s="134">
        <v>0</v>
      </c>
      <c r="G16" s="134">
        <v>140872.6</v>
      </c>
      <c r="I16" s="144">
        <v>140872.6</v>
      </c>
      <c r="J16" s="142"/>
      <c r="K16" s="142"/>
      <c r="M16" s="143" t="s">
        <v>408</v>
      </c>
    </row>
    <row r="17" spans="2:13" ht="15.6" hidden="1" outlineLevel="1" x14ac:dyDescent="0.25">
      <c r="B17" s="133" t="s">
        <v>522</v>
      </c>
      <c r="D17" s="133" t="s">
        <v>520</v>
      </c>
      <c r="E17" s="64">
        <v>41379</v>
      </c>
      <c r="F17" s="134">
        <v>0</v>
      </c>
      <c r="G17" s="134">
        <v>41379</v>
      </c>
      <c r="I17" s="142">
        <v>41379</v>
      </c>
      <c r="J17" s="142"/>
      <c r="K17" s="142"/>
      <c r="M17" s="143" t="s">
        <v>408</v>
      </c>
    </row>
    <row r="18" spans="2:13" ht="15.6" hidden="1" outlineLevel="1" x14ac:dyDescent="0.25">
      <c r="B18" s="133" t="s">
        <v>91</v>
      </c>
      <c r="D18" s="133" t="s">
        <v>520</v>
      </c>
      <c r="E18" s="64">
        <v>20940</v>
      </c>
      <c r="F18" s="134"/>
      <c r="G18" s="134">
        <v>20940</v>
      </c>
      <c r="I18" s="64">
        <v>20940</v>
      </c>
      <c r="J18" s="142"/>
      <c r="K18" s="142"/>
      <c r="M18" s="143"/>
    </row>
    <row r="19" spans="2:13" s="131" customFormat="1" ht="15.6" hidden="1" outlineLevel="1" x14ac:dyDescent="0.25">
      <c r="B19" s="133" t="s">
        <v>523</v>
      </c>
      <c r="D19" s="145" t="s">
        <v>520</v>
      </c>
      <c r="E19" s="146">
        <v>102008.2</v>
      </c>
      <c r="F19" s="147"/>
      <c r="G19" s="146">
        <v>3060.25</v>
      </c>
      <c r="I19" s="146">
        <v>102008.2</v>
      </c>
      <c r="J19" s="147"/>
      <c r="K19" s="147"/>
      <c r="M19" s="143" t="s">
        <v>524</v>
      </c>
    </row>
    <row r="20" spans="2:13" ht="15.6" hidden="1" outlineLevel="1" x14ac:dyDescent="0.25">
      <c r="B20" s="136" t="s">
        <v>525</v>
      </c>
      <c r="D20" s="133" t="s">
        <v>520</v>
      </c>
      <c r="E20" s="64">
        <v>84291.45</v>
      </c>
      <c r="F20" s="134">
        <v>0</v>
      </c>
      <c r="G20" s="134">
        <v>84291.45</v>
      </c>
      <c r="I20" s="144">
        <v>84291.45</v>
      </c>
      <c r="J20" s="142"/>
      <c r="K20" s="142"/>
      <c r="M20" s="143" t="s">
        <v>408</v>
      </c>
    </row>
    <row r="21" spans="2:13" ht="15.6" collapsed="1" x14ac:dyDescent="0.25">
      <c r="B21" s="148" t="s">
        <v>348</v>
      </c>
      <c r="D21" s="148"/>
      <c r="E21" s="149">
        <f>SUM(E13:E20)</f>
        <v>748475.09999999986</v>
      </c>
      <c r="F21" s="149">
        <f>SUM(F13:F20)</f>
        <v>0</v>
      </c>
      <c r="G21" s="149">
        <f>SUM(G13:G20)</f>
        <v>430080.55800000002</v>
      </c>
      <c r="I21" s="149">
        <f>SUM(I13:I20)</f>
        <v>748475.09999999986</v>
      </c>
      <c r="J21" s="149">
        <f>SUM(J13:J20)</f>
        <v>0</v>
      </c>
      <c r="K21" s="149">
        <f>SUM(K13:K20)</f>
        <v>0</v>
      </c>
      <c r="M21" s="149"/>
    </row>
    <row r="22" spans="2:13" ht="15.6" x14ac:dyDescent="0.25">
      <c r="B22" s="148" t="s">
        <v>349</v>
      </c>
      <c r="D22" s="148"/>
      <c r="E22" s="149">
        <f>SUM(E23:E43)</f>
        <v>7425775.789999987</v>
      </c>
      <c r="F22" s="149">
        <f>F44+F45+F46</f>
        <v>35847179.720000006</v>
      </c>
      <c r="G22" s="149">
        <f>SUM(G23:G43)</f>
        <v>526944.99209999992</v>
      </c>
      <c r="I22" s="149"/>
      <c r="J22" s="149"/>
      <c r="K22" s="149"/>
      <c r="M22" s="149" t="s">
        <v>350</v>
      </c>
    </row>
    <row r="23" spans="2:13" s="131" customFormat="1" ht="15.6" hidden="1" outlineLevel="1" x14ac:dyDescent="0.25">
      <c r="B23" s="145" t="s">
        <v>544</v>
      </c>
      <c r="D23" s="145" t="s">
        <v>520</v>
      </c>
      <c r="E23" s="146">
        <f>1991399-67239</f>
        <v>1924160</v>
      </c>
      <c r="F23" s="146"/>
      <c r="G23" s="146">
        <v>67314</v>
      </c>
      <c r="I23" s="147"/>
      <c r="J23" s="147"/>
      <c r="K23" s="146">
        <f>E23</f>
        <v>1924160</v>
      </c>
      <c r="M23" s="146" t="s">
        <v>536</v>
      </c>
    </row>
    <row r="24" spans="2:13" s="131" customFormat="1" ht="15.6" hidden="1" outlineLevel="1" x14ac:dyDescent="0.25">
      <c r="B24" s="145" t="s">
        <v>500</v>
      </c>
      <c r="D24" s="145" t="s">
        <v>520</v>
      </c>
      <c r="E24" s="146">
        <f>765704.79-80843.12</f>
        <v>684861.67</v>
      </c>
      <c r="F24" s="146"/>
      <c r="G24" s="146">
        <v>66674.040000000008</v>
      </c>
      <c r="I24" s="147"/>
      <c r="J24" s="147"/>
      <c r="K24" s="146">
        <f>E24</f>
        <v>684861.67</v>
      </c>
      <c r="M24" s="147"/>
    </row>
    <row r="25" spans="2:13" s="131" customFormat="1" ht="15.6" hidden="1" outlineLevel="1" x14ac:dyDescent="0.25">
      <c r="B25" s="145" t="s">
        <v>294</v>
      </c>
      <c r="D25" s="145" t="s">
        <v>520</v>
      </c>
      <c r="E25" s="146">
        <v>213750</v>
      </c>
      <c r="F25" s="146"/>
      <c r="G25" s="146">
        <v>1475.1</v>
      </c>
      <c r="I25" s="147"/>
      <c r="J25" s="147"/>
      <c r="K25" s="146"/>
      <c r="M25" s="147"/>
    </row>
    <row r="26" spans="2:13" s="131" customFormat="1" ht="15.6" hidden="1" outlineLevel="1" x14ac:dyDescent="0.25">
      <c r="B26" s="145" t="s">
        <v>414</v>
      </c>
      <c r="D26" s="145" t="s">
        <v>520</v>
      </c>
      <c r="E26" s="146">
        <v>56400</v>
      </c>
      <c r="F26" s="146"/>
      <c r="G26" s="146"/>
      <c r="I26" s="147"/>
      <c r="J26" s="147"/>
      <c r="K26" s="146"/>
      <c r="M26" s="147"/>
    </row>
    <row r="27" spans="2:13" s="131" customFormat="1" ht="15.6" hidden="1" outlineLevel="1" x14ac:dyDescent="0.25">
      <c r="B27" s="145" t="s">
        <v>530</v>
      </c>
      <c r="D27" s="145" t="s">
        <v>520</v>
      </c>
      <c r="E27" s="146">
        <v>397800</v>
      </c>
      <c r="F27" s="146"/>
      <c r="G27" s="146"/>
      <c r="I27" s="147"/>
      <c r="J27" s="147"/>
      <c r="K27" s="146"/>
      <c r="M27" s="147"/>
    </row>
    <row r="28" spans="2:13" s="131" customFormat="1" ht="15.6" hidden="1" outlineLevel="1" x14ac:dyDescent="0.25">
      <c r="B28" s="145" t="s">
        <v>531</v>
      </c>
      <c r="D28" s="145" t="s">
        <v>520</v>
      </c>
      <c r="E28" s="146">
        <f>123685.2-16500</f>
        <v>107185.2</v>
      </c>
      <c r="F28" s="146"/>
      <c r="G28" s="146"/>
      <c r="I28" s="147"/>
      <c r="J28" s="147"/>
      <c r="K28" s="146"/>
      <c r="M28" s="147"/>
    </row>
    <row r="29" spans="2:13" s="131" customFormat="1" ht="15.6" hidden="1" outlineLevel="1" x14ac:dyDescent="0.25">
      <c r="B29" s="145" t="s">
        <v>416</v>
      </c>
      <c r="D29" s="145" t="s">
        <v>520</v>
      </c>
      <c r="E29" s="146">
        <f>414240-1200</f>
        <v>413040</v>
      </c>
      <c r="F29" s="146"/>
      <c r="G29" s="146"/>
      <c r="I29" s="147"/>
      <c r="J29" s="147"/>
      <c r="K29" s="146"/>
      <c r="M29" s="147"/>
    </row>
    <row r="30" spans="2:13" s="131" customFormat="1" ht="15.6" hidden="1" outlineLevel="1" x14ac:dyDescent="0.25">
      <c r="B30" s="145" t="s">
        <v>420</v>
      </c>
      <c r="D30" s="145" t="s">
        <v>520</v>
      </c>
      <c r="E30" s="146">
        <f>63226.32-57600</f>
        <v>5626.32</v>
      </c>
      <c r="F30" s="146"/>
      <c r="G30" s="146"/>
      <c r="I30" s="147"/>
      <c r="J30" s="147"/>
      <c r="K30" s="146"/>
      <c r="M30" s="147"/>
    </row>
    <row r="31" spans="2:13" s="131" customFormat="1" ht="15.6" hidden="1" outlineLevel="1" x14ac:dyDescent="0.25">
      <c r="B31" s="145" t="s">
        <v>527</v>
      </c>
      <c r="D31" s="145" t="s">
        <v>526</v>
      </c>
      <c r="E31" s="146">
        <v>256935.85</v>
      </c>
      <c r="F31" s="146"/>
      <c r="G31" s="146">
        <v>256935.85</v>
      </c>
      <c r="I31" s="147"/>
      <c r="J31" s="146">
        <v>256935.85</v>
      </c>
      <c r="K31" s="147"/>
      <c r="M31" s="147"/>
    </row>
    <row r="32" spans="2:13" s="131" customFormat="1" ht="15.6" hidden="1" outlineLevel="1" x14ac:dyDescent="0.25">
      <c r="B32" s="145" t="s">
        <v>491</v>
      </c>
      <c r="D32" s="145" t="s">
        <v>526</v>
      </c>
      <c r="E32" s="146">
        <v>69886.47</v>
      </c>
      <c r="F32" s="146"/>
      <c r="G32" s="146"/>
      <c r="I32" s="147"/>
      <c r="J32" s="147"/>
      <c r="K32" s="146"/>
      <c r="M32" s="147"/>
    </row>
    <row r="33" spans="2:13" s="131" customFormat="1" ht="15.6" hidden="1" outlineLevel="1" x14ac:dyDescent="0.25">
      <c r="B33" s="145" t="s">
        <v>492</v>
      </c>
      <c r="D33" s="145" t="s">
        <v>526</v>
      </c>
      <c r="E33" s="146">
        <v>136847.66999999998</v>
      </c>
      <c r="F33" s="146"/>
      <c r="G33" s="146"/>
      <c r="I33" s="147"/>
      <c r="J33" s="147"/>
      <c r="K33" s="146"/>
      <c r="M33" s="147"/>
    </row>
    <row r="34" spans="2:13" s="131" customFormat="1" ht="15.6" hidden="1" outlineLevel="1" x14ac:dyDescent="0.25">
      <c r="B34" s="145" t="s">
        <v>438</v>
      </c>
      <c r="D34" s="145" t="s">
        <v>526</v>
      </c>
      <c r="E34" s="146">
        <v>82123.570000000007</v>
      </c>
      <c r="F34" s="146"/>
      <c r="G34" s="146"/>
      <c r="I34" s="147"/>
      <c r="J34" s="147"/>
      <c r="K34" s="146"/>
      <c r="M34" s="147"/>
    </row>
    <row r="35" spans="2:13" s="131" customFormat="1" ht="15.6" hidden="1" outlineLevel="1" x14ac:dyDescent="0.25">
      <c r="B35" s="145" t="s">
        <v>374</v>
      </c>
      <c r="D35" s="145" t="s">
        <v>526</v>
      </c>
      <c r="E35" s="146">
        <v>703377.76</v>
      </c>
      <c r="F35" s="146"/>
      <c r="G35" s="146"/>
      <c r="I35" s="147"/>
      <c r="J35" s="147"/>
      <c r="K35" s="146"/>
      <c r="M35" s="147"/>
    </row>
    <row r="36" spans="2:13" s="131" customFormat="1" ht="15.6" hidden="1" outlineLevel="1" x14ac:dyDescent="0.25">
      <c r="B36" s="145" t="s">
        <v>382</v>
      </c>
      <c r="D36" s="145" t="s">
        <v>526</v>
      </c>
      <c r="E36" s="146">
        <v>201503.56</v>
      </c>
      <c r="F36" s="146"/>
      <c r="G36" s="146"/>
      <c r="I36" s="147"/>
      <c r="J36" s="147"/>
      <c r="K36" s="146"/>
      <c r="M36" s="147"/>
    </row>
    <row r="37" spans="2:13" s="131" customFormat="1" ht="15.6" hidden="1" outlineLevel="1" x14ac:dyDescent="0.25">
      <c r="B37" s="145" t="s">
        <v>179</v>
      </c>
      <c r="D37" s="145" t="s">
        <v>526</v>
      </c>
      <c r="E37" s="146">
        <v>150938.01999999999</v>
      </c>
      <c r="F37" s="146"/>
      <c r="G37" s="146"/>
      <c r="I37" s="147"/>
      <c r="J37" s="147"/>
      <c r="K37" s="146"/>
      <c r="M37" s="147"/>
    </row>
    <row r="38" spans="2:13" s="131" customFormat="1" ht="15.6" hidden="1" outlineLevel="1" x14ac:dyDescent="0.25">
      <c r="B38" s="145" t="s">
        <v>403</v>
      </c>
      <c r="D38" s="145" t="s">
        <v>526</v>
      </c>
      <c r="E38" s="146">
        <v>317041.26</v>
      </c>
      <c r="F38" s="146"/>
      <c r="G38" s="146"/>
      <c r="I38" s="147"/>
      <c r="J38" s="147"/>
      <c r="K38" s="146">
        <f>E38</f>
        <v>317041.26</v>
      </c>
      <c r="M38" s="147"/>
    </row>
    <row r="39" spans="2:13" s="131" customFormat="1" ht="15.6" hidden="1" outlineLevel="1" x14ac:dyDescent="0.25">
      <c r="B39" s="145" t="s">
        <v>528</v>
      </c>
      <c r="D39" s="145" t="s">
        <v>526</v>
      </c>
      <c r="E39" s="146">
        <v>381748.49</v>
      </c>
      <c r="F39" s="146"/>
      <c r="G39" s="146">
        <v>0</v>
      </c>
      <c r="I39" s="147"/>
      <c r="J39" s="147"/>
      <c r="K39" s="146">
        <f>E39</f>
        <v>381748.49</v>
      </c>
      <c r="M39" s="147"/>
    </row>
    <row r="40" spans="2:13" s="131" customFormat="1" ht="15.6" hidden="1" outlineLevel="1" x14ac:dyDescent="0.25">
      <c r="B40" s="145" t="s">
        <v>427</v>
      </c>
      <c r="D40" s="145" t="s">
        <v>174</v>
      </c>
      <c r="E40" s="146">
        <v>237309.12</v>
      </c>
      <c r="F40" s="146"/>
      <c r="G40" s="146">
        <v>0</v>
      </c>
      <c r="I40" s="147"/>
      <c r="J40" s="147"/>
      <c r="K40" s="146">
        <v>117330.4</v>
      </c>
      <c r="M40" s="147"/>
    </row>
    <row r="41" spans="2:13" s="131" customFormat="1" ht="15.6" hidden="1" outlineLevel="1" x14ac:dyDescent="0.25">
      <c r="B41" s="145" t="s">
        <v>424</v>
      </c>
      <c r="D41" s="145" t="s">
        <v>174</v>
      </c>
      <c r="E41" s="146">
        <v>659074</v>
      </c>
      <c r="F41" s="146"/>
      <c r="G41" s="146">
        <v>0</v>
      </c>
      <c r="I41" s="147"/>
      <c r="J41" s="146">
        <v>659074</v>
      </c>
      <c r="K41" s="146"/>
      <c r="M41" s="147"/>
    </row>
    <row r="42" spans="2:13" s="131" customFormat="1" ht="15.6" hidden="1" outlineLevel="1" x14ac:dyDescent="0.25">
      <c r="B42" s="145" t="s">
        <v>432</v>
      </c>
      <c r="D42" s="145" t="s">
        <v>174</v>
      </c>
      <c r="E42" s="146">
        <v>110937.09</v>
      </c>
      <c r="F42" s="146"/>
      <c r="G42" s="146"/>
      <c r="I42" s="147"/>
      <c r="J42" s="146"/>
      <c r="K42" s="146"/>
      <c r="M42" s="147"/>
    </row>
    <row r="43" spans="2:13" s="131" customFormat="1" ht="15.6" hidden="1" outlineLevel="1" x14ac:dyDescent="0.25">
      <c r="B43" s="145" t="s">
        <v>529</v>
      </c>
      <c r="D43" s="145" t="s">
        <v>520</v>
      </c>
      <c r="E43" s="146">
        <v>315229.73999998719</v>
      </c>
      <c r="F43" s="146"/>
      <c r="G43" s="146">
        <v>134546.00209999995</v>
      </c>
      <c r="I43" s="147"/>
      <c r="J43" s="146">
        <v>175719.14</v>
      </c>
      <c r="K43" s="147"/>
      <c r="M43" s="147"/>
    </row>
    <row r="44" spans="2:13" ht="15.6" collapsed="1" x14ac:dyDescent="0.25">
      <c r="B44" s="416" t="s">
        <v>8</v>
      </c>
      <c r="D44" s="148" t="s">
        <v>520</v>
      </c>
      <c r="E44" s="150"/>
      <c r="F44" s="149">
        <f>SUM(F47:F78)</f>
        <v>18871536.700000003</v>
      </c>
      <c r="G44" s="149"/>
      <c r="I44" s="149"/>
      <c r="J44" s="149"/>
      <c r="K44" s="149"/>
      <c r="M44" s="149"/>
    </row>
    <row r="45" spans="2:13" ht="15.6" x14ac:dyDescent="0.25">
      <c r="B45" s="417"/>
      <c r="D45" s="148" t="s">
        <v>526</v>
      </c>
      <c r="E45" s="150"/>
      <c r="F45" s="149">
        <f>SUM(F79:F86)</f>
        <v>3652295.6</v>
      </c>
      <c r="G45" s="149"/>
      <c r="I45" s="149"/>
      <c r="J45" s="149"/>
      <c r="K45" s="149"/>
      <c r="M45" s="149"/>
    </row>
    <row r="46" spans="2:13" ht="15.6" x14ac:dyDescent="0.25">
      <c r="B46" s="418"/>
      <c r="D46" s="148" t="s">
        <v>174</v>
      </c>
      <c r="E46" s="150"/>
      <c r="F46" s="149">
        <f>SUM(F87:F101)</f>
        <v>13323347.42</v>
      </c>
      <c r="G46" s="149"/>
      <c r="I46" s="151"/>
      <c r="J46" s="151"/>
      <c r="K46" s="151"/>
      <c r="M46" s="149"/>
    </row>
    <row r="47" spans="2:13" s="131" customFormat="1" ht="15.6" hidden="1" outlineLevel="1" x14ac:dyDescent="0.25">
      <c r="B47" s="152" t="s">
        <v>500</v>
      </c>
      <c r="D47" s="152" t="s">
        <v>520</v>
      </c>
      <c r="E47" s="153"/>
      <c r="F47" s="153">
        <v>4854100.5500000007</v>
      </c>
      <c r="G47" s="154"/>
      <c r="I47" s="155"/>
      <c r="J47" s="155"/>
      <c r="K47" s="156"/>
      <c r="M47" s="155"/>
    </row>
    <row r="48" spans="2:13" s="131" customFormat="1" ht="15.6" hidden="1" outlineLevel="1" x14ac:dyDescent="0.25">
      <c r="B48" s="152" t="s">
        <v>416</v>
      </c>
      <c r="D48" s="152" t="s">
        <v>520</v>
      </c>
      <c r="E48" s="153"/>
      <c r="F48" s="153">
        <v>1106366.3999999999</v>
      </c>
      <c r="G48" s="154"/>
      <c r="I48" s="155"/>
      <c r="J48" s="155"/>
      <c r="K48" s="156"/>
      <c r="M48" s="155"/>
    </row>
    <row r="49" spans="2:13" s="131" customFormat="1" ht="15.6" hidden="1" outlineLevel="1" x14ac:dyDescent="0.25">
      <c r="B49" s="152" t="s">
        <v>420</v>
      </c>
      <c r="D49" s="152" t="s">
        <v>520</v>
      </c>
      <c r="E49" s="153"/>
      <c r="F49" s="153">
        <v>1274871.1500000001</v>
      </c>
      <c r="G49" s="154"/>
      <c r="I49" s="155"/>
      <c r="J49" s="155"/>
      <c r="K49" s="156"/>
      <c r="M49" s="155"/>
    </row>
    <row r="50" spans="2:13" s="131" customFormat="1" ht="15.6" hidden="1" outlineLevel="1" x14ac:dyDescent="0.25">
      <c r="B50" s="152" t="s">
        <v>419</v>
      </c>
      <c r="D50" s="152" t="s">
        <v>520</v>
      </c>
      <c r="E50" s="153"/>
      <c r="F50" s="153">
        <v>731100.8</v>
      </c>
      <c r="G50" s="154"/>
      <c r="I50" s="155"/>
      <c r="J50" s="155"/>
      <c r="K50" s="156"/>
      <c r="M50" s="155"/>
    </row>
    <row r="51" spans="2:13" s="131" customFormat="1" ht="15.6" hidden="1" outlineLevel="1" x14ac:dyDescent="0.25">
      <c r="B51" s="152" t="s">
        <v>414</v>
      </c>
      <c r="D51" s="152" t="s">
        <v>520</v>
      </c>
      <c r="E51" s="153"/>
      <c r="F51" s="153">
        <v>262079.7</v>
      </c>
      <c r="G51" s="154"/>
      <c r="I51" s="155"/>
      <c r="J51" s="156"/>
      <c r="K51" s="155"/>
      <c r="M51" s="155"/>
    </row>
    <row r="52" spans="2:13" s="131" customFormat="1" ht="15.6" hidden="1" outlineLevel="1" x14ac:dyDescent="0.25">
      <c r="B52" s="152" t="s">
        <v>417</v>
      </c>
      <c r="D52" s="152" t="s">
        <v>520</v>
      </c>
      <c r="E52" s="153"/>
      <c r="F52" s="153">
        <v>1077992.3</v>
      </c>
      <c r="G52" s="154"/>
      <c r="I52" s="155"/>
      <c r="J52" s="155"/>
      <c r="K52" s="156"/>
      <c r="M52" s="155"/>
    </row>
    <row r="53" spans="2:13" s="131" customFormat="1" ht="15.6" hidden="1" outlineLevel="1" x14ac:dyDescent="0.25">
      <c r="B53" s="152" t="s">
        <v>428</v>
      </c>
      <c r="D53" s="152" t="s">
        <v>520</v>
      </c>
      <c r="E53" s="153"/>
      <c r="F53" s="153">
        <v>449952</v>
      </c>
      <c r="G53" s="154"/>
      <c r="I53" s="155"/>
      <c r="J53" s="155"/>
      <c r="K53" s="156"/>
      <c r="M53" s="155"/>
    </row>
    <row r="54" spans="2:13" s="131" customFormat="1" ht="15.6" hidden="1" outlineLevel="1" x14ac:dyDescent="0.25">
      <c r="B54" s="152" t="s">
        <v>411</v>
      </c>
      <c r="D54" s="152" t="s">
        <v>520</v>
      </c>
      <c r="E54" s="153"/>
      <c r="F54" s="153">
        <v>253506.3</v>
      </c>
      <c r="G54" s="154"/>
      <c r="I54" s="155"/>
      <c r="J54" s="155"/>
      <c r="K54" s="156"/>
      <c r="M54" s="155"/>
    </row>
    <row r="55" spans="2:13" s="131" customFormat="1" ht="15.6" hidden="1" outlineLevel="1" x14ac:dyDescent="0.25">
      <c r="B55" s="152" t="s">
        <v>83</v>
      </c>
      <c r="D55" s="152" t="s">
        <v>520</v>
      </c>
      <c r="E55" s="153"/>
      <c r="F55" s="153">
        <v>31680</v>
      </c>
      <c r="G55" s="154"/>
      <c r="I55" s="155"/>
      <c r="J55" s="155"/>
      <c r="K55" s="156"/>
      <c r="M55" s="155"/>
    </row>
    <row r="56" spans="2:13" s="131" customFormat="1" ht="15.6" hidden="1" outlineLevel="1" x14ac:dyDescent="0.25">
      <c r="B56" s="152" t="s">
        <v>334</v>
      </c>
      <c r="D56" s="152" t="s">
        <v>520</v>
      </c>
      <c r="E56" s="153"/>
      <c r="F56" s="153">
        <v>52255</v>
      </c>
      <c r="G56" s="154"/>
      <c r="I56" s="155"/>
      <c r="J56" s="155"/>
      <c r="K56" s="156"/>
      <c r="M56" s="155"/>
    </row>
    <row r="57" spans="2:13" s="131" customFormat="1" ht="15.6" hidden="1" outlineLevel="1" x14ac:dyDescent="0.25">
      <c r="B57" s="152" t="s">
        <v>65</v>
      </c>
      <c r="D57" s="152" t="s">
        <v>520</v>
      </c>
      <c r="E57" s="153"/>
      <c r="F57" s="153">
        <v>338567.44999999995</v>
      </c>
      <c r="G57" s="154"/>
      <c r="I57" s="155"/>
      <c r="J57" s="155"/>
      <c r="K57" s="156"/>
      <c r="M57" s="155"/>
    </row>
    <row r="58" spans="2:13" s="131" customFormat="1" ht="15.6" hidden="1" outlineLevel="1" x14ac:dyDescent="0.25">
      <c r="B58" s="152" t="s">
        <v>488</v>
      </c>
      <c r="D58" s="152" t="s">
        <v>520</v>
      </c>
      <c r="E58" s="153"/>
      <c r="F58" s="153">
        <v>137577.70000000001</v>
      </c>
      <c r="G58" s="154"/>
      <c r="I58" s="155"/>
      <c r="J58" s="155"/>
      <c r="K58" s="156"/>
      <c r="M58" s="155"/>
    </row>
    <row r="59" spans="2:13" s="131" customFormat="1" ht="15.6" hidden="1" outlineLevel="1" x14ac:dyDescent="0.25">
      <c r="B59" s="152" t="s">
        <v>421</v>
      </c>
      <c r="D59" s="152" t="s">
        <v>520</v>
      </c>
      <c r="E59" s="153"/>
      <c r="F59" s="153">
        <v>103110</v>
      </c>
      <c r="G59" s="154"/>
      <c r="I59" s="155"/>
      <c r="J59" s="156"/>
      <c r="K59" s="155"/>
      <c r="M59" s="155"/>
    </row>
    <row r="60" spans="2:13" s="131" customFormat="1" ht="15.6" hidden="1" outlineLevel="1" x14ac:dyDescent="0.25">
      <c r="B60" s="152" t="s">
        <v>90</v>
      </c>
      <c r="D60" s="152" t="s">
        <v>520</v>
      </c>
      <c r="E60" s="153"/>
      <c r="F60" s="153">
        <v>253912.5</v>
      </c>
      <c r="G60" s="154"/>
      <c r="I60" s="155"/>
      <c r="J60" s="155"/>
      <c r="K60" s="156"/>
      <c r="M60" s="155"/>
    </row>
    <row r="61" spans="2:13" s="131" customFormat="1" ht="15.6" hidden="1" outlineLevel="1" x14ac:dyDescent="0.25">
      <c r="B61" s="152" t="s">
        <v>290</v>
      </c>
      <c r="D61" s="152" t="s">
        <v>520</v>
      </c>
      <c r="E61" s="153"/>
      <c r="F61" s="153">
        <v>60967.199999999997</v>
      </c>
      <c r="G61" s="154"/>
      <c r="I61" s="155"/>
      <c r="J61" s="155"/>
      <c r="K61" s="156"/>
      <c r="M61" s="155"/>
    </row>
    <row r="62" spans="2:13" s="131" customFormat="1" ht="15.6" hidden="1" outlineLevel="1" x14ac:dyDescent="0.25">
      <c r="B62" s="152" t="s">
        <v>418</v>
      </c>
      <c r="D62" s="152" t="s">
        <v>520</v>
      </c>
      <c r="E62" s="153"/>
      <c r="F62" s="153">
        <v>54784</v>
      </c>
      <c r="G62" s="154"/>
      <c r="I62" s="155"/>
      <c r="J62" s="155"/>
      <c r="K62" s="156"/>
      <c r="M62" s="155"/>
    </row>
    <row r="63" spans="2:13" s="131" customFormat="1" ht="15.6" hidden="1" outlineLevel="1" x14ac:dyDescent="0.25">
      <c r="B63" s="152" t="s">
        <v>434</v>
      </c>
      <c r="D63" s="152" t="s">
        <v>520</v>
      </c>
      <c r="E63" s="153"/>
      <c r="F63" s="153">
        <v>200</v>
      </c>
      <c r="G63" s="154"/>
      <c r="I63" s="155"/>
      <c r="J63" s="155"/>
      <c r="K63" s="156"/>
      <c r="M63" s="155"/>
    </row>
    <row r="64" spans="2:13" s="131" customFormat="1" ht="15.6" hidden="1" outlineLevel="1" x14ac:dyDescent="0.25">
      <c r="B64" s="152" t="s">
        <v>50</v>
      </c>
      <c r="D64" s="152" t="s">
        <v>520</v>
      </c>
      <c r="E64" s="153"/>
      <c r="F64" s="153">
        <v>42240</v>
      </c>
      <c r="G64" s="154"/>
      <c r="I64" s="155"/>
      <c r="J64" s="155"/>
      <c r="K64" s="156"/>
      <c r="M64" s="155"/>
    </row>
    <row r="65" spans="2:13" s="131" customFormat="1" ht="15.6" hidden="1" outlineLevel="1" x14ac:dyDescent="0.25">
      <c r="B65" s="152" t="s">
        <v>120</v>
      </c>
      <c r="D65" s="152" t="s">
        <v>520</v>
      </c>
      <c r="E65" s="153"/>
      <c r="F65" s="153">
        <v>153616.20000000001</v>
      </c>
      <c r="G65" s="154"/>
      <c r="I65" s="155"/>
      <c r="J65" s="155"/>
      <c r="K65" s="156"/>
      <c r="M65" s="155"/>
    </row>
    <row r="66" spans="2:13" s="131" customFormat="1" ht="15.6" hidden="1" outlineLevel="1" x14ac:dyDescent="0.25">
      <c r="B66" s="152" t="s">
        <v>490</v>
      </c>
      <c r="D66" s="152" t="s">
        <v>520</v>
      </c>
      <c r="E66" s="153"/>
      <c r="F66" s="153">
        <v>5790</v>
      </c>
      <c r="G66" s="154"/>
      <c r="I66" s="155"/>
      <c r="J66" s="156"/>
      <c r="K66" s="155"/>
      <c r="M66" s="155"/>
    </row>
    <row r="67" spans="2:13" s="131" customFormat="1" ht="15.6" hidden="1" outlineLevel="1" x14ac:dyDescent="0.25">
      <c r="B67" s="152" t="s">
        <v>100</v>
      </c>
      <c r="D67" s="152" t="s">
        <v>520</v>
      </c>
      <c r="E67" s="153"/>
      <c r="F67" s="153">
        <v>648940.69999999995</v>
      </c>
      <c r="G67" s="154"/>
      <c r="I67" s="155"/>
      <c r="J67" s="155"/>
      <c r="K67" s="156"/>
      <c r="M67" s="155"/>
    </row>
    <row r="68" spans="2:13" s="131" customFormat="1" ht="15.6" hidden="1" outlineLevel="1" x14ac:dyDescent="0.25">
      <c r="B68" s="152" t="s">
        <v>532</v>
      </c>
      <c r="D68" s="152" t="s">
        <v>520</v>
      </c>
      <c r="E68" s="153"/>
      <c r="F68" s="153">
        <v>483969.5</v>
      </c>
      <c r="G68" s="154"/>
      <c r="I68" s="155"/>
      <c r="J68" s="155"/>
      <c r="K68" s="156"/>
      <c r="M68" s="155"/>
    </row>
    <row r="69" spans="2:13" s="131" customFormat="1" ht="15.6" hidden="1" outlineLevel="1" x14ac:dyDescent="0.25">
      <c r="B69" s="152" t="s">
        <v>530</v>
      </c>
      <c r="D69" s="152" t="s">
        <v>520</v>
      </c>
      <c r="E69" s="153"/>
      <c r="F69" s="153">
        <v>1102251.6000000001</v>
      </c>
      <c r="G69" s="154"/>
      <c r="I69" s="155"/>
      <c r="J69" s="155"/>
      <c r="K69" s="156"/>
      <c r="M69" s="155"/>
    </row>
    <row r="70" spans="2:13" s="131" customFormat="1" ht="15.6" hidden="1" outlineLevel="1" x14ac:dyDescent="0.25">
      <c r="B70" s="152" t="s">
        <v>531</v>
      </c>
      <c r="D70" s="152" t="s">
        <v>520</v>
      </c>
      <c r="E70" s="153"/>
      <c r="F70" s="153">
        <v>4750434.6999999993</v>
      </c>
      <c r="G70" s="154"/>
      <c r="I70" s="155"/>
      <c r="J70" s="155"/>
      <c r="K70" s="156"/>
      <c r="M70" s="155"/>
    </row>
    <row r="71" spans="2:13" s="131" customFormat="1" ht="15.6" hidden="1" outlineLevel="1" x14ac:dyDescent="0.25">
      <c r="B71" s="152" t="s">
        <v>89</v>
      </c>
      <c r="D71" s="152" t="s">
        <v>520</v>
      </c>
      <c r="E71" s="153"/>
      <c r="F71" s="153">
        <v>42531.6</v>
      </c>
      <c r="G71" s="154"/>
      <c r="I71" s="155"/>
      <c r="J71" s="155"/>
      <c r="K71" s="156"/>
      <c r="M71" s="155"/>
    </row>
    <row r="72" spans="2:13" s="131" customFormat="1" ht="15.6" hidden="1" outlineLevel="1" x14ac:dyDescent="0.25">
      <c r="B72" s="152" t="s">
        <v>78</v>
      </c>
      <c r="D72" s="152" t="s">
        <v>520</v>
      </c>
      <c r="E72" s="153"/>
      <c r="F72" s="153">
        <v>300600</v>
      </c>
      <c r="G72" s="154"/>
      <c r="I72" s="155"/>
      <c r="J72" s="155"/>
      <c r="K72" s="156"/>
      <c r="M72" s="155"/>
    </row>
    <row r="73" spans="2:13" s="131" customFormat="1" ht="15.6" hidden="1" outlineLevel="1" x14ac:dyDescent="0.25">
      <c r="B73" s="152" t="s">
        <v>359</v>
      </c>
      <c r="D73" s="152" t="s">
        <v>520</v>
      </c>
      <c r="E73" s="153"/>
      <c r="F73" s="153">
        <v>14673.75</v>
      </c>
      <c r="G73" s="154"/>
      <c r="I73" s="155"/>
      <c r="J73" s="155"/>
      <c r="K73" s="156"/>
      <c r="M73" s="155"/>
    </row>
    <row r="74" spans="2:13" s="131" customFormat="1" ht="15.6" hidden="1" outlineLevel="1" x14ac:dyDescent="0.25">
      <c r="B74" s="152" t="s">
        <v>241</v>
      </c>
      <c r="D74" s="152" t="s">
        <v>520</v>
      </c>
      <c r="E74" s="153"/>
      <c r="F74" s="153">
        <v>114800</v>
      </c>
      <c r="G74" s="154"/>
      <c r="I74" s="155"/>
      <c r="J74" s="155"/>
      <c r="K74" s="156"/>
      <c r="M74" s="155"/>
    </row>
    <row r="75" spans="2:13" s="131" customFormat="1" ht="15.6" hidden="1" outlineLevel="1" x14ac:dyDescent="0.25">
      <c r="B75" s="152" t="s">
        <v>166</v>
      </c>
      <c r="D75" s="152" t="s">
        <v>520</v>
      </c>
      <c r="E75" s="153"/>
      <c r="F75" s="153">
        <v>8937</v>
      </c>
      <c r="G75" s="154"/>
      <c r="I75" s="155"/>
      <c r="J75" s="155"/>
      <c r="K75" s="156"/>
      <c r="M75" s="155"/>
    </row>
    <row r="76" spans="2:13" s="131" customFormat="1" ht="15.6" hidden="1" outlineLevel="1" x14ac:dyDescent="0.25">
      <c r="B76" s="152" t="s">
        <v>303</v>
      </c>
      <c r="D76" s="152" t="s">
        <v>520</v>
      </c>
      <c r="E76" s="153"/>
      <c r="F76" s="153">
        <v>88160</v>
      </c>
      <c r="G76" s="154"/>
      <c r="I76" s="155"/>
      <c r="J76" s="155"/>
      <c r="K76" s="156"/>
      <c r="M76" s="155"/>
    </row>
    <row r="77" spans="2:13" s="131" customFormat="1" ht="15.6" hidden="1" outlineLevel="1" x14ac:dyDescent="0.25">
      <c r="B77" s="152" t="s">
        <v>252</v>
      </c>
      <c r="D77" s="152" t="s">
        <v>520</v>
      </c>
      <c r="E77" s="153"/>
      <c r="F77" s="153">
        <v>71078.600000000006</v>
      </c>
      <c r="G77" s="154"/>
      <c r="I77" s="155"/>
      <c r="J77" s="155"/>
      <c r="K77" s="156"/>
      <c r="M77" s="155"/>
    </row>
    <row r="78" spans="2:13" s="131" customFormat="1" ht="15.6" hidden="1" outlineLevel="1" x14ac:dyDescent="0.25">
      <c r="B78" s="152" t="s">
        <v>537</v>
      </c>
      <c r="D78" s="152" t="s">
        <v>520</v>
      </c>
      <c r="E78" s="153"/>
      <c r="F78" s="153">
        <v>490</v>
      </c>
      <c r="G78" s="154"/>
      <c r="I78" s="155"/>
      <c r="J78" s="155"/>
      <c r="K78" s="156"/>
      <c r="M78" s="155"/>
    </row>
    <row r="79" spans="2:13" s="131" customFormat="1" ht="15.6" hidden="1" outlineLevel="1" x14ac:dyDescent="0.25">
      <c r="B79" s="152" t="s">
        <v>295</v>
      </c>
      <c r="D79" s="152" t="s">
        <v>526</v>
      </c>
      <c r="E79" s="153"/>
      <c r="F79" s="153">
        <v>205146.77</v>
      </c>
      <c r="G79" s="154"/>
      <c r="I79" s="155"/>
      <c r="J79" s="155"/>
      <c r="K79" s="156"/>
      <c r="M79" s="155"/>
    </row>
    <row r="80" spans="2:13" s="131" customFormat="1" ht="15.6" hidden="1" outlineLevel="1" x14ac:dyDescent="0.25">
      <c r="B80" s="131" t="s">
        <v>337</v>
      </c>
      <c r="D80" s="152" t="s">
        <v>526</v>
      </c>
      <c r="E80" s="153"/>
      <c r="F80" s="153">
        <v>1813339.18</v>
      </c>
      <c r="G80" s="154"/>
      <c r="I80" s="155"/>
      <c r="J80" s="155"/>
      <c r="K80" s="156"/>
      <c r="M80" s="155"/>
    </row>
    <row r="81" spans="2:13" s="131" customFormat="1" ht="15.6" hidden="1" outlineLevel="1" x14ac:dyDescent="0.25">
      <c r="B81" s="152" t="s">
        <v>497</v>
      </c>
      <c r="D81" s="152" t="s">
        <v>526</v>
      </c>
      <c r="E81" s="153"/>
      <c r="F81" s="153">
        <v>84667.959999999992</v>
      </c>
      <c r="G81" s="154"/>
      <c r="I81" s="155"/>
      <c r="J81" s="155"/>
      <c r="K81" s="156"/>
      <c r="M81" s="155"/>
    </row>
    <row r="82" spans="2:13" s="131" customFormat="1" ht="15.6" hidden="1" outlineLevel="1" x14ac:dyDescent="0.25">
      <c r="B82" s="152" t="s">
        <v>355</v>
      </c>
      <c r="D82" s="152" t="s">
        <v>526</v>
      </c>
      <c r="E82" s="153"/>
      <c r="F82" s="153">
        <v>339293.79000000004</v>
      </c>
      <c r="G82" s="154"/>
      <c r="I82" s="155"/>
      <c r="J82" s="156"/>
      <c r="K82" s="155"/>
      <c r="M82" s="155"/>
    </row>
    <row r="83" spans="2:13" s="131" customFormat="1" ht="15.6" hidden="1" outlineLevel="1" x14ac:dyDescent="0.25">
      <c r="B83" s="152" t="s">
        <v>248</v>
      </c>
      <c r="D83" s="152" t="s">
        <v>526</v>
      </c>
      <c r="E83" s="153"/>
      <c r="F83" s="153">
        <v>35211.26</v>
      </c>
      <c r="G83" s="154"/>
      <c r="I83" s="155"/>
      <c r="J83" s="155"/>
      <c r="K83" s="156"/>
      <c r="M83" s="155"/>
    </row>
    <row r="84" spans="2:13" s="131" customFormat="1" ht="15.6" hidden="1" outlineLevel="1" x14ac:dyDescent="0.25">
      <c r="B84" s="152" t="s">
        <v>535</v>
      </c>
      <c r="D84" s="152" t="s">
        <v>526</v>
      </c>
      <c r="E84" s="153"/>
      <c r="F84" s="153">
        <v>616283.28</v>
      </c>
      <c r="G84" s="154"/>
      <c r="I84" s="155"/>
      <c r="J84" s="155"/>
      <c r="K84" s="156"/>
      <c r="M84" s="155"/>
    </row>
    <row r="85" spans="2:13" s="131" customFormat="1" ht="15.6" hidden="1" outlineLevel="1" x14ac:dyDescent="0.25">
      <c r="B85" s="152" t="s">
        <v>423</v>
      </c>
      <c r="D85" s="152" t="s">
        <v>526</v>
      </c>
      <c r="E85" s="153"/>
      <c r="F85" s="153">
        <v>164944.82</v>
      </c>
      <c r="G85" s="154"/>
      <c r="I85" s="155"/>
      <c r="J85" s="155"/>
      <c r="K85" s="156"/>
      <c r="M85" s="155"/>
    </row>
    <row r="86" spans="2:13" s="131" customFormat="1" ht="15.6" hidden="1" outlineLevel="1" x14ac:dyDescent="0.25">
      <c r="B86" s="152" t="s">
        <v>330</v>
      </c>
      <c r="D86" s="152" t="s">
        <v>526</v>
      </c>
      <c r="E86" s="153"/>
      <c r="F86" s="153">
        <v>393408.54</v>
      </c>
      <c r="G86" s="154"/>
      <c r="I86" s="155"/>
      <c r="J86" s="155"/>
      <c r="K86" s="156"/>
      <c r="M86" s="155"/>
    </row>
    <row r="87" spans="2:13" s="131" customFormat="1" ht="15.6" hidden="1" outlineLevel="1" x14ac:dyDescent="0.25">
      <c r="B87" s="152" t="s">
        <v>432</v>
      </c>
      <c r="D87" s="152" t="s">
        <v>174</v>
      </c>
      <c r="E87" s="153"/>
      <c r="F87" s="153">
        <v>4684761.47</v>
      </c>
      <c r="G87" s="154"/>
      <c r="I87" s="155"/>
      <c r="J87" s="156"/>
      <c r="K87" s="155"/>
      <c r="M87" s="155"/>
    </row>
    <row r="88" spans="2:13" s="131" customFormat="1" ht="15.6" hidden="1" outlineLevel="1" x14ac:dyDescent="0.25">
      <c r="B88" s="152" t="s">
        <v>197</v>
      </c>
      <c r="D88" s="152" t="s">
        <v>174</v>
      </c>
      <c r="E88" s="153"/>
      <c r="F88" s="153">
        <v>2252925.09</v>
      </c>
      <c r="G88" s="154"/>
      <c r="I88" s="155"/>
      <c r="J88" s="155"/>
      <c r="K88" s="156"/>
      <c r="M88" s="155"/>
    </row>
    <row r="89" spans="2:13" s="131" customFormat="1" ht="15.6" hidden="1" outlineLevel="1" x14ac:dyDescent="0.25">
      <c r="B89" s="152" t="s">
        <v>335</v>
      </c>
      <c r="D89" s="152" t="s">
        <v>174</v>
      </c>
      <c r="E89" s="153"/>
      <c r="F89" s="153">
        <v>1283605.1099999999</v>
      </c>
      <c r="G89" s="154"/>
      <c r="I89" s="155"/>
      <c r="J89" s="155"/>
      <c r="K89" s="156"/>
      <c r="M89" s="155"/>
    </row>
    <row r="90" spans="2:13" s="131" customFormat="1" ht="15.6" hidden="1" outlineLevel="1" x14ac:dyDescent="0.25">
      <c r="B90" s="152" t="s">
        <v>182</v>
      </c>
      <c r="D90" s="152" t="s">
        <v>174</v>
      </c>
      <c r="E90" s="153"/>
      <c r="F90" s="153">
        <v>838343.24</v>
      </c>
      <c r="G90" s="154"/>
      <c r="I90" s="155"/>
      <c r="J90" s="155"/>
      <c r="K90" s="156"/>
      <c r="M90" s="155"/>
    </row>
    <row r="91" spans="2:13" s="131" customFormat="1" ht="15.6" hidden="1" outlineLevel="1" x14ac:dyDescent="0.25">
      <c r="B91" s="152" t="s">
        <v>435</v>
      </c>
      <c r="D91" s="152" t="s">
        <v>174</v>
      </c>
      <c r="E91" s="153"/>
      <c r="F91" s="153">
        <v>625005.6</v>
      </c>
      <c r="G91" s="154"/>
      <c r="I91" s="155"/>
      <c r="J91" s="155"/>
      <c r="K91" s="156"/>
      <c r="M91" s="155"/>
    </row>
    <row r="92" spans="2:13" s="131" customFormat="1" ht="15.6" hidden="1" outlineLevel="1" x14ac:dyDescent="0.25">
      <c r="B92" s="152" t="s">
        <v>433</v>
      </c>
      <c r="D92" s="152" t="s">
        <v>174</v>
      </c>
      <c r="E92" s="153"/>
      <c r="F92" s="153">
        <v>675501.37</v>
      </c>
      <c r="G92" s="154"/>
      <c r="I92" s="155"/>
      <c r="J92" s="156"/>
      <c r="K92" s="155"/>
      <c r="M92" s="155"/>
    </row>
    <row r="93" spans="2:13" s="131" customFormat="1" ht="15.6" hidden="1" outlineLevel="1" x14ac:dyDescent="0.25">
      <c r="B93" s="152" t="s">
        <v>270</v>
      </c>
      <c r="D93" s="152" t="s">
        <v>174</v>
      </c>
      <c r="E93" s="153"/>
      <c r="F93" s="153">
        <v>988506.24</v>
      </c>
      <c r="G93" s="154"/>
      <c r="I93" s="155"/>
      <c r="J93" s="156"/>
      <c r="K93" s="155"/>
      <c r="M93" s="155"/>
    </row>
    <row r="94" spans="2:13" s="131" customFormat="1" ht="15.6" hidden="1" outlineLevel="1" x14ac:dyDescent="0.25">
      <c r="B94" s="152" t="s">
        <v>212</v>
      </c>
      <c r="D94" s="152" t="s">
        <v>174</v>
      </c>
      <c r="E94" s="153"/>
      <c r="F94" s="153">
        <v>292087.18</v>
      </c>
      <c r="G94" s="154"/>
      <c r="I94" s="155"/>
      <c r="J94" s="156"/>
      <c r="K94" s="155"/>
      <c r="M94" s="155"/>
    </row>
    <row r="95" spans="2:13" s="131" customFormat="1" ht="15.6" hidden="1" outlineLevel="1" x14ac:dyDescent="0.25">
      <c r="B95" s="152" t="s">
        <v>314</v>
      </c>
      <c r="D95" s="152" t="s">
        <v>174</v>
      </c>
      <c r="E95" s="153"/>
      <c r="F95" s="153">
        <v>489036.18</v>
      </c>
      <c r="G95" s="154"/>
      <c r="I95" s="155"/>
      <c r="J95" s="156"/>
      <c r="K95" s="155"/>
      <c r="M95" s="155"/>
    </row>
    <row r="96" spans="2:13" s="131" customFormat="1" ht="15.6" hidden="1" outlineLevel="1" x14ac:dyDescent="0.25">
      <c r="B96" s="152" t="s">
        <v>357</v>
      </c>
      <c r="D96" s="152" t="s">
        <v>174</v>
      </c>
      <c r="E96" s="153"/>
      <c r="F96" s="153">
        <v>332173.24</v>
      </c>
      <c r="G96" s="154"/>
      <c r="I96" s="155"/>
      <c r="J96" s="156"/>
      <c r="K96" s="155"/>
      <c r="M96" s="155"/>
    </row>
    <row r="97" spans="2:13" s="131" customFormat="1" ht="15.6" hidden="1" outlineLevel="1" x14ac:dyDescent="0.25">
      <c r="B97" s="152" t="s">
        <v>376</v>
      </c>
      <c r="D97" s="152" t="s">
        <v>174</v>
      </c>
      <c r="E97" s="153"/>
      <c r="F97" s="153">
        <v>326160</v>
      </c>
      <c r="G97" s="154"/>
      <c r="I97" s="155"/>
      <c r="J97" s="156"/>
      <c r="K97" s="155"/>
      <c r="M97" s="155"/>
    </row>
    <row r="98" spans="2:13" s="131" customFormat="1" ht="15.6" hidden="1" outlineLevel="1" x14ac:dyDescent="0.25">
      <c r="B98" s="152" t="s">
        <v>260</v>
      </c>
      <c r="D98" s="152" t="s">
        <v>174</v>
      </c>
      <c r="E98" s="153"/>
      <c r="F98" s="153">
        <v>339938.22000000003</v>
      </c>
      <c r="G98" s="154"/>
      <c r="I98" s="155"/>
      <c r="J98" s="156"/>
      <c r="K98" s="155"/>
      <c r="M98" s="155"/>
    </row>
    <row r="99" spans="2:13" s="131" customFormat="1" ht="15.6" hidden="1" outlineLevel="1" x14ac:dyDescent="0.25">
      <c r="B99" s="152" t="s">
        <v>426</v>
      </c>
      <c r="D99" s="152" t="s">
        <v>174</v>
      </c>
      <c r="E99" s="153"/>
      <c r="F99" s="153">
        <v>3800</v>
      </c>
      <c r="G99" s="154"/>
      <c r="I99" s="155"/>
      <c r="J99" s="156"/>
      <c r="K99" s="155"/>
      <c r="M99" s="155"/>
    </row>
    <row r="100" spans="2:13" s="131" customFormat="1" ht="15.6" hidden="1" outlineLevel="1" x14ac:dyDescent="0.25">
      <c r="B100" s="152" t="s">
        <v>377</v>
      </c>
      <c r="D100" s="152" t="s">
        <v>174</v>
      </c>
      <c r="E100" s="153"/>
      <c r="F100" s="153">
        <v>47884</v>
      </c>
      <c r="G100" s="154"/>
      <c r="I100" s="155"/>
      <c r="J100" s="156"/>
      <c r="K100" s="155"/>
      <c r="M100" s="155"/>
    </row>
    <row r="101" spans="2:13" s="131" customFormat="1" ht="15.6" hidden="1" outlineLevel="1" x14ac:dyDescent="0.25">
      <c r="B101" s="152" t="s">
        <v>452</v>
      </c>
      <c r="D101" s="152" t="s">
        <v>174</v>
      </c>
      <c r="E101" s="153"/>
      <c r="F101" s="153">
        <v>143620.48000000001</v>
      </c>
      <c r="G101" s="154"/>
      <c r="I101" s="155"/>
      <c r="J101" s="156"/>
      <c r="K101" s="155"/>
      <c r="M101" s="155"/>
    </row>
    <row r="102" spans="2:13" ht="15.6" collapsed="1" x14ac:dyDescent="0.25">
      <c r="B102" s="157" t="s">
        <v>351</v>
      </c>
      <c r="D102" s="158"/>
      <c r="E102" s="159">
        <f>SUM(E23:E43)+E12+E21+F22</f>
        <v>65372680.589999989</v>
      </c>
      <c r="F102" s="159">
        <f>SUM(F21:F22)+F12</f>
        <v>35847179.720000006</v>
      </c>
      <c r="G102" s="159">
        <f>+G22+G21+G12</f>
        <v>10799410.084400002</v>
      </c>
      <c r="I102" s="159"/>
      <c r="J102" s="159"/>
      <c r="K102" s="159"/>
      <c r="M102" s="160"/>
    </row>
    <row r="106" spans="2:13" x14ac:dyDescent="0.25">
      <c r="E106" s="161"/>
      <c r="I106" s="161"/>
    </row>
    <row r="107" spans="2:13" x14ac:dyDescent="0.25">
      <c r="E107" s="161"/>
      <c r="F107" s="166"/>
    </row>
    <row r="108" spans="2:13" x14ac:dyDescent="0.25">
      <c r="E108" s="161"/>
      <c r="F108" s="164"/>
    </row>
    <row r="109" spans="2:13" x14ac:dyDescent="0.25">
      <c r="E109" s="162"/>
    </row>
    <row r="110" spans="2:13" x14ac:dyDescent="0.25">
      <c r="F110" s="161"/>
    </row>
    <row r="111" spans="2:13" x14ac:dyDescent="0.25">
      <c r="F111" s="163"/>
      <c r="G111" s="163"/>
    </row>
    <row r="112" spans="2:13" x14ac:dyDescent="0.25">
      <c r="F112" s="163"/>
    </row>
    <row r="113" spans="6:6" x14ac:dyDescent="0.25">
      <c r="F113" s="163"/>
    </row>
  </sheetData>
  <mergeCells count="8">
    <mergeCell ref="M2:M3"/>
    <mergeCell ref="B44:B46"/>
    <mergeCell ref="B2:B3"/>
    <mergeCell ref="D2:D3"/>
    <mergeCell ref="E2:E3"/>
    <mergeCell ref="F2:F3"/>
    <mergeCell ref="G2:G3"/>
    <mergeCell ref="I2:K2"/>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184B-BE00-43D7-A209-98DCCA081C09}">
  <dimension ref="C2:T28"/>
  <sheetViews>
    <sheetView showGridLines="0" topLeftCell="A9" zoomScale="80" zoomScaleNormal="80" workbookViewId="0">
      <selection activeCell="F6" sqref="F6"/>
    </sheetView>
  </sheetViews>
  <sheetFormatPr defaultRowHeight="13.2" x14ac:dyDescent="0.25"/>
  <cols>
    <col min="1" max="1" width="2.88671875" customWidth="1"/>
    <col min="2" max="2" width="5.109375" customWidth="1"/>
    <col min="3" max="3" width="34.5546875" bestFit="1" customWidth="1"/>
    <col min="4" max="4" width="9.88671875" bestFit="1" customWidth="1"/>
    <col min="5" max="7" width="12.33203125" bestFit="1" customWidth="1"/>
    <col min="8" max="8" width="11.33203125" bestFit="1" customWidth="1"/>
    <col min="10" max="10" width="11.33203125" bestFit="1" customWidth="1"/>
    <col min="11" max="11" width="13.33203125" bestFit="1" customWidth="1"/>
    <col min="12" max="12" width="7" bestFit="1" customWidth="1"/>
    <col min="14" max="14" width="11.33203125" bestFit="1" customWidth="1"/>
    <col min="15" max="15" width="13.33203125" bestFit="1" customWidth="1"/>
    <col min="16" max="16" width="8.44140625" bestFit="1" customWidth="1"/>
    <col min="17" max="17" width="11.6640625" bestFit="1" customWidth="1"/>
    <col min="19" max="19" width="69.109375" bestFit="1" customWidth="1"/>
  </cols>
  <sheetData>
    <row r="2" spans="3:20" ht="13.8" thickBot="1" x14ac:dyDescent="0.3"/>
    <row r="3" spans="3:20" ht="15.6" x14ac:dyDescent="0.25">
      <c r="C3" s="433"/>
      <c r="D3" s="433"/>
      <c r="E3" s="433"/>
      <c r="F3" s="433"/>
      <c r="G3" s="433"/>
      <c r="H3" s="433"/>
      <c r="I3" s="49"/>
      <c r="J3" s="434" t="s">
        <v>159</v>
      </c>
      <c r="K3" s="435"/>
      <c r="L3" s="436"/>
      <c r="M3" s="50"/>
      <c r="N3" s="435" t="s">
        <v>7</v>
      </c>
      <c r="O3" s="435"/>
      <c r="P3" s="435"/>
      <c r="Q3" s="436"/>
      <c r="R3" s="49"/>
      <c r="S3" s="435" t="s">
        <v>338</v>
      </c>
      <c r="T3" s="436"/>
    </row>
    <row r="4" spans="3:20" ht="31.2" x14ac:dyDescent="0.25">
      <c r="C4" s="48" t="s">
        <v>22</v>
      </c>
      <c r="D4" s="51" t="s">
        <v>339</v>
      </c>
      <c r="E4" s="51" t="s">
        <v>17</v>
      </c>
      <c r="F4" s="51" t="s">
        <v>27</v>
      </c>
      <c r="G4" s="51" t="s">
        <v>8</v>
      </c>
      <c r="H4" s="51" t="s">
        <v>340</v>
      </c>
      <c r="I4" s="49"/>
      <c r="J4" s="52" t="s">
        <v>18</v>
      </c>
      <c r="K4" s="51" t="s">
        <v>20</v>
      </c>
      <c r="L4" s="53" t="s">
        <v>21</v>
      </c>
      <c r="M4" s="54"/>
      <c r="N4" s="51" t="s">
        <v>18</v>
      </c>
      <c r="O4" s="51" t="s">
        <v>20</v>
      </c>
      <c r="P4" s="51" t="s">
        <v>19</v>
      </c>
      <c r="Q4" s="53" t="s">
        <v>23</v>
      </c>
      <c r="R4" s="49"/>
      <c r="S4" s="433"/>
      <c r="T4" s="437"/>
    </row>
    <row r="5" spans="3:20" ht="27" customHeight="1" x14ac:dyDescent="0.3">
      <c r="C5" s="55" t="s">
        <v>341</v>
      </c>
      <c r="D5" s="55" t="s">
        <v>342</v>
      </c>
      <c r="E5" s="56">
        <f>F5+G5</f>
        <v>7560727.799999997</v>
      </c>
      <c r="F5" s="56">
        <f>'Painel Fertilizers'!O4</f>
        <v>7560727.799999997</v>
      </c>
      <c r="G5" s="56">
        <f>'Painel Fertilizers'!P4</f>
        <v>0</v>
      </c>
      <c r="H5" s="56">
        <f>'Painel Fertilizers'!X4</f>
        <v>0</v>
      </c>
      <c r="I5" s="49"/>
      <c r="J5" s="57">
        <v>0</v>
      </c>
      <c r="K5" s="58">
        <v>0</v>
      </c>
      <c r="L5" s="59">
        <v>0</v>
      </c>
      <c r="M5" s="60"/>
      <c r="N5" s="57">
        <v>0</v>
      </c>
      <c r="O5" s="58">
        <v>0</v>
      </c>
      <c r="P5" s="58">
        <v>0</v>
      </c>
      <c r="Q5" s="59">
        <v>0</v>
      </c>
      <c r="R5" s="49"/>
      <c r="S5" s="425" t="s">
        <v>404</v>
      </c>
      <c r="T5" s="426"/>
    </row>
    <row r="6" spans="3:20" ht="27" customHeight="1" x14ac:dyDescent="0.3">
      <c r="C6" s="55" t="s">
        <v>343</v>
      </c>
      <c r="D6" s="55" t="s">
        <v>342</v>
      </c>
      <c r="E6" s="56" t="e">
        <f t="shared" ref="E6:E9" si="0">F6+G6</f>
        <v>#REF!</v>
      </c>
      <c r="F6" s="56" t="e">
        <f>'Painel Fertilizers'!#REF!</f>
        <v>#REF!</v>
      </c>
      <c r="G6" s="56" t="e">
        <f>'Painel Fertilizers'!#REF!</f>
        <v>#REF!</v>
      </c>
      <c r="H6" s="56" t="e">
        <f>'Painel Fertilizers'!#REF!</f>
        <v>#REF!</v>
      </c>
      <c r="I6" s="49"/>
      <c r="J6" s="63">
        <v>300000</v>
      </c>
      <c r="K6" s="64" t="s">
        <v>227</v>
      </c>
      <c r="L6" s="65">
        <v>0</v>
      </c>
      <c r="M6" s="60"/>
      <c r="N6" s="66">
        <v>740000</v>
      </c>
      <c r="O6" s="67" t="s">
        <v>228</v>
      </c>
      <c r="P6" s="68">
        <v>45566</v>
      </c>
      <c r="Q6" s="69" t="s">
        <v>235</v>
      </c>
      <c r="R6" s="49"/>
      <c r="S6" s="425" t="s">
        <v>405</v>
      </c>
      <c r="T6" s="426"/>
    </row>
    <row r="7" spans="3:20" ht="27" customHeight="1" x14ac:dyDescent="0.3">
      <c r="C7" s="55" t="s">
        <v>207</v>
      </c>
      <c r="D7" s="55" t="s">
        <v>342</v>
      </c>
      <c r="E7" s="56">
        <f t="shared" si="0"/>
        <v>0</v>
      </c>
      <c r="F7" s="56">
        <f>'Painel Fertilizers'!O20</f>
        <v>0</v>
      </c>
      <c r="G7" s="56">
        <v>0</v>
      </c>
      <c r="H7" s="56">
        <v>0</v>
      </c>
      <c r="I7" s="49"/>
      <c r="J7" s="63"/>
      <c r="K7" s="64"/>
      <c r="L7" s="65"/>
      <c r="M7" s="60"/>
      <c r="N7" s="66">
        <v>4000000</v>
      </c>
      <c r="O7" s="67" t="s">
        <v>233</v>
      </c>
      <c r="P7" s="68">
        <v>45505</v>
      </c>
      <c r="Q7" s="69" t="s">
        <v>232</v>
      </c>
      <c r="R7" s="49"/>
      <c r="S7" s="61" t="s">
        <v>406</v>
      </c>
      <c r="T7" s="62"/>
    </row>
    <row r="8" spans="3:20" ht="27" customHeight="1" x14ac:dyDescent="0.3">
      <c r="C8" s="55" t="s">
        <v>195</v>
      </c>
      <c r="D8" s="55" t="s">
        <v>342</v>
      </c>
      <c r="E8" s="56">
        <f t="shared" si="0"/>
        <v>2026077.96</v>
      </c>
      <c r="F8" s="56">
        <v>1892359.96</v>
      </c>
      <c r="G8" s="56">
        <f>'Painel Fertilizers'!P20</f>
        <v>133718</v>
      </c>
      <c r="H8" s="56">
        <f>'Painel Fertilizers'!X5</f>
        <v>3088531.0700000008</v>
      </c>
      <c r="I8" s="49"/>
      <c r="J8" s="70">
        <v>1000000</v>
      </c>
      <c r="K8" s="71" t="s">
        <v>344</v>
      </c>
      <c r="L8" s="72">
        <v>360</v>
      </c>
      <c r="M8" s="60"/>
      <c r="N8" s="63">
        <v>1892360</v>
      </c>
      <c r="O8" s="71" t="s">
        <v>344</v>
      </c>
      <c r="P8" s="68">
        <v>45597</v>
      </c>
      <c r="Q8" s="69" t="s">
        <v>232</v>
      </c>
      <c r="R8" s="49"/>
      <c r="S8" s="425" t="s">
        <v>473</v>
      </c>
      <c r="T8" s="426"/>
    </row>
    <row r="9" spans="3:20" ht="27" customHeight="1" x14ac:dyDescent="0.3">
      <c r="C9" s="55" t="s">
        <v>199</v>
      </c>
      <c r="D9" s="55" t="s">
        <v>342</v>
      </c>
      <c r="E9" s="56">
        <f t="shared" si="0"/>
        <v>3044850.9199999995</v>
      </c>
      <c r="F9" s="56">
        <f>'Painel Fertilizers'!O6</f>
        <v>3044850.9199999995</v>
      </c>
      <c r="G9" s="56">
        <f>'Painel Fertilizers'!P6</f>
        <v>0</v>
      </c>
      <c r="H9" s="56">
        <f>'Painel Fertilizers'!X6</f>
        <v>3044850.9199999995</v>
      </c>
      <c r="I9" s="49"/>
      <c r="J9" s="63">
        <v>2000000</v>
      </c>
      <c r="K9" s="71" t="s">
        <v>344</v>
      </c>
      <c r="L9" s="65">
        <v>120</v>
      </c>
      <c r="M9" s="60"/>
      <c r="N9" s="63"/>
      <c r="O9" s="64"/>
      <c r="P9" s="64"/>
      <c r="Q9" s="65"/>
      <c r="R9" s="49"/>
      <c r="S9" s="425" t="s">
        <v>390</v>
      </c>
      <c r="T9" s="426"/>
    </row>
    <row r="10" spans="3:20" ht="27" customHeight="1" x14ac:dyDescent="0.3">
      <c r="C10" s="55" t="s">
        <v>187</v>
      </c>
      <c r="D10" s="55" t="s">
        <v>342</v>
      </c>
      <c r="E10" s="56">
        <f>F10+G10</f>
        <v>876011.75</v>
      </c>
      <c r="F10" s="56">
        <f>'Painel Fertilizers'!O10</f>
        <v>876011.75</v>
      </c>
      <c r="G10" s="56">
        <f>'Painel Fertilizers'!P10</f>
        <v>0</v>
      </c>
      <c r="H10" s="56">
        <f>'Painel Fertilizers'!X10</f>
        <v>0</v>
      </c>
      <c r="I10" s="49"/>
      <c r="J10" s="63"/>
      <c r="K10" s="71"/>
      <c r="L10" s="65"/>
      <c r="M10" s="60"/>
      <c r="N10" s="63">
        <v>5517407.7000000002</v>
      </c>
      <c r="O10" s="71" t="s">
        <v>344</v>
      </c>
      <c r="P10" s="68">
        <v>45606</v>
      </c>
      <c r="Q10" s="65" t="s">
        <v>232</v>
      </c>
      <c r="R10" s="49"/>
      <c r="S10" s="61" t="s">
        <v>352</v>
      </c>
      <c r="T10" s="62"/>
    </row>
    <row r="11" spans="3:20" ht="27" customHeight="1" x14ac:dyDescent="0.3">
      <c r="C11" s="55" t="s">
        <v>389</v>
      </c>
      <c r="D11" s="55" t="s">
        <v>342</v>
      </c>
      <c r="E11" s="56">
        <f>F11+G11</f>
        <v>0</v>
      </c>
      <c r="F11" s="56">
        <f>'Painel Fertilizers'!O22</f>
        <v>0</v>
      </c>
      <c r="G11" s="56">
        <f>'Painel Fertilizers'!P22</f>
        <v>0</v>
      </c>
      <c r="H11" s="56">
        <f>'Painel Fertilizers'!X22</f>
        <v>0</v>
      </c>
      <c r="I11" s="49"/>
      <c r="J11" s="63"/>
      <c r="K11" s="71"/>
      <c r="L11" s="65"/>
      <c r="M11" s="60"/>
      <c r="N11" s="63">
        <v>3000000</v>
      </c>
      <c r="O11" s="71" t="s">
        <v>344</v>
      </c>
      <c r="P11" s="68">
        <v>45627</v>
      </c>
      <c r="Q11" s="65" t="s">
        <v>232</v>
      </c>
      <c r="R11" s="49"/>
      <c r="S11" s="61" t="s">
        <v>352</v>
      </c>
      <c r="T11" s="62"/>
    </row>
    <row r="12" spans="3:20" ht="27" customHeight="1" x14ac:dyDescent="0.3">
      <c r="C12" s="73" t="s">
        <v>345</v>
      </c>
      <c r="D12" s="73"/>
      <c r="E12" s="74" t="e">
        <f>SUM(E5:E11)</f>
        <v>#REF!</v>
      </c>
      <c r="F12" s="74" t="e">
        <f>SUM(F5:F11)</f>
        <v>#REF!</v>
      </c>
      <c r="G12" s="74" t="e">
        <f>SUM(G5:G11)</f>
        <v>#REF!</v>
      </c>
      <c r="H12" s="74" t="e">
        <f>SUM(H5:H11)</f>
        <v>#REF!</v>
      </c>
      <c r="I12" s="49"/>
      <c r="J12" s="75"/>
      <c r="K12" s="76"/>
      <c r="L12" s="77"/>
      <c r="M12" s="78"/>
      <c r="N12" s="75"/>
      <c r="O12" s="76"/>
      <c r="P12" s="76"/>
      <c r="Q12" s="77"/>
      <c r="R12" s="49"/>
      <c r="S12" s="427"/>
      <c r="T12" s="428"/>
    </row>
    <row r="13" spans="3:20" ht="22.2" customHeight="1" x14ac:dyDescent="0.3">
      <c r="C13" s="55" t="s">
        <v>157</v>
      </c>
      <c r="D13" s="55" t="s">
        <v>174</v>
      </c>
      <c r="E13" s="56">
        <f>F13+G13</f>
        <v>110528</v>
      </c>
      <c r="F13" s="56">
        <v>110528</v>
      </c>
      <c r="G13" s="56">
        <v>0</v>
      </c>
      <c r="H13" s="56">
        <v>110527.99999999999</v>
      </c>
      <c r="I13" s="49"/>
      <c r="J13" s="57"/>
      <c r="K13" s="58"/>
      <c r="L13" s="59"/>
      <c r="M13" s="60"/>
      <c r="N13" s="63"/>
      <c r="O13" s="64"/>
      <c r="P13" s="64"/>
      <c r="Q13" s="65"/>
      <c r="R13" s="49"/>
      <c r="S13" s="429" t="s">
        <v>408</v>
      </c>
      <c r="T13" s="430"/>
    </row>
    <row r="14" spans="3:20" ht="22.2" customHeight="1" x14ac:dyDescent="0.3">
      <c r="C14" s="55" t="s">
        <v>204</v>
      </c>
      <c r="D14" s="55" t="s">
        <v>174</v>
      </c>
      <c r="E14" s="56">
        <f t="shared" ref="E14:E19" si="1">F14+G14</f>
        <v>34132.18</v>
      </c>
      <c r="F14" s="56">
        <v>34132.18</v>
      </c>
      <c r="G14" s="56">
        <v>0</v>
      </c>
      <c r="H14" s="56">
        <v>1023.9653999999999</v>
      </c>
      <c r="I14" s="49"/>
      <c r="J14" s="57"/>
      <c r="K14" s="58"/>
      <c r="L14" s="59"/>
      <c r="M14" s="60"/>
      <c r="N14" s="63"/>
      <c r="O14" s="64"/>
      <c r="P14" s="64"/>
      <c r="Q14" s="65"/>
      <c r="R14" s="49"/>
      <c r="S14" s="425" t="s">
        <v>407</v>
      </c>
      <c r="T14" s="426"/>
    </row>
    <row r="15" spans="3:20" ht="22.2" customHeight="1" x14ac:dyDescent="0.3">
      <c r="C15" s="55" t="s">
        <v>151</v>
      </c>
      <c r="D15" s="55" t="s">
        <v>174</v>
      </c>
      <c r="E15" s="56">
        <f t="shared" si="1"/>
        <v>22222.25</v>
      </c>
      <c r="F15" s="56">
        <v>22222.25</v>
      </c>
      <c r="G15" s="56">
        <v>0</v>
      </c>
      <c r="H15" s="56">
        <v>22222.25</v>
      </c>
      <c r="I15" s="49"/>
      <c r="J15" s="57"/>
      <c r="K15" s="58"/>
      <c r="L15" s="59"/>
      <c r="M15" s="60"/>
      <c r="N15" s="63"/>
      <c r="O15" s="64"/>
      <c r="P15" s="64"/>
      <c r="Q15" s="65"/>
      <c r="R15" s="49"/>
      <c r="S15" s="429" t="s">
        <v>408</v>
      </c>
      <c r="T15" s="430"/>
    </row>
    <row r="16" spans="3:20" ht="22.2" customHeight="1" x14ac:dyDescent="0.3">
      <c r="C16" s="55" t="s">
        <v>346</v>
      </c>
      <c r="D16" s="55" t="s">
        <v>317</v>
      </c>
      <c r="E16" s="56">
        <f t="shared" si="1"/>
        <v>226233.60000000001</v>
      </c>
      <c r="F16" s="56">
        <v>226233.60000000001</v>
      </c>
      <c r="G16" s="56">
        <v>0</v>
      </c>
      <c r="H16" s="56">
        <f>'Painel Additive'!X6</f>
        <v>63226.319999999992</v>
      </c>
      <c r="I16" s="49"/>
      <c r="J16" s="57"/>
      <c r="K16" s="58"/>
      <c r="L16" s="59"/>
      <c r="M16" s="60"/>
      <c r="N16" s="63"/>
      <c r="O16" s="64"/>
      <c r="P16" s="64"/>
      <c r="Q16" s="65"/>
      <c r="R16" s="49"/>
      <c r="S16" s="425" t="s">
        <v>407</v>
      </c>
      <c r="T16" s="426"/>
    </row>
    <row r="17" spans="3:20" ht="22.2" customHeight="1" x14ac:dyDescent="0.3">
      <c r="C17" s="55" t="s">
        <v>156</v>
      </c>
      <c r="D17" s="55" t="s">
        <v>317</v>
      </c>
      <c r="E17" s="56">
        <f t="shared" si="1"/>
        <v>140872.6</v>
      </c>
      <c r="F17" s="56">
        <v>140872.6</v>
      </c>
      <c r="G17" s="56">
        <v>0</v>
      </c>
      <c r="H17" s="56">
        <v>140872.6</v>
      </c>
      <c r="I17" s="49"/>
      <c r="J17" s="57"/>
      <c r="K17" s="58"/>
      <c r="L17" s="59"/>
      <c r="M17" s="60"/>
      <c r="N17" s="63"/>
      <c r="O17" s="64"/>
      <c r="P17" s="64"/>
      <c r="Q17" s="65"/>
      <c r="R17" s="49"/>
      <c r="S17" s="429" t="s">
        <v>408</v>
      </c>
      <c r="T17" s="430"/>
    </row>
    <row r="18" spans="3:20" ht="22.2" customHeight="1" x14ac:dyDescent="0.3">
      <c r="C18" s="55" t="s">
        <v>347</v>
      </c>
      <c r="D18" s="55" t="s">
        <v>317</v>
      </c>
      <c r="E18" s="56">
        <f t="shared" si="1"/>
        <v>41379</v>
      </c>
      <c r="F18" s="56">
        <v>41379</v>
      </c>
      <c r="G18" s="56">
        <v>0</v>
      </c>
      <c r="H18" s="56">
        <v>41379</v>
      </c>
      <c r="I18" s="49"/>
      <c r="J18" s="57"/>
      <c r="K18" s="58"/>
      <c r="L18" s="59"/>
      <c r="M18" s="60"/>
      <c r="N18" s="63"/>
      <c r="O18" s="64"/>
      <c r="P18" s="64"/>
      <c r="Q18" s="65"/>
      <c r="R18" s="49"/>
      <c r="S18" s="429" t="s">
        <v>408</v>
      </c>
      <c r="T18" s="430"/>
    </row>
    <row r="19" spans="3:20" ht="22.2" customHeight="1" x14ac:dyDescent="0.3">
      <c r="C19" s="79" t="s">
        <v>150</v>
      </c>
      <c r="D19" s="55" t="s">
        <v>317</v>
      </c>
      <c r="E19" s="56">
        <f t="shared" si="1"/>
        <v>84291.45</v>
      </c>
      <c r="F19" s="56">
        <v>84291.45</v>
      </c>
      <c r="G19" s="56">
        <v>0</v>
      </c>
      <c r="H19" s="56">
        <v>84291.45</v>
      </c>
      <c r="I19" s="49"/>
      <c r="J19" s="57"/>
      <c r="K19" s="58"/>
      <c r="L19" s="59"/>
      <c r="M19" s="60"/>
      <c r="N19" s="63"/>
      <c r="O19" s="64"/>
      <c r="P19" s="68"/>
      <c r="Q19" s="69"/>
      <c r="R19" s="49"/>
      <c r="S19" s="429" t="s">
        <v>408</v>
      </c>
      <c r="T19" s="430"/>
    </row>
    <row r="20" spans="3:20" ht="27" customHeight="1" x14ac:dyDescent="0.3">
      <c r="C20" s="80" t="s">
        <v>348</v>
      </c>
      <c r="D20" s="80"/>
      <c r="E20" s="81">
        <f>SUM(E13:E19)</f>
        <v>659659.07999999996</v>
      </c>
      <c r="F20" s="81">
        <f>SUM(F13:F19)</f>
        <v>659659.07999999996</v>
      </c>
      <c r="G20" s="81">
        <f>SUM(G13:G19)</f>
        <v>0</v>
      </c>
      <c r="H20" s="81">
        <f>SUM(H13:H19)</f>
        <v>463543.58540000004</v>
      </c>
      <c r="I20" s="49"/>
      <c r="J20" s="82"/>
      <c r="K20" s="83"/>
      <c r="L20" s="84"/>
      <c r="M20" s="78"/>
      <c r="N20" s="83"/>
      <c r="O20" s="83"/>
      <c r="P20" s="83"/>
      <c r="Q20" s="84"/>
      <c r="R20" s="49"/>
      <c r="S20" s="423"/>
      <c r="T20" s="424"/>
    </row>
    <row r="21" spans="3:20" ht="27" customHeight="1" x14ac:dyDescent="0.3">
      <c r="C21" s="80" t="s">
        <v>349</v>
      </c>
      <c r="D21" s="80"/>
      <c r="E21" s="81" t="e">
        <f t="shared" ref="E21:E22" si="2">F21+G21</f>
        <v>#REF!</v>
      </c>
      <c r="F21" s="81" t="e">
        <f>-(F20+F12)+'Painel Additive'!O1+'Painel Fertilizers'!O1+'Painel International'!O1</f>
        <v>#REF!</v>
      </c>
      <c r="G21" s="81">
        <v>0</v>
      </c>
      <c r="H21" s="81" t="e">
        <f>'Bad Debt Provision'!#REF! - (H12+H20)</f>
        <v>#REF!</v>
      </c>
      <c r="I21" s="49"/>
      <c r="J21" s="422"/>
      <c r="K21" s="423"/>
      <c r="L21" s="424"/>
      <c r="M21" s="78"/>
      <c r="N21" s="423"/>
      <c r="O21" s="423"/>
      <c r="P21" s="423"/>
      <c r="Q21" s="424"/>
      <c r="R21" s="49"/>
      <c r="S21" s="431" t="s">
        <v>350</v>
      </c>
      <c r="T21" s="432"/>
    </row>
    <row r="22" spans="3:20" ht="27" customHeight="1" x14ac:dyDescent="0.3">
      <c r="C22" s="80" t="s">
        <v>8</v>
      </c>
      <c r="D22" s="80"/>
      <c r="E22" s="81">
        <f t="shared" si="2"/>
        <v>37270136.939999998</v>
      </c>
      <c r="F22" s="81">
        <v>0</v>
      </c>
      <c r="G22" s="81">
        <f>'Painel Additive'!P1+'Painel Fertilizers'!P1+'Painel International'!P1</f>
        <v>37270136.939999998</v>
      </c>
      <c r="H22" s="81">
        <v>0</v>
      </c>
      <c r="I22" s="49"/>
      <c r="J22" s="422"/>
      <c r="K22" s="423"/>
      <c r="L22" s="424"/>
      <c r="M22" s="60"/>
      <c r="N22" s="423"/>
      <c r="O22" s="423"/>
      <c r="P22" s="423"/>
      <c r="Q22" s="424"/>
      <c r="R22" s="49"/>
      <c r="S22" s="423"/>
      <c r="T22" s="424"/>
    </row>
    <row r="23" spans="3:20" ht="25.2" customHeight="1" thickBot="1" x14ac:dyDescent="0.35">
      <c r="C23" s="85" t="s">
        <v>351</v>
      </c>
      <c r="D23" s="86"/>
      <c r="E23" s="87" t="e">
        <f>SUM(E20:E22)+E12</f>
        <v>#REF!</v>
      </c>
      <c r="F23" s="87" t="e">
        <f>SUM(F20:F22)+F12</f>
        <v>#REF!</v>
      </c>
      <c r="G23" s="87" t="e">
        <f>SUM(G20:G22)+G12</f>
        <v>#REF!</v>
      </c>
      <c r="H23" s="87" t="e">
        <f>SUM(H20:H22)+H12</f>
        <v>#REF!</v>
      </c>
      <c r="I23" s="49"/>
      <c r="J23" s="88"/>
      <c r="K23" s="89"/>
      <c r="L23" s="90"/>
      <c r="M23" s="91"/>
      <c r="N23" s="89"/>
      <c r="O23" s="89"/>
      <c r="P23" s="89"/>
      <c r="Q23" s="90"/>
      <c r="R23" s="49"/>
      <c r="S23" s="92"/>
      <c r="T23" s="92"/>
    </row>
    <row r="28" spans="3:20" x14ac:dyDescent="0.25">
      <c r="F28" s="25"/>
    </row>
  </sheetData>
  <mergeCells count="23">
    <mergeCell ref="S17:T17"/>
    <mergeCell ref="S6:T6"/>
    <mergeCell ref="C3:H3"/>
    <mergeCell ref="J3:L3"/>
    <mergeCell ref="N3:Q3"/>
    <mergeCell ref="S3:T4"/>
    <mergeCell ref="S5:T5"/>
    <mergeCell ref="J22:L22"/>
    <mergeCell ref="N22:Q22"/>
    <mergeCell ref="S22:T22"/>
    <mergeCell ref="S8:T8"/>
    <mergeCell ref="S9:T9"/>
    <mergeCell ref="S12:T12"/>
    <mergeCell ref="S13:T13"/>
    <mergeCell ref="S14:T14"/>
    <mergeCell ref="S16:T16"/>
    <mergeCell ref="S19:T19"/>
    <mergeCell ref="S20:T20"/>
    <mergeCell ref="J21:L21"/>
    <mergeCell ref="N21:Q21"/>
    <mergeCell ref="S21:T21"/>
    <mergeCell ref="S15:T15"/>
    <mergeCell ref="S18:T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4"/>
  <sheetViews>
    <sheetView zoomScale="80" zoomScaleNormal="80" workbookViewId="0">
      <selection activeCell="R1" sqref="R1"/>
    </sheetView>
  </sheetViews>
  <sheetFormatPr defaultRowHeight="13.2" x14ac:dyDescent="0.25"/>
  <cols>
    <col min="1" max="1" width="12.6640625" bestFit="1" customWidth="1"/>
    <col min="2" max="2" width="37.109375" bestFit="1" customWidth="1"/>
    <col min="3" max="3" width="18.33203125" bestFit="1" customWidth="1"/>
    <col min="4" max="4" width="12.6640625" style="32"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2">
        <f>SUBTOTAL(9,D3:D999)</f>
        <v>176583.12</v>
      </c>
      <c r="Q1" s="3">
        <v>46136</v>
      </c>
    </row>
    <row r="2" spans="1:17" x14ac:dyDescent="0.25">
      <c r="A2" s="2" t="s">
        <v>4</v>
      </c>
      <c r="B2" s="2" t="s">
        <v>3</v>
      </c>
      <c r="C2" s="2" t="s">
        <v>0</v>
      </c>
      <c r="D2" s="213" t="s">
        <v>6</v>
      </c>
      <c r="E2" s="2" t="s">
        <v>217</v>
      </c>
      <c r="F2" s="212" t="s">
        <v>2</v>
      </c>
      <c r="G2" s="2" t="s">
        <v>216</v>
      </c>
      <c r="H2" s="2" t="s">
        <v>218</v>
      </c>
      <c r="I2" s="2" t="s">
        <v>219</v>
      </c>
      <c r="J2" s="2" t="s">
        <v>1</v>
      </c>
      <c r="K2" s="212" t="s">
        <v>220</v>
      </c>
      <c r="L2" s="2" t="s">
        <v>221</v>
      </c>
      <c r="M2" s="2" t="s">
        <v>222</v>
      </c>
      <c r="N2" s="2" t="s">
        <v>223</v>
      </c>
      <c r="O2" s="2" t="s">
        <v>224</v>
      </c>
      <c r="P2" s="2" t="s">
        <v>410</v>
      </c>
      <c r="Q2" s="4" t="s">
        <v>5</v>
      </c>
    </row>
    <row r="3" spans="1:17" x14ac:dyDescent="0.25">
      <c r="A3" s="410">
        <v>1787</v>
      </c>
      <c r="B3" s="410" t="s">
        <v>67</v>
      </c>
      <c r="C3" s="410" t="s">
        <v>68</v>
      </c>
      <c r="D3" s="411">
        <v>3600</v>
      </c>
      <c r="E3" s="410">
        <v>1246031589</v>
      </c>
      <c r="F3" s="412">
        <v>44784</v>
      </c>
      <c r="G3" s="410"/>
      <c r="H3" s="410" t="s">
        <v>28</v>
      </c>
      <c r="I3" s="410" t="s">
        <v>29</v>
      </c>
      <c r="J3" s="410">
        <v>1246031589</v>
      </c>
      <c r="K3" s="412">
        <v>44769</v>
      </c>
      <c r="L3" s="410">
        <v>3041000</v>
      </c>
      <c r="M3" s="410" t="s">
        <v>138</v>
      </c>
      <c r="N3" s="410">
        <v>46</v>
      </c>
      <c r="O3" s="410" t="s">
        <v>163</v>
      </c>
      <c r="P3" s="410" t="s">
        <v>531</v>
      </c>
      <c r="Q3">
        <f>$Q$1-F3</f>
        <v>1352</v>
      </c>
    </row>
    <row r="4" spans="1:17" x14ac:dyDescent="0.25">
      <c r="A4" s="410">
        <v>1787</v>
      </c>
      <c r="B4" s="410" t="s">
        <v>67</v>
      </c>
      <c r="C4" s="410" t="s">
        <v>68</v>
      </c>
      <c r="D4" s="411">
        <v>2700</v>
      </c>
      <c r="E4" s="410">
        <v>1246055596</v>
      </c>
      <c r="F4" s="412">
        <v>44889</v>
      </c>
      <c r="G4" s="410"/>
      <c r="H4" s="410" t="s">
        <v>28</v>
      </c>
      <c r="I4" s="410" t="s">
        <v>29</v>
      </c>
      <c r="J4" s="410">
        <v>1246055596</v>
      </c>
      <c r="K4" s="412">
        <v>44889</v>
      </c>
      <c r="L4" s="410">
        <v>3041000</v>
      </c>
      <c r="M4" s="410" t="s">
        <v>138</v>
      </c>
      <c r="N4" s="410">
        <v>46</v>
      </c>
      <c r="O4" s="410" t="s">
        <v>163</v>
      </c>
      <c r="P4" s="410" t="s">
        <v>531</v>
      </c>
      <c r="Q4">
        <f t="shared" ref="Q4:Q54" si="0">$Q$1-F4</f>
        <v>1247</v>
      </c>
    </row>
    <row r="5" spans="1:17" x14ac:dyDescent="0.25">
      <c r="A5" s="410">
        <v>1788</v>
      </c>
      <c r="B5" s="410" t="s">
        <v>69</v>
      </c>
      <c r="C5" s="410" t="s">
        <v>70</v>
      </c>
      <c r="D5" s="411">
        <v>5400</v>
      </c>
      <c r="E5" s="410">
        <v>1246055599</v>
      </c>
      <c r="F5" s="412">
        <v>44889</v>
      </c>
      <c r="G5" s="410"/>
      <c r="H5" s="410" t="s">
        <v>28</v>
      </c>
      <c r="I5" s="410" t="s">
        <v>29</v>
      </c>
      <c r="J5" s="410">
        <v>1246055599</v>
      </c>
      <c r="K5" s="412">
        <v>44889</v>
      </c>
      <c r="L5" s="410">
        <v>3041000</v>
      </c>
      <c r="M5" s="410" t="s">
        <v>138</v>
      </c>
      <c r="N5" s="410">
        <v>46</v>
      </c>
      <c r="O5" s="410" t="s">
        <v>163</v>
      </c>
      <c r="P5" s="410" t="s">
        <v>531</v>
      </c>
      <c r="Q5">
        <f t="shared" si="0"/>
        <v>1247</v>
      </c>
    </row>
    <row r="6" spans="1:17" x14ac:dyDescent="0.25">
      <c r="A6" s="410">
        <v>1788</v>
      </c>
      <c r="B6" s="410" t="s">
        <v>69</v>
      </c>
      <c r="C6" s="410" t="s">
        <v>70</v>
      </c>
      <c r="D6" s="411">
        <v>1200</v>
      </c>
      <c r="E6" s="410">
        <v>1246190701</v>
      </c>
      <c r="F6" s="412">
        <v>45674</v>
      </c>
      <c r="G6" s="410"/>
      <c r="H6" s="410" t="s">
        <v>28</v>
      </c>
      <c r="I6" s="410" t="s">
        <v>29</v>
      </c>
      <c r="J6" s="410">
        <v>1246190701</v>
      </c>
      <c r="K6" s="412">
        <v>45659</v>
      </c>
      <c r="L6" s="410">
        <v>3041000</v>
      </c>
      <c r="M6" s="410" t="s">
        <v>138</v>
      </c>
      <c r="N6" s="410">
        <v>46</v>
      </c>
      <c r="O6" s="410" t="s">
        <v>163</v>
      </c>
      <c r="P6" s="410" t="s">
        <v>531</v>
      </c>
      <c r="Q6">
        <f t="shared" si="0"/>
        <v>462</v>
      </c>
    </row>
    <row r="7" spans="1:17" x14ac:dyDescent="0.25">
      <c r="A7" s="410">
        <v>1789</v>
      </c>
      <c r="B7" s="410" t="s">
        <v>71</v>
      </c>
      <c r="C7" s="410" t="s">
        <v>72</v>
      </c>
      <c r="D7" s="411">
        <v>2700</v>
      </c>
      <c r="E7" s="410">
        <v>1246120461</v>
      </c>
      <c r="F7" s="412">
        <v>45294</v>
      </c>
      <c r="G7" s="410"/>
      <c r="H7" s="410" t="s">
        <v>28</v>
      </c>
      <c r="I7" s="410" t="s">
        <v>29</v>
      </c>
      <c r="J7" s="410">
        <v>191223</v>
      </c>
      <c r="K7" s="412">
        <v>45279</v>
      </c>
      <c r="L7" s="410">
        <v>3041000</v>
      </c>
      <c r="M7" s="410" t="s">
        <v>138</v>
      </c>
      <c r="N7" s="410">
        <v>46</v>
      </c>
      <c r="O7" s="410" t="s">
        <v>163</v>
      </c>
      <c r="P7" s="410" t="s">
        <v>531</v>
      </c>
      <c r="Q7">
        <f t="shared" si="0"/>
        <v>842</v>
      </c>
    </row>
    <row r="8" spans="1:17" x14ac:dyDescent="0.25">
      <c r="A8" s="410">
        <v>1789</v>
      </c>
      <c r="B8" s="410" t="s">
        <v>71</v>
      </c>
      <c r="C8" s="410" t="s">
        <v>72</v>
      </c>
      <c r="D8" s="411">
        <v>900</v>
      </c>
      <c r="E8" s="410">
        <v>1246146095</v>
      </c>
      <c r="F8" s="412">
        <v>45428</v>
      </c>
      <c r="G8" s="410"/>
      <c r="H8" s="410" t="s">
        <v>28</v>
      </c>
      <c r="I8" s="410" t="s">
        <v>29</v>
      </c>
      <c r="J8" s="410">
        <v>1246120461</v>
      </c>
      <c r="K8" s="412">
        <v>45428</v>
      </c>
      <c r="L8" s="410">
        <v>3041000</v>
      </c>
      <c r="M8" s="410" t="s">
        <v>138</v>
      </c>
      <c r="N8" s="410">
        <v>46</v>
      </c>
      <c r="O8" s="410" t="s">
        <v>163</v>
      </c>
      <c r="P8" s="410" t="s">
        <v>531</v>
      </c>
      <c r="Q8">
        <f t="shared" si="0"/>
        <v>708</v>
      </c>
    </row>
    <row r="9" spans="1:17" x14ac:dyDescent="0.25">
      <c r="A9" s="410">
        <v>43</v>
      </c>
      <c r="B9" s="410" t="s">
        <v>793</v>
      </c>
      <c r="C9" s="410" t="s">
        <v>37</v>
      </c>
      <c r="D9" s="411">
        <v>3600</v>
      </c>
      <c r="E9" s="410">
        <v>1246271938</v>
      </c>
      <c r="F9" s="412">
        <v>46147</v>
      </c>
      <c r="G9" s="410"/>
      <c r="H9" s="410" t="s">
        <v>28</v>
      </c>
      <c r="I9" s="410" t="s">
        <v>29</v>
      </c>
      <c r="J9" s="410">
        <v>1246271938</v>
      </c>
      <c r="K9" s="412">
        <v>46132</v>
      </c>
      <c r="L9" s="410">
        <v>3042200</v>
      </c>
      <c r="M9" s="410" t="s">
        <v>857</v>
      </c>
      <c r="N9" s="410">
        <v>46</v>
      </c>
      <c r="O9" s="410" t="s">
        <v>163</v>
      </c>
      <c r="P9" s="410" t="s">
        <v>416</v>
      </c>
      <c r="Q9">
        <f>$Q$1-F9</f>
        <v>-11</v>
      </c>
    </row>
    <row r="10" spans="1:17" x14ac:dyDescent="0.25">
      <c r="A10" s="410">
        <v>43</v>
      </c>
      <c r="B10" s="410" t="s">
        <v>793</v>
      </c>
      <c r="C10" s="410" t="s">
        <v>37</v>
      </c>
      <c r="D10" s="411">
        <v>3600</v>
      </c>
      <c r="E10" s="410">
        <v>1246271937</v>
      </c>
      <c r="F10" s="412">
        <v>46147</v>
      </c>
      <c r="G10" s="410"/>
      <c r="H10" s="410" t="s">
        <v>28</v>
      </c>
      <c r="I10" s="410" t="s">
        <v>29</v>
      </c>
      <c r="J10" s="410">
        <v>1246271937</v>
      </c>
      <c r="K10" s="412">
        <v>46132</v>
      </c>
      <c r="L10" s="410">
        <v>3042200</v>
      </c>
      <c r="M10" s="410" t="s">
        <v>857</v>
      </c>
      <c r="N10" s="410">
        <v>46</v>
      </c>
      <c r="O10" s="410" t="s">
        <v>163</v>
      </c>
      <c r="P10" s="410" t="s">
        <v>416</v>
      </c>
      <c r="Q10">
        <f t="shared" si="0"/>
        <v>-11</v>
      </c>
    </row>
    <row r="11" spans="1:17" x14ac:dyDescent="0.25">
      <c r="A11" s="410">
        <v>43</v>
      </c>
      <c r="B11" s="410" t="s">
        <v>793</v>
      </c>
      <c r="C11" s="410" t="s">
        <v>37</v>
      </c>
      <c r="D11" s="411">
        <v>3600</v>
      </c>
      <c r="E11" s="410">
        <v>1246271931</v>
      </c>
      <c r="F11" s="412">
        <v>46147</v>
      </c>
      <c r="G11" s="410"/>
      <c r="H11" s="410" t="s">
        <v>28</v>
      </c>
      <c r="I11" s="410" t="s">
        <v>29</v>
      </c>
      <c r="J11" s="410">
        <v>1246271931</v>
      </c>
      <c r="K11" s="412">
        <v>46132</v>
      </c>
      <c r="L11" s="410">
        <v>3042200</v>
      </c>
      <c r="M11" s="410" t="s">
        <v>857</v>
      </c>
      <c r="N11" s="410">
        <v>46</v>
      </c>
      <c r="O11" s="410" t="s">
        <v>163</v>
      </c>
      <c r="P11" s="410" t="s">
        <v>416</v>
      </c>
      <c r="Q11">
        <f t="shared" si="0"/>
        <v>-11</v>
      </c>
    </row>
    <row r="12" spans="1:17" x14ac:dyDescent="0.25">
      <c r="A12" s="410">
        <v>43</v>
      </c>
      <c r="B12" s="410" t="s">
        <v>793</v>
      </c>
      <c r="C12" s="410" t="s">
        <v>37</v>
      </c>
      <c r="D12" s="411">
        <v>6000</v>
      </c>
      <c r="E12" s="410">
        <v>1246271936</v>
      </c>
      <c r="F12" s="412">
        <v>46147</v>
      </c>
      <c r="G12" s="410"/>
      <c r="H12" s="410" t="s">
        <v>28</v>
      </c>
      <c r="I12" s="410" t="s">
        <v>29</v>
      </c>
      <c r="J12" s="410">
        <v>1246271936</v>
      </c>
      <c r="K12" s="412">
        <v>46132</v>
      </c>
      <c r="L12" s="410">
        <v>3042200</v>
      </c>
      <c r="M12" s="410" t="s">
        <v>857</v>
      </c>
      <c r="N12" s="410">
        <v>46</v>
      </c>
      <c r="O12" s="410" t="s">
        <v>163</v>
      </c>
      <c r="P12" s="410" t="s">
        <v>416</v>
      </c>
      <c r="Q12">
        <f t="shared" si="0"/>
        <v>-11</v>
      </c>
    </row>
    <row r="13" spans="1:17" x14ac:dyDescent="0.25">
      <c r="A13" s="410">
        <v>43</v>
      </c>
      <c r="B13" s="410" t="s">
        <v>793</v>
      </c>
      <c r="C13" s="410" t="s">
        <v>37</v>
      </c>
      <c r="D13" s="411">
        <v>2400</v>
      </c>
      <c r="E13" s="410">
        <v>1246271921</v>
      </c>
      <c r="F13" s="412">
        <v>46147</v>
      </c>
      <c r="G13" s="410"/>
      <c r="H13" s="410" t="s">
        <v>28</v>
      </c>
      <c r="I13" s="410" t="s">
        <v>29</v>
      </c>
      <c r="J13" s="410">
        <v>1246271921</v>
      </c>
      <c r="K13" s="412">
        <v>46132</v>
      </c>
      <c r="L13" s="410">
        <v>3042200</v>
      </c>
      <c r="M13" s="410" t="s">
        <v>857</v>
      </c>
      <c r="N13" s="410">
        <v>46</v>
      </c>
      <c r="O13" s="410" t="s">
        <v>163</v>
      </c>
      <c r="P13" s="410" t="s">
        <v>416</v>
      </c>
      <c r="Q13">
        <f t="shared" si="0"/>
        <v>-11</v>
      </c>
    </row>
    <row r="14" spans="1:17" x14ac:dyDescent="0.25">
      <c r="A14" s="410">
        <v>1159</v>
      </c>
      <c r="B14" s="410" t="s">
        <v>60</v>
      </c>
      <c r="C14" s="410" t="s">
        <v>61</v>
      </c>
      <c r="D14" s="411">
        <v>1800</v>
      </c>
      <c r="E14" s="410">
        <v>1246087936</v>
      </c>
      <c r="F14" s="412">
        <v>45112</v>
      </c>
      <c r="G14" s="410"/>
      <c r="H14" s="410" t="s">
        <v>28</v>
      </c>
      <c r="I14" s="410" t="s">
        <v>29</v>
      </c>
      <c r="J14" s="410">
        <v>1246087936</v>
      </c>
      <c r="K14" s="412">
        <v>45097</v>
      </c>
      <c r="L14" s="410">
        <v>3041000</v>
      </c>
      <c r="M14" s="410" t="s">
        <v>138</v>
      </c>
      <c r="N14" s="410">
        <v>46</v>
      </c>
      <c r="O14" s="410" t="s">
        <v>163</v>
      </c>
      <c r="P14" s="410" t="s">
        <v>420</v>
      </c>
      <c r="Q14">
        <f t="shared" si="0"/>
        <v>1024</v>
      </c>
    </row>
    <row r="15" spans="1:17" x14ac:dyDescent="0.25">
      <c r="A15" s="410">
        <v>1159</v>
      </c>
      <c r="B15" s="410" t="s">
        <v>60</v>
      </c>
      <c r="C15" s="410" t="s">
        <v>61</v>
      </c>
      <c r="D15" s="411">
        <v>2700</v>
      </c>
      <c r="E15" s="410">
        <v>1246087941</v>
      </c>
      <c r="F15" s="412">
        <v>45112</v>
      </c>
      <c r="G15" s="410"/>
      <c r="H15" s="410" t="s">
        <v>28</v>
      </c>
      <c r="I15" s="410" t="s">
        <v>29</v>
      </c>
      <c r="J15" s="410">
        <v>1246087941</v>
      </c>
      <c r="K15" s="412">
        <v>45097</v>
      </c>
      <c r="L15" s="410">
        <v>3041000</v>
      </c>
      <c r="M15" s="410" t="s">
        <v>138</v>
      </c>
      <c r="N15" s="410">
        <v>46</v>
      </c>
      <c r="O15" s="410" t="s">
        <v>163</v>
      </c>
      <c r="P15" s="410" t="s">
        <v>420</v>
      </c>
      <c r="Q15">
        <f t="shared" si="0"/>
        <v>1024</v>
      </c>
    </row>
    <row r="16" spans="1:17" x14ac:dyDescent="0.25">
      <c r="A16" s="410">
        <v>1159</v>
      </c>
      <c r="B16" s="410" t="s">
        <v>60</v>
      </c>
      <c r="C16" s="410" t="s">
        <v>61</v>
      </c>
      <c r="D16" s="411">
        <v>1800</v>
      </c>
      <c r="E16" s="410">
        <v>1246087939</v>
      </c>
      <c r="F16" s="412">
        <v>45112</v>
      </c>
      <c r="G16" s="410"/>
      <c r="H16" s="410" t="s">
        <v>28</v>
      </c>
      <c r="I16" s="410" t="s">
        <v>29</v>
      </c>
      <c r="J16" s="410">
        <v>1246087939</v>
      </c>
      <c r="K16" s="412">
        <v>45097</v>
      </c>
      <c r="L16" s="410">
        <v>3041000</v>
      </c>
      <c r="M16" s="410" t="s">
        <v>138</v>
      </c>
      <c r="N16" s="410">
        <v>46</v>
      </c>
      <c r="O16" s="410" t="s">
        <v>163</v>
      </c>
      <c r="P16" s="410" t="s">
        <v>420</v>
      </c>
      <c r="Q16">
        <f t="shared" si="0"/>
        <v>1024</v>
      </c>
    </row>
    <row r="17" spans="1:17" x14ac:dyDescent="0.25">
      <c r="A17" s="410">
        <v>1159</v>
      </c>
      <c r="B17" s="410" t="s">
        <v>60</v>
      </c>
      <c r="C17" s="410" t="s">
        <v>61</v>
      </c>
      <c r="D17" s="411">
        <v>1800</v>
      </c>
      <c r="E17" s="410">
        <v>1246087937</v>
      </c>
      <c r="F17" s="412">
        <v>45112</v>
      </c>
      <c r="G17" s="410"/>
      <c r="H17" s="410" t="s">
        <v>28</v>
      </c>
      <c r="I17" s="410" t="s">
        <v>29</v>
      </c>
      <c r="J17" s="410">
        <v>1246087937</v>
      </c>
      <c r="K17" s="412">
        <v>45097</v>
      </c>
      <c r="L17" s="410">
        <v>3041000</v>
      </c>
      <c r="M17" s="410" t="s">
        <v>138</v>
      </c>
      <c r="N17" s="410">
        <v>46</v>
      </c>
      <c r="O17" s="410" t="s">
        <v>163</v>
      </c>
      <c r="P17" s="410" t="s">
        <v>420</v>
      </c>
      <c r="Q17">
        <f t="shared" si="0"/>
        <v>1024</v>
      </c>
    </row>
    <row r="18" spans="1:17" x14ac:dyDescent="0.25">
      <c r="A18" s="410">
        <v>1159</v>
      </c>
      <c r="B18" s="410" t="s">
        <v>60</v>
      </c>
      <c r="C18" s="410" t="s">
        <v>61</v>
      </c>
      <c r="D18" s="411">
        <v>1800</v>
      </c>
      <c r="E18" s="410">
        <v>1246087943</v>
      </c>
      <c r="F18" s="412">
        <v>45112</v>
      </c>
      <c r="G18" s="410"/>
      <c r="H18" s="410" t="s">
        <v>28</v>
      </c>
      <c r="I18" s="410" t="s">
        <v>29</v>
      </c>
      <c r="J18" s="410">
        <v>1246087943</v>
      </c>
      <c r="K18" s="412">
        <v>45097</v>
      </c>
      <c r="L18" s="410">
        <v>3041000</v>
      </c>
      <c r="M18" s="410" t="s">
        <v>138</v>
      </c>
      <c r="N18" s="410">
        <v>46</v>
      </c>
      <c r="O18" s="410" t="s">
        <v>163</v>
      </c>
      <c r="P18" s="410" t="s">
        <v>420</v>
      </c>
      <c r="Q18">
        <f t="shared" si="0"/>
        <v>1024</v>
      </c>
    </row>
    <row r="19" spans="1:17" x14ac:dyDescent="0.25">
      <c r="A19" s="410">
        <v>1159</v>
      </c>
      <c r="B19" s="410" t="s">
        <v>60</v>
      </c>
      <c r="C19" s="410" t="s">
        <v>61</v>
      </c>
      <c r="D19" s="411">
        <v>2700</v>
      </c>
      <c r="E19" s="410">
        <v>1246121301</v>
      </c>
      <c r="F19" s="412">
        <v>45297</v>
      </c>
      <c r="G19" s="410"/>
      <c r="H19" s="410" t="s">
        <v>28</v>
      </c>
      <c r="I19" s="410" t="s">
        <v>29</v>
      </c>
      <c r="J19" s="410">
        <v>1246121301</v>
      </c>
      <c r="K19" s="412">
        <v>45282</v>
      </c>
      <c r="L19" s="410">
        <v>3041000</v>
      </c>
      <c r="M19" s="410" t="s">
        <v>138</v>
      </c>
      <c r="N19" s="410">
        <v>46</v>
      </c>
      <c r="O19" s="410" t="s">
        <v>163</v>
      </c>
      <c r="P19" s="410" t="s">
        <v>420</v>
      </c>
      <c r="Q19">
        <f t="shared" si="0"/>
        <v>839</v>
      </c>
    </row>
    <row r="20" spans="1:17" x14ac:dyDescent="0.25">
      <c r="A20" s="410">
        <v>1159</v>
      </c>
      <c r="B20" s="410" t="s">
        <v>60</v>
      </c>
      <c r="C20" s="410" t="s">
        <v>61</v>
      </c>
      <c r="D20" s="411">
        <v>4800</v>
      </c>
      <c r="E20" s="410">
        <v>1246121285</v>
      </c>
      <c r="F20" s="412">
        <v>45297</v>
      </c>
      <c r="G20" s="410"/>
      <c r="H20" s="410" t="s">
        <v>28</v>
      </c>
      <c r="I20" s="410" t="s">
        <v>29</v>
      </c>
      <c r="J20" s="410">
        <v>1246121285</v>
      </c>
      <c r="K20" s="412">
        <v>45282</v>
      </c>
      <c r="L20" s="410">
        <v>3041000</v>
      </c>
      <c r="M20" s="410" t="s">
        <v>138</v>
      </c>
      <c r="N20" s="410">
        <v>46</v>
      </c>
      <c r="O20" s="410" t="s">
        <v>163</v>
      </c>
      <c r="P20" s="410" t="s">
        <v>420</v>
      </c>
      <c r="Q20">
        <f t="shared" si="0"/>
        <v>839</v>
      </c>
    </row>
    <row r="21" spans="1:17" x14ac:dyDescent="0.25">
      <c r="A21" s="410">
        <v>1159</v>
      </c>
      <c r="B21" s="410" t="s">
        <v>60</v>
      </c>
      <c r="C21" s="410" t="s">
        <v>61</v>
      </c>
      <c r="D21" s="411">
        <v>2700</v>
      </c>
      <c r="E21" s="410">
        <v>1246121300</v>
      </c>
      <c r="F21" s="412">
        <v>45297</v>
      </c>
      <c r="G21" s="410"/>
      <c r="H21" s="410" t="s">
        <v>28</v>
      </c>
      <c r="I21" s="410" t="s">
        <v>29</v>
      </c>
      <c r="J21" s="410">
        <v>1246121300</v>
      </c>
      <c r="K21" s="412">
        <v>45282</v>
      </c>
      <c r="L21" s="410">
        <v>3041000</v>
      </c>
      <c r="M21" s="410" t="s">
        <v>138</v>
      </c>
      <c r="N21" s="410">
        <v>46</v>
      </c>
      <c r="O21" s="410" t="s">
        <v>163</v>
      </c>
      <c r="P21" s="410" t="s">
        <v>420</v>
      </c>
      <c r="Q21">
        <f t="shared" si="0"/>
        <v>839</v>
      </c>
    </row>
    <row r="22" spans="1:17" x14ac:dyDescent="0.25">
      <c r="A22" s="410">
        <v>1159</v>
      </c>
      <c r="B22" s="410" t="s">
        <v>60</v>
      </c>
      <c r="C22" s="410" t="s">
        <v>61</v>
      </c>
      <c r="D22" s="411">
        <v>1800</v>
      </c>
      <c r="E22" s="410">
        <v>1246121298</v>
      </c>
      <c r="F22" s="412">
        <v>45297</v>
      </c>
      <c r="G22" s="410"/>
      <c r="H22" s="410" t="s">
        <v>28</v>
      </c>
      <c r="I22" s="410" t="s">
        <v>29</v>
      </c>
      <c r="J22" s="410">
        <v>1246121298</v>
      </c>
      <c r="K22" s="412">
        <v>45282</v>
      </c>
      <c r="L22" s="410">
        <v>3041000</v>
      </c>
      <c r="M22" s="410" t="s">
        <v>138</v>
      </c>
      <c r="N22" s="410">
        <v>46</v>
      </c>
      <c r="O22" s="410" t="s">
        <v>163</v>
      </c>
      <c r="P22" s="410" t="s">
        <v>420</v>
      </c>
      <c r="Q22">
        <f t="shared" si="0"/>
        <v>839</v>
      </c>
    </row>
    <row r="23" spans="1:17" x14ac:dyDescent="0.25">
      <c r="A23" s="410">
        <v>1159</v>
      </c>
      <c r="B23" s="410" t="s">
        <v>60</v>
      </c>
      <c r="C23" s="410" t="s">
        <v>61</v>
      </c>
      <c r="D23" s="411">
        <v>2700</v>
      </c>
      <c r="E23" s="410">
        <v>1246121302</v>
      </c>
      <c r="F23" s="412">
        <v>45297</v>
      </c>
      <c r="G23" s="410"/>
      <c r="H23" s="410" t="s">
        <v>28</v>
      </c>
      <c r="I23" s="410" t="s">
        <v>29</v>
      </c>
      <c r="J23" s="410">
        <v>1246121302</v>
      </c>
      <c r="K23" s="412">
        <v>45282</v>
      </c>
      <c r="L23" s="410">
        <v>3041000</v>
      </c>
      <c r="M23" s="410" t="s">
        <v>138</v>
      </c>
      <c r="N23" s="410">
        <v>46</v>
      </c>
      <c r="O23" s="410" t="s">
        <v>163</v>
      </c>
      <c r="P23" s="410" t="s">
        <v>420</v>
      </c>
      <c r="Q23">
        <f t="shared" si="0"/>
        <v>839</v>
      </c>
    </row>
    <row r="24" spans="1:17" x14ac:dyDescent="0.25">
      <c r="A24" s="410">
        <v>1159</v>
      </c>
      <c r="B24" s="410" t="s">
        <v>60</v>
      </c>
      <c r="C24" s="410" t="s">
        <v>61</v>
      </c>
      <c r="D24" s="411">
        <v>1200</v>
      </c>
      <c r="E24" s="410">
        <v>1246121295</v>
      </c>
      <c r="F24" s="412">
        <v>45297</v>
      </c>
      <c r="G24" s="410"/>
      <c r="H24" s="410" t="s">
        <v>28</v>
      </c>
      <c r="I24" s="410" t="s">
        <v>29</v>
      </c>
      <c r="J24" s="410">
        <v>1246121295</v>
      </c>
      <c r="K24" s="412">
        <v>45282</v>
      </c>
      <c r="L24" s="410">
        <v>3041000</v>
      </c>
      <c r="M24" s="410" t="s">
        <v>138</v>
      </c>
      <c r="N24" s="410">
        <v>46</v>
      </c>
      <c r="O24" s="410" t="s">
        <v>163</v>
      </c>
      <c r="P24" s="410" t="s">
        <v>420</v>
      </c>
      <c r="Q24">
        <f t="shared" si="0"/>
        <v>839</v>
      </c>
    </row>
    <row r="25" spans="1:17" x14ac:dyDescent="0.25">
      <c r="A25" s="410">
        <v>1159</v>
      </c>
      <c r="B25" s="410" t="s">
        <v>60</v>
      </c>
      <c r="C25" s="410" t="s">
        <v>61</v>
      </c>
      <c r="D25" s="411">
        <v>2700</v>
      </c>
      <c r="E25" s="410">
        <v>1246121297</v>
      </c>
      <c r="F25" s="412">
        <v>45297</v>
      </c>
      <c r="G25" s="410"/>
      <c r="H25" s="410" t="s">
        <v>28</v>
      </c>
      <c r="I25" s="410" t="s">
        <v>29</v>
      </c>
      <c r="J25" s="410">
        <v>1246121297</v>
      </c>
      <c r="K25" s="412">
        <v>45282</v>
      </c>
      <c r="L25" s="410">
        <v>3041000</v>
      </c>
      <c r="M25" s="410" t="s">
        <v>138</v>
      </c>
      <c r="N25" s="410">
        <v>46</v>
      </c>
      <c r="O25" s="410" t="s">
        <v>163</v>
      </c>
      <c r="P25" s="410" t="s">
        <v>420</v>
      </c>
      <c r="Q25">
        <f t="shared" si="0"/>
        <v>839</v>
      </c>
    </row>
    <row r="26" spans="1:17" x14ac:dyDescent="0.25">
      <c r="A26" s="410">
        <v>1159</v>
      </c>
      <c r="B26" s="410" t="s">
        <v>60</v>
      </c>
      <c r="C26" s="410" t="s">
        <v>61</v>
      </c>
      <c r="D26" s="411">
        <v>6300</v>
      </c>
      <c r="E26" s="410">
        <v>1246121299</v>
      </c>
      <c r="F26" s="412">
        <v>45297</v>
      </c>
      <c r="G26" s="410"/>
      <c r="H26" s="410" t="s">
        <v>28</v>
      </c>
      <c r="I26" s="410" t="s">
        <v>29</v>
      </c>
      <c r="J26" s="410">
        <v>1246121299</v>
      </c>
      <c r="K26" s="412">
        <v>45282</v>
      </c>
      <c r="L26" s="410">
        <v>3041000</v>
      </c>
      <c r="M26" s="410" t="s">
        <v>138</v>
      </c>
      <c r="N26" s="410">
        <v>46</v>
      </c>
      <c r="O26" s="410" t="s">
        <v>163</v>
      </c>
      <c r="P26" s="410" t="s">
        <v>420</v>
      </c>
      <c r="Q26">
        <f t="shared" si="0"/>
        <v>839</v>
      </c>
    </row>
    <row r="27" spans="1:17" x14ac:dyDescent="0.25">
      <c r="A27" s="410">
        <v>1159</v>
      </c>
      <c r="B27" s="410" t="s">
        <v>60</v>
      </c>
      <c r="C27" s="410" t="s">
        <v>61</v>
      </c>
      <c r="D27" s="411">
        <v>3600</v>
      </c>
      <c r="E27" s="410">
        <v>1246121296</v>
      </c>
      <c r="F27" s="412">
        <v>45297</v>
      </c>
      <c r="G27" s="410"/>
      <c r="H27" s="410" t="s">
        <v>28</v>
      </c>
      <c r="I27" s="410" t="s">
        <v>29</v>
      </c>
      <c r="J27" s="410">
        <v>1246121296</v>
      </c>
      <c r="K27" s="412">
        <v>45282</v>
      </c>
      <c r="L27" s="410">
        <v>3041000</v>
      </c>
      <c r="M27" s="410" t="s">
        <v>138</v>
      </c>
      <c r="N27" s="410">
        <v>46</v>
      </c>
      <c r="O27" s="410" t="s">
        <v>163</v>
      </c>
      <c r="P27" s="410" t="s">
        <v>420</v>
      </c>
      <c r="Q27">
        <f t="shared" si="0"/>
        <v>839</v>
      </c>
    </row>
    <row r="28" spans="1:17" x14ac:dyDescent="0.25">
      <c r="A28" s="410">
        <v>1159</v>
      </c>
      <c r="B28" s="410" t="s">
        <v>60</v>
      </c>
      <c r="C28" s="410" t="s">
        <v>61</v>
      </c>
      <c r="D28" s="411">
        <v>1200</v>
      </c>
      <c r="E28" s="410">
        <v>1246135390</v>
      </c>
      <c r="F28" s="412">
        <v>45388</v>
      </c>
      <c r="G28" s="410"/>
      <c r="H28" s="410" t="s">
        <v>28</v>
      </c>
      <c r="I28" s="410" t="s">
        <v>29</v>
      </c>
      <c r="J28" s="410">
        <v>1246135390</v>
      </c>
      <c r="K28" s="412">
        <v>45373</v>
      </c>
      <c r="L28" s="410">
        <v>3041000</v>
      </c>
      <c r="M28" s="410" t="s">
        <v>138</v>
      </c>
      <c r="N28" s="410">
        <v>46</v>
      </c>
      <c r="O28" s="410" t="s">
        <v>163</v>
      </c>
      <c r="P28" s="410" t="s">
        <v>420</v>
      </c>
      <c r="Q28">
        <f t="shared" si="0"/>
        <v>748</v>
      </c>
    </row>
    <row r="29" spans="1:17" x14ac:dyDescent="0.25">
      <c r="A29" s="410">
        <v>1159</v>
      </c>
      <c r="B29" s="410" t="s">
        <v>60</v>
      </c>
      <c r="C29" s="410" t="s">
        <v>61</v>
      </c>
      <c r="D29" s="411">
        <v>2400</v>
      </c>
      <c r="E29" s="410">
        <v>1246135388</v>
      </c>
      <c r="F29" s="412">
        <v>45388</v>
      </c>
      <c r="G29" s="410"/>
      <c r="H29" s="410" t="s">
        <v>28</v>
      </c>
      <c r="I29" s="410" t="s">
        <v>29</v>
      </c>
      <c r="J29" s="410">
        <v>1246135388</v>
      </c>
      <c r="K29" s="412">
        <v>45373</v>
      </c>
      <c r="L29" s="410">
        <v>3041000</v>
      </c>
      <c r="M29" s="410" t="s">
        <v>138</v>
      </c>
      <c r="N29" s="410">
        <v>46</v>
      </c>
      <c r="O29" s="410" t="s">
        <v>163</v>
      </c>
      <c r="P29" s="410" t="s">
        <v>420</v>
      </c>
      <c r="Q29">
        <f t="shared" si="0"/>
        <v>748</v>
      </c>
    </row>
    <row r="30" spans="1:17" x14ac:dyDescent="0.25">
      <c r="A30" s="410">
        <v>1159</v>
      </c>
      <c r="B30" s="410" t="s">
        <v>60</v>
      </c>
      <c r="C30" s="410" t="s">
        <v>61</v>
      </c>
      <c r="D30" s="411">
        <v>1200</v>
      </c>
      <c r="E30" s="410">
        <v>1246135385</v>
      </c>
      <c r="F30" s="412">
        <v>45388</v>
      </c>
      <c r="G30" s="410"/>
      <c r="H30" s="410" t="s">
        <v>28</v>
      </c>
      <c r="I30" s="410" t="s">
        <v>29</v>
      </c>
      <c r="J30" s="410">
        <v>1246135385</v>
      </c>
      <c r="K30" s="412">
        <v>45373</v>
      </c>
      <c r="L30" s="410">
        <v>3041000</v>
      </c>
      <c r="M30" s="410" t="s">
        <v>138</v>
      </c>
      <c r="N30" s="410">
        <v>46</v>
      </c>
      <c r="O30" s="410" t="s">
        <v>163</v>
      </c>
      <c r="P30" s="410" t="s">
        <v>420</v>
      </c>
      <c r="Q30">
        <f t="shared" si="0"/>
        <v>748</v>
      </c>
    </row>
    <row r="31" spans="1:17" x14ac:dyDescent="0.25">
      <c r="A31" s="410">
        <v>1159</v>
      </c>
      <c r="B31" s="410" t="s">
        <v>60</v>
      </c>
      <c r="C31" s="410" t="s">
        <v>61</v>
      </c>
      <c r="D31" s="411">
        <v>3600</v>
      </c>
      <c r="E31" s="410">
        <v>1246135391</v>
      </c>
      <c r="F31" s="412">
        <v>45388</v>
      </c>
      <c r="G31" s="410"/>
      <c r="H31" s="410" t="s">
        <v>28</v>
      </c>
      <c r="I31" s="410" t="s">
        <v>29</v>
      </c>
      <c r="J31" s="410">
        <v>1246135391</v>
      </c>
      <c r="K31" s="412">
        <v>45373</v>
      </c>
      <c r="L31" s="410">
        <v>3041000</v>
      </c>
      <c r="M31" s="410" t="s">
        <v>138</v>
      </c>
      <c r="N31" s="410">
        <v>46</v>
      </c>
      <c r="O31" s="410" t="s">
        <v>163</v>
      </c>
      <c r="P31" s="410" t="s">
        <v>420</v>
      </c>
      <c r="Q31">
        <f t="shared" si="0"/>
        <v>748</v>
      </c>
    </row>
    <row r="32" spans="1:17" x14ac:dyDescent="0.25">
      <c r="A32" s="410">
        <v>1159</v>
      </c>
      <c r="B32" s="410" t="s">
        <v>60</v>
      </c>
      <c r="C32" s="410" t="s">
        <v>61</v>
      </c>
      <c r="D32" s="411">
        <v>2400</v>
      </c>
      <c r="E32" s="410">
        <v>1246135382</v>
      </c>
      <c r="F32" s="412">
        <v>45388</v>
      </c>
      <c r="G32" s="410"/>
      <c r="H32" s="410" t="s">
        <v>28</v>
      </c>
      <c r="I32" s="410" t="s">
        <v>29</v>
      </c>
      <c r="J32" s="410">
        <v>1246135382</v>
      </c>
      <c r="K32" s="412">
        <v>45373</v>
      </c>
      <c r="L32" s="410">
        <v>3041000</v>
      </c>
      <c r="M32" s="410" t="s">
        <v>138</v>
      </c>
      <c r="N32" s="410">
        <v>46</v>
      </c>
      <c r="O32" s="410" t="s">
        <v>163</v>
      </c>
      <c r="P32" s="410" t="s">
        <v>420</v>
      </c>
      <c r="Q32">
        <f t="shared" si="0"/>
        <v>748</v>
      </c>
    </row>
    <row r="33" spans="1:17" x14ac:dyDescent="0.25">
      <c r="A33" s="410">
        <v>1159</v>
      </c>
      <c r="B33" s="410" t="s">
        <v>60</v>
      </c>
      <c r="C33" s="410" t="s">
        <v>61</v>
      </c>
      <c r="D33" s="411">
        <v>3600</v>
      </c>
      <c r="E33" s="410">
        <v>1246173258</v>
      </c>
      <c r="F33" s="412">
        <v>45575</v>
      </c>
      <c r="G33" s="410"/>
      <c r="H33" s="410" t="s">
        <v>28</v>
      </c>
      <c r="I33" s="410" t="s">
        <v>29</v>
      </c>
      <c r="J33" s="410">
        <v>1246173258</v>
      </c>
      <c r="K33" s="412">
        <v>45560</v>
      </c>
      <c r="L33" s="410">
        <v>3041000</v>
      </c>
      <c r="M33" s="410" t="s">
        <v>138</v>
      </c>
      <c r="N33" s="410">
        <v>46</v>
      </c>
      <c r="O33" s="410" t="s">
        <v>163</v>
      </c>
      <c r="P33" s="410" t="s">
        <v>420</v>
      </c>
      <c r="Q33">
        <f t="shared" si="0"/>
        <v>561</v>
      </c>
    </row>
    <row r="34" spans="1:17" x14ac:dyDescent="0.25">
      <c r="A34" s="410">
        <v>1159</v>
      </c>
      <c r="B34" s="410" t="s">
        <v>60</v>
      </c>
      <c r="C34" s="410" t="s">
        <v>61</v>
      </c>
      <c r="D34" s="411">
        <v>1200</v>
      </c>
      <c r="E34" s="410">
        <v>1246173256</v>
      </c>
      <c r="F34" s="412">
        <v>45575</v>
      </c>
      <c r="G34" s="410"/>
      <c r="H34" s="410" t="s">
        <v>28</v>
      </c>
      <c r="I34" s="410" t="s">
        <v>29</v>
      </c>
      <c r="J34" s="410">
        <v>1246173256</v>
      </c>
      <c r="K34" s="412">
        <v>45560</v>
      </c>
      <c r="L34" s="410">
        <v>3041000</v>
      </c>
      <c r="M34" s="410" t="s">
        <v>138</v>
      </c>
      <c r="N34" s="410">
        <v>46</v>
      </c>
      <c r="O34" s="410" t="s">
        <v>163</v>
      </c>
      <c r="P34" s="410" t="s">
        <v>420</v>
      </c>
      <c r="Q34">
        <f t="shared" si="0"/>
        <v>561</v>
      </c>
    </row>
    <row r="35" spans="1:17" x14ac:dyDescent="0.25">
      <c r="A35" s="410">
        <v>1159</v>
      </c>
      <c r="B35" s="410" t="s">
        <v>60</v>
      </c>
      <c r="C35" s="410" t="s">
        <v>61</v>
      </c>
      <c r="D35" s="411">
        <v>2400</v>
      </c>
      <c r="E35" s="410">
        <v>1246173253</v>
      </c>
      <c r="F35" s="412">
        <v>45575</v>
      </c>
      <c r="G35" s="410"/>
      <c r="H35" s="410" t="s">
        <v>28</v>
      </c>
      <c r="I35" s="410" t="s">
        <v>29</v>
      </c>
      <c r="J35" s="410">
        <v>1246173253</v>
      </c>
      <c r="K35" s="412">
        <v>45560</v>
      </c>
      <c r="L35" s="410">
        <v>3041000</v>
      </c>
      <c r="M35" s="410" t="s">
        <v>138</v>
      </c>
      <c r="N35" s="410">
        <v>46</v>
      </c>
      <c r="O35" s="410" t="s">
        <v>163</v>
      </c>
      <c r="P35" s="410" t="s">
        <v>420</v>
      </c>
      <c r="Q35">
        <f t="shared" si="0"/>
        <v>561</v>
      </c>
    </row>
    <row r="36" spans="1:17" x14ac:dyDescent="0.25">
      <c r="A36" s="410">
        <v>1159</v>
      </c>
      <c r="B36" s="410" t="s">
        <v>60</v>
      </c>
      <c r="C36" s="410" t="s">
        <v>61</v>
      </c>
      <c r="D36" s="411">
        <v>1200</v>
      </c>
      <c r="E36" s="410">
        <v>1246173257</v>
      </c>
      <c r="F36" s="412">
        <v>45575</v>
      </c>
      <c r="G36" s="410"/>
      <c r="H36" s="410" t="s">
        <v>28</v>
      </c>
      <c r="I36" s="410" t="s">
        <v>29</v>
      </c>
      <c r="J36" s="410">
        <v>1246173257</v>
      </c>
      <c r="K36" s="412">
        <v>45560</v>
      </c>
      <c r="L36" s="410">
        <v>3041000</v>
      </c>
      <c r="M36" s="410" t="s">
        <v>138</v>
      </c>
      <c r="N36" s="410">
        <v>46</v>
      </c>
      <c r="O36" s="410" t="s">
        <v>163</v>
      </c>
      <c r="P36" s="410" t="s">
        <v>420</v>
      </c>
      <c r="Q36">
        <f t="shared" si="0"/>
        <v>561</v>
      </c>
    </row>
    <row r="37" spans="1:17" x14ac:dyDescent="0.25">
      <c r="A37" s="410">
        <v>452</v>
      </c>
      <c r="B37" s="410" t="s">
        <v>47</v>
      </c>
      <c r="C37" s="410" t="s">
        <v>48</v>
      </c>
      <c r="D37" s="411">
        <v>1800</v>
      </c>
      <c r="E37" s="410">
        <v>1246055195</v>
      </c>
      <c r="F37" s="412">
        <v>44902</v>
      </c>
      <c r="G37" s="410"/>
      <c r="H37" s="410" t="s">
        <v>28</v>
      </c>
      <c r="I37" s="410" t="s">
        <v>29</v>
      </c>
      <c r="J37" s="410">
        <v>1246055195</v>
      </c>
      <c r="K37" s="412">
        <v>44887</v>
      </c>
      <c r="L37" s="410">
        <v>3041000</v>
      </c>
      <c r="M37" s="410" t="s">
        <v>138</v>
      </c>
      <c r="N37" s="410">
        <v>46</v>
      </c>
      <c r="O37" s="410" t="s">
        <v>163</v>
      </c>
      <c r="P37" s="410" t="s">
        <v>578</v>
      </c>
      <c r="Q37">
        <f>$Q$1-F37</f>
        <v>1234</v>
      </c>
    </row>
    <row r="38" spans="1:17" x14ac:dyDescent="0.25">
      <c r="A38" s="410">
        <v>2559</v>
      </c>
      <c r="B38" s="410" t="s">
        <v>533</v>
      </c>
      <c r="C38" s="410" t="s">
        <v>79</v>
      </c>
      <c r="D38" s="411">
        <v>1200</v>
      </c>
      <c r="E38" s="410">
        <v>1246203587</v>
      </c>
      <c r="F38" s="412">
        <v>45750</v>
      </c>
      <c r="G38" s="410"/>
      <c r="H38" s="410" t="s">
        <v>28</v>
      </c>
      <c r="I38" s="410" t="s">
        <v>29</v>
      </c>
      <c r="J38" s="410">
        <v>1246203587</v>
      </c>
      <c r="K38" s="412">
        <v>45735</v>
      </c>
      <c r="L38" s="410">
        <v>3041000</v>
      </c>
      <c r="M38" s="410" t="s">
        <v>138</v>
      </c>
      <c r="N38" s="410">
        <v>46</v>
      </c>
      <c r="O38" s="410" t="s">
        <v>163</v>
      </c>
      <c r="P38" s="410" t="s">
        <v>500</v>
      </c>
      <c r="Q38">
        <f t="shared" si="0"/>
        <v>386</v>
      </c>
    </row>
    <row r="39" spans="1:17" x14ac:dyDescent="0.25">
      <c r="A39" s="410">
        <v>2559</v>
      </c>
      <c r="B39" s="410" t="s">
        <v>533</v>
      </c>
      <c r="C39" s="410" t="s">
        <v>79</v>
      </c>
      <c r="D39" s="411">
        <v>7200</v>
      </c>
      <c r="E39" s="410">
        <v>1246203586</v>
      </c>
      <c r="F39" s="412">
        <v>45750</v>
      </c>
      <c r="G39" s="410"/>
      <c r="H39" s="410" t="s">
        <v>28</v>
      </c>
      <c r="I39" s="410" t="s">
        <v>29</v>
      </c>
      <c r="J39" s="410">
        <v>1246203586</v>
      </c>
      <c r="K39" s="412">
        <v>45735</v>
      </c>
      <c r="L39" s="410">
        <v>3041000</v>
      </c>
      <c r="M39" s="410" t="s">
        <v>138</v>
      </c>
      <c r="N39" s="410">
        <v>46</v>
      </c>
      <c r="O39" s="410" t="s">
        <v>163</v>
      </c>
      <c r="P39" s="410" t="s">
        <v>500</v>
      </c>
      <c r="Q39">
        <f t="shared" si="0"/>
        <v>386</v>
      </c>
    </row>
    <row r="40" spans="1:17" x14ac:dyDescent="0.25">
      <c r="A40" s="410">
        <v>2559</v>
      </c>
      <c r="B40" s="410" t="s">
        <v>533</v>
      </c>
      <c r="C40" s="410" t="s">
        <v>79</v>
      </c>
      <c r="D40" s="411">
        <v>1200</v>
      </c>
      <c r="E40" s="410">
        <v>1246203585</v>
      </c>
      <c r="F40" s="412">
        <v>45750</v>
      </c>
      <c r="G40" s="410"/>
      <c r="H40" s="410" t="s">
        <v>28</v>
      </c>
      <c r="I40" s="410" t="s">
        <v>29</v>
      </c>
      <c r="J40" s="410">
        <v>1246203585</v>
      </c>
      <c r="K40" s="412">
        <v>45735</v>
      </c>
      <c r="L40" s="410">
        <v>3041000</v>
      </c>
      <c r="M40" s="410" t="s">
        <v>138</v>
      </c>
      <c r="N40" s="410">
        <v>46</v>
      </c>
      <c r="O40" s="410" t="s">
        <v>163</v>
      </c>
      <c r="P40" s="410" t="s">
        <v>500</v>
      </c>
      <c r="Q40">
        <f t="shared" si="0"/>
        <v>386</v>
      </c>
    </row>
    <row r="41" spans="1:17" x14ac:dyDescent="0.25">
      <c r="A41" s="410">
        <v>2559</v>
      </c>
      <c r="B41" s="410" t="s">
        <v>533</v>
      </c>
      <c r="C41" s="410" t="s">
        <v>79</v>
      </c>
      <c r="D41" s="411">
        <v>6000</v>
      </c>
      <c r="E41" s="410">
        <v>1246244748</v>
      </c>
      <c r="F41" s="412">
        <v>45968</v>
      </c>
      <c r="G41" s="410"/>
      <c r="H41" s="410" t="s">
        <v>28</v>
      </c>
      <c r="I41" s="410" t="s">
        <v>29</v>
      </c>
      <c r="J41" s="410">
        <v>1246244748</v>
      </c>
      <c r="K41" s="412">
        <v>45953</v>
      </c>
      <c r="L41" s="410">
        <v>3041000</v>
      </c>
      <c r="M41" s="410" t="s">
        <v>138</v>
      </c>
      <c r="N41" s="410">
        <v>46</v>
      </c>
      <c r="O41" s="410" t="s">
        <v>163</v>
      </c>
      <c r="P41" s="410" t="s">
        <v>500</v>
      </c>
      <c r="Q41">
        <f t="shared" si="0"/>
        <v>168</v>
      </c>
    </row>
    <row r="42" spans="1:17" x14ac:dyDescent="0.25">
      <c r="A42" s="410">
        <v>7102</v>
      </c>
      <c r="B42" s="410" t="s">
        <v>800</v>
      </c>
      <c r="C42" s="410" t="s">
        <v>567</v>
      </c>
      <c r="D42" s="411">
        <v>4800</v>
      </c>
      <c r="E42" s="410">
        <v>1246247639</v>
      </c>
      <c r="F42" s="412">
        <v>45982</v>
      </c>
      <c r="G42" s="410"/>
      <c r="H42" s="410" t="s">
        <v>28</v>
      </c>
      <c r="I42" s="410" t="s">
        <v>29</v>
      </c>
      <c r="J42" s="410">
        <v>1246247639</v>
      </c>
      <c r="K42" s="412">
        <v>45967</v>
      </c>
      <c r="L42" s="410">
        <v>3041000</v>
      </c>
      <c r="M42" s="410" t="s">
        <v>138</v>
      </c>
      <c r="N42" s="410">
        <v>46</v>
      </c>
      <c r="O42" s="410" t="s">
        <v>163</v>
      </c>
      <c r="P42" s="410" t="s">
        <v>500</v>
      </c>
      <c r="Q42">
        <f t="shared" si="0"/>
        <v>154</v>
      </c>
    </row>
    <row r="43" spans="1:17" x14ac:dyDescent="0.25">
      <c r="A43" s="410">
        <v>6477</v>
      </c>
      <c r="B43" s="410" t="s">
        <v>98</v>
      </c>
      <c r="C43" s="410" t="s">
        <v>99</v>
      </c>
      <c r="D43" s="411">
        <v>5400</v>
      </c>
      <c r="E43" s="410">
        <v>1246054441</v>
      </c>
      <c r="F43" s="412">
        <v>44897</v>
      </c>
      <c r="G43" s="410"/>
      <c r="H43" s="410" t="s">
        <v>28</v>
      </c>
      <c r="I43" s="410" t="s">
        <v>29</v>
      </c>
      <c r="J43" s="410">
        <v>1246054441</v>
      </c>
      <c r="K43" s="412">
        <v>44882</v>
      </c>
      <c r="L43" s="410">
        <v>3041000</v>
      </c>
      <c r="M43" s="410" t="s">
        <v>138</v>
      </c>
      <c r="N43" s="410">
        <v>46</v>
      </c>
      <c r="O43" s="410" t="s">
        <v>163</v>
      </c>
      <c r="P43" s="410" t="s">
        <v>500</v>
      </c>
      <c r="Q43">
        <f t="shared" si="0"/>
        <v>1239</v>
      </c>
    </row>
    <row r="44" spans="1:17" x14ac:dyDescent="0.25">
      <c r="A44" s="410">
        <v>7097</v>
      </c>
      <c r="B44" s="410" t="s">
        <v>102</v>
      </c>
      <c r="C44" s="410" t="s">
        <v>103</v>
      </c>
      <c r="D44" s="411">
        <v>11300</v>
      </c>
      <c r="E44" s="410">
        <v>1246058687</v>
      </c>
      <c r="F44" s="412">
        <v>44925</v>
      </c>
      <c r="G44" s="410"/>
      <c r="H44" s="410" t="s">
        <v>28</v>
      </c>
      <c r="I44" s="410" t="s">
        <v>29</v>
      </c>
      <c r="J44" s="410">
        <v>1246058687</v>
      </c>
      <c r="K44" s="412">
        <v>44910</v>
      </c>
      <c r="L44" s="410">
        <v>3041000</v>
      </c>
      <c r="M44" s="410" t="s">
        <v>138</v>
      </c>
      <c r="N44" s="410">
        <v>46</v>
      </c>
      <c r="O44" s="410" t="s">
        <v>163</v>
      </c>
      <c r="P44" s="410" t="s">
        <v>500</v>
      </c>
      <c r="Q44">
        <f t="shared" si="0"/>
        <v>1211</v>
      </c>
    </row>
    <row r="45" spans="1:17" x14ac:dyDescent="0.25">
      <c r="A45" s="410">
        <v>7097</v>
      </c>
      <c r="B45" s="410" t="s">
        <v>102</v>
      </c>
      <c r="C45" s="410" t="s">
        <v>103</v>
      </c>
      <c r="D45" s="411">
        <v>10183.120000000001</v>
      </c>
      <c r="E45" s="410">
        <v>1246057240</v>
      </c>
      <c r="F45" s="412">
        <v>44922</v>
      </c>
      <c r="G45" s="410"/>
      <c r="H45" s="410" t="s">
        <v>28</v>
      </c>
      <c r="I45" s="410" t="s">
        <v>29</v>
      </c>
      <c r="J45" s="410">
        <v>71222</v>
      </c>
      <c r="K45" s="412">
        <v>44902</v>
      </c>
      <c r="L45" s="410">
        <v>3041000</v>
      </c>
      <c r="M45" s="410" t="s">
        <v>138</v>
      </c>
      <c r="N45" s="410">
        <v>46</v>
      </c>
      <c r="O45" s="410" t="s">
        <v>163</v>
      </c>
      <c r="P45" s="410" t="s">
        <v>500</v>
      </c>
      <c r="Q45">
        <f t="shared" si="0"/>
        <v>1214</v>
      </c>
    </row>
    <row r="46" spans="1:17" x14ac:dyDescent="0.25">
      <c r="A46" s="410">
        <v>7443</v>
      </c>
      <c r="B46" s="410" t="s">
        <v>827</v>
      </c>
      <c r="C46" s="410" t="s">
        <v>253</v>
      </c>
      <c r="D46" s="411">
        <v>1200</v>
      </c>
      <c r="E46" s="410">
        <v>1246156403</v>
      </c>
      <c r="F46" s="412">
        <v>45496</v>
      </c>
      <c r="G46" s="410"/>
      <c r="H46" s="410" t="s">
        <v>28</v>
      </c>
      <c r="I46" s="410" t="s">
        <v>29</v>
      </c>
      <c r="J46" s="410">
        <v>1246156403</v>
      </c>
      <c r="K46" s="412">
        <v>45481</v>
      </c>
      <c r="L46" s="410">
        <v>3041000</v>
      </c>
      <c r="M46" s="410" t="s">
        <v>138</v>
      </c>
      <c r="N46" s="410">
        <v>46</v>
      </c>
      <c r="O46" s="410" t="s">
        <v>163</v>
      </c>
      <c r="P46" s="410" t="s">
        <v>500</v>
      </c>
      <c r="Q46">
        <f t="shared" si="0"/>
        <v>640</v>
      </c>
    </row>
    <row r="47" spans="1:17" x14ac:dyDescent="0.25">
      <c r="A47" s="410">
        <v>7443</v>
      </c>
      <c r="B47" s="410" t="s">
        <v>827</v>
      </c>
      <c r="C47" s="410" t="s">
        <v>253</v>
      </c>
      <c r="D47" s="411">
        <v>1200</v>
      </c>
      <c r="E47" s="410">
        <v>1246156396</v>
      </c>
      <c r="F47" s="412">
        <v>45496</v>
      </c>
      <c r="G47" s="410"/>
      <c r="H47" s="410" t="s">
        <v>28</v>
      </c>
      <c r="I47" s="410" t="s">
        <v>29</v>
      </c>
      <c r="J47" s="410">
        <v>1246156396</v>
      </c>
      <c r="K47" s="412">
        <v>45481</v>
      </c>
      <c r="L47" s="410">
        <v>3041000</v>
      </c>
      <c r="M47" s="410" t="s">
        <v>138</v>
      </c>
      <c r="N47" s="410">
        <v>46</v>
      </c>
      <c r="O47" s="410" t="s">
        <v>163</v>
      </c>
      <c r="P47" s="410" t="s">
        <v>500</v>
      </c>
      <c r="Q47">
        <f t="shared" si="0"/>
        <v>640</v>
      </c>
    </row>
    <row r="48" spans="1:17" x14ac:dyDescent="0.25">
      <c r="A48" s="410">
        <v>7302</v>
      </c>
      <c r="B48" s="410" t="s">
        <v>104</v>
      </c>
      <c r="C48" s="410" t="s">
        <v>105</v>
      </c>
      <c r="D48" s="411">
        <v>1800</v>
      </c>
      <c r="E48" s="410">
        <v>1246045752</v>
      </c>
      <c r="F48" s="412">
        <v>44848</v>
      </c>
      <c r="G48" s="410"/>
      <c r="H48" s="410" t="s">
        <v>28</v>
      </c>
      <c r="I48" s="410" t="s">
        <v>29</v>
      </c>
      <c r="J48" s="410">
        <v>290922</v>
      </c>
      <c r="K48" s="412">
        <v>44833</v>
      </c>
      <c r="L48" s="410">
        <v>3041000</v>
      </c>
      <c r="M48" s="410" t="s">
        <v>138</v>
      </c>
      <c r="N48" s="410">
        <v>46</v>
      </c>
      <c r="O48" s="410" t="s">
        <v>163</v>
      </c>
      <c r="P48" s="410" t="s">
        <v>500</v>
      </c>
      <c r="Q48">
        <f t="shared" si="0"/>
        <v>1288</v>
      </c>
    </row>
    <row r="49" spans="1:17" x14ac:dyDescent="0.25">
      <c r="A49" s="410">
        <v>7302</v>
      </c>
      <c r="B49" s="410" t="s">
        <v>104</v>
      </c>
      <c r="C49" s="410" t="s">
        <v>105</v>
      </c>
      <c r="D49" s="411">
        <v>7200</v>
      </c>
      <c r="E49" s="410">
        <v>1246033417</v>
      </c>
      <c r="F49" s="412">
        <v>44792</v>
      </c>
      <c r="G49" s="410"/>
      <c r="H49" s="410" t="s">
        <v>28</v>
      </c>
      <c r="I49" s="410" t="s">
        <v>29</v>
      </c>
      <c r="J49" s="410">
        <v>1246033417</v>
      </c>
      <c r="K49" s="412">
        <v>44777</v>
      </c>
      <c r="L49" s="410">
        <v>3041000</v>
      </c>
      <c r="M49" s="410" t="s">
        <v>138</v>
      </c>
      <c r="N49" s="410">
        <v>46</v>
      </c>
      <c r="O49" s="410" t="s">
        <v>163</v>
      </c>
      <c r="P49" s="410" t="s">
        <v>500</v>
      </c>
      <c r="Q49">
        <f t="shared" si="0"/>
        <v>1344</v>
      </c>
    </row>
    <row r="50" spans="1:17" x14ac:dyDescent="0.25">
      <c r="A50" s="410">
        <v>7302</v>
      </c>
      <c r="B50" s="410" t="s">
        <v>104</v>
      </c>
      <c r="C50" s="410" t="s">
        <v>105</v>
      </c>
      <c r="D50" s="411">
        <v>9000</v>
      </c>
      <c r="E50" s="410">
        <v>1246054438</v>
      </c>
      <c r="F50" s="412">
        <v>44897</v>
      </c>
      <c r="G50" s="410"/>
      <c r="H50" s="410" t="s">
        <v>28</v>
      </c>
      <c r="I50" s="410" t="s">
        <v>29</v>
      </c>
      <c r="J50" s="410">
        <v>1246054438</v>
      </c>
      <c r="K50" s="412">
        <v>44882</v>
      </c>
      <c r="L50" s="410">
        <v>3041000</v>
      </c>
      <c r="M50" s="410" t="s">
        <v>138</v>
      </c>
      <c r="N50" s="410">
        <v>46</v>
      </c>
      <c r="O50" s="410" t="s">
        <v>163</v>
      </c>
      <c r="P50" s="410" t="s">
        <v>500</v>
      </c>
      <c r="Q50">
        <f t="shared" si="0"/>
        <v>1239</v>
      </c>
    </row>
    <row r="51" spans="1:17" x14ac:dyDescent="0.25">
      <c r="A51" s="410">
        <v>7302</v>
      </c>
      <c r="B51" s="410" t="s">
        <v>104</v>
      </c>
      <c r="C51" s="410" t="s">
        <v>105</v>
      </c>
      <c r="D51" s="411">
        <v>7200</v>
      </c>
      <c r="E51" s="410">
        <v>1246057914</v>
      </c>
      <c r="F51" s="412">
        <v>44922</v>
      </c>
      <c r="G51" s="410"/>
      <c r="H51" s="410" t="s">
        <v>28</v>
      </c>
      <c r="I51" s="410" t="s">
        <v>29</v>
      </c>
      <c r="J51" s="410">
        <v>1246057914</v>
      </c>
      <c r="K51" s="412">
        <v>44907</v>
      </c>
      <c r="L51" s="410">
        <v>3041000</v>
      </c>
      <c r="M51" s="410" t="s">
        <v>138</v>
      </c>
      <c r="N51" s="410">
        <v>46</v>
      </c>
      <c r="O51" s="410" t="s">
        <v>163</v>
      </c>
      <c r="P51" s="410" t="s">
        <v>500</v>
      </c>
      <c r="Q51">
        <f t="shared" si="0"/>
        <v>1214</v>
      </c>
    </row>
    <row r="52" spans="1:17" x14ac:dyDescent="0.25">
      <c r="A52" s="410">
        <v>6415</v>
      </c>
      <c r="B52" s="410" t="s">
        <v>139</v>
      </c>
      <c r="C52" s="410" t="s">
        <v>140</v>
      </c>
      <c r="D52" s="411">
        <v>3600</v>
      </c>
      <c r="E52" s="410">
        <v>1245985693</v>
      </c>
      <c r="F52" s="412">
        <v>44692</v>
      </c>
      <c r="G52" s="410"/>
      <c r="H52" s="410" t="s">
        <v>28</v>
      </c>
      <c r="I52" s="410" t="s">
        <v>29</v>
      </c>
      <c r="J52" s="410">
        <v>1245985693</v>
      </c>
      <c r="K52" s="412">
        <v>44531</v>
      </c>
      <c r="L52" s="410">
        <v>3041000</v>
      </c>
      <c r="M52" s="410" t="s">
        <v>138</v>
      </c>
      <c r="N52" s="410">
        <v>46</v>
      </c>
      <c r="O52" s="410" t="s">
        <v>163</v>
      </c>
      <c r="P52" s="410" t="s">
        <v>500</v>
      </c>
      <c r="Q52">
        <f t="shared" si="0"/>
        <v>1444</v>
      </c>
    </row>
    <row r="53" spans="1:17" x14ac:dyDescent="0.25">
      <c r="A53" s="410">
        <v>10434</v>
      </c>
      <c r="B53" s="410" t="s">
        <v>110</v>
      </c>
      <c r="C53" s="410" t="s">
        <v>111</v>
      </c>
      <c r="D53" s="411">
        <v>1200</v>
      </c>
      <c r="E53" s="410">
        <v>1246180341</v>
      </c>
      <c r="F53" s="412">
        <v>45615</v>
      </c>
      <c r="G53" s="410"/>
      <c r="H53" s="410" t="s">
        <v>28</v>
      </c>
      <c r="I53" s="410" t="s">
        <v>29</v>
      </c>
      <c r="J53" s="410">
        <v>1246180341</v>
      </c>
      <c r="K53" s="412">
        <v>45600</v>
      </c>
      <c r="L53" s="410">
        <v>3041000</v>
      </c>
      <c r="M53" s="410" t="s">
        <v>138</v>
      </c>
      <c r="N53" s="410">
        <v>46</v>
      </c>
      <c r="O53" s="410" t="s">
        <v>163</v>
      </c>
      <c r="P53" s="410" t="s">
        <v>416</v>
      </c>
      <c r="Q53">
        <f t="shared" si="0"/>
        <v>521</v>
      </c>
    </row>
    <row r="54" spans="1:17" x14ac:dyDescent="0.25">
      <c r="A54" s="410">
        <v>7022</v>
      </c>
      <c r="B54" s="410" t="s">
        <v>792</v>
      </c>
      <c r="C54" s="410" t="s">
        <v>101</v>
      </c>
      <c r="D54" s="411">
        <v>1800</v>
      </c>
      <c r="E54" s="410">
        <v>1246054442</v>
      </c>
      <c r="F54" s="412">
        <v>44897</v>
      </c>
      <c r="G54" s="410"/>
      <c r="H54" s="410" t="s">
        <v>28</v>
      </c>
      <c r="I54" s="410" t="s">
        <v>29</v>
      </c>
      <c r="J54" s="410">
        <v>1246054442</v>
      </c>
      <c r="K54" s="412">
        <v>44882</v>
      </c>
      <c r="L54" s="410">
        <v>3041000</v>
      </c>
      <c r="M54" s="410" t="s">
        <v>138</v>
      </c>
      <c r="N54" s="410">
        <v>46</v>
      </c>
      <c r="O54" s="410" t="s">
        <v>163</v>
      </c>
      <c r="P54" s="410" t="s">
        <v>792</v>
      </c>
      <c r="Q54">
        <f t="shared" si="0"/>
        <v>1239</v>
      </c>
    </row>
  </sheetData>
  <autoFilter ref="A2:Q2" xr:uid="{94AC235F-CE9F-483F-87A4-731E61A01D1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32"/>
  <sheetViews>
    <sheetView zoomScale="80" zoomScaleNormal="80" workbookViewId="0">
      <pane xSplit="3" ySplit="2" topLeftCell="D443" activePane="bottomRight" state="frozen"/>
      <selection activeCell="F4" sqref="F4"/>
      <selection pane="topRight" activeCell="F4" sqref="F4"/>
      <selection pane="bottomLeft" activeCell="F4" sqref="F4"/>
      <selection pane="bottomRight" activeCell="A443" sqref="A443:XFD447"/>
    </sheetView>
  </sheetViews>
  <sheetFormatPr defaultRowHeight="13.2" x14ac:dyDescent="0.25"/>
  <cols>
    <col min="1" max="1" width="12.6640625" bestFit="1" customWidth="1"/>
    <col min="2" max="2" width="47.109375" bestFit="1" customWidth="1"/>
    <col min="3" max="3" width="18.33203125" bestFit="1" customWidth="1"/>
    <col min="4" max="4" width="15.44140625" style="25"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77734375" customWidth="1"/>
    <col min="18" max="18" width="11.6640625" bestFit="1" customWidth="1"/>
  </cols>
  <sheetData>
    <row r="1" spans="1:18" x14ac:dyDescent="0.25">
      <c r="D1" s="1">
        <f>SUBTOTAL(9,D3:D1088)</f>
        <v>62360284.620000027</v>
      </c>
      <c r="E1" s="1">
        <f>'Data Additive'!D1+'Data Fertilizers'!D1+'Data International'!D1</f>
        <v>62183701.499999993</v>
      </c>
      <c r="F1" s="35">
        <f>'Data Additive'!D1+'Data Fertilizers'!D1+'Data International'!D1+'freight debit notes'!D1</f>
        <v>62360284.61999999</v>
      </c>
      <c r="G1" s="25">
        <f>D1-F1</f>
        <v>0</v>
      </c>
      <c r="H1" s="25"/>
      <c r="R1" s="3">
        <v>46136</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8" ht="12.6" customHeight="1" x14ac:dyDescent="0.25">
      <c r="A3" s="410">
        <v>205</v>
      </c>
      <c r="B3" s="410" t="s">
        <v>43</v>
      </c>
      <c r="C3" s="410" t="s">
        <v>548</v>
      </c>
      <c r="D3" s="411">
        <v>80589.600000000006</v>
      </c>
      <c r="E3" s="410">
        <v>1246271690</v>
      </c>
      <c r="F3" s="412">
        <v>46157</v>
      </c>
      <c r="G3" s="410"/>
      <c r="H3" s="410" t="s">
        <v>28</v>
      </c>
      <c r="I3" s="410" t="s">
        <v>29</v>
      </c>
      <c r="J3" s="410">
        <v>11158</v>
      </c>
      <c r="K3" s="412">
        <v>46129</v>
      </c>
      <c r="L3" s="410">
        <v>1010100</v>
      </c>
      <c r="M3" s="410" t="s">
        <v>35</v>
      </c>
      <c r="N3" s="410">
        <v>161</v>
      </c>
      <c r="O3" s="410" t="s">
        <v>161</v>
      </c>
      <c r="P3" s="410" t="s">
        <v>576</v>
      </c>
      <c r="Q3">
        <f>$R$1-F3</f>
        <v>-21</v>
      </c>
      <c r="R3">
        <f>_xlfn.XLOOKUP(E3,'Data Additive'!E:E,'Data Additive'!E:E,0)</f>
        <v>1246271690</v>
      </c>
    </row>
    <row r="4" spans="1:18" x14ac:dyDescent="0.25">
      <c r="A4" s="410">
        <v>205</v>
      </c>
      <c r="B4" s="410" t="s">
        <v>43</v>
      </c>
      <c r="C4" s="410" t="s">
        <v>548</v>
      </c>
      <c r="D4" s="411">
        <v>75474</v>
      </c>
      <c r="E4" s="410">
        <v>1246269597</v>
      </c>
      <c r="F4" s="412">
        <v>46139</v>
      </c>
      <c r="G4" s="410"/>
      <c r="H4" s="410" t="s">
        <v>28</v>
      </c>
      <c r="I4" s="410" t="s">
        <v>29</v>
      </c>
      <c r="J4" s="410">
        <v>11003</v>
      </c>
      <c r="K4" s="412">
        <v>46111</v>
      </c>
      <c r="L4" s="410">
        <v>1010100</v>
      </c>
      <c r="M4" s="410" t="s">
        <v>35</v>
      </c>
      <c r="N4" s="410">
        <v>161</v>
      </c>
      <c r="O4" s="410" t="s">
        <v>161</v>
      </c>
      <c r="P4" s="410" t="s">
        <v>576</v>
      </c>
      <c r="Q4">
        <f t="shared" ref="Q4:Q59" si="0">$R$1-F4</f>
        <v>-3</v>
      </c>
      <c r="R4">
        <f>_xlfn.XLOOKUP(E4,'Data Additive'!E:E,'Data Additive'!E:E,0)</f>
        <v>1246269597</v>
      </c>
    </row>
    <row r="5" spans="1:18" x14ac:dyDescent="0.25">
      <c r="A5" s="410">
        <v>1257</v>
      </c>
      <c r="B5" s="410" t="s">
        <v>62</v>
      </c>
      <c r="C5" s="410" t="s">
        <v>63</v>
      </c>
      <c r="D5" s="411">
        <v>1980.8</v>
      </c>
      <c r="E5" s="410">
        <v>1246032946</v>
      </c>
      <c r="F5" s="412">
        <v>44774</v>
      </c>
      <c r="G5" s="410"/>
      <c r="H5" s="410" t="s">
        <v>28</v>
      </c>
      <c r="I5" s="410" t="s">
        <v>29</v>
      </c>
      <c r="J5" s="410">
        <v>17935</v>
      </c>
      <c r="K5" s="412">
        <v>44714</v>
      </c>
      <c r="L5" s="410">
        <v>1010100</v>
      </c>
      <c r="M5" s="410" t="s">
        <v>35</v>
      </c>
      <c r="N5" s="410">
        <v>56</v>
      </c>
      <c r="O5" s="410" t="s">
        <v>162</v>
      </c>
      <c r="P5" s="410" t="s">
        <v>500</v>
      </c>
      <c r="Q5">
        <f t="shared" si="0"/>
        <v>1362</v>
      </c>
      <c r="R5">
        <f>_xlfn.XLOOKUP(E5,'Data Additive'!E:E,'Data Additive'!E:E,0)</f>
        <v>1246032946</v>
      </c>
    </row>
    <row r="6" spans="1:18" x14ac:dyDescent="0.25">
      <c r="A6" s="410">
        <v>1953</v>
      </c>
      <c r="B6" s="410" t="s">
        <v>76</v>
      </c>
      <c r="C6" s="410" t="s">
        <v>882</v>
      </c>
      <c r="D6" s="411">
        <v>58917.8</v>
      </c>
      <c r="E6" s="410">
        <v>1246267986</v>
      </c>
      <c r="F6" s="412">
        <v>46158</v>
      </c>
      <c r="G6" s="410"/>
      <c r="H6" s="410" t="s">
        <v>28</v>
      </c>
      <c r="I6" s="410" t="s">
        <v>29</v>
      </c>
      <c r="J6" s="410">
        <v>10907</v>
      </c>
      <c r="K6" s="412">
        <v>46098</v>
      </c>
      <c r="L6" s="410">
        <v>1010100</v>
      </c>
      <c r="M6" s="410" t="s">
        <v>35</v>
      </c>
      <c r="N6" s="410">
        <v>161</v>
      </c>
      <c r="O6" s="410" t="s">
        <v>161</v>
      </c>
      <c r="P6" s="410" t="s">
        <v>414</v>
      </c>
      <c r="Q6">
        <f t="shared" si="0"/>
        <v>-22</v>
      </c>
      <c r="R6">
        <f>_xlfn.XLOOKUP(E6,'Data Additive'!E:E,'Data Additive'!E:E,0)</f>
        <v>1246267986</v>
      </c>
    </row>
    <row r="7" spans="1:18" x14ac:dyDescent="0.25">
      <c r="A7" s="410">
        <v>1787</v>
      </c>
      <c r="B7" s="410" t="s">
        <v>67</v>
      </c>
      <c r="C7" s="410" t="s">
        <v>68</v>
      </c>
      <c r="D7" s="411">
        <v>3600</v>
      </c>
      <c r="E7" s="410">
        <v>1246031589</v>
      </c>
      <c r="F7" s="412">
        <v>44784</v>
      </c>
      <c r="G7" s="410"/>
      <c r="H7" s="410" t="s">
        <v>28</v>
      </c>
      <c r="I7" s="410" t="s">
        <v>29</v>
      </c>
      <c r="J7" s="410">
        <v>1246031589</v>
      </c>
      <c r="K7" s="412">
        <v>44769</v>
      </c>
      <c r="L7" s="410">
        <v>3041000</v>
      </c>
      <c r="M7" s="410" t="s">
        <v>138</v>
      </c>
      <c r="N7" s="410">
        <v>46</v>
      </c>
      <c r="O7" s="410" t="s">
        <v>163</v>
      </c>
      <c r="P7" s="410" t="s">
        <v>531</v>
      </c>
      <c r="Q7">
        <f t="shared" si="0"/>
        <v>1352</v>
      </c>
      <c r="R7">
        <f>_xlfn.XLOOKUP(E7,'Data Additive'!E:E,'Data Additive'!E:E,0)</f>
        <v>0</v>
      </c>
    </row>
    <row r="8" spans="1:18" x14ac:dyDescent="0.25">
      <c r="A8" s="410">
        <v>1787</v>
      </c>
      <c r="B8" s="410" t="s">
        <v>67</v>
      </c>
      <c r="C8" s="410" t="s">
        <v>68</v>
      </c>
      <c r="D8" s="411">
        <v>2700</v>
      </c>
      <c r="E8" s="410">
        <v>1246055596</v>
      </c>
      <c r="F8" s="412">
        <v>44889</v>
      </c>
      <c r="G8" s="410"/>
      <c r="H8" s="410" t="s">
        <v>28</v>
      </c>
      <c r="I8" s="410" t="s">
        <v>29</v>
      </c>
      <c r="J8" s="410">
        <v>1246055596</v>
      </c>
      <c r="K8" s="412">
        <v>44889</v>
      </c>
      <c r="L8" s="410">
        <v>3041000</v>
      </c>
      <c r="M8" s="410" t="s">
        <v>138</v>
      </c>
      <c r="N8" s="410">
        <v>46</v>
      </c>
      <c r="O8" s="410" t="s">
        <v>163</v>
      </c>
      <c r="P8" s="410" t="s">
        <v>531</v>
      </c>
      <c r="Q8">
        <f t="shared" si="0"/>
        <v>1247</v>
      </c>
      <c r="R8">
        <f>_xlfn.XLOOKUP(E8,'Data Additive'!E:E,'Data Additive'!E:E,0)</f>
        <v>0</v>
      </c>
    </row>
    <row r="9" spans="1:18" x14ac:dyDescent="0.25">
      <c r="A9" s="410">
        <v>1787</v>
      </c>
      <c r="B9" s="410" t="s">
        <v>67</v>
      </c>
      <c r="C9" s="410" t="s">
        <v>68</v>
      </c>
      <c r="D9" s="411">
        <v>109862.39999999999</v>
      </c>
      <c r="E9" s="410">
        <v>1246271310</v>
      </c>
      <c r="F9" s="412">
        <v>46216</v>
      </c>
      <c r="G9" s="410"/>
      <c r="H9" s="410" t="s">
        <v>28</v>
      </c>
      <c r="I9" s="410" t="s">
        <v>29</v>
      </c>
      <c r="J9" s="410">
        <v>11116</v>
      </c>
      <c r="K9" s="412">
        <v>46126</v>
      </c>
      <c r="L9" s="410">
        <v>1010100</v>
      </c>
      <c r="M9" s="410" t="s">
        <v>35</v>
      </c>
      <c r="N9" s="410">
        <v>161</v>
      </c>
      <c r="O9" s="410" t="s">
        <v>161</v>
      </c>
      <c r="P9" s="410" t="s">
        <v>531</v>
      </c>
      <c r="Q9">
        <f t="shared" si="0"/>
        <v>-80</v>
      </c>
      <c r="R9">
        <f>_xlfn.XLOOKUP(E9,'Data Additive'!E:E,'Data Additive'!E:E,0)</f>
        <v>1246271310</v>
      </c>
    </row>
    <row r="10" spans="1:18" x14ac:dyDescent="0.25">
      <c r="A10" s="410">
        <v>1787</v>
      </c>
      <c r="B10" s="410" t="s">
        <v>67</v>
      </c>
      <c r="C10" s="410" t="s">
        <v>68</v>
      </c>
      <c r="D10" s="411">
        <v>116928</v>
      </c>
      <c r="E10" s="410">
        <v>1246267948</v>
      </c>
      <c r="F10" s="412">
        <v>46187</v>
      </c>
      <c r="G10" s="410"/>
      <c r="H10" s="410" t="s">
        <v>28</v>
      </c>
      <c r="I10" s="410" t="s">
        <v>29</v>
      </c>
      <c r="J10" s="410">
        <v>10899</v>
      </c>
      <c r="K10" s="412">
        <v>46097</v>
      </c>
      <c r="L10" s="410">
        <v>1010100</v>
      </c>
      <c r="M10" s="410" t="s">
        <v>35</v>
      </c>
      <c r="N10" s="410">
        <v>161</v>
      </c>
      <c r="O10" s="410" t="s">
        <v>161</v>
      </c>
      <c r="P10" s="410" t="s">
        <v>531</v>
      </c>
      <c r="Q10">
        <f t="shared" si="0"/>
        <v>-51</v>
      </c>
      <c r="R10">
        <f>_xlfn.XLOOKUP(E10,'Data Additive'!E:E,'Data Additive'!E:E,0)</f>
        <v>1246267948</v>
      </c>
    </row>
    <row r="11" spans="1:18" x14ac:dyDescent="0.25">
      <c r="A11" s="410">
        <v>1787</v>
      </c>
      <c r="B11" s="410" t="s">
        <v>67</v>
      </c>
      <c r="C11" s="410" t="s">
        <v>68</v>
      </c>
      <c r="D11" s="411">
        <v>115891.2</v>
      </c>
      <c r="E11" s="410">
        <v>1246262540</v>
      </c>
      <c r="F11" s="412">
        <v>46149</v>
      </c>
      <c r="G11" s="410"/>
      <c r="H11" s="410" t="s">
        <v>28</v>
      </c>
      <c r="I11" s="410" t="s">
        <v>29</v>
      </c>
      <c r="J11" s="410">
        <v>10652</v>
      </c>
      <c r="K11" s="412">
        <v>46059</v>
      </c>
      <c r="L11" s="410">
        <v>1010100</v>
      </c>
      <c r="M11" s="410" t="s">
        <v>35</v>
      </c>
      <c r="N11" s="410">
        <v>161</v>
      </c>
      <c r="O11" s="410" t="s">
        <v>161</v>
      </c>
      <c r="P11" s="410" t="s">
        <v>531</v>
      </c>
      <c r="Q11">
        <f t="shared" si="0"/>
        <v>-13</v>
      </c>
      <c r="R11">
        <f>_xlfn.XLOOKUP(E11,'Data Additive'!E:E,'Data Additive'!E:E,0)</f>
        <v>1246262540</v>
      </c>
    </row>
    <row r="12" spans="1:18" x14ac:dyDescent="0.25">
      <c r="A12" s="410">
        <v>1787</v>
      </c>
      <c r="B12" s="410" t="s">
        <v>67</v>
      </c>
      <c r="C12" s="410" t="s">
        <v>68</v>
      </c>
      <c r="D12" s="411">
        <v>103795.2</v>
      </c>
      <c r="E12" s="410">
        <v>1246268633</v>
      </c>
      <c r="F12" s="412">
        <v>46194</v>
      </c>
      <c r="G12" s="410"/>
      <c r="H12" s="410" t="s">
        <v>28</v>
      </c>
      <c r="I12" s="410" t="s">
        <v>29</v>
      </c>
      <c r="J12" s="410">
        <v>10957</v>
      </c>
      <c r="K12" s="412">
        <v>46104</v>
      </c>
      <c r="L12" s="410">
        <v>1010100</v>
      </c>
      <c r="M12" s="410" t="s">
        <v>35</v>
      </c>
      <c r="N12" s="410">
        <v>161</v>
      </c>
      <c r="O12" s="410" t="s">
        <v>161</v>
      </c>
      <c r="P12" s="410" t="s">
        <v>531</v>
      </c>
      <c r="Q12">
        <f t="shared" si="0"/>
        <v>-58</v>
      </c>
      <c r="R12">
        <f>_xlfn.XLOOKUP(E12,'Data Additive'!E:E,'Data Additive'!E:E,0)</f>
        <v>1246268633</v>
      </c>
    </row>
    <row r="13" spans="1:18" x14ac:dyDescent="0.25">
      <c r="A13" s="410">
        <v>1787</v>
      </c>
      <c r="B13" s="410" t="s">
        <v>67</v>
      </c>
      <c r="C13" s="410" t="s">
        <v>68</v>
      </c>
      <c r="D13" s="411">
        <v>111360</v>
      </c>
      <c r="E13" s="410">
        <v>1246268748</v>
      </c>
      <c r="F13" s="412">
        <v>46195</v>
      </c>
      <c r="G13" s="410"/>
      <c r="H13" s="410" t="s">
        <v>28</v>
      </c>
      <c r="I13" s="410" t="s">
        <v>29</v>
      </c>
      <c r="J13" s="410">
        <v>10965</v>
      </c>
      <c r="K13" s="412">
        <v>46105</v>
      </c>
      <c r="L13" s="410">
        <v>1010100</v>
      </c>
      <c r="M13" s="410" t="s">
        <v>35</v>
      </c>
      <c r="N13" s="410">
        <v>161</v>
      </c>
      <c r="O13" s="410" t="s">
        <v>161</v>
      </c>
      <c r="P13" s="410" t="s">
        <v>531</v>
      </c>
      <c r="Q13">
        <f t="shared" si="0"/>
        <v>-59</v>
      </c>
      <c r="R13">
        <f>_xlfn.XLOOKUP(E13,'Data Additive'!E:E,'Data Additive'!E:E,0)</f>
        <v>1246268748</v>
      </c>
    </row>
    <row r="14" spans="1:18" x14ac:dyDescent="0.25">
      <c r="A14" s="410">
        <v>1787</v>
      </c>
      <c r="B14" s="410" t="s">
        <v>67</v>
      </c>
      <c r="C14" s="410" t="s">
        <v>68</v>
      </c>
      <c r="D14" s="411">
        <v>114662.39999999999</v>
      </c>
      <c r="E14" s="410">
        <v>1246268585</v>
      </c>
      <c r="F14" s="412">
        <v>46161</v>
      </c>
      <c r="G14" s="410"/>
      <c r="H14" s="410" t="s">
        <v>28</v>
      </c>
      <c r="I14" s="410" t="s">
        <v>29</v>
      </c>
      <c r="J14" s="410">
        <v>10953</v>
      </c>
      <c r="K14" s="412">
        <v>46101</v>
      </c>
      <c r="L14" s="410">
        <v>1010100</v>
      </c>
      <c r="M14" s="410" t="s">
        <v>35</v>
      </c>
      <c r="N14" s="410">
        <v>161</v>
      </c>
      <c r="O14" s="410" t="s">
        <v>161</v>
      </c>
      <c r="P14" s="410" t="s">
        <v>531</v>
      </c>
      <c r="Q14">
        <f t="shared" si="0"/>
        <v>-25</v>
      </c>
      <c r="R14">
        <f>_xlfn.XLOOKUP(E14,'Data Additive'!E:E,'Data Additive'!E:E,0)</f>
        <v>1246268585</v>
      </c>
    </row>
    <row r="15" spans="1:18" x14ac:dyDescent="0.25">
      <c r="A15" s="410">
        <v>1787</v>
      </c>
      <c r="B15" s="410" t="s">
        <v>67</v>
      </c>
      <c r="C15" s="410" t="s">
        <v>68</v>
      </c>
      <c r="D15" s="411">
        <v>115852.8</v>
      </c>
      <c r="E15" s="410">
        <v>1246270635</v>
      </c>
      <c r="F15" s="412">
        <v>46210</v>
      </c>
      <c r="G15" s="410"/>
      <c r="H15" s="410" t="s">
        <v>28</v>
      </c>
      <c r="I15" s="410" t="s">
        <v>29</v>
      </c>
      <c r="J15" s="410">
        <v>11072</v>
      </c>
      <c r="K15" s="412">
        <v>46120</v>
      </c>
      <c r="L15" s="410">
        <v>1010100</v>
      </c>
      <c r="M15" s="410" t="s">
        <v>35</v>
      </c>
      <c r="N15" s="410">
        <v>161</v>
      </c>
      <c r="O15" s="410" t="s">
        <v>161</v>
      </c>
      <c r="P15" s="410" t="s">
        <v>531</v>
      </c>
      <c r="Q15">
        <f t="shared" si="0"/>
        <v>-74</v>
      </c>
      <c r="R15">
        <f>_xlfn.XLOOKUP(E15,'Data Additive'!E:E,'Data Additive'!E:E,0)</f>
        <v>1246270635</v>
      </c>
    </row>
    <row r="16" spans="1:18" x14ac:dyDescent="0.25">
      <c r="A16" s="410">
        <v>1787</v>
      </c>
      <c r="B16" s="410" t="s">
        <v>67</v>
      </c>
      <c r="C16" s="410" t="s">
        <v>68</v>
      </c>
      <c r="D16" s="411">
        <v>114739.2</v>
      </c>
      <c r="E16" s="410">
        <v>1246271165</v>
      </c>
      <c r="F16" s="412">
        <v>46215</v>
      </c>
      <c r="G16" s="410"/>
      <c r="H16" s="410" t="s">
        <v>28</v>
      </c>
      <c r="I16" s="410" t="s">
        <v>29</v>
      </c>
      <c r="J16" s="410">
        <v>11105</v>
      </c>
      <c r="K16" s="412">
        <v>46125</v>
      </c>
      <c r="L16" s="410">
        <v>1010100</v>
      </c>
      <c r="M16" s="410" t="s">
        <v>35</v>
      </c>
      <c r="N16" s="410">
        <v>161</v>
      </c>
      <c r="O16" s="410" t="s">
        <v>161</v>
      </c>
      <c r="P16" s="410" t="s">
        <v>531</v>
      </c>
      <c r="Q16">
        <f t="shared" si="0"/>
        <v>-79</v>
      </c>
      <c r="R16">
        <f>_xlfn.XLOOKUP(E16,'Data Additive'!E:E,'Data Additive'!E:E,0)</f>
        <v>1246271165</v>
      </c>
    </row>
    <row r="17" spans="1:18" x14ac:dyDescent="0.25">
      <c r="A17" s="410">
        <v>1787</v>
      </c>
      <c r="B17" s="410" t="s">
        <v>67</v>
      </c>
      <c r="C17" s="410" t="s">
        <v>68</v>
      </c>
      <c r="D17" s="411">
        <v>114969.60000000001</v>
      </c>
      <c r="E17" s="410">
        <v>1246264543</v>
      </c>
      <c r="F17" s="412">
        <v>46166</v>
      </c>
      <c r="G17" s="410"/>
      <c r="H17" s="410" t="s">
        <v>28</v>
      </c>
      <c r="I17" s="410" t="s">
        <v>29</v>
      </c>
      <c r="J17" s="410">
        <v>10746</v>
      </c>
      <c r="K17" s="412">
        <v>46076</v>
      </c>
      <c r="L17" s="410">
        <v>1010100</v>
      </c>
      <c r="M17" s="410" t="s">
        <v>35</v>
      </c>
      <c r="N17" s="410">
        <v>161</v>
      </c>
      <c r="O17" s="410" t="s">
        <v>161</v>
      </c>
      <c r="P17" s="410" t="s">
        <v>531</v>
      </c>
      <c r="Q17">
        <f t="shared" si="0"/>
        <v>-30</v>
      </c>
      <c r="R17">
        <f>_xlfn.XLOOKUP(E17,'Data Additive'!E:E,'Data Additive'!E:E,0)</f>
        <v>1246264543</v>
      </c>
    </row>
    <row r="18" spans="1:18" x14ac:dyDescent="0.25">
      <c r="A18" s="410">
        <v>1787</v>
      </c>
      <c r="B18" s="410" t="s">
        <v>67</v>
      </c>
      <c r="C18" s="410" t="s">
        <v>68</v>
      </c>
      <c r="D18" s="411">
        <v>114470.39999999999</v>
      </c>
      <c r="E18" s="410">
        <v>1246261586</v>
      </c>
      <c r="F18" s="412">
        <v>46141</v>
      </c>
      <c r="G18" s="410"/>
      <c r="H18" s="410" t="s">
        <v>28</v>
      </c>
      <c r="I18" s="410" t="s">
        <v>29</v>
      </c>
      <c r="J18" s="410">
        <v>10604</v>
      </c>
      <c r="K18" s="412">
        <v>46051</v>
      </c>
      <c r="L18" s="410">
        <v>1010100</v>
      </c>
      <c r="M18" s="410" t="s">
        <v>35</v>
      </c>
      <c r="N18" s="410">
        <v>161</v>
      </c>
      <c r="O18" s="410" t="s">
        <v>161</v>
      </c>
      <c r="P18" s="410" t="s">
        <v>531</v>
      </c>
      <c r="Q18">
        <f t="shared" si="0"/>
        <v>-5</v>
      </c>
      <c r="R18">
        <f>_xlfn.XLOOKUP(E18,'Data Additive'!E:E,'Data Additive'!E:E,0)</f>
        <v>1246261586</v>
      </c>
    </row>
    <row r="19" spans="1:18" x14ac:dyDescent="0.25">
      <c r="A19" s="410">
        <v>1787</v>
      </c>
      <c r="B19" s="410" t="s">
        <v>67</v>
      </c>
      <c r="C19" s="410" t="s">
        <v>68</v>
      </c>
      <c r="D19" s="411">
        <v>110476.8</v>
      </c>
      <c r="E19" s="410">
        <v>1246261043</v>
      </c>
      <c r="F19" s="412">
        <v>46138</v>
      </c>
      <c r="G19" s="410"/>
      <c r="H19" s="410" t="s">
        <v>28</v>
      </c>
      <c r="I19" s="410" t="s">
        <v>29</v>
      </c>
      <c r="J19" s="410">
        <v>10573</v>
      </c>
      <c r="K19" s="412">
        <v>46048</v>
      </c>
      <c r="L19" s="410">
        <v>1010100</v>
      </c>
      <c r="M19" s="410" t="s">
        <v>35</v>
      </c>
      <c r="N19" s="410">
        <v>161</v>
      </c>
      <c r="O19" s="410" t="s">
        <v>161</v>
      </c>
      <c r="P19" s="410" t="s">
        <v>531</v>
      </c>
      <c r="Q19">
        <f t="shared" si="0"/>
        <v>-2</v>
      </c>
      <c r="R19">
        <f>_xlfn.XLOOKUP(E19,'Data Additive'!E:E,'Data Additive'!E:E,0)</f>
        <v>1246261043</v>
      </c>
    </row>
    <row r="20" spans="1:18" x14ac:dyDescent="0.25">
      <c r="A20" s="410">
        <v>1787</v>
      </c>
      <c r="B20" s="410" t="s">
        <v>67</v>
      </c>
      <c r="C20" s="410" t="s">
        <v>68</v>
      </c>
      <c r="D20" s="411">
        <v>113356.8</v>
      </c>
      <c r="E20" s="410">
        <v>1246269731</v>
      </c>
      <c r="F20" s="412">
        <v>46202</v>
      </c>
      <c r="G20" s="410"/>
      <c r="H20" s="410" t="s">
        <v>28</v>
      </c>
      <c r="I20" s="410" t="s">
        <v>29</v>
      </c>
      <c r="J20" s="410">
        <v>11014</v>
      </c>
      <c r="K20" s="412">
        <v>46112</v>
      </c>
      <c r="L20" s="410">
        <v>1010100</v>
      </c>
      <c r="M20" s="410" t="s">
        <v>35</v>
      </c>
      <c r="N20" s="410">
        <v>161</v>
      </c>
      <c r="O20" s="410" t="s">
        <v>161</v>
      </c>
      <c r="P20" s="410" t="s">
        <v>531</v>
      </c>
      <c r="Q20">
        <f t="shared" si="0"/>
        <v>-66</v>
      </c>
      <c r="R20">
        <f>_xlfn.XLOOKUP(E20,'Data Additive'!E:E,'Data Additive'!E:E,0)</f>
        <v>1246269731</v>
      </c>
    </row>
    <row r="21" spans="1:18" x14ac:dyDescent="0.25">
      <c r="A21" s="410">
        <v>1787</v>
      </c>
      <c r="B21" s="410" t="s">
        <v>67</v>
      </c>
      <c r="C21" s="410" t="s">
        <v>68</v>
      </c>
      <c r="D21" s="411">
        <v>110246.39999999999</v>
      </c>
      <c r="E21" s="410">
        <v>1246272757</v>
      </c>
      <c r="F21" s="412">
        <v>46229</v>
      </c>
      <c r="G21" s="410"/>
      <c r="H21" s="410" t="s">
        <v>28</v>
      </c>
      <c r="I21" s="410" t="s">
        <v>29</v>
      </c>
      <c r="J21" s="410">
        <v>11229</v>
      </c>
      <c r="K21" s="412">
        <v>46139</v>
      </c>
      <c r="L21" s="410">
        <v>1010100</v>
      </c>
      <c r="M21" s="410" t="s">
        <v>35</v>
      </c>
      <c r="N21" s="410">
        <v>161</v>
      </c>
      <c r="O21" s="410" t="s">
        <v>161</v>
      </c>
      <c r="P21" s="410" t="s">
        <v>531</v>
      </c>
      <c r="Q21">
        <f t="shared" si="0"/>
        <v>-93</v>
      </c>
      <c r="R21">
        <f>_xlfn.XLOOKUP(E21,'Data Additive'!E:E,'Data Additive'!E:E,0)</f>
        <v>1246272757</v>
      </c>
    </row>
    <row r="22" spans="1:18" x14ac:dyDescent="0.25">
      <c r="A22" s="410">
        <v>1787</v>
      </c>
      <c r="B22" s="410" t="s">
        <v>67</v>
      </c>
      <c r="C22" s="410" t="s">
        <v>68</v>
      </c>
      <c r="D22" s="411">
        <v>115392</v>
      </c>
      <c r="E22" s="410">
        <v>1246265885</v>
      </c>
      <c r="F22" s="412">
        <v>46173</v>
      </c>
      <c r="G22" s="410"/>
      <c r="H22" s="410" t="s">
        <v>28</v>
      </c>
      <c r="I22" s="410" t="s">
        <v>29</v>
      </c>
      <c r="J22" s="410">
        <v>10791</v>
      </c>
      <c r="K22" s="412">
        <v>46083</v>
      </c>
      <c r="L22" s="410">
        <v>1010100</v>
      </c>
      <c r="M22" s="410" t="s">
        <v>35</v>
      </c>
      <c r="N22" s="410">
        <v>161</v>
      </c>
      <c r="O22" s="410" t="s">
        <v>161</v>
      </c>
      <c r="P22" s="410" t="s">
        <v>531</v>
      </c>
      <c r="Q22">
        <f t="shared" si="0"/>
        <v>-37</v>
      </c>
      <c r="R22">
        <f>_xlfn.XLOOKUP(E22,'Data Additive'!E:E,'Data Additive'!E:E,0)</f>
        <v>1246265885</v>
      </c>
    </row>
    <row r="23" spans="1:18" x14ac:dyDescent="0.25">
      <c r="A23" s="410">
        <v>1787</v>
      </c>
      <c r="B23" s="410" t="s">
        <v>67</v>
      </c>
      <c r="C23" s="410" t="s">
        <v>68</v>
      </c>
      <c r="D23" s="411">
        <v>115046.39999999999</v>
      </c>
      <c r="E23" s="410">
        <v>1246267207</v>
      </c>
      <c r="F23" s="412">
        <v>46181</v>
      </c>
      <c r="G23" s="410"/>
      <c r="H23" s="410" t="s">
        <v>28</v>
      </c>
      <c r="I23" s="410" t="s">
        <v>29</v>
      </c>
      <c r="J23" s="410">
        <v>10856</v>
      </c>
      <c r="K23" s="412">
        <v>46091</v>
      </c>
      <c r="L23" s="410">
        <v>1010100</v>
      </c>
      <c r="M23" s="410" t="s">
        <v>35</v>
      </c>
      <c r="N23" s="410">
        <v>161</v>
      </c>
      <c r="O23" s="410" t="s">
        <v>161</v>
      </c>
      <c r="P23" s="410" t="s">
        <v>531</v>
      </c>
      <c r="Q23">
        <f t="shared" si="0"/>
        <v>-45</v>
      </c>
      <c r="R23">
        <f>_xlfn.XLOOKUP(E23,'Data Additive'!E:E,'Data Additive'!E:E,0)</f>
        <v>1246267207</v>
      </c>
    </row>
    <row r="24" spans="1:18" x14ac:dyDescent="0.25">
      <c r="A24" s="410">
        <v>1787</v>
      </c>
      <c r="B24" s="410" t="s">
        <v>67</v>
      </c>
      <c r="C24" s="410" t="s">
        <v>68</v>
      </c>
      <c r="D24" s="411">
        <v>115968</v>
      </c>
      <c r="E24" s="410">
        <v>1246270152</v>
      </c>
      <c r="F24" s="412">
        <v>46204</v>
      </c>
      <c r="G24" s="410"/>
      <c r="H24" s="410" t="s">
        <v>28</v>
      </c>
      <c r="I24" s="410" t="s">
        <v>29</v>
      </c>
      <c r="J24" s="410">
        <v>11043</v>
      </c>
      <c r="K24" s="412">
        <v>46114</v>
      </c>
      <c r="L24" s="410">
        <v>1010100</v>
      </c>
      <c r="M24" s="410" t="s">
        <v>35</v>
      </c>
      <c r="N24" s="410">
        <v>161</v>
      </c>
      <c r="O24" s="410" t="s">
        <v>161</v>
      </c>
      <c r="P24" s="410" t="s">
        <v>531</v>
      </c>
      <c r="Q24">
        <f t="shared" si="0"/>
        <v>-68</v>
      </c>
      <c r="R24">
        <f>_xlfn.XLOOKUP(E24,'Data Additive'!E:E,'Data Additive'!E:E,0)</f>
        <v>1246270152</v>
      </c>
    </row>
    <row r="25" spans="1:18" x14ac:dyDescent="0.25">
      <c r="A25" s="410">
        <v>1787</v>
      </c>
      <c r="B25" s="410" t="s">
        <v>67</v>
      </c>
      <c r="C25" s="410" t="s">
        <v>68</v>
      </c>
      <c r="D25" s="411">
        <v>116889.60000000001</v>
      </c>
      <c r="E25" s="410">
        <v>1246271830</v>
      </c>
      <c r="F25" s="412">
        <v>46222</v>
      </c>
      <c r="G25" s="410"/>
      <c r="H25" s="410" t="s">
        <v>28</v>
      </c>
      <c r="I25" s="410" t="s">
        <v>29</v>
      </c>
      <c r="J25" s="410">
        <v>11172</v>
      </c>
      <c r="K25" s="412">
        <v>46132</v>
      </c>
      <c r="L25" s="410">
        <v>1010100</v>
      </c>
      <c r="M25" s="410" t="s">
        <v>35</v>
      </c>
      <c r="N25" s="410">
        <v>161</v>
      </c>
      <c r="O25" s="410" t="s">
        <v>161</v>
      </c>
      <c r="P25" s="410" t="s">
        <v>531</v>
      </c>
      <c r="Q25">
        <f t="shared" si="0"/>
        <v>-86</v>
      </c>
      <c r="R25">
        <f>_xlfn.XLOOKUP(E25,'Data Additive'!E:E,'Data Additive'!E:E,0)</f>
        <v>1246271830</v>
      </c>
    </row>
    <row r="26" spans="1:18" x14ac:dyDescent="0.25">
      <c r="A26" s="410">
        <v>1787</v>
      </c>
      <c r="B26" s="410" t="s">
        <v>67</v>
      </c>
      <c r="C26" s="410" t="s">
        <v>68</v>
      </c>
      <c r="D26" s="411">
        <v>114201.60000000001</v>
      </c>
      <c r="E26" s="410">
        <v>1246262790</v>
      </c>
      <c r="F26" s="412">
        <v>46152</v>
      </c>
      <c r="G26" s="410"/>
      <c r="H26" s="410" t="s">
        <v>28</v>
      </c>
      <c r="I26" s="410" t="s">
        <v>29</v>
      </c>
      <c r="J26" s="410">
        <v>10666</v>
      </c>
      <c r="K26" s="412">
        <v>46062</v>
      </c>
      <c r="L26" s="410">
        <v>1010100</v>
      </c>
      <c r="M26" s="410" t="s">
        <v>35</v>
      </c>
      <c r="N26" s="410">
        <v>161</v>
      </c>
      <c r="O26" s="410" t="s">
        <v>161</v>
      </c>
      <c r="P26" s="410" t="s">
        <v>531</v>
      </c>
      <c r="Q26">
        <f t="shared" si="0"/>
        <v>-16</v>
      </c>
      <c r="R26">
        <f>_xlfn.XLOOKUP(E26,'Data Additive'!E:E,'Data Additive'!E:E,0)</f>
        <v>1246262790</v>
      </c>
    </row>
    <row r="27" spans="1:18" x14ac:dyDescent="0.25">
      <c r="A27" s="410">
        <v>1787</v>
      </c>
      <c r="B27" s="410" t="s">
        <v>67</v>
      </c>
      <c r="C27" s="410" t="s">
        <v>68</v>
      </c>
      <c r="D27" s="411">
        <v>108864</v>
      </c>
      <c r="E27" s="410">
        <v>1246263600</v>
      </c>
      <c r="F27" s="412">
        <v>46156</v>
      </c>
      <c r="G27" s="410"/>
      <c r="H27" s="410" t="s">
        <v>28</v>
      </c>
      <c r="I27" s="410" t="s">
        <v>29</v>
      </c>
      <c r="J27" s="410">
        <v>10688</v>
      </c>
      <c r="K27" s="412">
        <v>46066</v>
      </c>
      <c r="L27" s="410">
        <v>1010100</v>
      </c>
      <c r="M27" s="410" t="s">
        <v>35</v>
      </c>
      <c r="N27" s="410">
        <v>161</v>
      </c>
      <c r="O27" s="410" t="s">
        <v>161</v>
      </c>
      <c r="P27" s="410" t="s">
        <v>531</v>
      </c>
      <c r="Q27">
        <f t="shared" si="0"/>
        <v>-20</v>
      </c>
      <c r="R27">
        <f>_xlfn.XLOOKUP(E27,'Data Additive'!E:E,'Data Additive'!E:E,0)</f>
        <v>1246263600</v>
      </c>
    </row>
    <row r="28" spans="1:18" x14ac:dyDescent="0.25">
      <c r="A28" s="410">
        <v>1787</v>
      </c>
      <c r="B28" s="410" t="s">
        <v>67</v>
      </c>
      <c r="C28" s="410" t="s">
        <v>68</v>
      </c>
      <c r="D28" s="411">
        <v>110937.60000000001</v>
      </c>
      <c r="E28" s="410">
        <v>1246268467</v>
      </c>
      <c r="F28" s="412">
        <v>46190</v>
      </c>
      <c r="G28" s="410"/>
      <c r="H28" s="410" t="s">
        <v>28</v>
      </c>
      <c r="I28" s="410" t="s">
        <v>29</v>
      </c>
      <c r="J28" s="410">
        <v>10936</v>
      </c>
      <c r="K28" s="412">
        <v>46100</v>
      </c>
      <c r="L28" s="410">
        <v>1010100</v>
      </c>
      <c r="M28" s="410" t="s">
        <v>35</v>
      </c>
      <c r="N28" s="410">
        <v>161</v>
      </c>
      <c r="O28" s="410" t="s">
        <v>161</v>
      </c>
      <c r="P28" s="410" t="s">
        <v>531</v>
      </c>
      <c r="Q28">
        <f t="shared" si="0"/>
        <v>-54</v>
      </c>
      <c r="R28">
        <f>_xlfn.XLOOKUP(E28,'Data Additive'!E:E,'Data Additive'!E:E,0)</f>
        <v>1246268467</v>
      </c>
    </row>
    <row r="29" spans="1:18" x14ac:dyDescent="0.25">
      <c r="A29" s="410">
        <v>1787</v>
      </c>
      <c r="B29" s="410" t="s">
        <v>67</v>
      </c>
      <c r="C29" s="410" t="s">
        <v>68</v>
      </c>
      <c r="D29" s="411">
        <v>116889.60000000001</v>
      </c>
      <c r="E29" s="410">
        <v>1246271678</v>
      </c>
      <c r="F29" s="412">
        <v>46219</v>
      </c>
      <c r="G29" s="410"/>
      <c r="H29" s="410" t="s">
        <v>28</v>
      </c>
      <c r="I29" s="410" t="s">
        <v>29</v>
      </c>
      <c r="J29" s="410">
        <v>11157</v>
      </c>
      <c r="K29" s="412">
        <v>46129</v>
      </c>
      <c r="L29" s="410">
        <v>1010100</v>
      </c>
      <c r="M29" s="410" t="s">
        <v>35</v>
      </c>
      <c r="N29" s="410">
        <v>161</v>
      </c>
      <c r="O29" s="410" t="s">
        <v>161</v>
      </c>
      <c r="P29" s="410" t="s">
        <v>531</v>
      </c>
      <c r="Q29">
        <f t="shared" si="0"/>
        <v>-83</v>
      </c>
      <c r="R29">
        <f>_xlfn.XLOOKUP(E29,'Data Additive'!E:E,'Data Additive'!E:E,0)</f>
        <v>1246271678</v>
      </c>
    </row>
    <row r="30" spans="1:18" x14ac:dyDescent="0.25">
      <c r="A30" s="410">
        <v>1787</v>
      </c>
      <c r="B30" s="410" t="s">
        <v>67</v>
      </c>
      <c r="C30" s="410" t="s">
        <v>68</v>
      </c>
      <c r="D30" s="411">
        <v>110131.2</v>
      </c>
      <c r="E30" s="410">
        <v>1246272134</v>
      </c>
      <c r="F30" s="412">
        <v>46224</v>
      </c>
      <c r="G30" s="410"/>
      <c r="H30" s="410" t="s">
        <v>28</v>
      </c>
      <c r="I30" s="410" t="s">
        <v>29</v>
      </c>
      <c r="J30" s="410">
        <v>11192</v>
      </c>
      <c r="K30" s="412">
        <v>46134</v>
      </c>
      <c r="L30" s="410">
        <v>1010100</v>
      </c>
      <c r="M30" s="410" t="s">
        <v>35</v>
      </c>
      <c r="N30" s="410">
        <v>161</v>
      </c>
      <c r="O30" s="410" t="s">
        <v>161</v>
      </c>
      <c r="P30" s="410" t="s">
        <v>531</v>
      </c>
      <c r="Q30">
        <f t="shared" si="0"/>
        <v>-88</v>
      </c>
      <c r="R30">
        <f>_xlfn.XLOOKUP(E30,'Data Additive'!E:E,'Data Additive'!E:E,0)</f>
        <v>1246272134</v>
      </c>
    </row>
    <row r="31" spans="1:18" x14ac:dyDescent="0.25">
      <c r="A31" s="410">
        <v>1787</v>
      </c>
      <c r="B31" s="410" t="s">
        <v>67</v>
      </c>
      <c r="C31" s="410" t="s">
        <v>68</v>
      </c>
      <c r="D31" s="411">
        <v>112358.39999999999</v>
      </c>
      <c r="E31" s="410">
        <v>1246272202</v>
      </c>
      <c r="F31" s="412">
        <v>46225</v>
      </c>
      <c r="G31" s="410"/>
      <c r="H31" s="410" t="s">
        <v>28</v>
      </c>
      <c r="I31" s="410" t="s">
        <v>29</v>
      </c>
      <c r="J31" s="410">
        <v>11197</v>
      </c>
      <c r="K31" s="412">
        <v>46135</v>
      </c>
      <c r="L31" s="410">
        <v>1010100</v>
      </c>
      <c r="M31" s="410" t="s">
        <v>35</v>
      </c>
      <c r="N31" s="410">
        <v>161</v>
      </c>
      <c r="O31" s="410" t="s">
        <v>161</v>
      </c>
      <c r="P31" s="410" t="s">
        <v>531</v>
      </c>
      <c r="Q31">
        <f t="shared" si="0"/>
        <v>-89</v>
      </c>
      <c r="R31">
        <f>_xlfn.XLOOKUP(E31,'Data Additive'!E:E,'Data Additive'!E:E,0)</f>
        <v>1246272202</v>
      </c>
    </row>
    <row r="32" spans="1:18" x14ac:dyDescent="0.25">
      <c r="A32" s="410">
        <v>1787</v>
      </c>
      <c r="B32" s="410" t="s">
        <v>67</v>
      </c>
      <c r="C32" s="410" t="s">
        <v>68</v>
      </c>
      <c r="D32" s="411">
        <v>110592</v>
      </c>
      <c r="E32" s="410">
        <v>1246269420</v>
      </c>
      <c r="F32" s="412">
        <v>46198</v>
      </c>
      <c r="G32" s="410"/>
      <c r="H32" s="410" t="s">
        <v>28</v>
      </c>
      <c r="I32" s="410" t="s">
        <v>29</v>
      </c>
      <c r="J32" s="410">
        <v>10989</v>
      </c>
      <c r="K32" s="412">
        <v>46108</v>
      </c>
      <c r="L32" s="410">
        <v>1010100</v>
      </c>
      <c r="M32" s="410" t="s">
        <v>35</v>
      </c>
      <c r="N32" s="410">
        <v>161</v>
      </c>
      <c r="O32" s="410" t="s">
        <v>161</v>
      </c>
      <c r="P32" s="410" t="s">
        <v>531</v>
      </c>
      <c r="Q32">
        <f t="shared" si="0"/>
        <v>-62</v>
      </c>
      <c r="R32">
        <f>_xlfn.XLOOKUP(E32,'Data Additive'!E:E,'Data Additive'!E:E,0)</f>
        <v>1246269420</v>
      </c>
    </row>
    <row r="33" spans="1:18" x14ac:dyDescent="0.25">
      <c r="A33" s="410">
        <v>1787</v>
      </c>
      <c r="B33" s="410" t="s">
        <v>67</v>
      </c>
      <c r="C33" s="410" t="s">
        <v>68</v>
      </c>
      <c r="D33" s="411">
        <v>114393.60000000001</v>
      </c>
      <c r="E33" s="410">
        <v>1246263371</v>
      </c>
      <c r="F33" s="412">
        <v>46154</v>
      </c>
      <c r="G33" s="410"/>
      <c r="H33" s="410" t="s">
        <v>28</v>
      </c>
      <c r="I33" s="410" t="s">
        <v>29</v>
      </c>
      <c r="J33" s="410">
        <v>10678</v>
      </c>
      <c r="K33" s="412">
        <v>46064</v>
      </c>
      <c r="L33" s="410">
        <v>1010100</v>
      </c>
      <c r="M33" s="410" t="s">
        <v>35</v>
      </c>
      <c r="N33" s="410">
        <v>161</v>
      </c>
      <c r="O33" s="410" t="s">
        <v>161</v>
      </c>
      <c r="P33" s="410" t="s">
        <v>531</v>
      </c>
      <c r="Q33">
        <f t="shared" si="0"/>
        <v>-18</v>
      </c>
      <c r="R33">
        <f>_xlfn.XLOOKUP(E33,'Data Additive'!E:E,'Data Additive'!E:E,0)</f>
        <v>1246263371</v>
      </c>
    </row>
    <row r="34" spans="1:18" x14ac:dyDescent="0.25">
      <c r="A34" s="410">
        <v>1787</v>
      </c>
      <c r="B34" s="410" t="s">
        <v>67</v>
      </c>
      <c r="C34" s="410" t="s">
        <v>68</v>
      </c>
      <c r="D34" s="411">
        <v>116006.39999999999</v>
      </c>
      <c r="E34" s="410">
        <v>1246267015</v>
      </c>
      <c r="F34" s="412">
        <v>46180</v>
      </c>
      <c r="G34" s="410"/>
      <c r="H34" s="410" t="s">
        <v>28</v>
      </c>
      <c r="I34" s="410" t="s">
        <v>29</v>
      </c>
      <c r="J34" s="410">
        <v>10844</v>
      </c>
      <c r="K34" s="412">
        <v>46090</v>
      </c>
      <c r="L34" s="410">
        <v>1010100</v>
      </c>
      <c r="M34" s="410" t="s">
        <v>35</v>
      </c>
      <c r="N34" s="410">
        <v>161</v>
      </c>
      <c r="O34" s="410" t="s">
        <v>161</v>
      </c>
      <c r="P34" s="410" t="s">
        <v>531</v>
      </c>
      <c r="Q34">
        <f t="shared" si="0"/>
        <v>-44</v>
      </c>
      <c r="R34">
        <f>_xlfn.XLOOKUP(E34,'Data Additive'!E:E,'Data Additive'!E:E,0)</f>
        <v>1246267015</v>
      </c>
    </row>
    <row r="35" spans="1:18" x14ac:dyDescent="0.25">
      <c r="A35" s="410">
        <v>1787</v>
      </c>
      <c r="B35" s="410" t="s">
        <v>67</v>
      </c>
      <c r="C35" s="410" t="s">
        <v>68</v>
      </c>
      <c r="D35" s="411">
        <v>107059.2</v>
      </c>
      <c r="E35" s="410">
        <v>1246262114</v>
      </c>
      <c r="F35" s="412">
        <v>46146</v>
      </c>
      <c r="G35" s="410"/>
      <c r="H35" s="410" t="s">
        <v>28</v>
      </c>
      <c r="I35" s="410" t="s">
        <v>29</v>
      </c>
      <c r="J35" s="410">
        <v>10629</v>
      </c>
      <c r="K35" s="412">
        <v>46056</v>
      </c>
      <c r="L35" s="410">
        <v>1010100</v>
      </c>
      <c r="M35" s="410" t="s">
        <v>35</v>
      </c>
      <c r="N35" s="410">
        <v>161</v>
      </c>
      <c r="O35" s="410" t="s">
        <v>161</v>
      </c>
      <c r="P35" s="410" t="s">
        <v>531</v>
      </c>
      <c r="Q35">
        <f t="shared" si="0"/>
        <v>-10</v>
      </c>
      <c r="R35">
        <f>_xlfn.XLOOKUP(E35,'Data Additive'!E:E,'Data Additive'!E:E,0)</f>
        <v>1246262114</v>
      </c>
    </row>
    <row r="36" spans="1:18" x14ac:dyDescent="0.25">
      <c r="A36" s="410">
        <v>1787</v>
      </c>
      <c r="B36" s="410" t="s">
        <v>67</v>
      </c>
      <c r="C36" s="410" t="s">
        <v>68</v>
      </c>
      <c r="D36" s="411">
        <v>111552</v>
      </c>
      <c r="E36" s="410">
        <v>1246269890</v>
      </c>
      <c r="F36" s="412">
        <v>46203</v>
      </c>
      <c r="G36" s="410"/>
      <c r="H36" s="410" t="s">
        <v>28</v>
      </c>
      <c r="I36" s="410" t="s">
        <v>29</v>
      </c>
      <c r="J36" s="410">
        <v>11025</v>
      </c>
      <c r="K36" s="412">
        <v>46113</v>
      </c>
      <c r="L36" s="410">
        <v>1010100</v>
      </c>
      <c r="M36" s="410" t="s">
        <v>35</v>
      </c>
      <c r="N36" s="410">
        <v>161</v>
      </c>
      <c r="O36" s="410" t="s">
        <v>161</v>
      </c>
      <c r="P36" s="410" t="s">
        <v>531</v>
      </c>
      <c r="Q36">
        <f t="shared" si="0"/>
        <v>-67</v>
      </c>
      <c r="R36">
        <f>_xlfn.XLOOKUP(E36,'Data Additive'!E:E,'Data Additive'!E:E,0)</f>
        <v>1246269890</v>
      </c>
    </row>
    <row r="37" spans="1:18" x14ac:dyDescent="0.25">
      <c r="A37" s="410">
        <v>1787</v>
      </c>
      <c r="B37" s="410" t="s">
        <v>67</v>
      </c>
      <c r="C37" s="410" t="s">
        <v>68</v>
      </c>
      <c r="D37" s="411">
        <v>112204.8</v>
      </c>
      <c r="E37" s="410">
        <v>1246269591</v>
      </c>
      <c r="F37" s="412">
        <v>46201</v>
      </c>
      <c r="G37" s="410"/>
      <c r="H37" s="410" t="s">
        <v>28</v>
      </c>
      <c r="I37" s="410" t="s">
        <v>29</v>
      </c>
      <c r="J37" s="410">
        <v>11002</v>
      </c>
      <c r="K37" s="412">
        <v>46111</v>
      </c>
      <c r="L37" s="410">
        <v>1010100</v>
      </c>
      <c r="M37" s="410" t="s">
        <v>35</v>
      </c>
      <c r="N37" s="410">
        <v>161</v>
      </c>
      <c r="O37" s="410" t="s">
        <v>161</v>
      </c>
      <c r="P37" s="410" t="s">
        <v>531</v>
      </c>
      <c r="Q37">
        <f t="shared" si="0"/>
        <v>-65</v>
      </c>
      <c r="R37">
        <f>_xlfn.XLOOKUP(E37,'Data Additive'!E:E,'Data Additive'!E:E,0)</f>
        <v>1246269591</v>
      </c>
    </row>
    <row r="38" spans="1:18" x14ac:dyDescent="0.25">
      <c r="A38" s="410">
        <v>1787</v>
      </c>
      <c r="B38" s="410" t="s">
        <v>67</v>
      </c>
      <c r="C38" s="410" t="s">
        <v>68</v>
      </c>
      <c r="D38" s="411">
        <v>112588.8</v>
      </c>
      <c r="E38" s="410">
        <v>1246263994</v>
      </c>
      <c r="F38" s="412">
        <v>46161</v>
      </c>
      <c r="G38" s="410"/>
      <c r="H38" s="410" t="s">
        <v>28</v>
      </c>
      <c r="I38" s="410" t="s">
        <v>29</v>
      </c>
      <c r="J38" s="410">
        <v>10714</v>
      </c>
      <c r="K38" s="412">
        <v>46071</v>
      </c>
      <c r="L38" s="410">
        <v>1010100</v>
      </c>
      <c r="M38" s="410" t="s">
        <v>35</v>
      </c>
      <c r="N38" s="410">
        <v>161</v>
      </c>
      <c r="O38" s="410" t="s">
        <v>161</v>
      </c>
      <c r="P38" s="410" t="s">
        <v>531</v>
      </c>
      <c r="Q38">
        <f t="shared" si="0"/>
        <v>-25</v>
      </c>
      <c r="R38">
        <f>_xlfn.XLOOKUP(E38,'Data Additive'!E:E,'Data Additive'!E:E,0)</f>
        <v>1246263994</v>
      </c>
    </row>
    <row r="39" spans="1:18" x14ac:dyDescent="0.25">
      <c r="A39" s="410">
        <v>1787</v>
      </c>
      <c r="B39" s="410" t="s">
        <v>67</v>
      </c>
      <c r="C39" s="410" t="s">
        <v>68</v>
      </c>
      <c r="D39" s="411">
        <v>116121.60000000001</v>
      </c>
      <c r="E39" s="410">
        <v>1246270879</v>
      </c>
      <c r="F39" s="412">
        <v>46211</v>
      </c>
      <c r="G39" s="410"/>
      <c r="H39" s="410" t="s">
        <v>28</v>
      </c>
      <c r="I39" s="410" t="s">
        <v>29</v>
      </c>
      <c r="J39" s="410">
        <v>11080</v>
      </c>
      <c r="K39" s="412">
        <v>46121</v>
      </c>
      <c r="L39" s="410">
        <v>1010100</v>
      </c>
      <c r="M39" s="410" t="s">
        <v>35</v>
      </c>
      <c r="N39" s="410">
        <v>161</v>
      </c>
      <c r="O39" s="410" t="s">
        <v>161</v>
      </c>
      <c r="P39" s="410" t="s">
        <v>531</v>
      </c>
      <c r="Q39">
        <f t="shared" si="0"/>
        <v>-75</v>
      </c>
      <c r="R39">
        <f>_xlfn.XLOOKUP(E39,'Data Additive'!E:E,'Data Additive'!E:E,0)</f>
        <v>1246270879</v>
      </c>
    </row>
    <row r="40" spans="1:18" x14ac:dyDescent="0.25">
      <c r="A40" s="410">
        <v>1787</v>
      </c>
      <c r="B40" s="410" t="s">
        <v>67</v>
      </c>
      <c r="C40" s="410" t="s">
        <v>68</v>
      </c>
      <c r="D40" s="411">
        <v>115315.2</v>
      </c>
      <c r="E40" s="410">
        <v>1246265189</v>
      </c>
      <c r="F40" s="412">
        <v>46168</v>
      </c>
      <c r="G40" s="410"/>
      <c r="H40" s="410" t="s">
        <v>28</v>
      </c>
      <c r="I40" s="410" t="s">
        <v>29</v>
      </c>
      <c r="J40" s="410">
        <v>10768</v>
      </c>
      <c r="K40" s="412">
        <v>46078</v>
      </c>
      <c r="L40" s="410">
        <v>1010100</v>
      </c>
      <c r="M40" s="410" t="s">
        <v>35</v>
      </c>
      <c r="N40" s="410">
        <v>161</v>
      </c>
      <c r="O40" s="410" t="s">
        <v>161</v>
      </c>
      <c r="P40" s="410" t="s">
        <v>531</v>
      </c>
      <c r="Q40">
        <f t="shared" si="0"/>
        <v>-32</v>
      </c>
      <c r="R40">
        <f>_xlfn.XLOOKUP(E40,'Data Additive'!E:E,'Data Additive'!E:E,0)</f>
        <v>1246265189</v>
      </c>
    </row>
    <row r="41" spans="1:18" x14ac:dyDescent="0.25">
      <c r="A41" s="410">
        <v>1787</v>
      </c>
      <c r="B41" s="410" t="s">
        <v>67</v>
      </c>
      <c r="C41" s="410" t="s">
        <v>68</v>
      </c>
      <c r="D41" s="411">
        <v>115468.8</v>
      </c>
      <c r="E41" s="410">
        <v>1246266348</v>
      </c>
      <c r="F41" s="412">
        <v>46175</v>
      </c>
      <c r="G41" s="410"/>
      <c r="H41" s="410" t="s">
        <v>28</v>
      </c>
      <c r="I41" s="410" t="s">
        <v>29</v>
      </c>
      <c r="J41" s="410">
        <v>10811</v>
      </c>
      <c r="K41" s="412">
        <v>46085</v>
      </c>
      <c r="L41" s="410">
        <v>1010100</v>
      </c>
      <c r="M41" s="410" t="s">
        <v>35</v>
      </c>
      <c r="N41" s="410">
        <v>161</v>
      </c>
      <c r="O41" s="410" t="s">
        <v>161</v>
      </c>
      <c r="P41" s="410" t="s">
        <v>531</v>
      </c>
      <c r="Q41">
        <f t="shared" si="0"/>
        <v>-39</v>
      </c>
      <c r="R41">
        <f>_xlfn.XLOOKUP(E41,'Data Additive'!E:E,'Data Additive'!E:E,0)</f>
        <v>1246266348</v>
      </c>
    </row>
    <row r="42" spans="1:18" x14ac:dyDescent="0.25">
      <c r="A42" s="410">
        <v>1787</v>
      </c>
      <c r="B42" s="410" t="s">
        <v>67</v>
      </c>
      <c r="C42" s="410" t="s">
        <v>68</v>
      </c>
      <c r="D42" s="411">
        <v>114086.39999999999</v>
      </c>
      <c r="E42" s="410">
        <v>1246267743</v>
      </c>
      <c r="F42" s="412">
        <v>46184</v>
      </c>
      <c r="G42" s="410"/>
      <c r="H42" s="410" t="s">
        <v>28</v>
      </c>
      <c r="I42" s="410" t="s">
        <v>29</v>
      </c>
      <c r="J42" s="410">
        <v>10882</v>
      </c>
      <c r="K42" s="412">
        <v>46094</v>
      </c>
      <c r="L42" s="410">
        <v>1010100</v>
      </c>
      <c r="M42" s="410" t="s">
        <v>35</v>
      </c>
      <c r="N42" s="410">
        <v>161</v>
      </c>
      <c r="O42" s="410" t="s">
        <v>161</v>
      </c>
      <c r="P42" s="410" t="s">
        <v>531</v>
      </c>
      <c r="Q42">
        <f t="shared" si="0"/>
        <v>-48</v>
      </c>
      <c r="R42">
        <f>_xlfn.XLOOKUP(E42,'Data Additive'!E:E,'Data Additive'!E:E,0)</f>
        <v>1246267743</v>
      </c>
    </row>
    <row r="43" spans="1:18" x14ac:dyDescent="0.25">
      <c r="A43" s="410">
        <v>1788</v>
      </c>
      <c r="B43" s="410" t="s">
        <v>69</v>
      </c>
      <c r="C43" s="410" t="s">
        <v>70</v>
      </c>
      <c r="D43" s="411">
        <v>5400</v>
      </c>
      <c r="E43" s="410">
        <v>1246055599</v>
      </c>
      <c r="F43" s="412">
        <v>44889</v>
      </c>
      <c r="G43" s="410"/>
      <c r="H43" s="410" t="s">
        <v>28</v>
      </c>
      <c r="I43" s="410" t="s">
        <v>29</v>
      </c>
      <c r="J43" s="410">
        <v>1246055599</v>
      </c>
      <c r="K43" s="412">
        <v>44889</v>
      </c>
      <c r="L43" s="410">
        <v>3041000</v>
      </c>
      <c r="M43" s="410" t="s">
        <v>138</v>
      </c>
      <c r="N43" s="410">
        <v>46</v>
      </c>
      <c r="O43" s="410" t="s">
        <v>163</v>
      </c>
      <c r="P43" s="410" t="s">
        <v>531</v>
      </c>
      <c r="Q43">
        <f t="shared" si="0"/>
        <v>1247</v>
      </c>
      <c r="R43">
        <f>_xlfn.XLOOKUP(E43,'Data Additive'!E:E,'Data Additive'!E:E,0)</f>
        <v>0</v>
      </c>
    </row>
    <row r="44" spans="1:18" x14ac:dyDescent="0.25">
      <c r="A44" s="410">
        <v>1788</v>
      </c>
      <c r="B44" s="410" t="s">
        <v>69</v>
      </c>
      <c r="C44" s="410" t="s">
        <v>70</v>
      </c>
      <c r="D44" s="411">
        <v>1200</v>
      </c>
      <c r="E44" s="410">
        <v>1246190701</v>
      </c>
      <c r="F44" s="412">
        <v>45674</v>
      </c>
      <c r="G44" s="410"/>
      <c r="H44" s="410" t="s">
        <v>28</v>
      </c>
      <c r="I44" s="410" t="s">
        <v>29</v>
      </c>
      <c r="J44" s="410">
        <v>1246190701</v>
      </c>
      <c r="K44" s="412">
        <v>45659</v>
      </c>
      <c r="L44" s="410">
        <v>3041000</v>
      </c>
      <c r="M44" s="410" t="s">
        <v>138</v>
      </c>
      <c r="N44" s="410">
        <v>46</v>
      </c>
      <c r="O44" s="410" t="s">
        <v>163</v>
      </c>
      <c r="P44" s="410" t="s">
        <v>531</v>
      </c>
      <c r="Q44">
        <f t="shared" si="0"/>
        <v>462</v>
      </c>
      <c r="R44">
        <f>_xlfn.XLOOKUP(E44,'Data Additive'!E:E,'Data Additive'!E:E,0)</f>
        <v>0</v>
      </c>
    </row>
    <row r="45" spans="1:18" x14ac:dyDescent="0.25">
      <c r="A45" s="410">
        <v>1788</v>
      </c>
      <c r="B45" s="410" t="s">
        <v>69</v>
      </c>
      <c r="C45" s="410" t="s">
        <v>70</v>
      </c>
      <c r="D45" s="411">
        <v>116928</v>
      </c>
      <c r="E45" s="410">
        <v>1246267567</v>
      </c>
      <c r="F45" s="412">
        <v>46183</v>
      </c>
      <c r="G45" s="410"/>
      <c r="H45" s="410" t="s">
        <v>28</v>
      </c>
      <c r="I45" s="410" t="s">
        <v>29</v>
      </c>
      <c r="J45" s="410">
        <v>10870</v>
      </c>
      <c r="K45" s="412">
        <v>46093</v>
      </c>
      <c r="L45" s="410">
        <v>1010100</v>
      </c>
      <c r="M45" s="410" t="s">
        <v>35</v>
      </c>
      <c r="N45" s="410">
        <v>161</v>
      </c>
      <c r="O45" s="410" t="s">
        <v>161</v>
      </c>
      <c r="P45" s="410" t="s">
        <v>531</v>
      </c>
      <c r="Q45">
        <f t="shared" si="0"/>
        <v>-47</v>
      </c>
      <c r="R45">
        <f>_xlfn.XLOOKUP(E45,'Data Additive'!E:E,'Data Additive'!E:E,0)</f>
        <v>1246267567</v>
      </c>
    </row>
    <row r="46" spans="1:18" x14ac:dyDescent="0.25">
      <c r="A46" s="410">
        <v>1788</v>
      </c>
      <c r="B46" s="410" t="s">
        <v>69</v>
      </c>
      <c r="C46" s="410" t="s">
        <v>70</v>
      </c>
      <c r="D46" s="411">
        <v>117120</v>
      </c>
      <c r="E46" s="410">
        <v>1246270425</v>
      </c>
      <c r="F46" s="412">
        <v>46208</v>
      </c>
      <c r="G46" s="410"/>
      <c r="H46" s="410" t="s">
        <v>28</v>
      </c>
      <c r="I46" s="410" t="s">
        <v>29</v>
      </c>
      <c r="J46" s="410">
        <v>11060</v>
      </c>
      <c r="K46" s="412">
        <v>46118</v>
      </c>
      <c r="L46" s="410">
        <v>1010100</v>
      </c>
      <c r="M46" s="410" t="s">
        <v>35</v>
      </c>
      <c r="N46" s="410">
        <v>161</v>
      </c>
      <c r="O46" s="410" t="s">
        <v>161</v>
      </c>
      <c r="P46" s="410" t="s">
        <v>531</v>
      </c>
      <c r="Q46">
        <f t="shared" si="0"/>
        <v>-72</v>
      </c>
      <c r="R46">
        <f>_xlfn.XLOOKUP(E46,'Data Additive'!E:E,'Data Additive'!E:E,0)</f>
        <v>1246270425</v>
      </c>
    </row>
    <row r="47" spans="1:18" x14ac:dyDescent="0.25">
      <c r="A47" s="410">
        <v>1789</v>
      </c>
      <c r="B47" s="410" t="s">
        <v>71</v>
      </c>
      <c r="C47" s="410" t="s">
        <v>72</v>
      </c>
      <c r="D47" s="411">
        <v>2700</v>
      </c>
      <c r="E47" s="410">
        <v>1246120461</v>
      </c>
      <c r="F47" s="412">
        <v>45294</v>
      </c>
      <c r="G47" s="410"/>
      <c r="H47" s="410" t="s">
        <v>28</v>
      </c>
      <c r="I47" s="410" t="s">
        <v>29</v>
      </c>
      <c r="J47" s="410">
        <v>191223</v>
      </c>
      <c r="K47" s="412">
        <v>45279</v>
      </c>
      <c r="L47" s="410">
        <v>3041000</v>
      </c>
      <c r="M47" s="410" t="s">
        <v>138</v>
      </c>
      <c r="N47" s="410">
        <v>46</v>
      </c>
      <c r="O47" s="410" t="s">
        <v>163</v>
      </c>
      <c r="P47" s="410" t="s">
        <v>531</v>
      </c>
      <c r="Q47">
        <f t="shared" si="0"/>
        <v>842</v>
      </c>
      <c r="R47">
        <f>_xlfn.XLOOKUP(E47,'Data Additive'!E:E,'Data Additive'!E:E,0)</f>
        <v>0</v>
      </c>
    </row>
    <row r="48" spans="1:18" x14ac:dyDescent="0.25">
      <c r="A48" s="410">
        <v>1789</v>
      </c>
      <c r="B48" s="410" t="s">
        <v>71</v>
      </c>
      <c r="C48" s="410" t="s">
        <v>72</v>
      </c>
      <c r="D48" s="411">
        <v>900</v>
      </c>
      <c r="E48" s="410">
        <v>1246146095</v>
      </c>
      <c r="F48" s="412">
        <v>45428</v>
      </c>
      <c r="G48" s="410"/>
      <c r="H48" s="410" t="s">
        <v>28</v>
      </c>
      <c r="I48" s="410" t="s">
        <v>29</v>
      </c>
      <c r="J48" s="410">
        <v>1246120461</v>
      </c>
      <c r="K48" s="412">
        <v>45428</v>
      </c>
      <c r="L48" s="410">
        <v>3041000</v>
      </c>
      <c r="M48" s="410" t="s">
        <v>138</v>
      </c>
      <c r="N48" s="410">
        <v>46</v>
      </c>
      <c r="O48" s="410" t="s">
        <v>163</v>
      </c>
      <c r="P48" s="410" t="s">
        <v>531</v>
      </c>
      <c r="Q48">
        <f t="shared" si="0"/>
        <v>708</v>
      </c>
      <c r="R48">
        <f>_xlfn.XLOOKUP(E48,'Data Additive'!E:E,'Data Additive'!E:E,0)</f>
        <v>0</v>
      </c>
    </row>
    <row r="49" spans="1:18" x14ac:dyDescent="0.25">
      <c r="A49" s="410">
        <v>1789</v>
      </c>
      <c r="B49" s="410" t="s">
        <v>71</v>
      </c>
      <c r="C49" s="410" t="s">
        <v>72</v>
      </c>
      <c r="D49" s="411">
        <v>116044.8</v>
      </c>
      <c r="E49" s="410">
        <v>1246267816</v>
      </c>
      <c r="F49" s="412">
        <v>46187</v>
      </c>
      <c r="G49" s="410"/>
      <c r="H49" s="410" t="s">
        <v>28</v>
      </c>
      <c r="I49" s="410" t="s">
        <v>29</v>
      </c>
      <c r="J49" s="410">
        <v>10889</v>
      </c>
      <c r="K49" s="412">
        <v>46097</v>
      </c>
      <c r="L49" s="410">
        <v>1010100</v>
      </c>
      <c r="M49" s="410" t="s">
        <v>35</v>
      </c>
      <c r="N49" s="410">
        <v>161</v>
      </c>
      <c r="O49" s="410" t="s">
        <v>161</v>
      </c>
      <c r="P49" s="410" t="s">
        <v>531</v>
      </c>
      <c r="Q49">
        <f t="shared" si="0"/>
        <v>-51</v>
      </c>
      <c r="R49">
        <f>_xlfn.XLOOKUP(E49,'Data Additive'!E:E,'Data Additive'!E:E,0)</f>
        <v>1246267816</v>
      </c>
    </row>
    <row r="50" spans="1:18" x14ac:dyDescent="0.25">
      <c r="A50" s="410">
        <v>1789</v>
      </c>
      <c r="B50" s="410" t="s">
        <v>71</v>
      </c>
      <c r="C50" s="410" t="s">
        <v>72</v>
      </c>
      <c r="D50" s="411">
        <v>115507.2</v>
      </c>
      <c r="E50" s="410">
        <v>1246269759</v>
      </c>
      <c r="F50" s="412">
        <v>46202</v>
      </c>
      <c r="G50" s="410"/>
      <c r="H50" s="410" t="s">
        <v>28</v>
      </c>
      <c r="I50" s="410" t="s">
        <v>29</v>
      </c>
      <c r="J50" s="410">
        <v>11017</v>
      </c>
      <c r="K50" s="412">
        <v>46112</v>
      </c>
      <c r="L50" s="410">
        <v>1010100</v>
      </c>
      <c r="M50" s="410" t="s">
        <v>35</v>
      </c>
      <c r="N50" s="410">
        <v>161</v>
      </c>
      <c r="O50" s="410" t="s">
        <v>161</v>
      </c>
      <c r="P50" s="410" t="s">
        <v>531</v>
      </c>
      <c r="Q50">
        <f t="shared" si="0"/>
        <v>-66</v>
      </c>
      <c r="R50">
        <f>_xlfn.XLOOKUP(E50,'Data Additive'!E:E,'Data Additive'!E:E,0)</f>
        <v>1246269759</v>
      </c>
    </row>
    <row r="51" spans="1:18" x14ac:dyDescent="0.25">
      <c r="A51" s="410">
        <v>1789</v>
      </c>
      <c r="B51" s="410" t="s">
        <v>71</v>
      </c>
      <c r="C51" s="410" t="s">
        <v>72</v>
      </c>
      <c r="D51" s="411">
        <v>114432</v>
      </c>
      <c r="E51" s="410">
        <v>1246270845</v>
      </c>
      <c r="F51" s="412">
        <v>46181</v>
      </c>
      <c r="G51" s="410"/>
      <c r="H51" s="410" t="s">
        <v>28</v>
      </c>
      <c r="I51" s="410" t="s">
        <v>29</v>
      </c>
      <c r="J51" s="410">
        <v>11079</v>
      </c>
      <c r="K51" s="412">
        <v>46121</v>
      </c>
      <c r="L51" s="410">
        <v>1010100</v>
      </c>
      <c r="M51" s="410" t="s">
        <v>35</v>
      </c>
      <c r="N51" s="410">
        <v>161</v>
      </c>
      <c r="O51" s="410" t="s">
        <v>161</v>
      </c>
      <c r="P51" s="410" t="s">
        <v>531</v>
      </c>
      <c r="Q51">
        <f t="shared" si="0"/>
        <v>-45</v>
      </c>
      <c r="R51">
        <f>_xlfn.XLOOKUP(E51,'Data Additive'!E:E,'Data Additive'!E:E,0)</f>
        <v>1246270845</v>
      </c>
    </row>
    <row r="52" spans="1:18" x14ac:dyDescent="0.25">
      <c r="A52" s="410">
        <v>1789</v>
      </c>
      <c r="B52" s="410" t="s">
        <v>71</v>
      </c>
      <c r="C52" s="410" t="s">
        <v>72</v>
      </c>
      <c r="D52" s="411">
        <v>114470.39999999999</v>
      </c>
      <c r="E52" s="410">
        <v>1246268819</v>
      </c>
      <c r="F52" s="412">
        <v>46195</v>
      </c>
      <c r="G52" s="410"/>
      <c r="H52" s="410" t="s">
        <v>28</v>
      </c>
      <c r="I52" s="410" t="s">
        <v>29</v>
      </c>
      <c r="J52" s="410">
        <v>10967</v>
      </c>
      <c r="K52" s="412">
        <v>46105</v>
      </c>
      <c r="L52" s="410">
        <v>1010100</v>
      </c>
      <c r="M52" s="410" t="s">
        <v>35</v>
      </c>
      <c r="N52" s="410">
        <v>161</v>
      </c>
      <c r="O52" s="410" t="s">
        <v>161</v>
      </c>
      <c r="P52" s="410" t="s">
        <v>531</v>
      </c>
      <c r="Q52">
        <f t="shared" si="0"/>
        <v>-59</v>
      </c>
      <c r="R52">
        <f>_xlfn.XLOOKUP(E52,'Data Additive'!E:E,'Data Additive'!E:E,0)</f>
        <v>1246268819</v>
      </c>
    </row>
    <row r="53" spans="1:18" x14ac:dyDescent="0.25">
      <c r="A53" s="410">
        <v>1789</v>
      </c>
      <c r="B53" s="410" t="s">
        <v>71</v>
      </c>
      <c r="C53" s="410" t="s">
        <v>72</v>
      </c>
      <c r="D53" s="411">
        <v>114662.39999999999</v>
      </c>
      <c r="E53" s="410">
        <v>1246271452</v>
      </c>
      <c r="F53" s="412">
        <v>46187</v>
      </c>
      <c r="G53" s="410"/>
      <c r="H53" s="410" t="s">
        <v>28</v>
      </c>
      <c r="I53" s="410" t="s">
        <v>29</v>
      </c>
      <c r="J53" s="410">
        <v>11126</v>
      </c>
      <c r="K53" s="412">
        <v>46127</v>
      </c>
      <c r="L53" s="410">
        <v>1010100</v>
      </c>
      <c r="M53" s="410" t="s">
        <v>35</v>
      </c>
      <c r="N53" s="410">
        <v>161</v>
      </c>
      <c r="O53" s="410" t="s">
        <v>161</v>
      </c>
      <c r="P53" s="410" t="s">
        <v>531</v>
      </c>
      <c r="Q53">
        <f t="shared" si="0"/>
        <v>-51</v>
      </c>
      <c r="R53">
        <f>_xlfn.XLOOKUP(E53,'Data Additive'!E:E,'Data Additive'!E:E,0)</f>
        <v>1246271452</v>
      </c>
    </row>
    <row r="54" spans="1:18" x14ac:dyDescent="0.25">
      <c r="A54" s="410">
        <v>1789</v>
      </c>
      <c r="B54" s="410" t="s">
        <v>71</v>
      </c>
      <c r="C54" s="410" t="s">
        <v>72</v>
      </c>
      <c r="D54" s="411">
        <v>115123.2</v>
      </c>
      <c r="E54" s="410">
        <v>1246269430</v>
      </c>
      <c r="F54" s="412">
        <v>46198</v>
      </c>
      <c r="G54" s="410"/>
      <c r="H54" s="410" t="s">
        <v>28</v>
      </c>
      <c r="I54" s="410" t="s">
        <v>29</v>
      </c>
      <c r="J54" s="410">
        <v>10992</v>
      </c>
      <c r="K54" s="412">
        <v>46108</v>
      </c>
      <c r="L54" s="410">
        <v>1010100</v>
      </c>
      <c r="M54" s="410" t="s">
        <v>35</v>
      </c>
      <c r="N54" s="410">
        <v>161</v>
      </c>
      <c r="O54" s="410" t="s">
        <v>161</v>
      </c>
      <c r="P54" s="410" t="s">
        <v>531</v>
      </c>
      <c r="Q54">
        <f t="shared" si="0"/>
        <v>-62</v>
      </c>
      <c r="R54">
        <f>_xlfn.XLOOKUP(E54,'Data Additive'!E:E,'Data Additive'!E:E,0)</f>
        <v>1246269430</v>
      </c>
    </row>
    <row r="55" spans="1:18" x14ac:dyDescent="0.25">
      <c r="A55" s="410">
        <v>1789</v>
      </c>
      <c r="B55" s="410" t="s">
        <v>71</v>
      </c>
      <c r="C55" s="410" t="s">
        <v>72</v>
      </c>
      <c r="D55" s="411">
        <v>115584</v>
      </c>
      <c r="E55" s="410">
        <v>1246272745</v>
      </c>
      <c r="F55" s="412">
        <v>46229</v>
      </c>
      <c r="G55" s="410"/>
      <c r="H55" s="410" t="s">
        <v>28</v>
      </c>
      <c r="I55" s="410" t="s">
        <v>29</v>
      </c>
      <c r="J55" s="410">
        <v>11224</v>
      </c>
      <c r="K55" s="412">
        <v>46139</v>
      </c>
      <c r="L55" s="410">
        <v>1010100</v>
      </c>
      <c r="M55" s="410" t="s">
        <v>35</v>
      </c>
      <c r="N55" s="410">
        <v>161</v>
      </c>
      <c r="O55" s="410" t="s">
        <v>161</v>
      </c>
      <c r="P55" s="410" t="s">
        <v>531</v>
      </c>
      <c r="Q55">
        <f t="shared" si="0"/>
        <v>-93</v>
      </c>
      <c r="R55">
        <f>_xlfn.XLOOKUP(E55,'Data Additive'!E:E,'Data Additive'!E:E,0)</f>
        <v>1246272745</v>
      </c>
    </row>
    <row r="56" spans="1:18" x14ac:dyDescent="0.25">
      <c r="A56" s="410">
        <v>1789</v>
      </c>
      <c r="B56" s="410" t="s">
        <v>71</v>
      </c>
      <c r="C56" s="410" t="s">
        <v>72</v>
      </c>
      <c r="D56" s="411">
        <v>116044.8</v>
      </c>
      <c r="E56" s="410">
        <v>1246268551</v>
      </c>
      <c r="F56" s="412">
        <v>46191</v>
      </c>
      <c r="G56" s="410"/>
      <c r="H56" s="410" t="s">
        <v>28</v>
      </c>
      <c r="I56" s="410" t="s">
        <v>29</v>
      </c>
      <c r="J56" s="410">
        <v>10945</v>
      </c>
      <c r="K56" s="412">
        <v>46101</v>
      </c>
      <c r="L56" s="410">
        <v>1010100</v>
      </c>
      <c r="M56" s="410" t="s">
        <v>35</v>
      </c>
      <c r="N56" s="410">
        <v>161</v>
      </c>
      <c r="O56" s="410" t="s">
        <v>161</v>
      </c>
      <c r="P56" s="410" t="s">
        <v>531</v>
      </c>
      <c r="Q56">
        <f t="shared" si="0"/>
        <v>-55</v>
      </c>
      <c r="R56">
        <f>_xlfn.XLOOKUP(E56,'Data Additive'!E:E,'Data Additive'!E:E,0)</f>
        <v>1246268551</v>
      </c>
    </row>
    <row r="57" spans="1:18" x14ac:dyDescent="0.25">
      <c r="A57" s="410">
        <v>1789</v>
      </c>
      <c r="B57" s="410" t="s">
        <v>71</v>
      </c>
      <c r="C57" s="410" t="s">
        <v>72</v>
      </c>
      <c r="D57" s="411">
        <v>115814.39999999999</v>
      </c>
      <c r="E57" s="410">
        <v>1246270360</v>
      </c>
      <c r="F57" s="412">
        <v>46178</v>
      </c>
      <c r="G57" s="410"/>
      <c r="H57" s="410" t="s">
        <v>28</v>
      </c>
      <c r="I57" s="410" t="s">
        <v>29</v>
      </c>
      <c r="J57" s="410">
        <v>11053</v>
      </c>
      <c r="K57" s="412">
        <v>46118</v>
      </c>
      <c r="L57" s="410">
        <v>1010100</v>
      </c>
      <c r="M57" s="410" t="s">
        <v>35</v>
      </c>
      <c r="N57" s="410">
        <v>161</v>
      </c>
      <c r="O57" s="410" t="s">
        <v>161</v>
      </c>
      <c r="P57" s="410" t="s">
        <v>531</v>
      </c>
      <c r="Q57">
        <f t="shared" si="0"/>
        <v>-42</v>
      </c>
      <c r="R57">
        <f>_xlfn.XLOOKUP(E57,'Data Additive'!E:E,'Data Additive'!E:E,0)</f>
        <v>1246270360</v>
      </c>
    </row>
    <row r="58" spans="1:18" x14ac:dyDescent="0.25">
      <c r="A58" s="410">
        <v>1789</v>
      </c>
      <c r="B58" s="410" t="s">
        <v>71</v>
      </c>
      <c r="C58" s="410" t="s">
        <v>72</v>
      </c>
      <c r="D58" s="411">
        <v>115353.60000000001</v>
      </c>
      <c r="E58" s="410">
        <v>1246266246</v>
      </c>
      <c r="F58" s="412">
        <v>46174</v>
      </c>
      <c r="G58" s="410"/>
      <c r="H58" s="410" t="s">
        <v>28</v>
      </c>
      <c r="I58" s="410" t="s">
        <v>29</v>
      </c>
      <c r="J58" s="410">
        <v>10804</v>
      </c>
      <c r="K58" s="412">
        <v>46084</v>
      </c>
      <c r="L58" s="410">
        <v>1010100</v>
      </c>
      <c r="M58" s="410" t="s">
        <v>35</v>
      </c>
      <c r="N58" s="410">
        <v>161</v>
      </c>
      <c r="O58" s="410" t="s">
        <v>161</v>
      </c>
      <c r="P58" s="410" t="s">
        <v>531</v>
      </c>
      <c r="Q58">
        <f t="shared" si="0"/>
        <v>-38</v>
      </c>
      <c r="R58">
        <f>_xlfn.XLOOKUP(E58,'Data Additive'!E:E,'Data Additive'!E:E,0)</f>
        <v>1246266246</v>
      </c>
    </row>
    <row r="59" spans="1:18" x14ac:dyDescent="0.25">
      <c r="A59" s="410">
        <v>1789</v>
      </c>
      <c r="B59" s="410" t="s">
        <v>71</v>
      </c>
      <c r="C59" s="410" t="s">
        <v>72</v>
      </c>
      <c r="D59" s="411">
        <v>114048</v>
      </c>
      <c r="E59" s="410">
        <v>1246268138</v>
      </c>
      <c r="F59" s="412">
        <v>46188</v>
      </c>
      <c r="G59" s="410"/>
      <c r="H59" s="410" t="s">
        <v>28</v>
      </c>
      <c r="I59" s="410" t="s">
        <v>29</v>
      </c>
      <c r="J59" s="410">
        <v>10914</v>
      </c>
      <c r="K59" s="412">
        <v>46098</v>
      </c>
      <c r="L59" s="410">
        <v>1010100</v>
      </c>
      <c r="M59" s="410" t="s">
        <v>35</v>
      </c>
      <c r="N59" s="410">
        <v>161</v>
      </c>
      <c r="O59" s="410" t="s">
        <v>161</v>
      </c>
      <c r="P59" s="410" t="s">
        <v>531</v>
      </c>
      <c r="Q59">
        <f t="shared" si="0"/>
        <v>-52</v>
      </c>
      <c r="R59">
        <f>_xlfn.XLOOKUP(E59,'Data Additive'!E:E,'Data Additive'!E:E,0)</f>
        <v>1246268138</v>
      </c>
    </row>
    <row r="60" spans="1:18" x14ac:dyDescent="0.25">
      <c r="A60" s="410">
        <v>1789</v>
      </c>
      <c r="B60" s="410" t="s">
        <v>71</v>
      </c>
      <c r="C60" s="410" t="s">
        <v>72</v>
      </c>
      <c r="D60" s="411">
        <v>115468.8</v>
      </c>
      <c r="E60" s="410">
        <v>1246267594</v>
      </c>
      <c r="F60" s="412">
        <v>46183</v>
      </c>
      <c r="G60" s="410"/>
      <c r="H60" s="410" t="s">
        <v>28</v>
      </c>
      <c r="I60" s="410" t="s">
        <v>29</v>
      </c>
      <c r="J60" s="410">
        <v>10873</v>
      </c>
      <c r="K60" s="412">
        <v>46093</v>
      </c>
      <c r="L60" s="410">
        <v>1010100</v>
      </c>
      <c r="M60" s="410" t="s">
        <v>35</v>
      </c>
      <c r="N60" s="410">
        <v>161</v>
      </c>
      <c r="O60" s="410" t="s">
        <v>161</v>
      </c>
      <c r="P60" s="410" t="s">
        <v>531</v>
      </c>
      <c r="Q60">
        <f t="shared" ref="Q60:Q116" si="1">$R$1-F60</f>
        <v>-47</v>
      </c>
      <c r="R60">
        <f>_xlfn.XLOOKUP(E60,'Data Additive'!E:E,'Data Additive'!E:E,0)</f>
        <v>1246267594</v>
      </c>
    </row>
    <row r="61" spans="1:18" x14ac:dyDescent="0.25">
      <c r="A61" s="410">
        <v>97</v>
      </c>
      <c r="B61" s="410" t="s">
        <v>334</v>
      </c>
      <c r="C61" s="410" t="s">
        <v>871</v>
      </c>
      <c r="D61" s="411">
        <v>432176.83</v>
      </c>
      <c r="E61" s="410">
        <v>1246269781</v>
      </c>
      <c r="F61" s="412">
        <v>46140</v>
      </c>
      <c r="G61" s="410"/>
      <c r="H61" s="410" t="s">
        <v>28</v>
      </c>
      <c r="I61" s="410" t="s">
        <v>29</v>
      </c>
      <c r="J61" s="410">
        <v>2859</v>
      </c>
      <c r="K61" s="412">
        <v>46112</v>
      </c>
      <c r="L61" s="410">
        <v>1010100</v>
      </c>
      <c r="M61" s="410" t="s">
        <v>35</v>
      </c>
      <c r="N61" s="410">
        <v>161</v>
      </c>
      <c r="O61" s="410" t="s">
        <v>161</v>
      </c>
      <c r="P61" s="410" t="s">
        <v>577</v>
      </c>
      <c r="Q61">
        <f t="shared" si="1"/>
        <v>-4</v>
      </c>
      <c r="R61">
        <f>_xlfn.XLOOKUP(E61,'Data Additive'!E:E,'Data Additive'!E:E,0)</f>
        <v>1246269781</v>
      </c>
    </row>
    <row r="62" spans="1:18" x14ac:dyDescent="0.25">
      <c r="A62" s="410">
        <v>97</v>
      </c>
      <c r="B62" s="410" t="s">
        <v>334</v>
      </c>
      <c r="C62" s="410" t="s">
        <v>871</v>
      </c>
      <c r="D62" s="411">
        <v>47888.6</v>
      </c>
      <c r="E62" s="410">
        <v>1246272517</v>
      </c>
      <c r="F62" s="412">
        <v>46164</v>
      </c>
      <c r="G62" s="410"/>
      <c r="H62" s="410" t="s">
        <v>28</v>
      </c>
      <c r="I62" s="410" t="s">
        <v>29</v>
      </c>
      <c r="J62" s="410">
        <v>11216</v>
      </c>
      <c r="K62" s="412">
        <v>46136</v>
      </c>
      <c r="L62" s="410">
        <v>1010100</v>
      </c>
      <c r="M62" s="410" t="s">
        <v>35</v>
      </c>
      <c r="N62" s="410">
        <v>161</v>
      </c>
      <c r="O62" s="410" t="s">
        <v>161</v>
      </c>
      <c r="P62" s="410" t="s">
        <v>577</v>
      </c>
      <c r="Q62">
        <f t="shared" si="1"/>
        <v>-28</v>
      </c>
      <c r="R62">
        <f>_xlfn.XLOOKUP(E62,'Data Additive'!E:E,'Data Additive'!E:E,0)</f>
        <v>1246272517</v>
      </c>
    </row>
    <row r="63" spans="1:18" x14ac:dyDescent="0.25">
      <c r="A63" s="410">
        <v>97</v>
      </c>
      <c r="B63" s="410" t="s">
        <v>334</v>
      </c>
      <c r="C63" s="410" t="s">
        <v>871</v>
      </c>
      <c r="D63" s="411">
        <v>414764.93</v>
      </c>
      <c r="E63" s="410">
        <v>1246271365</v>
      </c>
      <c r="F63" s="412">
        <v>46154</v>
      </c>
      <c r="G63" s="410"/>
      <c r="H63" s="410" t="s">
        <v>28</v>
      </c>
      <c r="I63" s="410" t="s">
        <v>29</v>
      </c>
      <c r="J63" s="410">
        <v>2874</v>
      </c>
      <c r="K63" s="412">
        <v>46126</v>
      </c>
      <c r="L63" s="410">
        <v>1010100</v>
      </c>
      <c r="M63" s="410" t="s">
        <v>35</v>
      </c>
      <c r="N63" s="410">
        <v>161</v>
      </c>
      <c r="O63" s="410" t="s">
        <v>161</v>
      </c>
      <c r="P63" s="410" t="s">
        <v>577</v>
      </c>
      <c r="Q63">
        <f t="shared" si="1"/>
        <v>-18</v>
      </c>
      <c r="R63">
        <f>_xlfn.XLOOKUP(E63,'Data Additive'!E:E,'Data Additive'!E:E,0)</f>
        <v>1246271365</v>
      </c>
    </row>
    <row r="64" spans="1:18" x14ac:dyDescent="0.25">
      <c r="A64" s="410">
        <v>97</v>
      </c>
      <c r="B64" s="410" t="s">
        <v>334</v>
      </c>
      <c r="C64" s="410" t="s">
        <v>871</v>
      </c>
      <c r="D64" s="411">
        <v>96194.4</v>
      </c>
      <c r="E64" s="410">
        <v>1246271092</v>
      </c>
      <c r="F64" s="412">
        <v>46150</v>
      </c>
      <c r="G64" s="410"/>
      <c r="H64" s="410" t="s">
        <v>28</v>
      </c>
      <c r="I64" s="410" t="s">
        <v>29</v>
      </c>
      <c r="J64" s="410">
        <v>11101</v>
      </c>
      <c r="K64" s="412">
        <v>46122</v>
      </c>
      <c r="L64" s="410">
        <v>1010100</v>
      </c>
      <c r="M64" s="410" t="s">
        <v>35</v>
      </c>
      <c r="N64" s="410">
        <v>161</v>
      </c>
      <c r="O64" s="410" t="s">
        <v>161</v>
      </c>
      <c r="P64" s="410" t="s">
        <v>577</v>
      </c>
      <c r="Q64">
        <f t="shared" si="1"/>
        <v>-14</v>
      </c>
      <c r="R64">
        <f>_xlfn.XLOOKUP(E64,'Data Additive'!E:E,'Data Additive'!E:E,0)</f>
        <v>1246271092</v>
      </c>
    </row>
    <row r="65" spans="1:18" x14ac:dyDescent="0.25">
      <c r="A65" s="410">
        <v>97</v>
      </c>
      <c r="B65" s="410" t="s">
        <v>334</v>
      </c>
      <c r="C65" s="410" t="s">
        <v>871</v>
      </c>
      <c r="D65" s="411">
        <v>111790</v>
      </c>
      <c r="E65" s="410">
        <v>1246269794</v>
      </c>
      <c r="F65" s="412">
        <v>46140</v>
      </c>
      <c r="G65" s="410"/>
      <c r="H65" s="410" t="s">
        <v>28</v>
      </c>
      <c r="I65" s="410" t="s">
        <v>29</v>
      </c>
      <c r="J65" s="410">
        <v>11018</v>
      </c>
      <c r="K65" s="412">
        <v>46112</v>
      </c>
      <c r="L65" s="410">
        <v>1010100</v>
      </c>
      <c r="M65" s="410" t="s">
        <v>35</v>
      </c>
      <c r="N65" s="410">
        <v>161</v>
      </c>
      <c r="O65" s="410" t="s">
        <v>161</v>
      </c>
      <c r="P65" s="410" t="s">
        <v>577</v>
      </c>
      <c r="Q65">
        <f t="shared" si="1"/>
        <v>-4</v>
      </c>
      <c r="R65">
        <f>_xlfn.XLOOKUP(E65,'Data Additive'!E:E,'Data Additive'!E:E,0)</f>
        <v>1246269794</v>
      </c>
    </row>
    <row r="66" spans="1:18" x14ac:dyDescent="0.25">
      <c r="A66" s="410">
        <v>43</v>
      </c>
      <c r="B66" s="410" t="s">
        <v>793</v>
      </c>
      <c r="C66" s="410" t="s">
        <v>37</v>
      </c>
      <c r="D66" s="411">
        <v>3600</v>
      </c>
      <c r="E66" s="410">
        <v>1246271938</v>
      </c>
      <c r="F66" s="412">
        <v>46147</v>
      </c>
      <c r="G66" s="410"/>
      <c r="H66" s="410" t="s">
        <v>28</v>
      </c>
      <c r="I66" s="410" t="s">
        <v>29</v>
      </c>
      <c r="J66" s="410">
        <v>1246271938</v>
      </c>
      <c r="K66" s="412">
        <v>46132</v>
      </c>
      <c r="L66" s="410">
        <v>3042200</v>
      </c>
      <c r="M66" s="410" t="s">
        <v>857</v>
      </c>
      <c r="N66" s="410">
        <v>46</v>
      </c>
      <c r="O66" s="410" t="s">
        <v>163</v>
      </c>
      <c r="P66" s="410" t="s">
        <v>416</v>
      </c>
      <c r="Q66">
        <f t="shared" si="1"/>
        <v>-11</v>
      </c>
      <c r="R66">
        <f>_xlfn.XLOOKUP(E66,'Data Additive'!E:E,'Data Additive'!E:E,0)</f>
        <v>0</v>
      </c>
    </row>
    <row r="67" spans="1:18" x14ac:dyDescent="0.25">
      <c r="A67" s="410">
        <v>43</v>
      </c>
      <c r="B67" s="410" t="s">
        <v>793</v>
      </c>
      <c r="C67" s="410" t="s">
        <v>37</v>
      </c>
      <c r="D67" s="411">
        <v>71431.8</v>
      </c>
      <c r="E67" s="410">
        <v>1246271493</v>
      </c>
      <c r="F67" s="412">
        <v>46155</v>
      </c>
      <c r="G67" s="410"/>
      <c r="H67" s="410" t="s">
        <v>28</v>
      </c>
      <c r="I67" s="410" t="s">
        <v>29</v>
      </c>
      <c r="J67" s="410">
        <v>11132</v>
      </c>
      <c r="K67" s="412">
        <v>46127</v>
      </c>
      <c r="L67" s="410">
        <v>1010100</v>
      </c>
      <c r="M67" s="410" t="s">
        <v>35</v>
      </c>
      <c r="N67" s="410">
        <v>161</v>
      </c>
      <c r="O67" s="410" t="s">
        <v>161</v>
      </c>
      <c r="P67" s="410" t="s">
        <v>416</v>
      </c>
      <c r="Q67">
        <f t="shared" si="1"/>
        <v>-19</v>
      </c>
      <c r="R67">
        <f>_xlfn.XLOOKUP(E67,'Data Additive'!E:E,'Data Additive'!E:E,0)</f>
        <v>1246271493</v>
      </c>
    </row>
    <row r="68" spans="1:18" x14ac:dyDescent="0.25">
      <c r="A68" s="410">
        <v>43</v>
      </c>
      <c r="B68" s="410" t="s">
        <v>793</v>
      </c>
      <c r="C68" s="410" t="s">
        <v>37</v>
      </c>
      <c r="D68" s="411">
        <v>3600</v>
      </c>
      <c r="E68" s="410">
        <v>1246271937</v>
      </c>
      <c r="F68" s="412">
        <v>46147</v>
      </c>
      <c r="G68" s="410"/>
      <c r="H68" s="410" t="s">
        <v>28</v>
      </c>
      <c r="I68" s="410" t="s">
        <v>29</v>
      </c>
      <c r="J68" s="410">
        <v>1246271937</v>
      </c>
      <c r="K68" s="412">
        <v>46132</v>
      </c>
      <c r="L68" s="410">
        <v>3042200</v>
      </c>
      <c r="M68" s="410" t="s">
        <v>857</v>
      </c>
      <c r="N68" s="410">
        <v>46</v>
      </c>
      <c r="O68" s="410" t="s">
        <v>163</v>
      </c>
      <c r="P68" s="410" t="s">
        <v>416</v>
      </c>
      <c r="Q68">
        <f t="shared" si="1"/>
        <v>-11</v>
      </c>
      <c r="R68">
        <f>_xlfn.XLOOKUP(E68,'Data Additive'!E:E,'Data Additive'!E:E,0)</f>
        <v>0</v>
      </c>
    </row>
    <row r="69" spans="1:18" x14ac:dyDescent="0.25">
      <c r="A69" s="410">
        <v>43</v>
      </c>
      <c r="B69" s="410" t="s">
        <v>793</v>
      </c>
      <c r="C69" s="410" t="s">
        <v>37</v>
      </c>
      <c r="D69" s="411">
        <v>3600</v>
      </c>
      <c r="E69" s="410">
        <v>1246271931</v>
      </c>
      <c r="F69" s="412">
        <v>46147</v>
      </c>
      <c r="G69" s="410"/>
      <c r="H69" s="410" t="s">
        <v>28</v>
      </c>
      <c r="I69" s="410" t="s">
        <v>29</v>
      </c>
      <c r="J69" s="410">
        <v>1246271931</v>
      </c>
      <c r="K69" s="412">
        <v>46132</v>
      </c>
      <c r="L69" s="410">
        <v>3042200</v>
      </c>
      <c r="M69" s="410" t="s">
        <v>857</v>
      </c>
      <c r="N69" s="410">
        <v>46</v>
      </c>
      <c r="O69" s="410" t="s">
        <v>163</v>
      </c>
      <c r="P69" s="410" t="s">
        <v>416</v>
      </c>
      <c r="Q69">
        <f t="shared" si="1"/>
        <v>-11</v>
      </c>
      <c r="R69">
        <f>_xlfn.XLOOKUP(E69,'Data Additive'!E:E,'Data Additive'!E:E,0)</f>
        <v>0</v>
      </c>
    </row>
    <row r="70" spans="1:18" x14ac:dyDescent="0.25">
      <c r="A70" s="410">
        <v>43</v>
      </c>
      <c r="B70" s="410" t="s">
        <v>793</v>
      </c>
      <c r="C70" s="410" t="s">
        <v>37</v>
      </c>
      <c r="D70" s="411">
        <v>6000</v>
      </c>
      <c r="E70" s="410">
        <v>1246271936</v>
      </c>
      <c r="F70" s="412">
        <v>46147</v>
      </c>
      <c r="G70" s="410"/>
      <c r="H70" s="410" t="s">
        <v>28</v>
      </c>
      <c r="I70" s="410" t="s">
        <v>29</v>
      </c>
      <c r="J70" s="410">
        <v>1246271936</v>
      </c>
      <c r="K70" s="412">
        <v>46132</v>
      </c>
      <c r="L70" s="410">
        <v>3042200</v>
      </c>
      <c r="M70" s="410" t="s">
        <v>857</v>
      </c>
      <c r="N70" s="410">
        <v>46</v>
      </c>
      <c r="O70" s="410" t="s">
        <v>163</v>
      </c>
      <c r="P70" s="410" t="s">
        <v>416</v>
      </c>
      <c r="Q70">
        <f t="shared" si="1"/>
        <v>-11</v>
      </c>
      <c r="R70">
        <f>_xlfn.XLOOKUP(E70,'Data Additive'!E:E,'Data Additive'!E:E,0)</f>
        <v>0</v>
      </c>
    </row>
    <row r="71" spans="1:18" x14ac:dyDescent="0.25">
      <c r="A71" s="410">
        <v>43</v>
      </c>
      <c r="B71" s="410" t="s">
        <v>793</v>
      </c>
      <c r="C71" s="410" t="s">
        <v>37</v>
      </c>
      <c r="D71" s="411">
        <v>2400</v>
      </c>
      <c r="E71" s="410">
        <v>1246271921</v>
      </c>
      <c r="F71" s="412">
        <v>46147</v>
      </c>
      <c r="G71" s="410"/>
      <c r="H71" s="410" t="s">
        <v>28</v>
      </c>
      <c r="I71" s="410" t="s">
        <v>29</v>
      </c>
      <c r="J71" s="410">
        <v>1246271921</v>
      </c>
      <c r="K71" s="412">
        <v>46132</v>
      </c>
      <c r="L71" s="410">
        <v>3042200</v>
      </c>
      <c r="M71" s="410" t="s">
        <v>857</v>
      </c>
      <c r="N71" s="410">
        <v>46</v>
      </c>
      <c r="O71" s="410" t="s">
        <v>163</v>
      </c>
      <c r="P71" s="410" t="s">
        <v>416</v>
      </c>
      <c r="Q71">
        <f t="shared" si="1"/>
        <v>-11</v>
      </c>
      <c r="R71">
        <f>_xlfn.XLOOKUP(E71,'Data Additive'!E:E,'Data Additive'!E:E,0)</f>
        <v>0</v>
      </c>
    </row>
    <row r="72" spans="1:18" x14ac:dyDescent="0.25">
      <c r="A72" s="410">
        <v>43</v>
      </c>
      <c r="B72" s="410" t="s">
        <v>793</v>
      </c>
      <c r="C72" s="410" t="s">
        <v>37</v>
      </c>
      <c r="D72" s="411">
        <v>71289.600000000006</v>
      </c>
      <c r="E72" s="410">
        <v>1246270729</v>
      </c>
      <c r="F72" s="412">
        <v>46148</v>
      </c>
      <c r="G72" s="410"/>
      <c r="H72" s="410" t="s">
        <v>28</v>
      </c>
      <c r="I72" s="410" t="s">
        <v>29</v>
      </c>
      <c r="J72" s="410">
        <v>11076</v>
      </c>
      <c r="K72" s="412">
        <v>46120</v>
      </c>
      <c r="L72" s="410">
        <v>1010100</v>
      </c>
      <c r="M72" s="410" t="s">
        <v>35</v>
      </c>
      <c r="N72" s="410">
        <v>161</v>
      </c>
      <c r="O72" s="410" t="s">
        <v>161</v>
      </c>
      <c r="P72" s="410" t="s">
        <v>416</v>
      </c>
      <c r="Q72">
        <f t="shared" si="1"/>
        <v>-12</v>
      </c>
      <c r="R72">
        <f>_xlfn.XLOOKUP(E72,'Data Additive'!E:E,'Data Additive'!E:E,0)</f>
        <v>1246270729</v>
      </c>
    </row>
    <row r="73" spans="1:18" x14ac:dyDescent="0.25">
      <c r="A73" s="410">
        <v>43</v>
      </c>
      <c r="B73" s="410" t="s">
        <v>793</v>
      </c>
      <c r="C73" s="410" t="s">
        <v>37</v>
      </c>
      <c r="D73" s="411">
        <v>71652.2</v>
      </c>
      <c r="E73" s="410">
        <v>1246272199</v>
      </c>
      <c r="F73" s="412">
        <v>46163</v>
      </c>
      <c r="G73" s="410"/>
      <c r="H73" s="410" t="s">
        <v>28</v>
      </c>
      <c r="I73" s="410" t="s">
        <v>29</v>
      </c>
      <c r="J73" s="410">
        <v>11195</v>
      </c>
      <c r="K73" s="412">
        <v>46135</v>
      </c>
      <c r="L73" s="410">
        <v>1010100</v>
      </c>
      <c r="M73" s="410" t="s">
        <v>35</v>
      </c>
      <c r="N73" s="410">
        <v>161</v>
      </c>
      <c r="O73" s="410" t="s">
        <v>161</v>
      </c>
      <c r="P73" s="410" t="s">
        <v>416</v>
      </c>
      <c r="Q73">
        <f t="shared" si="1"/>
        <v>-27</v>
      </c>
      <c r="R73">
        <f>_xlfn.XLOOKUP(E73,'Data Additive'!E:E,'Data Additive'!E:E,0)</f>
        <v>1246272199</v>
      </c>
    </row>
    <row r="74" spans="1:18" x14ac:dyDescent="0.25">
      <c r="A74" s="410">
        <v>1936</v>
      </c>
      <c r="B74" s="410" t="s">
        <v>74</v>
      </c>
      <c r="C74" s="410" t="s">
        <v>75</v>
      </c>
      <c r="D74" s="411">
        <v>54000</v>
      </c>
      <c r="E74" s="410">
        <v>1246271887</v>
      </c>
      <c r="F74" s="412">
        <v>46160</v>
      </c>
      <c r="G74" s="410"/>
      <c r="H74" s="410" t="s">
        <v>28</v>
      </c>
      <c r="I74" s="410" t="s">
        <v>29</v>
      </c>
      <c r="J74" s="410">
        <v>11175</v>
      </c>
      <c r="K74" s="412">
        <v>46132</v>
      </c>
      <c r="L74" s="410">
        <v>1010100</v>
      </c>
      <c r="M74" s="410" t="s">
        <v>35</v>
      </c>
      <c r="N74" s="410">
        <v>56</v>
      </c>
      <c r="O74" s="410" t="s">
        <v>162</v>
      </c>
      <c r="P74" s="410" t="s">
        <v>416</v>
      </c>
      <c r="Q74">
        <f t="shared" si="1"/>
        <v>-24</v>
      </c>
      <c r="R74">
        <f>_xlfn.XLOOKUP(E74,'Data Additive'!E:E,'Data Additive'!E:E,0)</f>
        <v>1246271887</v>
      </c>
    </row>
    <row r="75" spans="1:18" x14ac:dyDescent="0.25">
      <c r="A75" s="410">
        <v>1936</v>
      </c>
      <c r="B75" s="410" t="s">
        <v>74</v>
      </c>
      <c r="C75" s="410" t="s">
        <v>75</v>
      </c>
      <c r="D75" s="411">
        <v>39900</v>
      </c>
      <c r="E75" s="410">
        <v>1246271562</v>
      </c>
      <c r="F75" s="412">
        <v>46156</v>
      </c>
      <c r="G75" s="410"/>
      <c r="H75" s="410" t="s">
        <v>28</v>
      </c>
      <c r="I75" s="410" t="s">
        <v>29</v>
      </c>
      <c r="J75" s="410">
        <v>11139</v>
      </c>
      <c r="K75" s="412">
        <v>46128</v>
      </c>
      <c r="L75" s="410">
        <v>1010100</v>
      </c>
      <c r="M75" s="410" t="s">
        <v>35</v>
      </c>
      <c r="N75" s="410">
        <v>56</v>
      </c>
      <c r="O75" s="410" t="s">
        <v>162</v>
      </c>
      <c r="P75" s="410" t="s">
        <v>416</v>
      </c>
      <c r="Q75">
        <f t="shared" si="1"/>
        <v>-20</v>
      </c>
      <c r="R75">
        <f>_xlfn.XLOOKUP(E75,'Data Additive'!E:E,'Data Additive'!E:E,0)</f>
        <v>1246271562</v>
      </c>
    </row>
    <row r="76" spans="1:18" x14ac:dyDescent="0.25">
      <c r="A76" s="410">
        <v>33</v>
      </c>
      <c r="B76" s="410" t="s">
        <v>907</v>
      </c>
      <c r="C76" s="410" t="s">
        <v>675</v>
      </c>
      <c r="D76" s="411">
        <v>52960</v>
      </c>
      <c r="E76" s="410">
        <v>1246272783</v>
      </c>
      <c r="F76" s="412">
        <v>46169</v>
      </c>
      <c r="G76" s="410"/>
      <c r="H76" s="410" t="s">
        <v>28</v>
      </c>
      <c r="I76" s="410" t="s">
        <v>29</v>
      </c>
      <c r="J76" s="410">
        <v>11230</v>
      </c>
      <c r="K76" s="412">
        <v>46139</v>
      </c>
      <c r="L76" s="410">
        <v>1010100</v>
      </c>
      <c r="M76" s="410" t="s">
        <v>35</v>
      </c>
      <c r="N76" s="410">
        <v>161</v>
      </c>
      <c r="O76" s="410" t="s">
        <v>161</v>
      </c>
      <c r="P76" s="410" t="s">
        <v>530</v>
      </c>
      <c r="Q76">
        <f t="shared" si="1"/>
        <v>-33</v>
      </c>
      <c r="R76">
        <f>_xlfn.XLOOKUP(E76,'Data Additive'!E:E,'Data Additive'!E:E,0)</f>
        <v>1246272783</v>
      </c>
    </row>
    <row r="77" spans="1:18" x14ac:dyDescent="0.25">
      <c r="A77" s="410">
        <v>33</v>
      </c>
      <c r="B77" s="410" t="s">
        <v>907</v>
      </c>
      <c r="C77" s="410" t="s">
        <v>675</v>
      </c>
      <c r="D77" s="411">
        <v>99167.6</v>
      </c>
      <c r="E77" s="410">
        <v>1246271248</v>
      </c>
      <c r="F77" s="412">
        <v>46155</v>
      </c>
      <c r="G77" s="410"/>
      <c r="H77" s="410" t="s">
        <v>28</v>
      </c>
      <c r="I77" s="410" t="s">
        <v>29</v>
      </c>
      <c r="J77" s="410">
        <v>11114</v>
      </c>
      <c r="K77" s="412">
        <v>46125</v>
      </c>
      <c r="L77" s="410">
        <v>1010100</v>
      </c>
      <c r="M77" s="410" t="s">
        <v>35</v>
      </c>
      <c r="N77" s="410">
        <v>161</v>
      </c>
      <c r="O77" s="410" t="s">
        <v>161</v>
      </c>
      <c r="P77" s="410" t="s">
        <v>530</v>
      </c>
      <c r="Q77">
        <f t="shared" si="1"/>
        <v>-19</v>
      </c>
      <c r="R77">
        <f>_xlfn.XLOOKUP(E77,'Data Additive'!E:E,'Data Additive'!E:E,0)</f>
        <v>1246271248</v>
      </c>
    </row>
    <row r="78" spans="1:18" x14ac:dyDescent="0.25">
      <c r="A78" s="410">
        <v>214</v>
      </c>
      <c r="B78" s="410" t="s">
        <v>165</v>
      </c>
      <c r="C78" s="410" t="s">
        <v>840</v>
      </c>
      <c r="D78" s="411">
        <v>82931.8</v>
      </c>
      <c r="E78" s="410">
        <v>1246270505</v>
      </c>
      <c r="F78" s="412">
        <v>46147</v>
      </c>
      <c r="G78" s="410"/>
      <c r="H78" s="410" t="s">
        <v>28</v>
      </c>
      <c r="I78" s="410" t="s">
        <v>29</v>
      </c>
      <c r="J78" s="410">
        <v>11065</v>
      </c>
      <c r="K78" s="412">
        <v>46119</v>
      </c>
      <c r="L78" s="410">
        <v>1010100</v>
      </c>
      <c r="M78" s="410" t="s">
        <v>35</v>
      </c>
      <c r="N78" s="410">
        <v>161</v>
      </c>
      <c r="O78" s="410" t="s">
        <v>161</v>
      </c>
      <c r="P78" s="410" t="s">
        <v>417</v>
      </c>
      <c r="Q78">
        <f t="shared" si="1"/>
        <v>-11</v>
      </c>
      <c r="R78">
        <f>_xlfn.XLOOKUP(E78,'Data Additive'!E:E,'Data Additive'!E:E,0)</f>
        <v>1246270505</v>
      </c>
    </row>
    <row r="79" spans="1:18" x14ac:dyDescent="0.25">
      <c r="A79" s="410">
        <v>214</v>
      </c>
      <c r="B79" s="410" t="s">
        <v>165</v>
      </c>
      <c r="C79" s="410" t="s">
        <v>840</v>
      </c>
      <c r="D79" s="411">
        <v>99281.7</v>
      </c>
      <c r="E79" s="410">
        <v>1246271672</v>
      </c>
      <c r="F79" s="412">
        <v>46157</v>
      </c>
      <c r="G79" s="410"/>
      <c r="H79" s="410" t="s">
        <v>28</v>
      </c>
      <c r="I79" s="410" t="s">
        <v>29</v>
      </c>
      <c r="J79" s="410">
        <v>11156</v>
      </c>
      <c r="K79" s="412">
        <v>46129</v>
      </c>
      <c r="L79" s="410">
        <v>1010100</v>
      </c>
      <c r="M79" s="410" t="s">
        <v>35</v>
      </c>
      <c r="N79" s="410">
        <v>161</v>
      </c>
      <c r="O79" s="410" t="s">
        <v>161</v>
      </c>
      <c r="P79" s="410" t="s">
        <v>417</v>
      </c>
      <c r="Q79">
        <f t="shared" si="1"/>
        <v>-21</v>
      </c>
      <c r="R79">
        <f>_xlfn.XLOOKUP(E79,'Data Additive'!E:E,'Data Additive'!E:E,0)</f>
        <v>1246271672</v>
      </c>
    </row>
    <row r="80" spans="1:18" x14ac:dyDescent="0.25">
      <c r="A80" s="410">
        <v>2</v>
      </c>
      <c r="B80" s="410" t="s">
        <v>34</v>
      </c>
      <c r="C80" s="410" t="s">
        <v>837</v>
      </c>
      <c r="D80" s="411">
        <v>13244</v>
      </c>
      <c r="E80" s="410">
        <v>1246271680</v>
      </c>
      <c r="F80" s="412">
        <v>46157</v>
      </c>
      <c r="G80" s="410"/>
      <c r="H80" s="410" t="s">
        <v>838</v>
      </c>
      <c r="I80" s="410" t="s">
        <v>839</v>
      </c>
      <c r="J80" s="410">
        <v>2877</v>
      </c>
      <c r="K80" s="412">
        <v>46129</v>
      </c>
      <c r="L80" s="410">
        <v>1010100</v>
      </c>
      <c r="M80" s="410" t="s">
        <v>35</v>
      </c>
      <c r="N80" s="410">
        <v>199</v>
      </c>
      <c r="O80" s="410" t="s">
        <v>885</v>
      </c>
      <c r="P80" s="410" t="s">
        <v>418</v>
      </c>
      <c r="Q80">
        <f t="shared" si="1"/>
        <v>-21</v>
      </c>
      <c r="R80">
        <f>_xlfn.XLOOKUP(E80,'Data Additive'!E:E,'Data Additive'!E:E,0)</f>
        <v>1246271680</v>
      </c>
    </row>
    <row r="81" spans="1:18" x14ac:dyDescent="0.25">
      <c r="A81" s="410">
        <v>2</v>
      </c>
      <c r="B81" s="410" t="s">
        <v>34</v>
      </c>
      <c r="C81" s="410" t="s">
        <v>837</v>
      </c>
      <c r="D81" s="411">
        <v>31119</v>
      </c>
      <c r="E81" s="410">
        <v>1246271697</v>
      </c>
      <c r="F81" s="412">
        <v>46157</v>
      </c>
      <c r="G81" s="410"/>
      <c r="H81" s="410" t="s">
        <v>838</v>
      </c>
      <c r="I81" s="410" t="s">
        <v>839</v>
      </c>
      <c r="J81" s="410">
        <v>2879</v>
      </c>
      <c r="K81" s="412">
        <v>46129</v>
      </c>
      <c r="L81" s="410">
        <v>1010100</v>
      </c>
      <c r="M81" s="410" t="s">
        <v>35</v>
      </c>
      <c r="N81" s="410">
        <v>199</v>
      </c>
      <c r="O81" s="410" t="s">
        <v>885</v>
      </c>
      <c r="P81" s="410" t="s">
        <v>418</v>
      </c>
      <c r="Q81">
        <f t="shared" si="1"/>
        <v>-21</v>
      </c>
      <c r="R81">
        <f>_xlfn.XLOOKUP(E81,'Data Additive'!E:E,'Data Additive'!E:E,0)</f>
        <v>1246271697</v>
      </c>
    </row>
    <row r="82" spans="1:18" x14ac:dyDescent="0.25">
      <c r="A82" s="410">
        <v>183</v>
      </c>
      <c r="B82" s="410" t="s">
        <v>41</v>
      </c>
      <c r="C82" s="410" t="s">
        <v>42</v>
      </c>
      <c r="D82" s="411">
        <v>4231.96</v>
      </c>
      <c r="E82" s="410">
        <v>1246014155</v>
      </c>
      <c r="F82" s="412">
        <v>47847</v>
      </c>
      <c r="G82" s="410"/>
      <c r="H82" s="410" t="s">
        <v>28</v>
      </c>
      <c r="I82" s="410" t="s">
        <v>29</v>
      </c>
      <c r="J82" s="410">
        <v>8361</v>
      </c>
      <c r="K82" s="412">
        <v>43384</v>
      </c>
      <c r="L82" s="410">
        <v>1010100</v>
      </c>
      <c r="M82" s="410" t="s">
        <v>35</v>
      </c>
      <c r="N82" s="410">
        <v>161</v>
      </c>
      <c r="O82" s="410" t="s">
        <v>161</v>
      </c>
      <c r="P82" s="410" t="s">
        <v>530</v>
      </c>
      <c r="Q82">
        <f t="shared" si="1"/>
        <v>-1711</v>
      </c>
      <c r="R82">
        <f>_xlfn.XLOOKUP(E82,'Data Additive'!E:E,'Data Additive'!E:E,0)</f>
        <v>1246014155</v>
      </c>
    </row>
    <row r="83" spans="1:18" x14ac:dyDescent="0.25">
      <c r="A83" s="410">
        <v>183</v>
      </c>
      <c r="B83" s="410" t="s">
        <v>41</v>
      </c>
      <c r="C83" s="410" t="s">
        <v>42</v>
      </c>
      <c r="D83" s="411">
        <v>4045.01</v>
      </c>
      <c r="E83" s="410">
        <v>1246014156</v>
      </c>
      <c r="F83" s="412">
        <v>48212</v>
      </c>
      <c r="G83" s="410"/>
      <c r="H83" s="410" t="s">
        <v>28</v>
      </c>
      <c r="I83" s="410" t="s">
        <v>29</v>
      </c>
      <c r="J83" s="410">
        <v>8361</v>
      </c>
      <c r="K83" s="412">
        <v>43384</v>
      </c>
      <c r="L83" s="410">
        <v>1010100</v>
      </c>
      <c r="M83" s="410" t="s">
        <v>35</v>
      </c>
      <c r="N83" s="410">
        <v>161</v>
      </c>
      <c r="O83" s="410" t="s">
        <v>161</v>
      </c>
      <c r="P83" s="410" t="s">
        <v>530</v>
      </c>
      <c r="Q83">
        <f t="shared" si="1"/>
        <v>-2076</v>
      </c>
      <c r="R83">
        <f>_xlfn.XLOOKUP(E83,'Data Additive'!E:E,'Data Additive'!E:E,0)</f>
        <v>1246014156</v>
      </c>
    </row>
    <row r="84" spans="1:18" x14ac:dyDescent="0.25">
      <c r="A84" s="410">
        <v>183</v>
      </c>
      <c r="B84" s="410" t="s">
        <v>41</v>
      </c>
      <c r="C84" s="410" t="s">
        <v>42</v>
      </c>
      <c r="D84" s="411">
        <v>4339.6000000000004</v>
      </c>
      <c r="E84" s="410">
        <v>1246014157</v>
      </c>
      <c r="F84" s="412">
        <v>48578</v>
      </c>
      <c r="G84" s="410"/>
      <c r="H84" s="410" t="s">
        <v>28</v>
      </c>
      <c r="I84" s="410" t="s">
        <v>29</v>
      </c>
      <c r="J84" s="410">
        <v>8361</v>
      </c>
      <c r="K84" s="412">
        <v>43384</v>
      </c>
      <c r="L84" s="410">
        <v>1010100</v>
      </c>
      <c r="M84" s="410" t="s">
        <v>35</v>
      </c>
      <c r="N84" s="410">
        <v>161</v>
      </c>
      <c r="O84" s="410" t="s">
        <v>161</v>
      </c>
      <c r="P84" s="410" t="s">
        <v>530</v>
      </c>
      <c r="Q84">
        <f t="shared" si="1"/>
        <v>-2442</v>
      </c>
      <c r="R84">
        <f>_xlfn.XLOOKUP(E84,'Data Additive'!E:E,'Data Additive'!E:E,0)</f>
        <v>1246014157</v>
      </c>
    </row>
    <row r="85" spans="1:18" x14ac:dyDescent="0.25">
      <c r="A85" s="410">
        <v>183</v>
      </c>
      <c r="B85" s="410" t="s">
        <v>41</v>
      </c>
      <c r="C85" s="410" t="s">
        <v>42</v>
      </c>
      <c r="D85" s="411">
        <v>7512.16</v>
      </c>
      <c r="E85" s="410">
        <v>1246014158</v>
      </c>
      <c r="F85" s="412">
        <v>48943</v>
      </c>
      <c r="G85" s="410"/>
      <c r="H85" s="410" t="s">
        <v>28</v>
      </c>
      <c r="I85" s="410" t="s">
        <v>29</v>
      </c>
      <c r="J85" s="410">
        <v>8361</v>
      </c>
      <c r="K85" s="412">
        <v>43384</v>
      </c>
      <c r="L85" s="410">
        <v>1010100</v>
      </c>
      <c r="M85" s="410" t="s">
        <v>35</v>
      </c>
      <c r="N85" s="410">
        <v>161</v>
      </c>
      <c r="O85" s="410" t="s">
        <v>161</v>
      </c>
      <c r="P85" s="410" t="s">
        <v>530</v>
      </c>
      <c r="Q85">
        <f t="shared" si="1"/>
        <v>-2807</v>
      </c>
      <c r="R85">
        <f>_xlfn.XLOOKUP(E85,'Data Additive'!E:E,'Data Additive'!E:E,0)</f>
        <v>1246014158</v>
      </c>
    </row>
    <row r="86" spans="1:18" x14ac:dyDescent="0.25">
      <c r="A86" s="410">
        <v>183</v>
      </c>
      <c r="B86" s="410" t="s">
        <v>41</v>
      </c>
      <c r="C86" s="410" t="s">
        <v>42</v>
      </c>
      <c r="D86" s="411">
        <v>30552.86</v>
      </c>
      <c r="E86" s="410">
        <v>1246014159</v>
      </c>
      <c r="F86" s="412">
        <v>49308</v>
      </c>
      <c r="G86" s="410"/>
      <c r="H86" s="410" t="s">
        <v>28</v>
      </c>
      <c r="I86" s="410" t="s">
        <v>29</v>
      </c>
      <c r="J86" s="410">
        <v>8361</v>
      </c>
      <c r="K86" s="412">
        <v>43384</v>
      </c>
      <c r="L86" s="410">
        <v>1010100</v>
      </c>
      <c r="M86" s="410" t="s">
        <v>35</v>
      </c>
      <c r="N86" s="410">
        <v>161</v>
      </c>
      <c r="O86" s="410" t="s">
        <v>161</v>
      </c>
      <c r="P86" s="410" t="s">
        <v>530</v>
      </c>
      <c r="Q86">
        <f t="shared" si="1"/>
        <v>-3172</v>
      </c>
      <c r="R86">
        <f>_xlfn.XLOOKUP(E86,'Data Additive'!E:E,'Data Additive'!E:E,0)</f>
        <v>1246014159</v>
      </c>
    </row>
    <row r="87" spans="1:18" x14ac:dyDescent="0.25">
      <c r="A87" s="410">
        <v>183</v>
      </c>
      <c r="B87" s="410" t="s">
        <v>41</v>
      </c>
      <c r="C87" s="410" t="s">
        <v>42</v>
      </c>
      <c r="D87" s="411">
        <v>1512.63</v>
      </c>
      <c r="E87" s="410">
        <v>1246014161</v>
      </c>
      <c r="F87" s="412">
        <v>50039</v>
      </c>
      <c r="G87" s="410"/>
      <c r="H87" s="410" t="s">
        <v>28</v>
      </c>
      <c r="I87" s="410" t="s">
        <v>29</v>
      </c>
      <c r="J87" s="410">
        <v>8361</v>
      </c>
      <c r="K87" s="412">
        <v>43384</v>
      </c>
      <c r="L87" s="410">
        <v>1010100</v>
      </c>
      <c r="M87" s="410" t="s">
        <v>35</v>
      </c>
      <c r="N87" s="410">
        <v>161</v>
      </c>
      <c r="O87" s="410" t="s">
        <v>161</v>
      </c>
      <c r="P87" s="410" t="s">
        <v>530</v>
      </c>
      <c r="Q87">
        <f t="shared" si="1"/>
        <v>-3903</v>
      </c>
      <c r="R87">
        <f>_xlfn.XLOOKUP(E87,'Data Additive'!E:E,'Data Additive'!E:E,0)</f>
        <v>1246014161</v>
      </c>
    </row>
    <row r="88" spans="1:18" x14ac:dyDescent="0.25">
      <c r="A88" s="410">
        <v>183</v>
      </c>
      <c r="B88" s="410" t="s">
        <v>41</v>
      </c>
      <c r="C88" s="410" t="s">
        <v>42</v>
      </c>
      <c r="D88" s="411">
        <v>1982.85</v>
      </c>
      <c r="E88" s="410">
        <v>1246014162</v>
      </c>
      <c r="F88" s="412">
        <v>50404</v>
      </c>
      <c r="G88" s="410"/>
      <c r="H88" s="410" t="s">
        <v>28</v>
      </c>
      <c r="I88" s="410" t="s">
        <v>29</v>
      </c>
      <c r="J88" s="410">
        <v>8361</v>
      </c>
      <c r="K88" s="412">
        <v>43384</v>
      </c>
      <c r="L88" s="410">
        <v>1010100</v>
      </c>
      <c r="M88" s="410" t="s">
        <v>35</v>
      </c>
      <c r="N88" s="410">
        <v>161</v>
      </c>
      <c r="O88" s="410" t="s">
        <v>161</v>
      </c>
      <c r="P88" s="410" t="s">
        <v>530</v>
      </c>
      <c r="Q88">
        <f t="shared" si="1"/>
        <v>-4268</v>
      </c>
      <c r="R88">
        <f>_xlfn.XLOOKUP(E88,'Data Additive'!E:E,'Data Additive'!E:E,0)</f>
        <v>1246014162</v>
      </c>
    </row>
    <row r="89" spans="1:18" x14ac:dyDescent="0.25">
      <c r="A89" s="410">
        <v>183</v>
      </c>
      <c r="B89" s="410" t="s">
        <v>41</v>
      </c>
      <c r="C89" s="410" t="s">
        <v>42</v>
      </c>
      <c r="D89" s="411">
        <v>2549.38</v>
      </c>
      <c r="E89" s="410">
        <v>1246014163</v>
      </c>
      <c r="F89" s="412">
        <v>50769</v>
      </c>
      <c r="G89" s="410"/>
      <c r="H89" s="410" t="s">
        <v>28</v>
      </c>
      <c r="I89" s="410" t="s">
        <v>29</v>
      </c>
      <c r="J89" s="410">
        <v>8361</v>
      </c>
      <c r="K89" s="412">
        <v>43384</v>
      </c>
      <c r="L89" s="410">
        <v>1010100</v>
      </c>
      <c r="M89" s="410" t="s">
        <v>35</v>
      </c>
      <c r="N89" s="410">
        <v>161</v>
      </c>
      <c r="O89" s="410" t="s">
        <v>161</v>
      </c>
      <c r="P89" s="410" t="s">
        <v>530</v>
      </c>
      <c r="Q89">
        <f t="shared" si="1"/>
        <v>-4633</v>
      </c>
      <c r="R89">
        <f>_xlfn.XLOOKUP(E89,'Data Additive'!E:E,'Data Additive'!E:E,0)</f>
        <v>1246014163</v>
      </c>
    </row>
    <row r="90" spans="1:18" x14ac:dyDescent="0.25">
      <c r="A90" s="410">
        <v>183</v>
      </c>
      <c r="B90" s="410" t="s">
        <v>41</v>
      </c>
      <c r="C90" s="410" t="s">
        <v>42</v>
      </c>
      <c r="D90" s="411">
        <v>5546.31</v>
      </c>
      <c r="E90" s="410">
        <v>1246014165</v>
      </c>
      <c r="F90" s="412">
        <v>51500</v>
      </c>
      <c r="G90" s="410"/>
      <c r="H90" s="410" t="s">
        <v>28</v>
      </c>
      <c r="I90" s="410" t="s">
        <v>29</v>
      </c>
      <c r="J90" s="410">
        <v>8361</v>
      </c>
      <c r="K90" s="412">
        <v>43384</v>
      </c>
      <c r="L90" s="410">
        <v>1010100</v>
      </c>
      <c r="M90" s="410" t="s">
        <v>35</v>
      </c>
      <c r="N90" s="410">
        <v>161</v>
      </c>
      <c r="O90" s="410" t="s">
        <v>161</v>
      </c>
      <c r="P90" s="410" t="s">
        <v>530</v>
      </c>
      <c r="Q90">
        <f t="shared" si="1"/>
        <v>-5364</v>
      </c>
      <c r="R90">
        <f>_xlfn.XLOOKUP(E90,'Data Additive'!E:E,'Data Additive'!E:E,0)</f>
        <v>1246014165</v>
      </c>
    </row>
    <row r="91" spans="1:18" x14ac:dyDescent="0.25">
      <c r="A91" s="410">
        <v>183</v>
      </c>
      <c r="B91" s="410" t="s">
        <v>41</v>
      </c>
      <c r="C91" s="410" t="s">
        <v>42</v>
      </c>
      <c r="D91" s="411">
        <v>5546.31</v>
      </c>
      <c r="E91" s="410">
        <v>1246014166</v>
      </c>
      <c r="F91" s="412">
        <v>51865</v>
      </c>
      <c r="G91" s="410"/>
      <c r="H91" s="410" t="s">
        <v>28</v>
      </c>
      <c r="I91" s="410" t="s">
        <v>29</v>
      </c>
      <c r="J91" s="410">
        <v>8361</v>
      </c>
      <c r="K91" s="412">
        <v>43384</v>
      </c>
      <c r="L91" s="410">
        <v>1010100</v>
      </c>
      <c r="M91" s="410" t="s">
        <v>35</v>
      </c>
      <c r="N91" s="410">
        <v>161</v>
      </c>
      <c r="O91" s="410" t="s">
        <v>161</v>
      </c>
      <c r="P91" s="410" t="s">
        <v>530</v>
      </c>
      <c r="Q91">
        <f t="shared" si="1"/>
        <v>-5729</v>
      </c>
      <c r="R91">
        <f>_xlfn.XLOOKUP(E91,'Data Additive'!E:E,'Data Additive'!E:E,0)</f>
        <v>1246014166</v>
      </c>
    </row>
    <row r="92" spans="1:18" x14ac:dyDescent="0.25">
      <c r="A92" s="410">
        <v>183</v>
      </c>
      <c r="B92" s="410" t="s">
        <v>41</v>
      </c>
      <c r="C92" s="410" t="s">
        <v>42</v>
      </c>
      <c r="D92" s="411">
        <v>5546.31</v>
      </c>
      <c r="E92" s="410">
        <v>1246014167</v>
      </c>
      <c r="F92" s="412">
        <v>52230</v>
      </c>
      <c r="G92" s="410"/>
      <c r="H92" s="410" t="s">
        <v>28</v>
      </c>
      <c r="I92" s="410" t="s">
        <v>29</v>
      </c>
      <c r="J92" s="410">
        <v>8361</v>
      </c>
      <c r="K92" s="412">
        <v>43384</v>
      </c>
      <c r="L92" s="410">
        <v>1010100</v>
      </c>
      <c r="M92" s="410" t="s">
        <v>35</v>
      </c>
      <c r="N92" s="410">
        <v>161</v>
      </c>
      <c r="O92" s="410" t="s">
        <v>161</v>
      </c>
      <c r="P92" s="410" t="s">
        <v>530</v>
      </c>
      <c r="Q92">
        <f t="shared" si="1"/>
        <v>-6094</v>
      </c>
      <c r="R92">
        <f>_xlfn.XLOOKUP(E92,'Data Additive'!E:E,'Data Additive'!E:E,0)</f>
        <v>1246014167</v>
      </c>
    </row>
    <row r="93" spans="1:18" x14ac:dyDescent="0.25">
      <c r="A93" s="410">
        <v>183</v>
      </c>
      <c r="B93" s="410" t="s">
        <v>41</v>
      </c>
      <c r="C93" s="410" t="s">
        <v>42</v>
      </c>
      <c r="D93" s="411">
        <v>5546.31</v>
      </c>
      <c r="E93" s="410">
        <v>1246014168</v>
      </c>
      <c r="F93" s="412">
        <v>52595</v>
      </c>
      <c r="G93" s="410"/>
      <c r="H93" s="410" t="s">
        <v>28</v>
      </c>
      <c r="I93" s="410" t="s">
        <v>29</v>
      </c>
      <c r="J93" s="410">
        <v>8361</v>
      </c>
      <c r="K93" s="412">
        <v>43384</v>
      </c>
      <c r="L93" s="410">
        <v>1010100</v>
      </c>
      <c r="M93" s="410" t="s">
        <v>35</v>
      </c>
      <c r="N93" s="410">
        <v>161</v>
      </c>
      <c r="O93" s="410" t="s">
        <v>161</v>
      </c>
      <c r="P93" s="410" t="s">
        <v>530</v>
      </c>
      <c r="Q93">
        <f t="shared" si="1"/>
        <v>-6459</v>
      </c>
      <c r="R93">
        <f>_xlfn.XLOOKUP(E93,'Data Additive'!E:E,'Data Additive'!E:E,0)</f>
        <v>1246014168</v>
      </c>
    </row>
    <row r="94" spans="1:18" x14ac:dyDescent="0.25">
      <c r="A94" s="410">
        <v>183</v>
      </c>
      <c r="B94" s="410" t="s">
        <v>41</v>
      </c>
      <c r="C94" s="410" t="s">
        <v>42</v>
      </c>
      <c r="D94" s="411">
        <v>5546.31</v>
      </c>
      <c r="E94" s="410">
        <v>1246014169</v>
      </c>
      <c r="F94" s="412">
        <v>52961</v>
      </c>
      <c r="G94" s="410"/>
      <c r="H94" s="410" t="s">
        <v>28</v>
      </c>
      <c r="I94" s="410" t="s">
        <v>29</v>
      </c>
      <c r="J94" s="410">
        <v>8361</v>
      </c>
      <c r="K94" s="412">
        <v>43384</v>
      </c>
      <c r="L94" s="410">
        <v>1010100</v>
      </c>
      <c r="M94" s="410" t="s">
        <v>35</v>
      </c>
      <c r="N94" s="410">
        <v>161</v>
      </c>
      <c r="O94" s="410" t="s">
        <v>161</v>
      </c>
      <c r="P94" s="410" t="s">
        <v>530</v>
      </c>
      <c r="Q94">
        <f t="shared" si="1"/>
        <v>-6825</v>
      </c>
      <c r="R94">
        <f>_xlfn.XLOOKUP(E94,'Data Additive'!E:E,'Data Additive'!E:E,0)</f>
        <v>1246014169</v>
      </c>
    </row>
    <row r="95" spans="1:18" x14ac:dyDescent="0.25">
      <c r="A95" s="410">
        <v>183</v>
      </c>
      <c r="B95" s="410" t="s">
        <v>41</v>
      </c>
      <c r="C95" s="410" t="s">
        <v>42</v>
      </c>
      <c r="D95" s="411">
        <v>5568.96</v>
      </c>
      <c r="E95" s="410">
        <v>1246014170</v>
      </c>
      <c r="F95" s="412">
        <v>53326</v>
      </c>
      <c r="G95" s="410"/>
      <c r="H95" s="410" t="s">
        <v>28</v>
      </c>
      <c r="I95" s="410" t="s">
        <v>29</v>
      </c>
      <c r="J95" s="410">
        <v>8361</v>
      </c>
      <c r="K95" s="412">
        <v>43384</v>
      </c>
      <c r="L95" s="410">
        <v>1010100</v>
      </c>
      <c r="M95" s="410" t="s">
        <v>35</v>
      </c>
      <c r="N95" s="410">
        <v>161</v>
      </c>
      <c r="O95" s="410" t="s">
        <v>161</v>
      </c>
      <c r="P95" s="410" t="s">
        <v>530</v>
      </c>
      <c r="Q95">
        <f t="shared" si="1"/>
        <v>-7190</v>
      </c>
      <c r="R95">
        <f>_xlfn.XLOOKUP(E95,'Data Additive'!E:E,'Data Additive'!E:E,0)</f>
        <v>1246014170</v>
      </c>
    </row>
    <row r="96" spans="1:18" x14ac:dyDescent="0.25">
      <c r="A96" s="410">
        <v>183</v>
      </c>
      <c r="B96" s="410" t="s">
        <v>41</v>
      </c>
      <c r="C96" s="410" t="s">
        <v>42</v>
      </c>
      <c r="D96" s="411">
        <v>2487.06</v>
      </c>
      <c r="E96" s="410">
        <v>1246137877</v>
      </c>
      <c r="F96" s="412">
        <v>49673</v>
      </c>
      <c r="G96" s="410"/>
      <c r="H96" s="410" t="s">
        <v>28</v>
      </c>
      <c r="I96" s="410" t="s">
        <v>29</v>
      </c>
      <c r="J96" s="410">
        <v>8361</v>
      </c>
      <c r="K96" s="412">
        <v>43384</v>
      </c>
      <c r="L96" s="410">
        <v>1010100</v>
      </c>
      <c r="M96" s="410" t="s">
        <v>35</v>
      </c>
      <c r="N96" s="410">
        <v>161</v>
      </c>
      <c r="O96" s="410" t="s">
        <v>161</v>
      </c>
      <c r="P96" s="410" t="s">
        <v>530</v>
      </c>
      <c r="Q96">
        <f t="shared" si="1"/>
        <v>-3537</v>
      </c>
      <c r="R96">
        <f>_xlfn.XLOOKUP(E96,'Data Additive'!E:E,'Data Additive'!E:E,0)</f>
        <v>1246137877</v>
      </c>
    </row>
    <row r="97" spans="1:18" x14ac:dyDescent="0.25">
      <c r="A97" s="410">
        <v>183</v>
      </c>
      <c r="B97" s="410" t="s">
        <v>41</v>
      </c>
      <c r="C97" s="410" t="s">
        <v>42</v>
      </c>
      <c r="D97" s="411">
        <v>2151.75</v>
      </c>
      <c r="E97" s="410">
        <v>1246265345</v>
      </c>
      <c r="F97" s="412">
        <v>47482</v>
      </c>
      <c r="G97" s="410"/>
      <c r="H97" s="410" t="s">
        <v>28</v>
      </c>
      <c r="I97" s="410" t="s">
        <v>29</v>
      </c>
      <c r="J97" s="410">
        <v>8361</v>
      </c>
      <c r="K97" s="412">
        <v>43384</v>
      </c>
      <c r="L97" s="410">
        <v>1010100</v>
      </c>
      <c r="M97" s="410" t="s">
        <v>35</v>
      </c>
      <c r="N97" s="410">
        <v>161</v>
      </c>
      <c r="O97" s="410" t="s">
        <v>161</v>
      </c>
      <c r="P97" s="410" t="s">
        <v>530</v>
      </c>
      <c r="Q97">
        <f t="shared" si="1"/>
        <v>-1346</v>
      </c>
      <c r="R97">
        <f>_xlfn.XLOOKUP(E97,'Data Additive'!E:E,'Data Additive'!E:E,0)</f>
        <v>1246265345</v>
      </c>
    </row>
    <row r="98" spans="1:18" x14ac:dyDescent="0.25">
      <c r="A98" s="410">
        <v>183</v>
      </c>
      <c r="B98" s="410" t="s">
        <v>41</v>
      </c>
      <c r="C98" s="410" t="s">
        <v>42</v>
      </c>
      <c r="D98" s="411">
        <v>2104.2399999999998</v>
      </c>
      <c r="E98" s="410">
        <v>1246233818</v>
      </c>
      <c r="F98" s="412">
        <v>51134</v>
      </c>
      <c r="G98" s="410"/>
      <c r="H98" s="410" t="s">
        <v>28</v>
      </c>
      <c r="I98" s="410" t="s">
        <v>29</v>
      </c>
      <c r="J98" s="410">
        <v>8361</v>
      </c>
      <c r="K98" s="412">
        <v>43384</v>
      </c>
      <c r="L98" s="410">
        <v>1010100</v>
      </c>
      <c r="M98" s="410" t="s">
        <v>35</v>
      </c>
      <c r="N98" s="410">
        <v>161</v>
      </c>
      <c r="O98" s="410" t="s">
        <v>161</v>
      </c>
      <c r="P98" s="410" t="s">
        <v>530</v>
      </c>
      <c r="Q98">
        <f t="shared" si="1"/>
        <v>-4998</v>
      </c>
      <c r="R98">
        <f>_xlfn.XLOOKUP(E98,'Data Additive'!E:E,'Data Additive'!E:E,0)</f>
        <v>1246233818</v>
      </c>
    </row>
    <row r="99" spans="1:18" x14ac:dyDescent="0.25">
      <c r="A99" s="410">
        <v>1792</v>
      </c>
      <c r="B99" s="410" t="s">
        <v>828</v>
      </c>
      <c r="C99" s="410" t="s">
        <v>73</v>
      </c>
      <c r="D99" s="411">
        <v>116676.6</v>
      </c>
      <c r="E99" s="410">
        <v>1246272414</v>
      </c>
      <c r="F99" s="412">
        <v>46226</v>
      </c>
      <c r="G99" s="410"/>
      <c r="H99" s="410" t="s">
        <v>28</v>
      </c>
      <c r="I99" s="410" t="s">
        <v>29</v>
      </c>
      <c r="J99" s="410">
        <v>11211</v>
      </c>
      <c r="K99" s="412">
        <v>46136</v>
      </c>
      <c r="L99" s="410">
        <v>1010100</v>
      </c>
      <c r="M99" s="410" t="s">
        <v>35</v>
      </c>
      <c r="N99" s="410">
        <v>161</v>
      </c>
      <c r="O99" s="410" t="s">
        <v>161</v>
      </c>
      <c r="P99" s="410" t="s">
        <v>531</v>
      </c>
      <c r="Q99">
        <f t="shared" si="1"/>
        <v>-90</v>
      </c>
      <c r="R99">
        <f>_xlfn.XLOOKUP(E99,'Data Additive'!E:E,'Data Additive'!E:E,0)</f>
        <v>1246272414</v>
      </c>
    </row>
    <row r="100" spans="1:18" x14ac:dyDescent="0.25">
      <c r="A100" s="410">
        <v>1792</v>
      </c>
      <c r="B100" s="410" t="s">
        <v>828</v>
      </c>
      <c r="C100" s="410" t="s">
        <v>73</v>
      </c>
      <c r="D100" s="411">
        <v>118553.1</v>
      </c>
      <c r="E100" s="410">
        <v>1246265418</v>
      </c>
      <c r="F100" s="412">
        <v>46169</v>
      </c>
      <c r="G100" s="410"/>
      <c r="H100" s="410" t="s">
        <v>28</v>
      </c>
      <c r="I100" s="410" t="s">
        <v>29</v>
      </c>
      <c r="J100" s="410">
        <v>10776</v>
      </c>
      <c r="K100" s="412">
        <v>46079</v>
      </c>
      <c r="L100" s="410">
        <v>1010100</v>
      </c>
      <c r="M100" s="410" t="s">
        <v>35</v>
      </c>
      <c r="N100" s="410">
        <v>161</v>
      </c>
      <c r="O100" s="410" t="s">
        <v>161</v>
      </c>
      <c r="P100" s="410" t="s">
        <v>531</v>
      </c>
      <c r="Q100">
        <f t="shared" si="1"/>
        <v>-33</v>
      </c>
      <c r="R100">
        <f>_xlfn.XLOOKUP(E100,'Data Additive'!E:E,'Data Additive'!E:E,0)</f>
        <v>1246265418</v>
      </c>
    </row>
    <row r="101" spans="1:18" x14ac:dyDescent="0.25">
      <c r="A101" s="410">
        <v>1792</v>
      </c>
      <c r="B101" s="410" t="s">
        <v>828</v>
      </c>
      <c r="C101" s="410" t="s">
        <v>73</v>
      </c>
      <c r="D101" s="411">
        <v>116343</v>
      </c>
      <c r="E101" s="410">
        <v>1246267070</v>
      </c>
      <c r="F101" s="412">
        <v>46180</v>
      </c>
      <c r="G101" s="410"/>
      <c r="H101" s="410" t="s">
        <v>28</v>
      </c>
      <c r="I101" s="410" t="s">
        <v>29</v>
      </c>
      <c r="J101" s="410">
        <v>10846</v>
      </c>
      <c r="K101" s="412">
        <v>46090</v>
      </c>
      <c r="L101" s="410">
        <v>1010100</v>
      </c>
      <c r="M101" s="410" t="s">
        <v>35</v>
      </c>
      <c r="N101" s="410">
        <v>161</v>
      </c>
      <c r="O101" s="410" t="s">
        <v>161</v>
      </c>
      <c r="P101" s="410" t="s">
        <v>531</v>
      </c>
      <c r="Q101">
        <f t="shared" si="1"/>
        <v>-44</v>
      </c>
      <c r="R101">
        <f>_xlfn.XLOOKUP(E101,'Data Additive'!E:E,'Data Additive'!E:E,0)</f>
        <v>1246267070</v>
      </c>
    </row>
    <row r="102" spans="1:18" x14ac:dyDescent="0.25">
      <c r="A102" s="410">
        <v>1792</v>
      </c>
      <c r="B102" s="410" t="s">
        <v>828</v>
      </c>
      <c r="C102" s="410" t="s">
        <v>73</v>
      </c>
      <c r="D102" s="411">
        <v>118845</v>
      </c>
      <c r="E102" s="410">
        <v>1246269004</v>
      </c>
      <c r="F102" s="412">
        <v>46196</v>
      </c>
      <c r="G102" s="410"/>
      <c r="H102" s="410" t="s">
        <v>28</v>
      </c>
      <c r="I102" s="410" t="s">
        <v>29</v>
      </c>
      <c r="J102" s="410">
        <v>10975</v>
      </c>
      <c r="K102" s="412">
        <v>46106</v>
      </c>
      <c r="L102" s="410">
        <v>1010100</v>
      </c>
      <c r="M102" s="410" t="s">
        <v>35</v>
      </c>
      <c r="N102" s="410">
        <v>161</v>
      </c>
      <c r="O102" s="410" t="s">
        <v>161</v>
      </c>
      <c r="P102" s="410" t="s">
        <v>531</v>
      </c>
      <c r="Q102">
        <f t="shared" si="1"/>
        <v>-60</v>
      </c>
      <c r="R102">
        <f>_xlfn.XLOOKUP(E102,'Data Additive'!E:E,'Data Additive'!E:E,0)</f>
        <v>1246269004</v>
      </c>
    </row>
    <row r="103" spans="1:18" x14ac:dyDescent="0.25">
      <c r="A103" s="410">
        <v>1792</v>
      </c>
      <c r="B103" s="410" t="s">
        <v>828</v>
      </c>
      <c r="C103" s="410" t="s">
        <v>73</v>
      </c>
      <c r="D103" s="411">
        <v>117260.4</v>
      </c>
      <c r="E103" s="410">
        <v>1246270521</v>
      </c>
      <c r="F103" s="412">
        <v>46209</v>
      </c>
      <c r="G103" s="410"/>
      <c r="H103" s="410" t="s">
        <v>28</v>
      </c>
      <c r="I103" s="410" t="s">
        <v>29</v>
      </c>
      <c r="J103" s="410">
        <v>11066</v>
      </c>
      <c r="K103" s="412">
        <v>46119</v>
      </c>
      <c r="L103" s="410">
        <v>1010100</v>
      </c>
      <c r="M103" s="410" t="s">
        <v>35</v>
      </c>
      <c r="N103" s="410">
        <v>161</v>
      </c>
      <c r="O103" s="410" t="s">
        <v>161</v>
      </c>
      <c r="P103" s="410" t="s">
        <v>531</v>
      </c>
      <c r="Q103">
        <f t="shared" si="1"/>
        <v>-73</v>
      </c>
      <c r="R103">
        <f>_xlfn.XLOOKUP(E103,'Data Additive'!E:E,'Data Additive'!E:E,0)</f>
        <v>1246270521</v>
      </c>
    </row>
    <row r="104" spans="1:18" x14ac:dyDescent="0.25">
      <c r="A104" s="410">
        <v>1792</v>
      </c>
      <c r="B104" s="410" t="s">
        <v>828</v>
      </c>
      <c r="C104" s="410" t="s">
        <v>73</v>
      </c>
      <c r="D104" s="411">
        <v>118302.9</v>
      </c>
      <c r="E104" s="410">
        <v>1246266107</v>
      </c>
      <c r="F104" s="412">
        <v>46174</v>
      </c>
      <c r="G104" s="410"/>
      <c r="H104" s="410" t="s">
        <v>28</v>
      </c>
      <c r="I104" s="410" t="s">
        <v>29</v>
      </c>
      <c r="J104" s="410">
        <v>10803</v>
      </c>
      <c r="K104" s="412">
        <v>46084</v>
      </c>
      <c r="L104" s="410">
        <v>1010100</v>
      </c>
      <c r="M104" s="410" t="s">
        <v>35</v>
      </c>
      <c r="N104" s="410">
        <v>161</v>
      </c>
      <c r="O104" s="410" t="s">
        <v>161</v>
      </c>
      <c r="P104" s="410" t="s">
        <v>531</v>
      </c>
      <c r="Q104">
        <f t="shared" si="1"/>
        <v>-38</v>
      </c>
      <c r="R104">
        <f>_xlfn.XLOOKUP(E104,'Data Additive'!E:E,'Data Additive'!E:E,0)</f>
        <v>1246266107</v>
      </c>
    </row>
    <row r="105" spans="1:18" x14ac:dyDescent="0.25">
      <c r="A105" s="410">
        <v>1792</v>
      </c>
      <c r="B105" s="410" t="s">
        <v>828</v>
      </c>
      <c r="C105" s="410" t="s">
        <v>73</v>
      </c>
      <c r="D105" s="411">
        <v>116343</v>
      </c>
      <c r="E105" s="410">
        <v>1246268258</v>
      </c>
      <c r="F105" s="412">
        <v>46189</v>
      </c>
      <c r="G105" s="410"/>
      <c r="H105" s="410" t="s">
        <v>28</v>
      </c>
      <c r="I105" s="410" t="s">
        <v>29</v>
      </c>
      <c r="J105" s="410">
        <v>10918</v>
      </c>
      <c r="K105" s="412">
        <v>46099</v>
      </c>
      <c r="L105" s="410">
        <v>1010100</v>
      </c>
      <c r="M105" s="410" t="s">
        <v>35</v>
      </c>
      <c r="N105" s="410">
        <v>161</v>
      </c>
      <c r="O105" s="410" t="s">
        <v>161</v>
      </c>
      <c r="P105" s="410" t="s">
        <v>531</v>
      </c>
      <c r="Q105">
        <f t="shared" si="1"/>
        <v>-53</v>
      </c>
      <c r="R105">
        <f>_xlfn.XLOOKUP(E105,'Data Additive'!E:E,'Data Additive'!E:E,0)</f>
        <v>1246268258</v>
      </c>
    </row>
    <row r="106" spans="1:18" x14ac:dyDescent="0.25">
      <c r="A106" s="410">
        <v>1792</v>
      </c>
      <c r="B106" s="410" t="s">
        <v>828</v>
      </c>
      <c r="C106" s="410" t="s">
        <v>73</v>
      </c>
      <c r="D106" s="411">
        <v>116760</v>
      </c>
      <c r="E106" s="410">
        <v>1246270240</v>
      </c>
      <c r="F106" s="412">
        <v>46204</v>
      </c>
      <c r="G106" s="410"/>
      <c r="H106" s="410" t="s">
        <v>28</v>
      </c>
      <c r="I106" s="410" t="s">
        <v>29</v>
      </c>
      <c r="J106" s="410">
        <v>11049</v>
      </c>
      <c r="K106" s="412">
        <v>46114</v>
      </c>
      <c r="L106" s="410">
        <v>1010100</v>
      </c>
      <c r="M106" s="410" t="s">
        <v>35</v>
      </c>
      <c r="N106" s="410">
        <v>161</v>
      </c>
      <c r="O106" s="410" t="s">
        <v>161</v>
      </c>
      <c r="P106" s="410" t="s">
        <v>531</v>
      </c>
      <c r="Q106">
        <f t="shared" si="1"/>
        <v>-68</v>
      </c>
      <c r="R106">
        <f>_xlfn.XLOOKUP(E106,'Data Additive'!E:E,'Data Additive'!E:E,0)</f>
        <v>1246270240</v>
      </c>
    </row>
    <row r="107" spans="1:18" x14ac:dyDescent="0.25">
      <c r="A107" s="410">
        <v>1792</v>
      </c>
      <c r="B107" s="410" t="s">
        <v>828</v>
      </c>
      <c r="C107" s="410" t="s">
        <v>73</v>
      </c>
      <c r="D107" s="411">
        <v>117051.9</v>
      </c>
      <c r="E107" s="410">
        <v>1246269741</v>
      </c>
      <c r="F107" s="412">
        <v>46202</v>
      </c>
      <c r="G107" s="410"/>
      <c r="H107" s="410" t="s">
        <v>28</v>
      </c>
      <c r="I107" s="410" t="s">
        <v>29</v>
      </c>
      <c r="J107" s="410">
        <v>11015</v>
      </c>
      <c r="K107" s="412">
        <v>46112</v>
      </c>
      <c r="L107" s="410">
        <v>1010100</v>
      </c>
      <c r="M107" s="410" t="s">
        <v>35</v>
      </c>
      <c r="N107" s="410">
        <v>161</v>
      </c>
      <c r="O107" s="410" t="s">
        <v>161</v>
      </c>
      <c r="P107" s="410" t="s">
        <v>531</v>
      </c>
      <c r="Q107">
        <f t="shared" si="1"/>
        <v>-66</v>
      </c>
      <c r="R107">
        <f>_xlfn.XLOOKUP(E107,'Data Additive'!E:E,'Data Additive'!E:E,0)</f>
        <v>1246269741</v>
      </c>
    </row>
    <row r="108" spans="1:18" x14ac:dyDescent="0.25">
      <c r="A108" s="410">
        <v>1792</v>
      </c>
      <c r="B108" s="410" t="s">
        <v>828</v>
      </c>
      <c r="C108" s="410" t="s">
        <v>73</v>
      </c>
      <c r="D108" s="411">
        <v>115842.6</v>
      </c>
      <c r="E108" s="410">
        <v>1246271433</v>
      </c>
      <c r="F108" s="412">
        <v>46217</v>
      </c>
      <c r="G108" s="410"/>
      <c r="H108" s="410" t="s">
        <v>28</v>
      </c>
      <c r="I108" s="410" t="s">
        <v>29</v>
      </c>
      <c r="J108" s="410">
        <v>11125</v>
      </c>
      <c r="K108" s="412">
        <v>46127</v>
      </c>
      <c r="L108" s="410">
        <v>1010100</v>
      </c>
      <c r="M108" s="410" t="s">
        <v>35</v>
      </c>
      <c r="N108" s="410">
        <v>161</v>
      </c>
      <c r="O108" s="410" t="s">
        <v>161</v>
      </c>
      <c r="P108" s="410" t="s">
        <v>531</v>
      </c>
      <c r="Q108">
        <f t="shared" si="1"/>
        <v>-81</v>
      </c>
      <c r="R108">
        <f>_xlfn.XLOOKUP(E108,'Data Additive'!E:E,'Data Additive'!E:E,0)</f>
        <v>1246271433</v>
      </c>
    </row>
    <row r="109" spans="1:18" x14ac:dyDescent="0.25">
      <c r="A109" s="410">
        <v>1792</v>
      </c>
      <c r="B109" s="410" t="s">
        <v>828</v>
      </c>
      <c r="C109" s="410" t="s">
        <v>73</v>
      </c>
      <c r="D109" s="411">
        <v>116134.5</v>
      </c>
      <c r="E109" s="410">
        <v>1246271003</v>
      </c>
      <c r="F109" s="412">
        <v>46212</v>
      </c>
      <c r="G109" s="410"/>
      <c r="H109" s="410" t="s">
        <v>28</v>
      </c>
      <c r="I109" s="410" t="s">
        <v>29</v>
      </c>
      <c r="J109" s="410">
        <v>11092</v>
      </c>
      <c r="K109" s="412">
        <v>46122</v>
      </c>
      <c r="L109" s="410">
        <v>1010100</v>
      </c>
      <c r="M109" s="410" t="s">
        <v>35</v>
      </c>
      <c r="N109" s="410">
        <v>161</v>
      </c>
      <c r="O109" s="410" t="s">
        <v>161</v>
      </c>
      <c r="P109" s="410" t="s">
        <v>531</v>
      </c>
      <c r="Q109">
        <f t="shared" si="1"/>
        <v>-76</v>
      </c>
      <c r="R109">
        <f>_xlfn.XLOOKUP(E109,'Data Additive'!E:E,'Data Additive'!E:E,0)</f>
        <v>1246271003</v>
      </c>
    </row>
    <row r="110" spans="1:18" x14ac:dyDescent="0.25">
      <c r="A110" s="410">
        <v>1792</v>
      </c>
      <c r="B110" s="410" t="s">
        <v>828</v>
      </c>
      <c r="C110" s="410" t="s">
        <v>73</v>
      </c>
      <c r="D110" s="411">
        <v>120471.3</v>
      </c>
      <c r="E110" s="410">
        <v>1246272043</v>
      </c>
      <c r="F110" s="412">
        <v>46224</v>
      </c>
      <c r="G110" s="410"/>
      <c r="H110" s="410" t="s">
        <v>28</v>
      </c>
      <c r="I110" s="410" t="s">
        <v>29</v>
      </c>
      <c r="J110" s="410">
        <v>11190</v>
      </c>
      <c r="K110" s="412">
        <v>46134</v>
      </c>
      <c r="L110" s="410">
        <v>1010100</v>
      </c>
      <c r="M110" s="410" t="s">
        <v>35</v>
      </c>
      <c r="N110" s="410">
        <v>161</v>
      </c>
      <c r="O110" s="410" t="s">
        <v>161</v>
      </c>
      <c r="P110" s="410" t="s">
        <v>531</v>
      </c>
      <c r="Q110">
        <f t="shared" si="1"/>
        <v>-88</v>
      </c>
      <c r="R110">
        <f>_xlfn.XLOOKUP(E110,'Data Additive'!E:E,'Data Additive'!E:E,0)</f>
        <v>1246272043</v>
      </c>
    </row>
    <row r="111" spans="1:18" x14ac:dyDescent="0.25">
      <c r="A111" s="410">
        <v>1792</v>
      </c>
      <c r="B111" s="410" t="s">
        <v>828</v>
      </c>
      <c r="C111" s="410" t="s">
        <v>73</v>
      </c>
      <c r="D111" s="411">
        <v>116092.8</v>
      </c>
      <c r="E111" s="410">
        <v>1246267659</v>
      </c>
      <c r="F111" s="412">
        <v>46184</v>
      </c>
      <c r="G111" s="410"/>
      <c r="H111" s="410" t="s">
        <v>28</v>
      </c>
      <c r="I111" s="410" t="s">
        <v>29</v>
      </c>
      <c r="J111" s="410">
        <v>10876</v>
      </c>
      <c r="K111" s="412">
        <v>46094</v>
      </c>
      <c r="L111" s="410">
        <v>1010100</v>
      </c>
      <c r="M111" s="410" t="s">
        <v>35</v>
      </c>
      <c r="N111" s="410">
        <v>161</v>
      </c>
      <c r="O111" s="410" t="s">
        <v>161</v>
      </c>
      <c r="P111" s="410" t="s">
        <v>531</v>
      </c>
      <c r="Q111">
        <f t="shared" si="1"/>
        <v>-48</v>
      </c>
      <c r="R111">
        <f>_xlfn.XLOOKUP(E111,'Data Additive'!E:E,'Data Additive'!E:E,0)</f>
        <v>1246267659</v>
      </c>
    </row>
    <row r="112" spans="1:18" x14ac:dyDescent="0.25">
      <c r="A112" s="410">
        <v>201</v>
      </c>
      <c r="B112" s="410" t="s">
        <v>322</v>
      </c>
      <c r="C112" s="410" t="s">
        <v>908</v>
      </c>
      <c r="D112" s="411">
        <v>150024</v>
      </c>
      <c r="E112" s="410">
        <v>1246269649</v>
      </c>
      <c r="F112" s="412">
        <v>46139</v>
      </c>
      <c r="G112" s="410"/>
      <c r="H112" s="410" t="s">
        <v>28</v>
      </c>
      <c r="I112" s="410" t="s">
        <v>29</v>
      </c>
      <c r="J112" s="410">
        <v>11010</v>
      </c>
      <c r="K112" s="412">
        <v>46111</v>
      </c>
      <c r="L112" s="410">
        <v>1010100</v>
      </c>
      <c r="M112" s="410" t="s">
        <v>35</v>
      </c>
      <c r="N112" s="410">
        <v>161</v>
      </c>
      <c r="O112" s="410" t="s">
        <v>161</v>
      </c>
      <c r="P112" s="410" t="s">
        <v>430</v>
      </c>
      <c r="Q112">
        <f t="shared" si="1"/>
        <v>-3</v>
      </c>
      <c r="R112">
        <f>_xlfn.XLOOKUP(E112,'Data Additive'!E:E,'Data Additive'!E:E,0)</f>
        <v>1246269649</v>
      </c>
    </row>
    <row r="113" spans="1:18" x14ac:dyDescent="0.25">
      <c r="A113" s="410">
        <v>201</v>
      </c>
      <c r="B113" s="410" t="s">
        <v>322</v>
      </c>
      <c r="C113" s="410" t="s">
        <v>908</v>
      </c>
      <c r="D113" s="411">
        <v>185040</v>
      </c>
      <c r="E113" s="410">
        <v>1246269671</v>
      </c>
      <c r="F113" s="412">
        <v>46231</v>
      </c>
      <c r="G113" s="410"/>
      <c r="H113" s="410" t="s">
        <v>28</v>
      </c>
      <c r="I113" s="410" t="s">
        <v>29</v>
      </c>
      <c r="J113" s="410">
        <v>2855</v>
      </c>
      <c r="K113" s="412">
        <v>46111</v>
      </c>
      <c r="L113" s="410">
        <v>1010100</v>
      </c>
      <c r="M113" s="410" t="s">
        <v>35</v>
      </c>
      <c r="N113" s="410">
        <v>161</v>
      </c>
      <c r="O113" s="410" t="s">
        <v>161</v>
      </c>
      <c r="P113" s="410" t="s">
        <v>430</v>
      </c>
      <c r="Q113">
        <f t="shared" si="1"/>
        <v>-95</v>
      </c>
      <c r="R113">
        <f>_xlfn.XLOOKUP(E113,'Data Additive'!E:E,'Data Additive'!E:E,0)</f>
        <v>1246269671</v>
      </c>
    </row>
    <row r="114" spans="1:18" x14ac:dyDescent="0.25">
      <c r="A114" s="410">
        <v>903</v>
      </c>
      <c r="B114" s="410" t="s">
        <v>57</v>
      </c>
      <c r="C114" s="410" t="s">
        <v>58</v>
      </c>
      <c r="D114" s="411">
        <v>135135.03</v>
      </c>
      <c r="E114" s="410">
        <v>1246272230</v>
      </c>
      <c r="F114" s="412">
        <v>46175</v>
      </c>
      <c r="G114" s="410"/>
      <c r="H114" s="410" t="s">
        <v>28</v>
      </c>
      <c r="I114" s="410" t="s">
        <v>29</v>
      </c>
      <c r="J114" s="410">
        <v>11199</v>
      </c>
      <c r="K114" s="412">
        <v>46135</v>
      </c>
      <c r="L114" s="410">
        <v>1010100</v>
      </c>
      <c r="M114" s="410" t="s">
        <v>35</v>
      </c>
      <c r="N114" s="410">
        <v>161</v>
      </c>
      <c r="O114" s="410" t="s">
        <v>161</v>
      </c>
      <c r="P114" s="410" t="s">
        <v>420</v>
      </c>
      <c r="Q114">
        <f t="shared" si="1"/>
        <v>-39</v>
      </c>
      <c r="R114">
        <f>_xlfn.XLOOKUP(E114,'Data Additive'!E:E,'Data Additive'!E:E,0)</f>
        <v>1246272230</v>
      </c>
    </row>
    <row r="115" spans="1:18" x14ac:dyDescent="0.25">
      <c r="A115" s="410">
        <v>903</v>
      </c>
      <c r="B115" s="410" t="s">
        <v>57</v>
      </c>
      <c r="C115" s="410" t="s">
        <v>58</v>
      </c>
      <c r="D115" s="411">
        <v>134594.85</v>
      </c>
      <c r="E115" s="410">
        <v>1246270087</v>
      </c>
      <c r="F115" s="412">
        <v>46154</v>
      </c>
      <c r="G115" s="410"/>
      <c r="H115" s="410" t="s">
        <v>28</v>
      </c>
      <c r="I115" s="410" t="s">
        <v>29</v>
      </c>
      <c r="J115" s="410">
        <v>11034</v>
      </c>
      <c r="K115" s="412">
        <v>46114</v>
      </c>
      <c r="L115" s="410">
        <v>1010100</v>
      </c>
      <c r="M115" s="410" t="s">
        <v>35</v>
      </c>
      <c r="N115" s="410">
        <v>161</v>
      </c>
      <c r="O115" s="410" t="s">
        <v>161</v>
      </c>
      <c r="P115" s="410" t="s">
        <v>420</v>
      </c>
      <c r="Q115">
        <f t="shared" si="1"/>
        <v>-18</v>
      </c>
      <c r="R115">
        <f>_xlfn.XLOOKUP(E115,'Data Additive'!E:E,'Data Additive'!E:E,0)</f>
        <v>1246270087</v>
      </c>
    </row>
    <row r="116" spans="1:18" x14ac:dyDescent="0.25">
      <c r="A116" s="410">
        <v>903</v>
      </c>
      <c r="B116" s="410" t="s">
        <v>57</v>
      </c>
      <c r="C116" s="410" t="s">
        <v>58</v>
      </c>
      <c r="D116" s="411">
        <v>134504.82</v>
      </c>
      <c r="E116" s="410">
        <v>1246271047</v>
      </c>
      <c r="F116" s="412">
        <v>46162</v>
      </c>
      <c r="G116" s="410"/>
      <c r="H116" s="410" t="s">
        <v>28</v>
      </c>
      <c r="I116" s="410" t="s">
        <v>29</v>
      </c>
      <c r="J116" s="410">
        <v>11098</v>
      </c>
      <c r="K116" s="412">
        <v>46122</v>
      </c>
      <c r="L116" s="410">
        <v>1010100</v>
      </c>
      <c r="M116" s="410" t="s">
        <v>35</v>
      </c>
      <c r="N116" s="410">
        <v>161</v>
      </c>
      <c r="O116" s="410" t="s">
        <v>161</v>
      </c>
      <c r="P116" s="410" t="s">
        <v>420</v>
      </c>
      <c r="Q116">
        <f t="shared" si="1"/>
        <v>-26</v>
      </c>
      <c r="R116">
        <f>_xlfn.XLOOKUP(E116,'Data Additive'!E:E,'Data Additive'!E:E,0)</f>
        <v>1246271047</v>
      </c>
    </row>
    <row r="117" spans="1:18" x14ac:dyDescent="0.25">
      <c r="A117" s="410">
        <v>903</v>
      </c>
      <c r="B117" s="410" t="s">
        <v>57</v>
      </c>
      <c r="C117" s="410" t="s">
        <v>58</v>
      </c>
      <c r="D117" s="411">
        <v>134864.94</v>
      </c>
      <c r="E117" s="410">
        <v>1246269425</v>
      </c>
      <c r="F117" s="412">
        <v>46148</v>
      </c>
      <c r="G117" s="410"/>
      <c r="H117" s="410" t="s">
        <v>28</v>
      </c>
      <c r="I117" s="410" t="s">
        <v>29</v>
      </c>
      <c r="J117" s="410">
        <v>10990</v>
      </c>
      <c r="K117" s="412">
        <v>46108</v>
      </c>
      <c r="L117" s="410">
        <v>1010100</v>
      </c>
      <c r="M117" s="410" t="s">
        <v>35</v>
      </c>
      <c r="N117" s="410">
        <v>161</v>
      </c>
      <c r="O117" s="410" t="s">
        <v>161</v>
      </c>
      <c r="P117" s="410" t="s">
        <v>420</v>
      </c>
      <c r="Q117">
        <f t="shared" ref="Q117:Q162" si="2">$R$1-F117</f>
        <v>-12</v>
      </c>
      <c r="R117">
        <f>_xlfn.XLOOKUP(E117,'Data Additive'!E:E,'Data Additive'!E:E,0)</f>
        <v>1246269425</v>
      </c>
    </row>
    <row r="118" spans="1:18" x14ac:dyDescent="0.25">
      <c r="A118" s="410">
        <v>903</v>
      </c>
      <c r="B118" s="410" t="s">
        <v>57</v>
      </c>
      <c r="C118" s="410" t="s">
        <v>58</v>
      </c>
      <c r="D118" s="411">
        <v>135765.24</v>
      </c>
      <c r="E118" s="410">
        <v>1246267822</v>
      </c>
      <c r="F118" s="412">
        <v>46137</v>
      </c>
      <c r="G118" s="410"/>
      <c r="H118" s="410" t="s">
        <v>28</v>
      </c>
      <c r="I118" s="410" t="s">
        <v>29</v>
      </c>
      <c r="J118" s="410">
        <v>10890</v>
      </c>
      <c r="K118" s="412">
        <v>46097</v>
      </c>
      <c r="L118" s="410">
        <v>1010100</v>
      </c>
      <c r="M118" s="410" t="s">
        <v>35</v>
      </c>
      <c r="N118" s="410">
        <v>161</v>
      </c>
      <c r="O118" s="410" t="s">
        <v>161</v>
      </c>
      <c r="P118" s="410" t="s">
        <v>420</v>
      </c>
      <c r="Q118">
        <f t="shared" si="2"/>
        <v>-1</v>
      </c>
      <c r="R118">
        <f>_xlfn.XLOOKUP(E118,'Data Additive'!E:E,'Data Additive'!E:E,0)</f>
        <v>1246267822</v>
      </c>
    </row>
    <row r="119" spans="1:18" x14ac:dyDescent="0.25">
      <c r="A119" s="410">
        <v>903</v>
      </c>
      <c r="B119" s="410" t="s">
        <v>57</v>
      </c>
      <c r="C119" s="410" t="s">
        <v>58</v>
      </c>
      <c r="D119" s="411">
        <v>133334.43</v>
      </c>
      <c r="E119" s="410">
        <v>1246268951</v>
      </c>
      <c r="F119" s="412">
        <v>46146</v>
      </c>
      <c r="G119" s="410"/>
      <c r="H119" s="410" t="s">
        <v>28</v>
      </c>
      <c r="I119" s="410" t="s">
        <v>29</v>
      </c>
      <c r="J119" s="410">
        <v>10971</v>
      </c>
      <c r="K119" s="412">
        <v>46106</v>
      </c>
      <c r="L119" s="410">
        <v>1010100</v>
      </c>
      <c r="M119" s="410" t="s">
        <v>35</v>
      </c>
      <c r="N119" s="410">
        <v>161</v>
      </c>
      <c r="O119" s="410" t="s">
        <v>161</v>
      </c>
      <c r="P119" s="410" t="s">
        <v>420</v>
      </c>
      <c r="Q119">
        <f t="shared" si="2"/>
        <v>-10</v>
      </c>
      <c r="R119">
        <f>_xlfn.XLOOKUP(E119,'Data Additive'!E:E,'Data Additive'!E:E,0)</f>
        <v>1246268951</v>
      </c>
    </row>
    <row r="120" spans="1:18" x14ac:dyDescent="0.25">
      <c r="A120" s="410">
        <v>1159</v>
      </c>
      <c r="B120" s="410" t="s">
        <v>60</v>
      </c>
      <c r="C120" s="410" t="s">
        <v>61</v>
      </c>
      <c r="D120" s="411">
        <v>1800</v>
      </c>
      <c r="E120" s="410">
        <v>1246087936</v>
      </c>
      <c r="F120" s="412">
        <v>45112</v>
      </c>
      <c r="G120" s="410"/>
      <c r="H120" s="410" t="s">
        <v>28</v>
      </c>
      <c r="I120" s="410" t="s">
        <v>29</v>
      </c>
      <c r="J120" s="410">
        <v>1246087936</v>
      </c>
      <c r="K120" s="412">
        <v>45097</v>
      </c>
      <c r="L120" s="410">
        <v>3041000</v>
      </c>
      <c r="M120" s="410" t="s">
        <v>138</v>
      </c>
      <c r="N120" s="410">
        <v>46</v>
      </c>
      <c r="O120" s="410" t="s">
        <v>163</v>
      </c>
      <c r="P120" s="410" t="s">
        <v>420</v>
      </c>
      <c r="Q120">
        <f t="shared" si="2"/>
        <v>1024</v>
      </c>
      <c r="R120">
        <f>_xlfn.XLOOKUP(E120,'Data Additive'!E:E,'Data Additive'!E:E,0)</f>
        <v>0</v>
      </c>
    </row>
    <row r="121" spans="1:18" x14ac:dyDescent="0.25">
      <c r="A121" s="410">
        <v>1159</v>
      </c>
      <c r="B121" s="410" t="s">
        <v>60</v>
      </c>
      <c r="C121" s="410" t="s">
        <v>61</v>
      </c>
      <c r="D121" s="411">
        <v>2700</v>
      </c>
      <c r="E121" s="410">
        <v>1246087941</v>
      </c>
      <c r="F121" s="412">
        <v>45112</v>
      </c>
      <c r="G121" s="410"/>
      <c r="H121" s="410" t="s">
        <v>28</v>
      </c>
      <c r="I121" s="410" t="s">
        <v>29</v>
      </c>
      <c r="J121" s="410">
        <v>1246087941</v>
      </c>
      <c r="K121" s="412">
        <v>45097</v>
      </c>
      <c r="L121" s="410">
        <v>3041000</v>
      </c>
      <c r="M121" s="410" t="s">
        <v>138</v>
      </c>
      <c r="N121" s="410">
        <v>46</v>
      </c>
      <c r="O121" s="410" t="s">
        <v>163</v>
      </c>
      <c r="P121" s="410" t="s">
        <v>420</v>
      </c>
      <c r="Q121">
        <f t="shared" si="2"/>
        <v>1024</v>
      </c>
      <c r="R121">
        <f>_xlfn.XLOOKUP(E121,'Data Additive'!E:E,'Data Additive'!E:E,0)</f>
        <v>0</v>
      </c>
    </row>
    <row r="122" spans="1:18" x14ac:dyDescent="0.25">
      <c r="A122" s="410">
        <v>1159</v>
      </c>
      <c r="B122" s="410" t="s">
        <v>60</v>
      </c>
      <c r="C122" s="410" t="s">
        <v>61</v>
      </c>
      <c r="D122" s="411">
        <v>1800</v>
      </c>
      <c r="E122" s="410">
        <v>1246087939</v>
      </c>
      <c r="F122" s="412">
        <v>45112</v>
      </c>
      <c r="G122" s="410"/>
      <c r="H122" s="410" t="s">
        <v>28</v>
      </c>
      <c r="I122" s="410" t="s">
        <v>29</v>
      </c>
      <c r="J122" s="410">
        <v>1246087939</v>
      </c>
      <c r="K122" s="412">
        <v>45097</v>
      </c>
      <c r="L122" s="410">
        <v>3041000</v>
      </c>
      <c r="M122" s="410" t="s">
        <v>138</v>
      </c>
      <c r="N122" s="410">
        <v>46</v>
      </c>
      <c r="O122" s="410" t="s">
        <v>163</v>
      </c>
      <c r="P122" s="410" t="s">
        <v>420</v>
      </c>
      <c r="Q122">
        <f t="shared" si="2"/>
        <v>1024</v>
      </c>
      <c r="R122">
        <f>_xlfn.XLOOKUP(E122,'Data Additive'!E:E,'Data Additive'!E:E,0)</f>
        <v>0</v>
      </c>
    </row>
    <row r="123" spans="1:18" x14ac:dyDescent="0.25">
      <c r="A123" s="410">
        <v>1159</v>
      </c>
      <c r="B123" s="410" t="s">
        <v>60</v>
      </c>
      <c r="C123" s="410" t="s">
        <v>61</v>
      </c>
      <c r="D123" s="411">
        <v>1800</v>
      </c>
      <c r="E123" s="410">
        <v>1246087937</v>
      </c>
      <c r="F123" s="412">
        <v>45112</v>
      </c>
      <c r="G123" s="410"/>
      <c r="H123" s="410" t="s">
        <v>28</v>
      </c>
      <c r="I123" s="410" t="s">
        <v>29</v>
      </c>
      <c r="J123" s="410">
        <v>1246087937</v>
      </c>
      <c r="K123" s="412">
        <v>45097</v>
      </c>
      <c r="L123" s="410">
        <v>3041000</v>
      </c>
      <c r="M123" s="410" t="s">
        <v>138</v>
      </c>
      <c r="N123" s="410">
        <v>46</v>
      </c>
      <c r="O123" s="410" t="s">
        <v>163</v>
      </c>
      <c r="P123" s="410" t="s">
        <v>420</v>
      </c>
      <c r="Q123">
        <f t="shared" si="2"/>
        <v>1024</v>
      </c>
      <c r="R123">
        <f>_xlfn.XLOOKUP(E123,'Data Additive'!E:E,'Data Additive'!E:E,0)</f>
        <v>0</v>
      </c>
    </row>
    <row r="124" spans="1:18" x14ac:dyDescent="0.25">
      <c r="A124" s="410">
        <v>1159</v>
      </c>
      <c r="B124" s="410" t="s">
        <v>60</v>
      </c>
      <c r="C124" s="410" t="s">
        <v>61</v>
      </c>
      <c r="D124" s="411">
        <v>1800</v>
      </c>
      <c r="E124" s="410">
        <v>1246087943</v>
      </c>
      <c r="F124" s="412">
        <v>45112</v>
      </c>
      <c r="G124" s="410"/>
      <c r="H124" s="410" t="s">
        <v>28</v>
      </c>
      <c r="I124" s="410" t="s">
        <v>29</v>
      </c>
      <c r="J124" s="410">
        <v>1246087943</v>
      </c>
      <c r="K124" s="412">
        <v>45097</v>
      </c>
      <c r="L124" s="410">
        <v>3041000</v>
      </c>
      <c r="M124" s="410" t="s">
        <v>138</v>
      </c>
      <c r="N124" s="410">
        <v>46</v>
      </c>
      <c r="O124" s="410" t="s">
        <v>163</v>
      </c>
      <c r="P124" s="410" t="s">
        <v>420</v>
      </c>
      <c r="Q124">
        <f t="shared" si="2"/>
        <v>1024</v>
      </c>
      <c r="R124">
        <f>_xlfn.XLOOKUP(E124,'Data Additive'!E:E,'Data Additive'!E:E,0)</f>
        <v>0</v>
      </c>
    </row>
    <row r="125" spans="1:18" x14ac:dyDescent="0.25">
      <c r="A125" s="410">
        <v>1159</v>
      </c>
      <c r="B125" s="410" t="s">
        <v>60</v>
      </c>
      <c r="C125" s="410" t="s">
        <v>61</v>
      </c>
      <c r="D125" s="411">
        <v>2700</v>
      </c>
      <c r="E125" s="410">
        <v>1246121301</v>
      </c>
      <c r="F125" s="412">
        <v>45297</v>
      </c>
      <c r="G125" s="410"/>
      <c r="H125" s="410" t="s">
        <v>28</v>
      </c>
      <c r="I125" s="410" t="s">
        <v>29</v>
      </c>
      <c r="J125" s="410">
        <v>1246121301</v>
      </c>
      <c r="K125" s="412">
        <v>45282</v>
      </c>
      <c r="L125" s="410">
        <v>3041000</v>
      </c>
      <c r="M125" s="410" t="s">
        <v>138</v>
      </c>
      <c r="N125" s="410">
        <v>46</v>
      </c>
      <c r="O125" s="410" t="s">
        <v>163</v>
      </c>
      <c r="P125" s="410" t="s">
        <v>420</v>
      </c>
      <c r="Q125">
        <f t="shared" si="2"/>
        <v>839</v>
      </c>
      <c r="R125">
        <f>_xlfn.XLOOKUP(E125,'Data Additive'!E:E,'Data Additive'!E:E,0)</f>
        <v>0</v>
      </c>
    </row>
    <row r="126" spans="1:18" x14ac:dyDescent="0.25">
      <c r="A126" s="410">
        <v>1159</v>
      </c>
      <c r="B126" s="410" t="s">
        <v>60</v>
      </c>
      <c r="C126" s="410" t="s">
        <v>61</v>
      </c>
      <c r="D126" s="411">
        <v>4800</v>
      </c>
      <c r="E126" s="410">
        <v>1246121285</v>
      </c>
      <c r="F126" s="412">
        <v>45297</v>
      </c>
      <c r="G126" s="410"/>
      <c r="H126" s="410" t="s">
        <v>28</v>
      </c>
      <c r="I126" s="410" t="s">
        <v>29</v>
      </c>
      <c r="J126" s="410">
        <v>1246121285</v>
      </c>
      <c r="K126" s="412">
        <v>45282</v>
      </c>
      <c r="L126" s="410">
        <v>3041000</v>
      </c>
      <c r="M126" s="410" t="s">
        <v>138</v>
      </c>
      <c r="N126" s="410">
        <v>46</v>
      </c>
      <c r="O126" s="410" t="s">
        <v>163</v>
      </c>
      <c r="P126" s="410" t="s">
        <v>420</v>
      </c>
      <c r="Q126">
        <f t="shared" si="2"/>
        <v>839</v>
      </c>
      <c r="R126">
        <f>_xlfn.XLOOKUP(E126,'Data Additive'!E:E,'Data Additive'!E:E,0)</f>
        <v>0</v>
      </c>
    </row>
    <row r="127" spans="1:18" x14ac:dyDescent="0.25">
      <c r="A127" s="410">
        <v>1159</v>
      </c>
      <c r="B127" s="410" t="s">
        <v>60</v>
      </c>
      <c r="C127" s="410" t="s">
        <v>61</v>
      </c>
      <c r="D127" s="411">
        <v>2700</v>
      </c>
      <c r="E127" s="410">
        <v>1246121300</v>
      </c>
      <c r="F127" s="412">
        <v>45297</v>
      </c>
      <c r="G127" s="410"/>
      <c r="H127" s="410" t="s">
        <v>28</v>
      </c>
      <c r="I127" s="410" t="s">
        <v>29</v>
      </c>
      <c r="J127" s="410">
        <v>1246121300</v>
      </c>
      <c r="K127" s="412">
        <v>45282</v>
      </c>
      <c r="L127" s="410">
        <v>3041000</v>
      </c>
      <c r="M127" s="410" t="s">
        <v>138</v>
      </c>
      <c r="N127" s="410">
        <v>46</v>
      </c>
      <c r="O127" s="410" t="s">
        <v>163</v>
      </c>
      <c r="P127" s="410" t="s">
        <v>420</v>
      </c>
      <c r="Q127">
        <f t="shared" si="2"/>
        <v>839</v>
      </c>
      <c r="R127">
        <f>_xlfn.XLOOKUP(E127,'Data Additive'!E:E,'Data Additive'!E:E,0)</f>
        <v>0</v>
      </c>
    </row>
    <row r="128" spans="1:18" x14ac:dyDescent="0.25">
      <c r="A128" s="410">
        <v>1159</v>
      </c>
      <c r="B128" s="410" t="s">
        <v>60</v>
      </c>
      <c r="C128" s="410" t="s">
        <v>61</v>
      </c>
      <c r="D128" s="411">
        <v>1800</v>
      </c>
      <c r="E128" s="410">
        <v>1246121298</v>
      </c>
      <c r="F128" s="412">
        <v>45297</v>
      </c>
      <c r="G128" s="410"/>
      <c r="H128" s="410" t="s">
        <v>28</v>
      </c>
      <c r="I128" s="410" t="s">
        <v>29</v>
      </c>
      <c r="J128" s="410">
        <v>1246121298</v>
      </c>
      <c r="K128" s="412">
        <v>45282</v>
      </c>
      <c r="L128" s="410">
        <v>3041000</v>
      </c>
      <c r="M128" s="410" t="s">
        <v>138</v>
      </c>
      <c r="N128" s="410">
        <v>46</v>
      </c>
      <c r="O128" s="410" t="s">
        <v>163</v>
      </c>
      <c r="P128" s="410" t="s">
        <v>420</v>
      </c>
      <c r="Q128">
        <f t="shared" si="2"/>
        <v>839</v>
      </c>
      <c r="R128">
        <f>_xlfn.XLOOKUP(E128,'Data Additive'!E:E,'Data Additive'!E:E,0)</f>
        <v>0</v>
      </c>
    </row>
    <row r="129" spans="1:18" x14ac:dyDescent="0.25">
      <c r="A129" s="410">
        <v>1159</v>
      </c>
      <c r="B129" s="410" t="s">
        <v>60</v>
      </c>
      <c r="C129" s="410" t="s">
        <v>61</v>
      </c>
      <c r="D129" s="411">
        <v>2700</v>
      </c>
      <c r="E129" s="410">
        <v>1246121302</v>
      </c>
      <c r="F129" s="412">
        <v>45297</v>
      </c>
      <c r="G129" s="410"/>
      <c r="H129" s="410" t="s">
        <v>28</v>
      </c>
      <c r="I129" s="410" t="s">
        <v>29</v>
      </c>
      <c r="J129" s="410">
        <v>1246121302</v>
      </c>
      <c r="K129" s="412">
        <v>45282</v>
      </c>
      <c r="L129" s="410">
        <v>3041000</v>
      </c>
      <c r="M129" s="410" t="s">
        <v>138</v>
      </c>
      <c r="N129" s="410">
        <v>46</v>
      </c>
      <c r="O129" s="410" t="s">
        <v>163</v>
      </c>
      <c r="P129" s="410" t="s">
        <v>420</v>
      </c>
      <c r="Q129">
        <f t="shared" si="2"/>
        <v>839</v>
      </c>
      <c r="R129">
        <f>_xlfn.XLOOKUP(E129,'Data Additive'!E:E,'Data Additive'!E:E,0)</f>
        <v>0</v>
      </c>
    </row>
    <row r="130" spans="1:18" x14ac:dyDescent="0.25">
      <c r="A130" s="410">
        <v>1159</v>
      </c>
      <c r="B130" s="410" t="s">
        <v>60</v>
      </c>
      <c r="C130" s="410" t="s">
        <v>61</v>
      </c>
      <c r="D130" s="411">
        <v>1200</v>
      </c>
      <c r="E130" s="410">
        <v>1246121295</v>
      </c>
      <c r="F130" s="412">
        <v>45297</v>
      </c>
      <c r="G130" s="410"/>
      <c r="H130" s="410" t="s">
        <v>28</v>
      </c>
      <c r="I130" s="410" t="s">
        <v>29</v>
      </c>
      <c r="J130" s="410">
        <v>1246121295</v>
      </c>
      <c r="K130" s="412">
        <v>45282</v>
      </c>
      <c r="L130" s="410">
        <v>3041000</v>
      </c>
      <c r="M130" s="410" t="s">
        <v>138</v>
      </c>
      <c r="N130" s="410">
        <v>46</v>
      </c>
      <c r="O130" s="410" t="s">
        <v>163</v>
      </c>
      <c r="P130" s="410" t="s">
        <v>420</v>
      </c>
      <c r="Q130">
        <f t="shared" si="2"/>
        <v>839</v>
      </c>
      <c r="R130">
        <f>_xlfn.XLOOKUP(E130,'Data Additive'!E:E,'Data Additive'!E:E,0)</f>
        <v>0</v>
      </c>
    </row>
    <row r="131" spans="1:18" x14ac:dyDescent="0.25">
      <c r="A131" s="410">
        <v>1159</v>
      </c>
      <c r="B131" s="410" t="s">
        <v>60</v>
      </c>
      <c r="C131" s="410" t="s">
        <v>61</v>
      </c>
      <c r="D131" s="411">
        <v>2700</v>
      </c>
      <c r="E131" s="410">
        <v>1246121297</v>
      </c>
      <c r="F131" s="412">
        <v>45297</v>
      </c>
      <c r="G131" s="410"/>
      <c r="H131" s="410" t="s">
        <v>28</v>
      </c>
      <c r="I131" s="410" t="s">
        <v>29</v>
      </c>
      <c r="J131" s="410">
        <v>1246121297</v>
      </c>
      <c r="K131" s="412">
        <v>45282</v>
      </c>
      <c r="L131" s="410">
        <v>3041000</v>
      </c>
      <c r="M131" s="410" t="s">
        <v>138</v>
      </c>
      <c r="N131" s="410">
        <v>46</v>
      </c>
      <c r="O131" s="410" t="s">
        <v>163</v>
      </c>
      <c r="P131" s="410" t="s">
        <v>420</v>
      </c>
      <c r="Q131">
        <f t="shared" si="2"/>
        <v>839</v>
      </c>
      <c r="R131">
        <f>_xlfn.XLOOKUP(E131,'Data Additive'!E:E,'Data Additive'!E:E,0)</f>
        <v>0</v>
      </c>
    </row>
    <row r="132" spans="1:18" x14ac:dyDescent="0.25">
      <c r="A132" s="410">
        <v>1159</v>
      </c>
      <c r="B132" s="410" t="s">
        <v>60</v>
      </c>
      <c r="C132" s="410" t="s">
        <v>61</v>
      </c>
      <c r="D132" s="411">
        <v>6300</v>
      </c>
      <c r="E132" s="410">
        <v>1246121299</v>
      </c>
      <c r="F132" s="412">
        <v>45297</v>
      </c>
      <c r="G132" s="410"/>
      <c r="H132" s="410" t="s">
        <v>28</v>
      </c>
      <c r="I132" s="410" t="s">
        <v>29</v>
      </c>
      <c r="J132" s="410">
        <v>1246121299</v>
      </c>
      <c r="K132" s="412">
        <v>45282</v>
      </c>
      <c r="L132" s="410">
        <v>3041000</v>
      </c>
      <c r="M132" s="410" t="s">
        <v>138</v>
      </c>
      <c r="N132" s="410">
        <v>46</v>
      </c>
      <c r="O132" s="410" t="s">
        <v>163</v>
      </c>
      <c r="P132" s="410" t="s">
        <v>420</v>
      </c>
      <c r="Q132">
        <f t="shared" si="2"/>
        <v>839</v>
      </c>
      <c r="R132">
        <f>_xlfn.XLOOKUP(E132,'Data Additive'!E:E,'Data Additive'!E:E,0)</f>
        <v>0</v>
      </c>
    </row>
    <row r="133" spans="1:18" x14ac:dyDescent="0.25">
      <c r="A133" s="410">
        <v>1159</v>
      </c>
      <c r="B133" s="410" t="s">
        <v>60</v>
      </c>
      <c r="C133" s="410" t="s">
        <v>61</v>
      </c>
      <c r="D133" s="411">
        <v>3600</v>
      </c>
      <c r="E133" s="410">
        <v>1246121296</v>
      </c>
      <c r="F133" s="412">
        <v>45297</v>
      </c>
      <c r="G133" s="410"/>
      <c r="H133" s="410" t="s">
        <v>28</v>
      </c>
      <c r="I133" s="410" t="s">
        <v>29</v>
      </c>
      <c r="J133" s="410">
        <v>1246121296</v>
      </c>
      <c r="K133" s="412">
        <v>45282</v>
      </c>
      <c r="L133" s="410">
        <v>3041000</v>
      </c>
      <c r="M133" s="410" t="s">
        <v>138</v>
      </c>
      <c r="N133" s="410">
        <v>46</v>
      </c>
      <c r="O133" s="410" t="s">
        <v>163</v>
      </c>
      <c r="P133" s="410" t="s">
        <v>420</v>
      </c>
      <c r="Q133">
        <f t="shared" si="2"/>
        <v>839</v>
      </c>
      <c r="R133">
        <f>_xlfn.XLOOKUP(E133,'Data Additive'!E:E,'Data Additive'!E:E,0)</f>
        <v>0</v>
      </c>
    </row>
    <row r="134" spans="1:18" x14ac:dyDescent="0.25">
      <c r="A134" s="410">
        <v>1159</v>
      </c>
      <c r="B134" s="410" t="s">
        <v>60</v>
      </c>
      <c r="C134" s="410" t="s">
        <v>61</v>
      </c>
      <c r="D134" s="411">
        <v>1200</v>
      </c>
      <c r="E134" s="410">
        <v>1246135390</v>
      </c>
      <c r="F134" s="412">
        <v>45388</v>
      </c>
      <c r="G134" s="410"/>
      <c r="H134" s="410" t="s">
        <v>28</v>
      </c>
      <c r="I134" s="410" t="s">
        <v>29</v>
      </c>
      <c r="J134" s="410">
        <v>1246135390</v>
      </c>
      <c r="K134" s="412">
        <v>45373</v>
      </c>
      <c r="L134" s="410">
        <v>3041000</v>
      </c>
      <c r="M134" s="410" t="s">
        <v>138</v>
      </c>
      <c r="N134" s="410">
        <v>46</v>
      </c>
      <c r="O134" s="410" t="s">
        <v>163</v>
      </c>
      <c r="P134" s="410" t="s">
        <v>420</v>
      </c>
      <c r="Q134">
        <f t="shared" si="2"/>
        <v>748</v>
      </c>
      <c r="R134">
        <f>_xlfn.XLOOKUP(E134,'Data Additive'!E:E,'Data Additive'!E:E,0)</f>
        <v>0</v>
      </c>
    </row>
    <row r="135" spans="1:18" x14ac:dyDescent="0.25">
      <c r="A135" s="410">
        <v>1159</v>
      </c>
      <c r="B135" s="410" t="s">
        <v>60</v>
      </c>
      <c r="C135" s="410" t="s">
        <v>61</v>
      </c>
      <c r="D135" s="411">
        <v>1458</v>
      </c>
      <c r="E135" s="410">
        <v>1246148463</v>
      </c>
      <c r="F135" s="412">
        <v>45443</v>
      </c>
      <c r="G135" s="410"/>
      <c r="H135" s="410" t="s">
        <v>28</v>
      </c>
      <c r="I135" s="410" t="s">
        <v>29</v>
      </c>
      <c r="J135" s="410">
        <v>3446</v>
      </c>
      <c r="K135" s="412">
        <v>45415</v>
      </c>
      <c r="L135" s="410">
        <v>1010100</v>
      </c>
      <c r="M135" s="410" t="s">
        <v>35</v>
      </c>
      <c r="N135" s="410">
        <v>161</v>
      </c>
      <c r="O135" s="410" t="s">
        <v>161</v>
      </c>
      <c r="P135" s="410" t="s">
        <v>420</v>
      </c>
      <c r="Q135">
        <f t="shared" si="2"/>
        <v>693</v>
      </c>
      <c r="R135">
        <f>_xlfn.XLOOKUP(E135,'Data Additive'!E:E,'Data Additive'!E:E,0)</f>
        <v>1246148463</v>
      </c>
    </row>
    <row r="136" spans="1:18" x14ac:dyDescent="0.25">
      <c r="A136" s="410">
        <v>1159</v>
      </c>
      <c r="B136" s="410" t="s">
        <v>60</v>
      </c>
      <c r="C136" s="410" t="s">
        <v>61</v>
      </c>
      <c r="D136" s="411">
        <v>2400</v>
      </c>
      <c r="E136" s="410">
        <v>1246135388</v>
      </c>
      <c r="F136" s="412">
        <v>45388</v>
      </c>
      <c r="G136" s="410"/>
      <c r="H136" s="410" t="s">
        <v>28</v>
      </c>
      <c r="I136" s="410" t="s">
        <v>29</v>
      </c>
      <c r="J136" s="410">
        <v>1246135388</v>
      </c>
      <c r="K136" s="412">
        <v>45373</v>
      </c>
      <c r="L136" s="410">
        <v>3041000</v>
      </c>
      <c r="M136" s="410" t="s">
        <v>138</v>
      </c>
      <c r="N136" s="410">
        <v>46</v>
      </c>
      <c r="O136" s="410" t="s">
        <v>163</v>
      </c>
      <c r="P136" s="410" t="s">
        <v>420</v>
      </c>
      <c r="Q136">
        <f t="shared" si="2"/>
        <v>748</v>
      </c>
      <c r="R136">
        <f>_xlfn.XLOOKUP(E136,'Data Additive'!E:E,'Data Additive'!E:E,0)</f>
        <v>0</v>
      </c>
    </row>
    <row r="137" spans="1:18" x14ac:dyDescent="0.25">
      <c r="A137" s="410">
        <v>1159</v>
      </c>
      <c r="B137" s="410" t="s">
        <v>60</v>
      </c>
      <c r="C137" s="410" t="s">
        <v>61</v>
      </c>
      <c r="D137" s="411">
        <v>1200</v>
      </c>
      <c r="E137" s="410">
        <v>1246135385</v>
      </c>
      <c r="F137" s="412">
        <v>45388</v>
      </c>
      <c r="G137" s="410"/>
      <c r="H137" s="410" t="s">
        <v>28</v>
      </c>
      <c r="I137" s="410" t="s">
        <v>29</v>
      </c>
      <c r="J137" s="410">
        <v>1246135385</v>
      </c>
      <c r="K137" s="412">
        <v>45373</v>
      </c>
      <c r="L137" s="410">
        <v>3041000</v>
      </c>
      <c r="M137" s="410" t="s">
        <v>138</v>
      </c>
      <c r="N137" s="410">
        <v>46</v>
      </c>
      <c r="O137" s="410" t="s">
        <v>163</v>
      </c>
      <c r="P137" s="410" t="s">
        <v>420</v>
      </c>
      <c r="Q137">
        <f t="shared" si="2"/>
        <v>748</v>
      </c>
      <c r="R137">
        <f>_xlfn.XLOOKUP(E137,'Data Additive'!E:E,'Data Additive'!E:E,0)</f>
        <v>0</v>
      </c>
    </row>
    <row r="138" spans="1:18" x14ac:dyDescent="0.25">
      <c r="A138" s="410">
        <v>1159</v>
      </c>
      <c r="B138" s="410" t="s">
        <v>60</v>
      </c>
      <c r="C138" s="410" t="s">
        <v>61</v>
      </c>
      <c r="D138" s="411">
        <v>3600</v>
      </c>
      <c r="E138" s="410">
        <v>1246135391</v>
      </c>
      <c r="F138" s="412">
        <v>45388</v>
      </c>
      <c r="G138" s="410"/>
      <c r="H138" s="410" t="s">
        <v>28</v>
      </c>
      <c r="I138" s="410" t="s">
        <v>29</v>
      </c>
      <c r="J138" s="410">
        <v>1246135391</v>
      </c>
      <c r="K138" s="412">
        <v>45373</v>
      </c>
      <c r="L138" s="410">
        <v>3041000</v>
      </c>
      <c r="M138" s="410" t="s">
        <v>138</v>
      </c>
      <c r="N138" s="410">
        <v>46</v>
      </c>
      <c r="O138" s="410" t="s">
        <v>163</v>
      </c>
      <c r="P138" s="410" t="s">
        <v>420</v>
      </c>
      <c r="Q138">
        <f t="shared" si="2"/>
        <v>748</v>
      </c>
      <c r="R138">
        <f>_xlfn.XLOOKUP(E138,'Data Additive'!E:E,'Data Additive'!E:E,0)</f>
        <v>0</v>
      </c>
    </row>
    <row r="139" spans="1:18" x14ac:dyDescent="0.25">
      <c r="A139" s="410">
        <v>1159</v>
      </c>
      <c r="B139" s="410" t="s">
        <v>60</v>
      </c>
      <c r="C139" s="410" t="s">
        <v>61</v>
      </c>
      <c r="D139" s="411">
        <v>2400</v>
      </c>
      <c r="E139" s="410">
        <v>1246135382</v>
      </c>
      <c r="F139" s="412">
        <v>45388</v>
      </c>
      <c r="G139" s="410"/>
      <c r="H139" s="410" t="s">
        <v>28</v>
      </c>
      <c r="I139" s="410" t="s">
        <v>29</v>
      </c>
      <c r="J139" s="410">
        <v>1246135382</v>
      </c>
      <c r="K139" s="412">
        <v>45373</v>
      </c>
      <c r="L139" s="410">
        <v>3041000</v>
      </c>
      <c r="M139" s="410" t="s">
        <v>138</v>
      </c>
      <c r="N139" s="410">
        <v>46</v>
      </c>
      <c r="O139" s="410" t="s">
        <v>163</v>
      </c>
      <c r="P139" s="410" t="s">
        <v>420</v>
      </c>
      <c r="Q139">
        <f t="shared" si="2"/>
        <v>748</v>
      </c>
      <c r="R139">
        <f>_xlfn.XLOOKUP(E139,'Data Additive'!E:E,'Data Additive'!E:E,0)</f>
        <v>0</v>
      </c>
    </row>
    <row r="140" spans="1:18" x14ac:dyDescent="0.25">
      <c r="A140" s="410">
        <v>1159</v>
      </c>
      <c r="B140" s="410" t="s">
        <v>60</v>
      </c>
      <c r="C140" s="410" t="s">
        <v>61</v>
      </c>
      <c r="D140" s="411">
        <v>3600</v>
      </c>
      <c r="E140" s="410">
        <v>1246173258</v>
      </c>
      <c r="F140" s="412">
        <v>45575</v>
      </c>
      <c r="G140" s="410"/>
      <c r="H140" s="410" t="s">
        <v>28</v>
      </c>
      <c r="I140" s="410" t="s">
        <v>29</v>
      </c>
      <c r="J140" s="410">
        <v>1246173258</v>
      </c>
      <c r="K140" s="412">
        <v>45560</v>
      </c>
      <c r="L140" s="410">
        <v>3041000</v>
      </c>
      <c r="M140" s="410" t="s">
        <v>138</v>
      </c>
      <c r="N140" s="410">
        <v>46</v>
      </c>
      <c r="O140" s="410" t="s">
        <v>163</v>
      </c>
      <c r="P140" s="410" t="s">
        <v>420</v>
      </c>
      <c r="Q140">
        <f t="shared" si="2"/>
        <v>561</v>
      </c>
      <c r="R140">
        <f>_xlfn.XLOOKUP(E140,'Data Additive'!E:E,'Data Additive'!E:E,0)</f>
        <v>0</v>
      </c>
    </row>
    <row r="141" spans="1:18" x14ac:dyDescent="0.25">
      <c r="A141" s="410">
        <v>1159</v>
      </c>
      <c r="B141" s="410" t="s">
        <v>60</v>
      </c>
      <c r="C141" s="410" t="s">
        <v>61</v>
      </c>
      <c r="D141" s="411">
        <v>1200</v>
      </c>
      <c r="E141" s="410">
        <v>1246173256</v>
      </c>
      <c r="F141" s="412">
        <v>45575</v>
      </c>
      <c r="G141" s="410"/>
      <c r="H141" s="410" t="s">
        <v>28</v>
      </c>
      <c r="I141" s="410" t="s">
        <v>29</v>
      </c>
      <c r="J141" s="410">
        <v>1246173256</v>
      </c>
      <c r="K141" s="412">
        <v>45560</v>
      </c>
      <c r="L141" s="410">
        <v>3041000</v>
      </c>
      <c r="M141" s="410" t="s">
        <v>138</v>
      </c>
      <c r="N141" s="410">
        <v>46</v>
      </c>
      <c r="O141" s="410" t="s">
        <v>163</v>
      </c>
      <c r="P141" s="410" t="s">
        <v>420</v>
      </c>
      <c r="Q141">
        <f t="shared" si="2"/>
        <v>561</v>
      </c>
      <c r="R141">
        <f>_xlfn.XLOOKUP(E141,'Data Additive'!E:E,'Data Additive'!E:E,0)</f>
        <v>0</v>
      </c>
    </row>
    <row r="142" spans="1:18" x14ac:dyDescent="0.25">
      <c r="A142" s="410">
        <v>1159</v>
      </c>
      <c r="B142" s="410" t="s">
        <v>60</v>
      </c>
      <c r="C142" s="410" t="s">
        <v>61</v>
      </c>
      <c r="D142" s="411">
        <v>2400</v>
      </c>
      <c r="E142" s="410">
        <v>1246173253</v>
      </c>
      <c r="F142" s="412">
        <v>45575</v>
      </c>
      <c r="G142" s="410"/>
      <c r="H142" s="410" t="s">
        <v>28</v>
      </c>
      <c r="I142" s="410" t="s">
        <v>29</v>
      </c>
      <c r="J142" s="410">
        <v>1246173253</v>
      </c>
      <c r="K142" s="412">
        <v>45560</v>
      </c>
      <c r="L142" s="410">
        <v>3041000</v>
      </c>
      <c r="M142" s="410" t="s">
        <v>138</v>
      </c>
      <c r="N142" s="410">
        <v>46</v>
      </c>
      <c r="O142" s="410" t="s">
        <v>163</v>
      </c>
      <c r="P142" s="410" t="s">
        <v>420</v>
      </c>
      <c r="Q142">
        <f t="shared" si="2"/>
        <v>561</v>
      </c>
      <c r="R142">
        <f>_xlfn.XLOOKUP(E142,'Data Additive'!E:E,'Data Additive'!E:E,0)</f>
        <v>0</v>
      </c>
    </row>
    <row r="143" spans="1:18" x14ac:dyDescent="0.25">
      <c r="A143" s="410">
        <v>1159</v>
      </c>
      <c r="B143" s="410" t="s">
        <v>60</v>
      </c>
      <c r="C143" s="410" t="s">
        <v>61</v>
      </c>
      <c r="D143" s="411">
        <v>1200</v>
      </c>
      <c r="E143" s="410">
        <v>1246173257</v>
      </c>
      <c r="F143" s="412">
        <v>45575</v>
      </c>
      <c r="G143" s="410"/>
      <c r="H143" s="410" t="s">
        <v>28</v>
      </c>
      <c r="I143" s="410" t="s">
        <v>29</v>
      </c>
      <c r="J143" s="410">
        <v>1246173257</v>
      </c>
      <c r="K143" s="412">
        <v>45560</v>
      </c>
      <c r="L143" s="410">
        <v>3041000</v>
      </c>
      <c r="M143" s="410" t="s">
        <v>138</v>
      </c>
      <c r="N143" s="410">
        <v>46</v>
      </c>
      <c r="O143" s="410" t="s">
        <v>163</v>
      </c>
      <c r="P143" s="410" t="s">
        <v>420</v>
      </c>
      <c r="Q143">
        <f t="shared" si="2"/>
        <v>561</v>
      </c>
      <c r="R143">
        <f>_xlfn.XLOOKUP(E143,'Data Additive'!E:E,'Data Additive'!E:E,0)</f>
        <v>0</v>
      </c>
    </row>
    <row r="144" spans="1:18" x14ac:dyDescent="0.25">
      <c r="A144" s="410">
        <v>1159</v>
      </c>
      <c r="B144" s="410" t="s">
        <v>60</v>
      </c>
      <c r="C144" s="410" t="s">
        <v>61</v>
      </c>
      <c r="D144" s="411">
        <v>274909.24</v>
      </c>
      <c r="E144" s="410">
        <v>1246271894</v>
      </c>
      <c r="F144" s="412">
        <v>46172</v>
      </c>
      <c r="G144" s="410"/>
      <c r="H144" s="410" t="s">
        <v>28</v>
      </c>
      <c r="I144" s="410" t="s">
        <v>29</v>
      </c>
      <c r="J144" s="410">
        <v>11179</v>
      </c>
      <c r="K144" s="412">
        <v>46132</v>
      </c>
      <c r="L144" s="410">
        <v>1010100</v>
      </c>
      <c r="M144" s="410" t="s">
        <v>35</v>
      </c>
      <c r="N144" s="410">
        <v>161</v>
      </c>
      <c r="O144" s="410" t="s">
        <v>161</v>
      </c>
      <c r="P144" s="410" t="s">
        <v>420</v>
      </c>
      <c r="Q144">
        <f t="shared" si="2"/>
        <v>-36</v>
      </c>
      <c r="R144">
        <f>_xlfn.XLOOKUP(E144,'Data Additive'!E:E,'Data Additive'!E:E,0)</f>
        <v>1246271894</v>
      </c>
    </row>
    <row r="145" spans="1:18" x14ac:dyDescent="0.25">
      <c r="A145" s="410">
        <v>1159</v>
      </c>
      <c r="B145" s="410" t="s">
        <v>60</v>
      </c>
      <c r="C145" s="410" t="s">
        <v>61</v>
      </c>
      <c r="D145" s="411">
        <v>271741.03999999998</v>
      </c>
      <c r="E145" s="410">
        <v>1246269608</v>
      </c>
      <c r="F145" s="412">
        <v>46151</v>
      </c>
      <c r="G145" s="410"/>
      <c r="H145" s="410" t="s">
        <v>28</v>
      </c>
      <c r="I145" s="410" t="s">
        <v>29</v>
      </c>
      <c r="J145" s="410">
        <v>11006</v>
      </c>
      <c r="K145" s="412">
        <v>46111</v>
      </c>
      <c r="L145" s="410">
        <v>1010100</v>
      </c>
      <c r="M145" s="410" t="s">
        <v>35</v>
      </c>
      <c r="N145" s="410">
        <v>161</v>
      </c>
      <c r="O145" s="410" t="s">
        <v>161</v>
      </c>
      <c r="P145" s="410" t="s">
        <v>420</v>
      </c>
      <c r="Q145">
        <f t="shared" si="2"/>
        <v>-15</v>
      </c>
      <c r="R145">
        <f>_xlfn.XLOOKUP(E145,'Data Additive'!E:E,'Data Additive'!E:E,0)</f>
        <v>1246269608</v>
      </c>
    </row>
    <row r="146" spans="1:18" x14ac:dyDescent="0.25">
      <c r="A146" s="410">
        <v>1159</v>
      </c>
      <c r="B146" s="410" t="s">
        <v>60</v>
      </c>
      <c r="C146" s="410" t="s">
        <v>61</v>
      </c>
      <c r="D146" s="411">
        <v>272193.64</v>
      </c>
      <c r="E146" s="410">
        <v>1246269418</v>
      </c>
      <c r="F146" s="412">
        <v>46148</v>
      </c>
      <c r="G146" s="410"/>
      <c r="H146" s="410" t="s">
        <v>28</v>
      </c>
      <c r="I146" s="410" t="s">
        <v>29</v>
      </c>
      <c r="J146" s="410">
        <v>10988</v>
      </c>
      <c r="K146" s="412">
        <v>46108</v>
      </c>
      <c r="L146" s="410">
        <v>1010100</v>
      </c>
      <c r="M146" s="410" t="s">
        <v>35</v>
      </c>
      <c r="N146" s="410">
        <v>161</v>
      </c>
      <c r="O146" s="410" t="s">
        <v>161</v>
      </c>
      <c r="P146" s="410" t="s">
        <v>420</v>
      </c>
      <c r="Q146">
        <f t="shared" si="2"/>
        <v>-12</v>
      </c>
      <c r="R146">
        <f>_xlfn.XLOOKUP(E146,'Data Additive'!E:E,'Data Additive'!E:E,0)</f>
        <v>1246269418</v>
      </c>
    </row>
    <row r="147" spans="1:18" x14ac:dyDescent="0.25">
      <c r="A147" s="410">
        <v>1159</v>
      </c>
      <c r="B147" s="410" t="s">
        <v>60</v>
      </c>
      <c r="C147" s="410" t="s">
        <v>61</v>
      </c>
      <c r="D147" s="411">
        <v>271469.48</v>
      </c>
      <c r="E147" s="410">
        <v>1246270981</v>
      </c>
      <c r="F147" s="412">
        <v>46162</v>
      </c>
      <c r="G147" s="410"/>
      <c r="H147" s="410" t="s">
        <v>28</v>
      </c>
      <c r="I147" s="410" t="s">
        <v>29</v>
      </c>
      <c r="J147" s="410">
        <v>11089</v>
      </c>
      <c r="K147" s="412">
        <v>46122</v>
      </c>
      <c r="L147" s="410">
        <v>1010100</v>
      </c>
      <c r="M147" s="410" t="s">
        <v>35</v>
      </c>
      <c r="N147" s="410">
        <v>161</v>
      </c>
      <c r="O147" s="410" t="s">
        <v>161</v>
      </c>
      <c r="P147" s="410" t="s">
        <v>420</v>
      </c>
      <c r="Q147">
        <f t="shared" si="2"/>
        <v>-26</v>
      </c>
      <c r="R147">
        <f>_xlfn.XLOOKUP(E147,'Data Additive'!E:E,'Data Additive'!E:E,0)</f>
        <v>1246270981</v>
      </c>
    </row>
    <row r="148" spans="1:18" x14ac:dyDescent="0.25">
      <c r="A148" s="410">
        <v>1159</v>
      </c>
      <c r="B148" s="410" t="s">
        <v>60</v>
      </c>
      <c r="C148" s="410" t="s">
        <v>61</v>
      </c>
      <c r="D148" s="411">
        <v>149246.39999999999</v>
      </c>
      <c r="E148" s="410">
        <v>1246267833</v>
      </c>
      <c r="F148" s="412">
        <v>46137</v>
      </c>
      <c r="G148" s="410"/>
      <c r="H148" s="410" t="s">
        <v>28</v>
      </c>
      <c r="I148" s="410" t="s">
        <v>29</v>
      </c>
      <c r="J148" s="410">
        <v>10893</v>
      </c>
      <c r="K148" s="412">
        <v>46097</v>
      </c>
      <c r="L148" s="410">
        <v>1010100</v>
      </c>
      <c r="M148" s="410" t="s">
        <v>35</v>
      </c>
      <c r="N148" s="410">
        <v>161</v>
      </c>
      <c r="O148" s="410" t="s">
        <v>161</v>
      </c>
      <c r="P148" s="410" t="s">
        <v>420</v>
      </c>
      <c r="Q148">
        <f t="shared" si="2"/>
        <v>-1</v>
      </c>
      <c r="R148">
        <f>_xlfn.XLOOKUP(E148,'Data Additive'!E:E,'Data Additive'!E:E,0)</f>
        <v>1246267833</v>
      </c>
    </row>
    <row r="149" spans="1:18" x14ac:dyDescent="0.25">
      <c r="A149" s="410">
        <v>1159</v>
      </c>
      <c r="B149" s="410" t="s">
        <v>60</v>
      </c>
      <c r="C149" s="410" t="s">
        <v>61</v>
      </c>
      <c r="D149" s="411">
        <v>271650.52</v>
      </c>
      <c r="E149" s="410">
        <v>1246270614</v>
      </c>
      <c r="F149" s="412">
        <v>46160</v>
      </c>
      <c r="G149" s="410"/>
      <c r="H149" s="410" t="s">
        <v>28</v>
      </c>
      <c r="I149" s="410" t="s">
        <v>29</v>
      </c>
      <c r="J149" s="410">
        <v>11070</v>
      </c>
      <c r="K149" s="412">
        <v>46120</v>
      </c>
      <c r="L149" s="410">
        <v>1010100</v>
      </c>
      <c r="M149" s="410" t="s">
        <v>35</v>
      </c>
      <c r="N149" s="410">
        <v>161</v>
      </c>
      <c r="O149" s="410" t="s">
        <v>161</v>
      </c>
      <c r="P149" s="410" t="s">
        <v>420</v>
      </c>
      <c r="Q149">
        <f t="shared" si="2"/>
        <v>-24</v>
      </c>
      <c r="R149">
        <f>_xlfn.XLOOKUP(E149,'Data Additive'!E:E,'Data Additive'!E:E,0)</f>
        <v>1246270614</v>
      </c>
    </row>
    <row r="150" spans="1:18" x14ac:dyDescent="0.25">
      <c r="A150" s="410">
        <v>1159</v>
      </c>
      <c r="B150" s="410" t="s">
        <v>60</v>
      </c>
      <c r="C150" s="410" t="s">
        <v>61</v>
      </c>
      <c r="D150" s="411">
        <v>272465.2</v>
      </c>
      <c r="E150" s="410">
        <v>1246268414</v>
      </c>
      <c r="F150" s="412">
        <v>46140</v>
      </c>
      <c r="G150" s="410"/>
      <c r="H150" s="410" t="s">
        <v>28</v>
      </c>
      <c r="I150" s="410" t="s">
        <v>29</v>
      </c>
      <c r="J150" s="410">
        <v>10931</v>
      </c>
      <c r="K150" s="412">
        <v>46100</v>
      </c>
      <c r="L150" s="410">
        <v>1010100</v>
      </c>
      <c r="M150" s="410" t="s">
        <v>35</v>
      </c>
      <c r="N150" s="410">
        <v>161</v>
      </c>
      <c r="O150" s="410" t="s">
        <v>161</v>
      </c>
      <c r="P150" s="410" t="s">
        <v>420</v>
      </c>
      <c r="Q150">
        <f t="shared" si="2"/>
        <v>-4</v>
      </c>
      <c r="R150">
        <f>_xlfn.XLOOKUP(E150,'Data Additive'!E:E,'Data Additive'!E:E,0)</f>
        <v>1246268414</v>
      </c>
    </row>
    <row r="151" spans="1:18" x14ac:dyDescent="0.25">
      <c r="A151" s="410">
        <v>1159</v>
      </c>
      <c r="B151" s="410" t="s">
        <v>60</v>
      </c>
      <c r="C151" s="410" t="s">
        <v>61</v>
      </c>
      <c r="D151" s="411">
        <v>271831.56</v>
      </c>
      <c r="E151" s="410">
        <v>1246269882</v>
      </c>
      <c r="F151" s="412">
        <v>46153</v>
      </c>
      <c r="G151" s="410"/>
      <c r="H151" s="410" t="s">
        <v>28</v>
      </c>
      <c r="I151" s="410" t="s">
        <v>29</v>
      </c>
      <c r="J151" s="410">
        <v>11024</v>
      </c>
      <c r="K151" s="412">
        <v>46113</v>
      </c>
      <c r="L151" s="410">
        <v>1010100</v>
      </c>
      <c r="M151" s="410" t="s">
        <v>35</v>
      </c>
      <c r="N151" s="410">
        <v>161</v>
      </c>
      <c r="O151" s="410" t="s">
        <v>161</v>
      </c>
      <c r="P151" s="410" t="s">
        <v>420</v>
      </c>
      <c r="Q151">
        <f t="shared" si="2"/>
        <v>-17</v>
      </c>
      <c r="R151">
        <f>_xlfn.XLOOKUP(E151,'Data Additive'!E:E,'Data Additive'!E:E,0)</f>
        <v>1246269882</v>
      </c>
    </row>
    <row r="152" spans="1:18" x14ac:dyDescent="0.25">
      <c r="A152" s="410">
        <v>1159</v>
      </c>
      <c r="B152" s="410" t="s">
        <v>60</v>
      </c>
      <c r="C152" s="410" t="s">
        <v>61</v>
      </c>
      <c r="D152" s="411">
        <v>272012.59999999998</v>
      </c>
      <c r="E152" s="410">
        <v>1246272754</v>
      </c>
      <c r="F152" s="412">
        <v>46179</v>
      </c>
      <c r="G152" s="410"/>
      <c r="H152" s="410" t="s">
        <v>28</v>
      </c>
      <c r="I152" s="410" t="s">
        <v>29</v>
      </c>
      <c r="J152" s="410">
        <v>11228</v>
      </c>
      <c r="K152" s="412">
        <v>46139</v>
      </c>
      <c r="L152" s="410">
        <v>1010100</v>
      </c>
      <c r="M152" s="410" t="s">
        <v>35</v>
      </c>
      <c r="N152" s="410">
        <v>161</v>
      </c>
      <c r="O152" s="410" t="s">
        <v>161</v>
      </c>
      <c r="P152" s="410" t="s">
        <v>420</v>
      </c>
      <c r="Q152">
        <f t="shared" si="2"/>
        <v>-43</v>
      </c>
      <c r="R152">
        <f>_xlfn.XLOOKUP(E152,'Data Additive'!E:E,'Data Additive'!E:E,0)</f>
        <v>1246272754</v>
      </c>
    </row>
    <row r="153" spans="1:18" x14ac:dyDescent="0.25">
      <c r="A153" s="410">
        <v>1159</v>
      </c>
      <c r="B153" s="410" t="s">
        <v>60</v>
      </c>
      <c r="C153" s="410" t="s">
        <v>61</v>
      </c>
      <c r="D153" s="411">
        <v>272555.71999999997</v>
      </c>
      <c r="E153" s="410">
        <v>1246268636</v>
      </c>
      <c r="F153" s="412">
        <v>46144</v>
      </c>
      <c r="G153" s="410"/>
      <c r="H153" s="410" t="s">
        <v>28</v>
      </c>
      <c r="I153" s="410" t="s">
        <v>29</v>
      </c>
      <c r="J153" s="410">
        <v>10958</v>
      </c>
      <c r="K153" s="412">
        <v>46104</v>
      </c>
      <c r="L153" s="410">
        <v>1010100</v>
      </c>
      <c r="M153" s="410" t="s">
        <v>35</v>
      </c>
      <c r="N153" s="410">
        <v>161</v>
      </c>
      <c r="O153" s="410" t="s">
        <v>161</v>
      </c>
      <c r="P153" s="410" t="s">
        <v>420</v>
      </c>
      <c r="Q153">
        <f t="shared" si="2"/>
        <v>-8</v>
      </c>
      <c r="R153">
        <f>_xlfn.XLOOKUP(E153,'Data Additive'!E:E,'Data Additive'!E:E,0)</f>
        <v>1246268636</v>
      </c>
    </row>
    <row r="154" spans="1:18" x14ac:dyDescent="0.25">
      <c r="A154" s="410">
        <v>1159</v>
      </c>
      <c r="B154" s="410" t="s">
        <v>60</v>
      </c>
      <c r="C154" s="410" t="s">
        <v>61</v>
      </c>
      <c r="D154" s="411">
        <v>271107.40000000002</v>
      </c>
      <c r="E154" s="410">
        <v>1246271171</v>
      </c>
      <c r="F154" s="412">
        <v>46165</v>
      </c>
      <c r="G154" s="410"/>
      <c r="H154" s="410" t="s">
        <v>28</v>
      </c>
      <c r="I154" s="410" t="s">
        <v>29</v>
      </c>
      <c r="J154" s="410">
        <v>11108</v>
      </c>
      <c r="K154" s="412">
        <v>46125</v>
      </c>
      <c r="L154" s="410">
        <v>1010100</v>
      </c>
      <c r="M154" s="410" t="s">
        <v>35</v>
      </c>
      <c r="N154" s="410">
        <v>161</v>
      </c>
      <c r="O154" s="410" t="s">
        <v>161</v>
      </c>
      <c r="P154" s="410" t="s">
        <v>420</v>
      </c>
      <c r="Q154">
        <f t="shared" si="2"/>
        <v>-29</v>
      </c>
      <c r="R154">
        <f>_xlfn.XLOOKUP(E154,'Data Additive'!E:E,'Data Additive'!E:E,0)</f>
        <v>1246271171</v>
      </c>
    </row>
    <row r="155" spans="1:18" x14ac:dyDescent="0.25">
      <c r="A155" s="410">
        <v>1159</v>
      </c>
      <c r="B155" s="410" t="s">
        <v>60</v>
      </c>
      <c r="C155" s="410" t="s">
        <v>61</v>
      </c>
      <c r="D155" s="411">
        <v>272374.68</v>
      </c>
      <c r="E155" s="410">
        <v>1246272204</v>
      </c>
      <c r="F155" s="412">
        <v>46175</v>
      </c>
      <c r="G155" s="410"/>
      <c r="H155" s="410" t="s">
        <v>28</v>
      </c>
      <c r="I155" s="410" t="s">
        <v>29</v>
      </c>
      <c r="J155" s="410">
        <v>11198</v>
      </c>
      <c r="K155" s="412">
        <v>46135</v>
      </c>
      <c r="L155" s="410">
        <v>1010100</v>
      </c>
      <c r="M155" s="410" t="s">
        <v>35</v>
      </c>
      <c r="N155" s="410">
        <v>161</v>
      </c>
      <c r="O155" s="410" t="s">
        <v>161</v>
      </c>
      <c r="P155" s="410" t="s">
        <v>420</v>
      </c>
      <c r="Q155">
        <f t="shared" si="2"/>
        <v>-39</v>
      </c>
      <c r="R155">
        <f>_xlfn.XLOOKUP(E155,'Data Additive'!E:E,'Data Additive'!E:E,0)</f>
        <v>1246272204</v>
      </c>
    </row>
    <row r="156" spans="1:18" x14ac:dyDescent="0.25">
      <c r="A156" s="410">
        <v>452</v>
      </c>
      <c r="B156" s="410" t="s">
        <v>47</v>
      </c>
      <c r="C156" s="410" t="s">
        <v>48</v>
      </c>
      <c r="D156" s="411">
        <v>1800</v>
      </c>
      <c r="E156" s="410">
        <v>1246055195</v>
      </c>
      <c r="F156" s="412">
        <v>44902</v>
      </c>
      <c r="G156" s="410"/>
      <c r="H156" s="410" t="s">
        <v>28</v>
      </c>
      <c r="I156" s="410" t="s">
        <v>29</v>
      </c>
      <c r="J156" s="410">
        <v>1246055195</v>
      </c>
      <c r="K156" s="412">
        <v>44887</v>
      </c>
      <c r="L156" s="410">
        <v>3041000</v>
      </c>
      <c r="M156" s="410" t="s">
        <v>138</v>
      </c>
      <c r="N156" s="410">
        <v>46</v>
      </c>
      <c r="O156" s="410" t="s">
        <v>163</v>
      </c>
      <c r="P156" s="410" t="s">
        <v>578</v>
      </c>
      <c r="Q156">
        <f t="shared" si="2"/>
        <v>1234</v>
      </c>
      <c r="R156">
        <f>_xlfn.XLOOKUP(E156,'Data Additive'!E:E,'Data Additive'!E:E,0)</f>
        <v>0</v>
      </c>
    </row>
    <row r="157" spans="1:18" x14ac:dyDescent="0.25">
      <c r="A157" s="410">
        <v>3232</v>
      </c>
      <c r="B157" s="410" t="s">
        <v>169</v>
      </c>
      <c r="C157" s="410" t="s">
        <v>477</v>
      </c>
      <c r="D157" s="411">
        <v>169206.9</v>
      </c>
      <c r="E157" s="410">
        <v>1246270989</v>
      </c>
      <c r="F157" s="412">
        <v>46182</v>
      </c>
      <c r="G157" s="410"/>
      <c r="H157" s="410" t="s">
        <v>28</v>
      </c>
      <c r="I157" s="410" t="s">
        <v>29</v>
      </c>
      <c r="J157" s="410">
        <v>11091</v>
      </c>
      <c r="K157" s="412">
        <v>46122</v>
      </c>
      <c r="L157" s="410">
        <v>1010100</v>
      </c>
      <c r="M157" s="410" t="s">
        <v>35</v>
      </c>
      <c r="N157" s="410">
        <v>161</v>
      </c>
      <c r="O157" s="410" t="s">
        <v>161</v>
      </c>
      <c r="P157" s="410" t="s">
        <v>532</v>
      </c>
      <c r="Q157">
        <f t="shared" si="2"/>
        <v>-46</v>
      </c>
      <c r="R157">
        <f>_xlfn.XLOOKUP(E157,'Data Additive'!E:E,'Data Additive'!E:E,0)</f>
        <v>1246270989</v>
      </c>
    </row>
    <row r="158" spans="1:18" x14ac:dyDescent="0.25">
      <c r="A158" s="410">
        <v>3232</v>
      </c>
      <c r="B158" s="410" t="s">
        <v>169</v>
      </c>
      <c r="C158" s="410" t="s">
        <v>477</v>
      </c>
      <c r="D158" s="411">
        <v>169290.6</v>
      </c>
      <c r="E158" s="410">
        <v>1246269505</v>
      </c>
      <c r="F158" s="412">
        <v>46138</v>
      </c>
      <c r="G158" s="410"/>
      <c r="H158" s="410" t="s">
        <v>28</v>
      </c>
      <c r="I158" s="410" t="s">
        <v>29</v>
      </c>
      <c r="J158" s="410">
        <v>10997</v>
      </c>
      <c r="K158" s="412">
        <v>46108</v>
      </c>
      <c r="L158" s="410">
        <v>1010100</v>
      </c>
      <c r="M158" s="410" t="s">
        <v>35</v>
      </c>
      <c r="N158" s="410">
        <v>161</v>
      </c>
      <c r="O158" s="410" t="s">
        <v>161</v>
      </c>
      <c r="P158" s="410" t="s">
        <v>532</v>
      </c>
      <c r="Q158">
        <f t="shared" si="2"/>
        <v>-2</v>
      </c>
      <c r="R158">
        <f>_xlfn.XLOOKUP(E158,'Data Additive'!E:E,'Data Additive'!E:E,0)</f>
        <v>1246269505</v>
      </c>
    </row>
    <row r="159" spans="1:18" x14ac:dyDescent="0.25">
      <c r="A159" s="410">
        <v>3232</v>
      </c>
      <c r="B159" s="410" t="s">
        <v>169</v>
      </c>
      <c r="C159" s="410" t="s">
        <v>477</v>
      </c>
      <c r="D159" s="411">
        <v>170582.1</v>
      </c>
      <c r="E159" s="410">
        <v>1246270155</v>
      </c>
      <c r="F159" s="412">
        <v>46174</v>
      </c>
      <c r="G159" s="410"/>
      <c r="H159" s="410" t="s">
        <v>28</v>
      </c>
      <c r="I159" s="410" t="s">
        <v>29</v>
      </c>
      <c r="J159" s="410">
        <v>11044</v>
      </c>
      <c r="K159" s="412">
        <v>46114</v>
      </c>
      <c r="L159" s="410">
        <v>1010100</v>
      </c>
      <c r="M159" s="410" t="s">
        <v>35</v>
      </c>
      <c r="N159" s="410">
        <v>161</v>
      </c>
      <c r="O159" s="410" t="s">
        <v>161</v>
      </c>
      <c r="P159" s="410" t="s">
        <v>532</v>
      </c>
      <c r="Q159">
        <f t="shared" si="2"/>
        <v>-38</v>
      </c>
      <c r="R159">
        <f>_xlfn.XLOOKUP(E159,'Data Additive'!E:E,'Data Additive'!E:E,0)</f>
        <v>1246270155</v>
      </c>
    </row>
    <row r="160" spans="1:18" x14ac:dyDescent="0.25">
      <c r="A160" s="410">
        <v>2603</v>
      </c>
      <c r="B160" s="410" t="s">
        <v>81</v>
      </c>
      <c r="C160" s="410" t="s">
        <v>82</v>
      </c>
      <c r="D160" s="411">
        <v>4522.16</v>
      </c>
      <c r="E160" s="410">
        <v>1246097965</v>
      </c>
      <c r="F160" s="412">
        <v>45152</v>
      </c>
      <c r="G160" s="410"/>
      <c r="H160" s="410" t="s">
        <v>28</v>
      </c>
      <c r="I160" s="410" t="s">
        <v>29</v>
      </c>
      <c r="J160" s="410">
        <v>21713</v>
      </c>
      <c r="K160" s="412">
        <v>45092</v>
      </c>
      <c r="L160" s="410">
        <v>1010100</v>
      </c>
      <c r="M160" s="410" t="s">
        <v>35</v>
      </c>
      <c r="N160" s="410">
        <v>56</v>
      </c>
      <c r="O160" s="410" t="s">
        <v>162</v>
      </c>
      <c r="P160" s="410" t="s">
        <v>500</v>
      </c>
      <c r="Q160">
        <f t="shared" si="2"/>
        <v>984</v>
      </c>
      <c r="R160">
        <f>_xlfn.XLOOKUP(E160,'Data Additive'!E:E,'Data Additive'!E:E,0)</f>
        <v>1246097965</v>
      </c>
    </row>
    <row r="161" spans="1:18" x14ac:dyDescent="0.25">
      <c r="A161" s="410">
        <v>2559</v>
      </c>
      <c r="B161" s="410" t="s">
        <v>533</v>
      </c>
      <c r="C161" s="410" t="s">
        <v>79</v>
      </c>
      <c r="D161" s="411">
        <v>1200</v>
      </c>
      <c r="E161" s="410">
        <v>1246203587</v>
      </c>
      <c r="F161" s="412">
        <v>45750</v>
      </c>
      <c r="G161" s="410"/>
      <c r="H161" s="410" t="s">
        <v>28</v>
      </c>
      <c r="I161" s="410" t="s">
        <v>29</v>
      </c>
      <c r="J161" s="410">
        <v>1246203587</v>
      </c>
      <c r="K161" s="412">
        <v>45735</v>
      </c>
      <c r="L161" s="410">
        <v>3041000</v>
      </c>
      <c r="M161" s="410" t="s">
        <v>138</v>
      </c>
      <c r="N161" s="410">
        <v>46</v>
      </c>
      <c r="O161" s="410" t="s">
        <v>163</v>
      </c>
      <c r="P161" s="410" t="s">
        <v>500</v>
      </c>
      <c r="Q161">
        <f t="shared" si="2"/>
        <v>386</v>
      </c>
      <c r="R161">
        <f>_xlfn.XLOOKUP(E161,'Data Additive'!E:E,'Data Additive'!E:E,0)</f>
        <v>0</v>
      </c>
    </row>
    <row r="162" spans="1:18" x14ac:dyDescent="0.25">
      <c r="A162" s="410">
        <v>2559</v>
      </c>
      <c r="B162" s="410" t="s">
        <v>533</v>
      </c>
      <c r="C162" s="410" t="s">
        <v>79</v>
      </c>
      <c r="D162" s="411">
        <v>7200</v>
      </c>
      <c r="E162" s="410">
        <v>1246203586</v>
      </c>
      <c r="F162" s="412">
        <v>45750</v>
      </c>
      <c r="G162" s="410"/>
      <c r="H162" s="410" t="s">
        <v>28</v>
      </c>
      <c r="I162" s="410" t="s">
        <v>29</v>
      </c>
      <c r="J162" s="410">
        <v>1246203586</v>
      </c>
      <c r="K162" s="412">
        <v>45735</v>
      </c>
      <c r="L162" s="410">
        <v>3041000</v>
      </c>
      <c r="M162" s="410" t="s">
        <v>138</v>
      </c>
      <c r="N162" s="410">
        <v>46</v>
      </c>
      <c r="O162" s="410" t="s">
        <v>163</v>
      </c>
      <c r="P162" s="410" t="s">
        <v>500</v>
      </c>
      <c r="Q162">
        <f t="shared" si="2"/>
        <v>386</v>
      </c>
      <c r="R162">
        <f>_xlfn.XLOOKUP(E162,'Data Additive'!E:E,'Data Additive'!E:E,0)</f>
        <v>0</v>
      </c>
    </row>
    <row r="163" spans="1:18" x14ac:dyDescent="0.25">
      <c r="A163" s="410">
        <v>2559</v>
      </c>
      <c r="B163" s="410" t="s">
        <v>533</v>
      </c>
      <c r="C163" s="410" t="s">
        <v>79</v>
      </c>
      <c r="D163" s="411">
        <v>1200</v>
      </c>
      <c r="E163" s="410">
        <v>1246203585</v>
      </c>
      <c r="F163" s="412">
        <v>45750</v>
      </c>
      <c r="G163" s="410"/>
      <c r="H163" s="410" t="s">
        <v>28</v>
      </c>
      <c r="I163" s="410" t="s">
        <v>29</v>
      </c>
      <c r="J163" s="410">
        <v>1246203585</v>
      </c>
      <c r="K163" s="412">
        <v>45735</v>
      </c>
      <c r="L163" s="410">
        <v>3041000</v>
      </c>
      <c r="M163" s="410" t="s">
        <v>138</v>
      </c>
      <c r="N163" s="410">
        <v>46</v>
      </c>
      <c r="O163" s="410" t="s">
        <v>163</v>
      </c>
      <c r="P163" s="410" t="s">
        <v>500</v>
      </c>
      <c r="Q163">
        <f t="shared" ref="Q163:Q205" si="3">$R$1-F163</f>
        <v>386</v>
      </c>
      <c r="R163">
        <f>_xlfn.XLOOKUP(E163,'Data Additive'!E:E,'Data Additive'!E:E,0)</f>
        <v>0</v>
      </c>
    </row>
    <row r="164" spans="1:18" x14ac:dyDescent="0.25">
      <c r="A164" s="410">
        <v>2559</v>
      </c>
      <c r="B164" s="410" t="s">
        <v>533</v>
      </c>
      <c r="C164" s="410" t="s">
        <v>79</v>
      </c>
      <c r="D164" s="411">
        <v>78390</v>
      </c>
      <c r="E164" s="410">
        <v>1246270082</v>
      </c>
      <c r="F164" s="412">
        <v>46204</v>
      </c>
      <c r="G164" s="410"/>
      <c r="H164" s="410" t="s">
        <v>28</v>
      </c>
      <c r="I164" s="410" t="s">
        <v>29</v>
      </c>
      <c r="J164" s="410">
        <v>11033</v>
      </c>
      <c r="K164" s="412">
        <v>46114</v>
      </c>
      <c r="L164" s="410">
        <v>1010100</v>
      </c>
      <c r="M164" s="410" t="s">
        <v>35</v>
      </c>
      <c r="N164" s="410">
        <v>161</v>
      </c>
      <c r="O164" s="410" t="s">
        <v>161</v>
      </c>
      <c r="P164" s="410" t="s">
        <v>500</v>
      </c>
      <c r="Q164">
        <f t="shared" si="3"/>
        <v>-68</v>
      </c>
      <c r="R164">
        <f>_xlfn.XLOOKUP(E164,'Data Additive'!E:E,'Data Additive'!E:E,0)</f>
        <v>1246270082</v>
      </c>
    </row>
    <row r="165" spans="1:18" x14ac:dyDescent="0.25">
      <c r="A165" s="410">
        <v>2559</v>
      </c>
      <c r="B165" s="410" t="s">
        <v>533</v>
      </c>
      <c r="C165" s="410" t="s">
        <v>79</v>
      </c>
      <c r="D165" s="411">
        <v>195730.4</v>
      </c>
      <c r="E165" s="410">
        <v>1246271698</v>
      </c>
      <c r="F165" s="412">
        <v>46219</v>
      </c>
      <c r="G165" s="410"/>
      <c r="H165" s="410" t="s">
        <v>28</v>
      </c>
      <c r="I165" s="410" t="s">
        <v>29</v>
      </c>
      <c r="J165" s="410">
        <v>11159</v>
      </c>
      <c r="K165" s="412">
        <v>46129</v>
      </c>
      <c r="L165" s="410">
        <v>1010100</v>
      </c>
      <c r="M165" s="410" t="s">
        <v>35</v>
      </c>
      <c r="N165" s="410">
        <v>161</v>
      </c>
      <c r="O165" s="410" t="s">
        <v>161</v>
      </c>
      <c r="P165" s="410" t="s">
        <v>500</v>
      </c>
      <c r="Q165">
        <f t="shared" si="3"/>
        <v>-83</v>
      </c>
      <c r="R165">
        <f>_xlfn.XLOOKUP(E165,'Data Additive'!E:E,'Data Additive'!E:E,0)</f>
        <v>1246271698</v>
      </c>
    </row>
    <row r="166" spans="1:18" x14ac:dyDescent="0.25">
      <c r="A166" s="410">
        <v>2559</v>
      </c>
      <c r="B166" s="410" t="s">
        <v>533</v>
      </c>
      <c r="C166" s="410" t="s">
        <v>79</v>
      </c>
      <c r="D166" s="411">
        <v>196447.6</v>
      </c>
      <c r="E166" s="410">
        <v>1246272595</v>
      </c>
      <c r="F166" s="412">
        <v>46226</v>
      </c>
      <c r="G166" s="410"/>
      <c r="H166" s="410" t="s">
        <v>28</v>
      </c>
      <c r="I166" s="410" t="s">
        <v>29</v>
      </c>
      <c r="J166" s="410">
        <v>11219</v>
      </c>
      <c r="K166" s="412">
        <v>46136</v>
      </c>
      <c r="L166" s="410">
        <v>1010100</v>
      </c>
      <c r="M166" s="410" t="s">
        <v>35</v>
      </c>
      <c r="N166" s="410">
        <v>161</v>
      </c>
      <c r="O166" s="410" t="s">
        <v>161</v>
      </c>
      <c r="P166" s="410" t="s">
        <v>500</v>
      </c>
      <c r="Q166">
        <f t="shared" si="3"/>
        <v>-90</v>
      </c>
      <c r="R166">
        <f>_xlfn.XLOOKUP(E166,'Data Additive'!E:E,'Data Additive'!E:E,0)</f>
        <v>1246272595</v>
      </c>
    </row>
    <row r="167" spans="1:18" x14ac:dyDescent="0.25">
      <c r="A167" s="410">
        <v>2559</v>
      </c>
      <c r="B167" s="410" t="s">
        <v>533</v>
      </c>
      <c r="C167" s="410" t="s">
        <v>79</v>
      </c>
      <c r="D167" s="411">
        <v>6000</v>
      </c>
      <c r="E167" s="410">
        <v>1246244748</v>
      </c>
      <c r="F167" s="412">
        <v>45968</v>
      </c>
      <c r="G167" s="410"/>
      <c r="H167" s="410" t="s">
        <v>28</v>
      </c>
      <c r="I167" s="410" t="s">
        <v>29</v>
      </c>
      <c r="J167" s="410">
        <v>1246244748</v>
      </c>
      <c r="K167" s="412">
        <v>45953</v>
      </c>
      <c r="L167" s="410">
        <v>3041000</v>
      </c>
      <c r="M167" s="410" t="s">
        <v>138</v>
      </c>
      <c r="N167" s="410">
        <v>46</v>
      </c>
      <c r="O167" s="410" t="s">
        <v>163</v>
      </c>
      <c r="P167" s="410" t="s">
        <v>500</v>
      </c>
      <c r="Q167">
        <f t="shared" si="3"/>
        <v>168</v>
      </c>
      <c r="R167">
        <f>_xlfn.XLOOKUP(E167,'Data Additive'!E:E,'Data Additive'!E:E,0)</f>
        <v>0</v>
      </c>
    </row>
    <row r="168" spans="1:18" x14ac:dyDescent="0.25">
      <c r="A168" s="410">
        <v>215</v>
      </c>
      <c r="B168" s="410" t="s">
        <v>249</v>
      </c>
      <c r="C168" s="410" t="s">
        <v>883</v>
      </c>
      <c r="D168" s="411">
        <v>339600</v>
      </c>
      <c r="E168" s="410">
        <v>1246271897</v>
      </c>
      <c r="F168" s="412">
        <v>46160</v>
      </c>
      <c r="G168" s="410"/>
      <c r="H168" s="410" t="s">
        <v>28</v>
      </c>
      <c r="I168" s="410" t="s">
        <v>29</v>
      </c>
      <c r="J168" s="410">
        <v>2881</v>
      </c>
      <c r="K168" s="412">
        <v>46132</v>
      </c>
      <c r="L168" s="410">
        <v>1010100</v>
      </c>
      <c r="M168" s="410" t="s">
        <v>35</v>
      </c>
      <c r="N168" s="410">
        <v>7</v>
      </c>
      <c r="O168" s="410" t="s">
        <v>654</v>
      </c>
      <c r="P168" s="410" t="s">
        <v>417</v>
      </c>
      <c r="Q168">
        <f t="shared" si="3"/>
        <v>-24</v>
      </c>
      <c r="R168">
        <f>_xlfn.XLOOKUP(E168,'Data Additive'!E:E,'Data Additive'!E:E,0)</f>
        <v>1246271897</v>
      </c>
    </row>
    <row r="169" spans="1:18" x14ac:dyDescent="0.25">
      <c r="A169" s="410">
        <v>215</v>
      </c>
      <c r="B169" s="410" t="s">
        <v>249</v>
      </c>
      <c r="C169" s="410" t="s">
        <v>883</v>
      </c>
      <c r="D169" s="411">
        <v>1018800</v>
      </c>
      <c r="E169" s="410">
        <v>1246272741</v>
      </c>
      <c r="F169" s="412">
        <v>46167</v>
      </c>
      <c r="G169" s="410"/>
      <c r="H169" s="410" t="s">
        <v>28</v>
      </c>
      <c r="I169" s="410" t="s">
        <v>29</v>
      </c>
      <c r="J169" s="410">
        <v>2895</v>
      </c>
      <c r="K169" s="412">
        <v>46139</v>
      </c>
      <c r="L169" s="410">
        <v>1010100</v>
      </c>
      <c r="M169" s="410" t="s">
        <v>35</v>
      </c>
      <c r="N169" s="410">
        <v>7</v>
      </c>
      <c r="O169" s="410" t="s">
        <v>654</v>
      </c>
      <c r="P169" s="410" t="s">
        <v>417</v>
      </c>
      <c r="Q169">
        <f t="shared" si="3"/>
        <v>-31</v>
      </c>
      <c r="R169">
        <f>_xlfn.XLOOKUP(E169,'Data Additive'!E:E,'Data Additive'!E:E,0)</f>
        <v>1246272741</v>
      </c>
    </row>
    <row r="170" spans="1:18" x14ac:dyDescent="0.25">
      <c r="A170" s="410">
        <v>2949</v>
      </c>
      <c r="B170" s="410" t="s">
        <v>858</v>
      </c>
      <c r="C170" s="410" t="s">
        <v>859</v>
      </c>
      <c r="D170" s="411">
        <v>67841.5</v>
      </c>
      <c r="E170" s="410">
        <v>1246265741</v>
      </c>
      <c r="F170" s="412">
        <v>46170</v>
      </c>
      <c r="G170" s="410"/>
      <c r="H170" s="410" t="s">
        <v>28</v>
      </c>
      <c r="I170" s="410" t="s">
        <v>29</v>
      </c>
      <c r="J170" s="410">
        <v>10785</v>
      </c>
      <c r="K170" s="412">
        <v>46080</v>
      </c>
      <c r="L170" s="410">
        <v>1010100</v>
      </c>
      <c r="M170" s="410" t="s">
        <v>35</v>
      </c>
      <c r="N170" s="410">
        <v>161</v>
      </c>
      <c r="O170" s="410" t="s">
        <v>161</v>
      </c>
      <c r="P170" s="410" t="s">
        <v>500</v>
      </c>
      <c r="Q170">
        <f t="shared" si="3"/>
        <v>-34</v>
      </c>
      <c r="R170">
        <f>_xlfn.XLOOKUP(E170,'Data Additive'!E:E,'Data Additive'!E:E,0)</f>
        <v>1246265741</v>
      </c>
    </row>
    <row r="171" spans="1:18" x14ac:dyDescent="0.25">
      <c r="A171" s="410">
        <v>6124</v>
      </c>
      <c r="B171" s="410" t="s">
        <v>826</v>
      </c>
      <c r="C171" s="410" t="s">
        <v>96</v>
      </c>
      <c r="D171" s="411">
        <v>419434</v>
      </c>
      <c r="E171" s="410">
        <v>1246264936</v>
      </c>
      <c r="F171" s="412">
        <v>46167</v>
      </c>
      <c r="G171" s="410"/>
      <c r="H171" s="410" t="s">
        <v>28</v>
      </c>
      <c r="I171" s="410" t="s">
        <v>29</v>
      </c>
      <c r="J171" s="410">
        <v>2772</v>
      </c>
      <c r="K171" s="412">
        <v>46077</v>
      </c>
      <c r="L171" s="410">
        <v>1010100</v>
      </c>
      <c r="M171" s="410" t="s">
        <v>35</v>
      </c>
      <c r="N171" s="410">
        <v>56</v>
      </c>
      <c r="O171" s="410" t="s">
        <v>162</v>
      </c>
      <c r="P171" s="410" t="s">
        <v>500</v>
      </c>
      <c r="Q171">
        <f t="shared" si="3"/>
        <v>-31</v>
      </c>
      <c r="R171">
        <f>_xlfn.XLOOKUP(E171,'Data Additive'!E:E,'Data Additive'!E:E,0)</f>
        <v>1246264936</v>
      </c>
    </row>
    <row r="172" spans="1:18" x14ac:dyDescent="0.25">
      <c r="A172" s="410">
        <v>6124</v>
      </c>
      <c r="B172" s="410" t="s">
        <v>826</v>
      </c>
      <c r="C172" s="410" t="s">
        <v>96</v>
      </c>
      <c r="D172" s="411">
        <v>417259.92</v>
      </c>
      <c r="E172" s="410">
        <v>1246267573</v>
      </c>
      <c r="F172" s="412">
        <v>46153</v>
      </c>
      <c r="G172" s="410"/>
      <c r="H172" s="410" t="s">
        <v>28</v>
      </c>
      <c r="I172" s="410" t="s">
        <v>29</v>
      </c>
      <c r="J172" s="410">
        <v>2808</v>
      </c>
      <c r="K172" s="412">
        <v>46093</v>
      </c>
      <c r="L172" s="410">
        <v>1010100</v>
      </c>
      <c r="M172" s="410" t="s">
        <v>35</v>
      </c>
      <c r="N172" s="410">
        <v>161</v>
      </c>
      <c r="O172" s="410" t="s">
        <v>161</v>
      </c>
      <c r="P172" s="410" t="s">
        <v>500</v>
      </c>
      <c r="Q172">
        <f t="shared" si="3"/>
        <v>-17</v>
      </c>
      <c r="R172">
        <f>_xlfn.XLOOKUP(E172,'Data Additive'!E:E,'Data Additive'!E:E,0)</f>
        <v>1246267573</v>
      </c>
    </row>
    <row r="173" spans="1:18" x14ac:dyDescent="0.25">
      <c r="A173" s="410">
        <v>6124</v>
      </c>
      <c r="B173" s="410" t="s">
        <v>826</v>
      </c>
      <c r="C173" s="410" t="s">
        <v>96</v>
      </c>
      <c r="D173" s="411">
        <v>51634.400000000001</v>
      </c>
      <c r="E173" s="410">
        <v>1246271329</v>
      </c>
      <c r="F173" s="412">
        <v>46216</v>
      </c>
      <c r="G173" s="410"/>
      <c r="H173" s="410" t="s">
        <v>28</v>
      </c>
      <c r="I173" s="410" t="s">
        <v>29</v>
      </c>
      <c r="J173" s="410">
        <v>11119</v>
      </c>
      <c r="K173" s="412">
        <v>46126</v>
      </c>
      <c r="L173" s="410">
        <v>1010100</v>
      </c>
      <c r="M173" s="410" t="s">
        <v>35</v>
      </c>
      <c r="N173" s="410">
        <v>161</v>
      </c>
      <c r="O173" s="410" t="s">
        <v>161</v>
      </c>
      <c r="P173" s="410" t="s">
        <v>500</v>
      </c>
      <c r="Q173">
        <f t="shared" si="3"/>
        <v>-80</v>
      </c>
      <c r="R173">
        <f>_xlfn.XLOOKUP(E173,'Data Additive'!E:E,'Data Additive'!E:E,0)</f>
        <v>1246271329</v>
      </c>
    </row>
    <row r="174" spans="1:18" x14ac:dyDescent="0.25">
      <c r="A174" s="410">
        <v>6124</v>
      </c>
      <c r="B174" s="410" t="s">
        <v>826</v>
      </c>
      <c r="C174" s="410" t="s">
        <v>96</v>
      </c>
      <c r="D174" s="411">
        <v>55246.400000000001</v>
      </c>
      <c r="E174" s="410">
        <v>1246264147</v>
      </c>
      <c r="F174" s="412">
        <v>46162</v>
      </c>
      <c r="G174" s="410"/>
      <c r="H174" s="410" t="s">
        <v>28</v>
      </c>
      <c r="I174" s="410" t="s">
        <v>29</v>
      </c>
      <c r="J174" s="410">
        <v>10720</v>
      </c>
      <c r="K174" s="412">
        <v>46072</v>
      </c>
      <c r="L174" s="410">
        <v>1010100</v>
      </c>
      <c r="M174" s="410" t="s">
        <v>35</v>
      </c>
      <c r="N174" s="410">
        <v>161</v>
      </c>
      <c r="O174" s="410" t="s">
        <v>161</v>
      </c>
      <c r="P174" s="410" t="s">
        <v>500</v>
      </c>
      <c r="Q174">
        <f t="shared" si="3"/>
        <v>-26</v>
      </c>
      <c r="R174">
        <f>_xlfn.XLOOKUP(E174,'Data Additive'!E:E,'Data Additive'!E:E,0)</f>
        <v>1246264147</v>
      </c>
    </row>
    <row r="175" spans="1:18" x14ac:dyDescent="0.25">
      <c r="A175" s="410">
        <v>6124</v>
      </c>
      <c r="B175" s="410" t="s">
        <v>826</v>
      </c>
      <c r="C175" s="410" t="s">
        <v>96</v>
      </c>
      <c r="D175" s="411">
        <v>52374</v>
      </c>
      <c r="E175" s="410">
        <v>1246267926</v>
      </c>
      <c r="F175" s="412">
        <v>46187</v>
      </c>
      <c r="G175" s="410"/>
      <c r="H175" s="410" t="s">
        <v>28</v>
      </c>
      <c r="I175" s="410" t="s">
        <v>29</v>
      </c>
      <c r="J175" s="410">
        <v>10897</v>
      </c>
      <c r="K175" s="412">
        <v>46097</v>
      </c>
      <c r="L175" s="410">
        <v>1010100</v>
      </c>
      <c r="M175" s="410" t="s">
        <v>35</v>
      </c>
      <c r="N175" s="410">
        <v>161</v>
      </c>
      <c r="O175" s="410" t="s">
        <v>161</v>
      </c>
      <c r="P175" s="410" t="s">
        <v>500</v>
      </c>
      <c r="Q175">
        <f t="shared" si="3"/>
        <v>-51</v>
      </c>
      <c r="R175">
        <f>_xlfn.XLOOKUP(E175,'Data Additive'!E:E,'Data Additive'!E:E,0)</f>
        <v>1246267926</v>
      </c>
    </row>
    <row r="176" spans="1:18" x14ac:dyDescent="0.25">
      <c r="A176" s="410">
        <v>7102</v>
      </c>
      <c r="B176" s="410" t="s">
        <v>800</v>
      </c>
      <c r="C176" s="410" t="s">
        <v>567</v>
      </c>
      <c r="D176" s="411">
        <v>62553.7</v>
      </c>
      <c r="E176" s="410">
        <v>1246262017</v>
      </c>
      <c r="F176" s="412">
        <v>46145</v>
      </c>
      <c r="G176" s="410"/>
      <c r="H176" s="410" t="s">
        <v>28</v>
      </c>
      <c r="I176" s="410" t="s">
        <v>29</v>
      </c>
      <c r="J176" s="410">
        <v>10626</v>
      </c>
      <c r="K176" s="412">
        <v>46055</v>
      </c>
      <c r="L176" s="410">
        <v>1010100</v>
      </c>
      <c r="M176" s="410" t="s">
        <v>35</v>
      </c>
      <c r="N176" s="410">
        <v>161</v>
      </c>
      <c r="O176" s="410" t="s">
        <v>161</v>
      </c>
      <c r="P176" s="410" t="s">
        <v>500</v>
      </c>
      <c r="Q176">
        <f t="shared" si="3"/>
        <v>-9</v>
      </c>
      <c r="R176">
        <f>_xlfn.XLOOKUP(E176,'Data Additive'!E:E,'Data Additive'!E:E,0)</f>
        <v>1246262017</v>
      </c>
    </row>
    <row r="177" spans="1:18" x14ac:dyDescent="0.25">
      <c r="A177" s="410">
        <v>7102</v>
      </c>
      <c r="B177" s="410" t="s">
        <v>800</v>
      </c>
      <c r="C177" s="410" t="s">
        <v>567</v>
      </c>
      <c r="D177" s="411">
        <v>63327</v>
      </c>
      <c r="E177" s="410">
        <v>1246270569</v>
      </c>
      <c r="F177" s="412">
        <v>46210</v>
      </c>
      <c r="G177" s="410"/>
      <c r="H177" s="410" t="s">
        <v>28</v>
      </c>
      <c r="I177" s="410" t="s">
        <v>29</v>
      </c>
      <c r="J177" s="410">
        <v>11069</v>
      </c>
      <c r="K177" s="412">
        <v>46120</v>
      </c>
      <c r="L177" s="410">
        <v>1010100</v>
      </c>
      <c r="M177" s="410" t="s">
        <v>35</v>
      </c>
      <c r="N177" s="410">
        <v>161</v>
      </c>
      <c r="O177" s="410" t="s">
        <v>161</v>
      </c>
      <c r="P177" s="410" t="s">
        <v>500</v>
      </c>
      <c r="Q177">
        <f t="shared" si="3"/>
        <v>-74</v>
      </c>
      <c r="R177">
        <f>_xlfn.XLOOKUP(E177,'Data Additive'!E:E,'Data Additive'!E:E,0)</f>
        <v>1246270569</v>
      </c>
    </row>
    <row r="178" spans="1:18" x14ac:dyDescent="0.25">
      <c r="A178" s="410">
        <v>7102</v>
      </c>
      <c r="B178" s="410" t="s">
        <v>800</v>
      </c>
      <c r="C178" s="410" t="s">
        <v>567</v>
      </c>
      <c r="D178" s="411">
        <v>62637.3</v>
      </c>
      <c r="E178" s="410">
        <v>1246268784</v>
      </c>
      <c r="F178" s="412">
        <v>46195</v>
      </c>
      <c r="G178" s="410"/>
      <c r="H178" s="410" t="s">
        <v>28</v>
      </c>
      <c r="I178" s="410" t="s">
        <v>29</v>
      </c>
      <c r="J178" s="410">
        <v>10966</v>
      </c>
      <c r="K178" s="412">
        <v>46105</v>
      </c>
      <c r="L178" s="410">
        <v>1010100</v>
      </c>
      <c r="M178" s="410" t="s">
        <v>35</v>
      </c>
      <c r="N178" s="410">
        <v>161</v>
      </c>
      <c r="O178" s="410" t="s">
        <v>161</v>
      </c>
      <c r="P178" s="410" t="s">
        <v>500</v>
      </c>
      <c r="Q178">
        <f t="shared" si="3"/>
        <v>-59</v>
      </c>
      <c r="R178">
        <f>_xlfn.XLOOKUP(E178,'Data Additive'!E:E,'Data Additive'!E:E,0)</f>
        <v>1246268784</v>
      </c>
    </row>
    <row r="179" spans="1:18" x14ac:dyDescent="0.25">
      <c r="A179" s="410">
        <v>7102</v>
      </c>
      <c r="B179" s="410" t="s">
        <v>800</v>
      </c>
      <c r="C179" s="410" t="s">
        <v>567</v>
      </c>
      <c r="D179" s="411">
        <v>62700</v>
      </c>
      <c r="E179" s="410">
        <v>1246262728</v>
      </c>
      <c r="F179" s="412">
        <v>46152</v>
      </c>
      <c r="G179" s="410"/>
      <c r="H179" s="410" t="s">
        <v>28</v>
      </c>
      <c r="I179" s="410" t="s">
        <v>29</v>
      </c>
      <c r="J179" s="410">
        <v>10663</v>
      </c>
      <c r="K179" s="412">
        <v>46062</v>
      </c>
      <c r="L179" s="410">
        <v>1010100</v>
      </c>
      <c r="M179" s="410" t="s">
        <v>35</v>
      </c>
      <c r="N179" s="410">
        <v>161</v>
      </c>
      <c r="O179" s="410" t="s">
        <v>161</v>
      </c>
      <c r="P179" s="410" t="s">
        <v>500</v>
      </c>
      <c r="Q179">
        <f t="shared" si="3"/>
        <v>-16</v>
      </c>
      <c r="R179">
        <f>_xlfn.XLOOKUP(E179,'Data Additive'!E:E,'Data Additive'!E:E,0)</f>
        <v>1246262728</v>
      </c>
    </row>
    <row r="180" spans="1:18" x14ac:dyDescent="0.25">
      <c r="A180" s="410">
        <v>7102</v>
      </c>
      <c r="B180" s="410" t="s">
        <v>800</v>
      </c>
      <c r="C180" s="410" t="s">
        <v>567</v>
      </c>
      <c r="D180" s="411">
        <v>4800</v>
      </c>
      <c r="E180" s="410">
        <v>1246247639</v>
      </c>
      <c r="F180" s="412">
        <v>45982</v>
      </c>
      <c r="G180" s="410"/>
      <c r="H180" s="410" t="s">
        <v>28</v>
      </c>
      <c r="I180" s="410" t="s">
        <v>29</v>
      </c>
      <c r="J180" s="410">
        <v>1246247639</v>
      </c>
      <c r="K180" s="412">
        <v>45967</v>
      </c>
      <c r="L180" s="410">
        <v>3041000</v>
      </c>
      <c r="M180" s="410" t="s">
        <v>138</v>
      </c>
      <c r="N180" s="410">
        <v>46</v>
      </c>
      <c r="O180" s="410" t="s">
        <v>163</v>
      </c>
      <c r="P180" s="410" t="s">
        <v>500</v>
      </c>
      <c r="Q180">
        <f t="shared" si="3"/>
        <v>154</v>
      </c>
      <c r="R180">
        <f>_xlfn.XLOOKUP(E180,'Data Additive'!E:E,'Data Additive'!E:E,0)</f>
        <v>0</v>
      </c>
    </row>
    <row r="181" spans="1:18" x14ac:dyDescent="0.25">
      <c r="A181" s="410">
        <v>7662</v>
      </c>
      <c r="B181" s="410" t="s">
        <v>106</v>
      </c>
      <c r="C181" s="410" t="s">
        <v>552</v>
      </c>
      <c r="D181" s="411">
        <v>57795</v>
      </c>
      <c r="E181" s="410">
        <v>1246266876</v>
      </c>
      <c r="F181" s="412">
        <v>46147</v>
      </c>
      <c r="G181" s="410"/>
      <c r="H181" s="410" t="s">
        <v>28</v>
      </c>
      <c r="I181" s="410" t="s">
        <v>29</v>
      </c>
      <c r="J181" s="410">
        <v>2799</v>
      </c>
      <c r="K181" s="412">
        <v>46087</v>
      </c>
      <c r="L181" s="410">
        <v>1010100</v>
      </c>
      <c r="M181" s="410" t="s">
        <v>35</v>
      </c>
      <c r="N181" s="410">
        <v>161</v>
      </c>
      <c r="O181" s="410" t="s">
        <v>161</v>
      </c>
      <c r="P181" s="410" t="s">
        <v>618</v>
      </c>
      <c r="Q181">
        <f t="shared" si="3"/>
        <v>-11</v>
      </c>
      <c r="R181">
        <f>_xlfn.XLOOKUP(E181,'Data Additive'!E:E,'Data Additive'!E:E,0)</f>
        <v>1246266876</v>
      </c>
    </row>
    <row r="182" spans="1:18" x14ac:dyDescent="0.25">
      <c r="A182" s="410">
        <v>7662</v>
      </c>
      <c r="B182" s="410" t="s">
        <v>106</v>
      </c>
      <c r="C182" s="410" t="s">
        <v>552</v>
      </c>
      <c r="D182" s="411">
        <v>77060</v>
      </c>
      <c r="E182" s="410">
        <v>1246269689</v>
      </c>
      <c r="F182" s="412">
        <v>46157</v>
      </c>
      <c r="G182" s="410"/>
      <c r="H182" s="410" t="s">
        <v>28</v>
      </c>
      <c r="I182" s="410" t="s">
        <v>29</v>
      </c>
      <c r="J182" s="410">
        <v>2856</v>
      </c>
      <c r="K182" s="412">
        <v>46112</v>
      </c>
      <c r="L182" s="410">
        <v>1010100</v>
      </c>
      <c r="M182" s="410" t="s">
        <v>35</v>
      </c>
      <c r="N182" s="410">
        <v>161</v>
      </c>
      <c r="O182" s="410" t="s">
        <v>161</v>
      </c>
      <c r="P182" s="410" t="s">
        <v>618</v>
      </c>
      <c r="Q182">
        <f t="shared" si="3"/>
        <v>-21</v>
      </c>
      <c r="R182">
        <f>_xlfn.XLOOKUP(E182,'Data Additive'!E:E,'Data Additive'!E:E,0)</f>
        <v>1246269689</v>
      </c>
    </row>
    <row r="183" spans="1:18" x14ac:dyDescent="0.25">
      <c r="A183" s="410">
        <v>7662</v>
      </c>
      <c r="B183" s="410" t="s">
        <v>106</v>
      </c>
      <c r="C183" s="410" t="s">
        <v>552</v>
      </c>
      <c r="D183" s="411">
        <v>77060</v>
      </c>
      <c r="E183" s="410">
        <v>1246269690</v>
      </c>
      <c r="F183" s="412">
        <v>46172</v>
      </c>
      <c r="G183" s="410"/>
      <c r="H183" s="410" t="s">
        <v>28</v>
      </c>
      <c r="I183" s="410" t="s">
        <v>29</v>
      </c>
      <c r="J183" s="410">
        <v>2856</v>
      </c>
      <c r="K183" s="412">
        <v>46112</v>
      </c>
      <c r="L183" s="410">
        <v>1010100</v>
      </c>
      <c r="M183" s="410" t="s">
        <v>35</v>
      </c>
      <c r="N183" s="410">
        <v>161</v>
      </c>
      <c r="O183" s="410" t="s">
        <v>161</v>
      </c>
      <c r="P183" s="410" t="s">
        <v>618</v>
      </c>
      <c r="Q183">
        <f t="shared" si="3"/>
        <v>-36</v>
      </c>
      <c r="R183">
        <f>_xlfn.XLOOKUP(E183,'Data Additive'!E:E,'Data Additive'!E:E,0)</f>
        <v>1246269690</v>
      </c>
    </row>
    <row r="184" spans="1:18" x14ac:dyDescent="0.25">
      <c r="A184" s="410">
        <v>7479</v>
      </c>
      <c r="B184" s="410" t="s">
        <v>849</v>
      </c>
      <c r="C184" s="410" t="s">
        <v>850</v>
      </c>
      <c r="D184" s="411">
        <v>64104.800000000003</v>
      </c>
      <c r="E184" s="410">
        <v>1246264518</v>
      </c>
      <c r="F184" s="412">
        <v>46166</v>
      </c>
      <c r="G184" s="410"/>
      <c r="H184" s="410" t="s">
        <v>28</v>
      </c>
      <c r="I184" s="410" t="s">
        <v>29</v>
      </c>
      <c r="J184" s="410">
        <v>10739</v>
      </c>
      <c r="K184" s="412">
        <v>46076</v>
      </c>
      <c r="L184" s="410">
        <v>1010100</v>
      </c>
      <c r="M184" s="410" t="s">
        <v>35</v>
      </c>
      <c r="N184" s="410">
        <v>56</v>
      </c>
      <c r="O184" s="410" t="s">
        <v>162</v>
      </c>
      <c r="P184" s="410" t="s">
        <v>500</v>
      </c>
      <c r="Q184">
        <f t="shared" si="3"/>
        <v>-30</v>
      </c>
      <c r="R184">
        <f>_xlfn.XLOOKUP(E184,'Data Additive'!E:E,'Data Additive'!E:E,0)</f>
        <v>1246264518</v>
      </c>
    </row>
    <row r="185" spans="1:18" x14ac:dyDescent="0.25">
      <c r="A185" s="410">
        <v>6477</v>
      </c>
      <c r="B185" s="410" t="s">
        <v>98</v>
      </c>
      <c r="C185" s="410" t="s">
        <v>99</v>
      </c>
      <c r="D185" s="411">
        <v>5400</v>
      </c>
      <c r="E185" s="410">
        <v>1246054441</v>
      </c>
      <c r="F185" s="412">
        <v>44897</v>
      </c>
      <c r="G185" s="410"/>
      <c r="H185" s="410" t="s">
        <v>28</v>
      </c>
      <c r="I185" s="410" t="s">
        <v>29</v>
      </c>
      <c r="J185" s="410">
        <v>1246054441</v>
      </c>
      <c r="K185" s="412">
        <v>44882</v>
      </c>
      <c r="L185" s="410">
        <v>3041000</v>
      </c>
      <c r="M185" s="410" t="s">
        <v>138</v>
      </c>
      <c r="N185" s="410">
        <v>46</v>
      </c>
      <c r="O185" s="410" t="s">
        <v>163</v>
      </c>
      <c r="P185" s="410" t="s">
        <v>500</v>
      </c>
      <c r="Q185">
        <f t="shared" si="3"/>
        <v>1239</v>
      </c>
      <c r="R185">
        <f>_xlfn.XLOOKUP(E185,'Data Additive'!E:E,'Data Additive'!E:E,0)</f>
        <v>0</v>
      </c>
    </row>
    <row r="186" spans="1:18" x14ac:dyDescent="0.25">
      <c r="A186" s="410">
        <v>6477</v>
      </c>
      <c r="B186" s="410" t="s">
        <v>98</v>
      </c>
      <c r="C186" s="410" t="s">
        <v>99</v>
      </c>
      <c r="D186" s="411">
        <v>10915.8</v>
      </c>
      <c r="E186" s="410">
        <v>1246261047</v>
      </c>
      <c r="F186" s="412">
        <v>46138</v>
      </c>
      <c r="G186" s="410"/>
      <c r="H186" s="410" t="s">
        <v>28</v>
      </c>
      <c r="I186" s="410" t="s">
        <v>29</v>
      </c>
      <c r="J186" s="410">
        <v>10576</v>
      </c>
      <c r="K186" s="412">
        <v>46048</v>
      </c>
      <c r="L186" s="410">
        <v>1010100</v>
      </c>
      <c r="M186" s="410" t="s">
        <v>35</v>
      </c>
      <c r="N186" s="410">
        <v>161</v>
      </c>
      <c r="O186" s="410" t="s">
        <v>161</v>
      </c>
      <c r="P186" s="410" t="s">
        <v>500</v>
      </c>
      <c r="Q186">
        <f t="shared" si="3"/>
        <v>-2</v>
      </c>
      <c r="R186">
        <f>_xlfn.XLOOKUP(E186,'Data Additive'!E:E,'Data Additive'!E:E,0)</f>
        <v>1246261047</v>
      </c>
    </row>
    <row r="187" spans="1:18" x14ac:dyDescent="0.25">
      <c r="A187" s="410">
        <v>6477</v>
      </c>
      <c r="B187" s="410" t="s">
        <v>98</v>
      </c>
      <c r="C187" s="410" t="s">
        <v>99</v>
      </c>
      <c r="D187" s="411">
        <v>166320</v>
      </c>
      <c r="E187" s="410">
        <v>1246263184</v>
      </c>
      <c r="F187" s="412">
        <v>46153</v>
      </c>
      <c r="G187" s="410"/>
      <c r="H187" s="410" t="s">
        <v>28</v>
      </c>
      <c r="I187" s="410" t="s">
        <v>29</v>
      </c>
      <c r="J187" s="410">
        <v>10673</v>
      </c>
      <c r="K187" s="412">
        <v>46063</v>
      </c>
      <c r="L187" s="410">
        <v>1010100</v>
      </c>
      <c r="M187" s="410" t="s">
        <v>35</v>
      </c>
      <c r="N187" s="410">
        <v>161</v>
      </c>
      <c r="O187" s="410" t="s">
        <v>161</v>
      </c>
      <c r="P187" s="410" t="s">
        <v>500</v>
      </c>
      <c r="Q187">
        <f t="shared" si="3"/>
        <v>-17</v>
      </c>
      <c r="R187">
        <f>_xlfn.XLOOKUP(E187,'Data Additive'!E:E,'Data Additive'!E:E,0)</f>
        <v>1246263184</v>
      </c>
    </row>
    <row r="188" spans="1:18" x14ac:dyDescent="0.25">
      <c r="A188" s="410">
        <v>6477</v>
      </c>
      <c r="B188" s="410" t="s">
        <v>98</v>
      </c>
      <c r="C188" s="410" t="s">
        <v>99</v>
      </c>
      <c r="D188" s="411">
        <v>221088</v>
      </c>
      <c r="E188" s="410">
        <v>1246261235</v>
      </c>
      <c r="F188" s="412">
        <v>46139</v>
      </c>
      <c r="G188" s="410"/>
      <c r="H188" s="410" t="s">
        <v>28</v>
      </c>
      <c r="I188" s="410" t="s">
        <v>29</v>
      </c>
      <c r="J188" s="410">
        <v>10588</v>
      </c>
      <c r="K188" s="412">
        <v>46049</v>
      </c>
      <c r="L188" s="410">
        <v>1010100</v>
      </c>
      <c r="M188" s="410" t="s">
        <v>35</v>
      </c>
      <c r="N188" s="410">
        <v>161</v>
      </c>
      <c r="O188" s="410" t="s">
        <v>161</v>
      </c>
      <c r="P188" s="410" t="s">
        <v>500</v>
      </c>
      <c r="Q188">
        <f t="shared" si="3"/>
        <v>-3</v>
      </c>
      <c r="R188">
        <f>_xlfn.XLOOKUP(E188,'Data Additive'!E:E,'Data Additive'!E:E,0)</f>
        <v>1246261235</v>
      </c>
    </row>
    <row r="189" spans="1:18" x14ac:dyDescent="0.25">
      <c r="A189" s="410">
        <v>6477</v>
      </c>
      <c r="B189" s="410" t="s">
        <v>98</v>
      </c>
      <c r="C189" s="410" t="s">
        <v>99</v>
      </c>
      <c r="D189" s="411">
        <v>167720</v>
      </c>
      <c r="E189" s="410">
        <v>1246262010</v>
      </c>
      <c r="F189" s="412">
        <v>46145</v>
      </c>
      <c r="G189" s="410"/>
      <c r="H189" s="410" t="s">
        <v>28</v>
      </c>
      <c r="I189" s="410" t="s">
        <v>29</v>
      </c>
      <c r="J189" s="410">
        <v>10625</v>
      </c>
      <c r="K189" s="412">
        <v>46055</v>
      </c>
      <c r="L189" s="410">
        <v>1010100</v>
      </c>
      <c r="M189" s="410" t="s">
        <v>35</v>
      </c>
      <c r="N189" s="410">
        <v>161</v>
      </c>
      <c r="O189" s="410" t="s">
        <v>161</v>
      </c>
      <c r="P189" s="410" t="s">
        <v>500</v>
      </c>
      <c r="Q189">
        <f t="shared" si="3"/>
        <v>-9</v>
      </c>
      <c r="R189">
        <f>_xlfn.XLOOKUP(E189,'Data Additive'!E:E,'Data Additive'!E:E,0)</f>
        <v>1246262010</v>
      </c>
    </row>
    <row r="190" spans="1:18" x14ac:dyDescent="0.25">
      <c r="A190" s="410">
        <v>6477</v>
      </c>
      <c r="B190" s="410" t="s">
        <v>98</v>
      </c>
      <c r="C190" s="410" t="s">
        <v>99</v>
      </c>
      <c r="D190" s="411">
        <v>6302.6</v>
      </c>
      <c r="E190" s="410">
        <v>1246212732</v>
      </c>
      <c r="F190" s="412">
        <v>45682</v>
      </c>
      <c r="G190" s="410"/>
      <c r="H190" s="410" t="s">
        <v>28</v>
      </c>
      <c r="I190" s="410" t="s">
        <v>29</v>
      </c>
      <c r="J190" s="410">
        <v>6197</v>
      </c>
      <c r="K190" s="412">
        <v>45622</v>
      </c>
      <c r="L190" s="410">
        <v>1010100</v>
      </c>
      <c r="M190" s="410" t="s">
        <v>35</v>
      </c>
      <c r="N190" s="410">
        <v>161</v>
      </c>
      <c r="O190" s="410" t="s">
        <v>161</v>
      </c>
      <c r="P190" s="410" t="s">
        <v>500</v>
      </c>
      <c r="Q190">
        <f t="shared" si="3"/>
        <v>454</v>
      </c>
      <c r="R190">
        <f>_xlfn.XLOOKUP(E190,'Data Additive'!E:E,'Data Additive'!E:E,0)</f>
        <v>1246212732</v>
      </c>
    </row>
    <row r="191" spans="1:18" x14ac:dyDescent="0.25">
      <c r="A191" s="410">
        <v>7097</v>
      </c>
      <c r="B191" s="410" t="s">
        <v>102</v>
      </c>
      <c r="C191" s="410" t="s">
        <v>103</v>
      </c>
      <c r="D191" s="411">
        <v>11300</v>
      </c>
      <c r="E191" s="410">
        <v>1246058687</v>
      </c>
      <c r="F191" s="412">
        <v>44925</v>
      </c>
      <c r="G191" s="410"/>
      <c r="H191" s="410" t="s">
        <v>28</v>
      </c>
      <c r="I191" s="410" t="s">
        <v>29</v>
      </c>
      <c r="J191" s="410">
        <v>1246058687</v>
      </c>
      <c r="K191" s="412">
        <v>44910</v>
      </c>
      <c r="L191" s="410">
        <v>3041000</v>
      </c>
      <c r="M191" s="410" t="s">
        <v>138</v>
      </c>
      <c r="N191" s="410">
        <v>46</v>
      </c>
      <c r="O191" s="410" t="s">
        <v>163</v>
      </c>
      <c r="P191" s="410" t="s">
        <v>500</v>
      </c>
      <c r="Q191">
        <f t="shared" si="3"/>
        <v>1211</v>
      </c>
      <c r="R191">
        <f>_xlfn.XLOOKUP(E191,'Data Additive'!E:E,'Data Additive'!E:E,0)</f>
        <v>0</v>
      </c>
    </row>
    <row r="192" spans="1:18" x14ac:dyDescent="0.25">
      <c r="A192" s="410">
        <v>7097</v>
      </c>
      <c r="B192" s="410" t="s">
        <v>102</v>
      </c>
      <c r="C192" s="410" t="s">
        <v>103</v>
      </c>
      <c r="D192" s="411">
        <v>10183.120000000001</v>
      </c>
      <c r="E192" s="410">
        <v>1246057240</v>
      </c>
      <c r="F192" s="412">
        <v>44922</v>
      </c>
      <c r="G192" s="410"/>
      <c r="H192" s="410" t="s">
        <v>28</v>
      </c>
      <c r="I192" s="410" t="s">
        <v>29</v>
      </c>
      <c r="J192" s="410">
        <v>71222</v>
      </c>
      <c r="K192" s="412">
        <v>44902</v>
      </c>
      <c r="L192" s="410">
        <v>3041000</v>
      </c>
      <c r="M192" s="410" t="s">
        <v>138</v>
      </c>
      <c r="N192" s="410">
        <v>46</v>
      </c>
      <c r="O192" s="410" t="s">
        <v>163</v>
      </c>
      <c r="P192" s="410" t="s">
        <v>500</v>
      </c>
      <c r="Q192">
        <f t="shared" si="3"/>
        <v>1214</v>
      </c>
      <c r="R192">
        <f>_xlfn.XLOOKUP(E192,'Data Additive'!E:E,'Data Additive'!E:E,0)</f>
        <v>0</v>
      </c>
    </row>
    <row r="193" spans="1:18" x14ac:dyDescent="0.25">
      <c r="A193" s="410">
        <v>7097</v>
      </c>
      <c r="B193" s="410" t="s">
        <v>102</v>
      </c>
      <c r="C193" s="410" t="s">
        <v>103</v>
      </c>
      <c r="D193" s="411">
        <v>177977.8</v>
      </c>
      <c r="E193" s="410">
        <v>1246265921</v>
      </c>
      <c r="F193" s="412">
        <v>46173</v>
      </c>
      <c r="G193" s="410"/>
      <c r="H193" s="410" t="s">
        <v>28</v>
      </c>
      <c r="I193" s="410" t="s">
        <v>29</v>
      </c>
      <c r="J193" s="410">
        <v>10795</v>
      </c>
      <c r="K193" s="412">
        <v>46083</v>
      </c>
      <c r="L193" s="410">
        <v>1010100</v>
      </c>
      <c r="M193" s="410" t="s">
        <v>35</v>
      </c>
      <c r="N193" s="410">
        <v>161</v>
      </c>
      <c r="O193" s="410" t="s">
        <v>161</v>
      </c>
      <c r="P193" s="410" t="s">
        <v>500</v>
      </c>
      <c r="Q193">
        <f t="shared" si="3"/>
        <v>-37</v>
      </c>
      <c r="R193">
        <f>_xlfn.XLOOKUP(E193,'Data Additive'!E:E,'Data Additive'!E:E,0)</f>
        <v>1246265921</v>
      </c>
    </row>
    <row r="194" spans="1:18" x14ac:dyDescent="0.25">
      <c r="A194" s="410">
        <v>7443</v>
      </c>
      <c r="B194" s="410" t="s">
        <v>827</v>
      </c>
      <c r="C194" s="410" t="s">
        <v>253</v>
      </c>
      <c r="D194" s="411">
        <v>1200</v>
      </c>
      <c r="E194" s="410">
        <v>1246156403</v>
      </c>
      <c r="F194" s="412">
        <v>45496</v>
      </c>
      <c r="G194" s="410"/>
      <c r="H194" s="410" t="s">
        <v>28</v>
      </c>
      <c r="I194" s="410" t="s">
        <v>29</v>
      </c>
      <c r="J194" s="410">
        <v>1246156403</v>
      </c>
      <c r="K194" s="412">
        <v>45481</v>
      </c>
      <c r="L194" s="410">
        <v>3041000</v>
      </c>
      <c r="M194" s="410" t="s">
        <v>138</v>
      </c>
      <c r="N194" s="410">
        <v>46</v>
      </c>
      <c r="O194" s="410" t="s">
        <v>163</v>
      </c>
      <c r="P194" s="410" t="s">
        <v>500</v>
      </c>
      <c r="Q194">
        <f t="shared" si="3"/>
        <v>640</v>
      </c>
      <c r="R194">
        <f>_xlfn.XLOOKUP(E194,'Data Additive'!E:E,'Data Additive'!E:E,0)</f>
        <v>0</v>
      </c>
    </row>
    <row r="195" spans="1:18" x14ac:dyDescent="0.25">
      <c r="A195" s="410">
        <v>7443</v>
      </c>
      <c r="B195" s="410" t="s">
        <v>827</v>
      </c>
      <c r="C195" s="410" t="s">
        <v>253</v>
      </c>
      <c r="D195" s="411">
        <v>1200</v>
      </c>
      <c r="E195" s="410">
        <v>1246156396</v>
      </c>
      <c r="F195" s="412">
        <v>45496</v>
      </c>
      <c r="G195" s="410"/>
      <c r="H195" s="410" t="s">
        <v>28</v>
      </c>
      <c r="I195" s="410" t="s">
        <v>29</v>
      </c>
      <c r="J195" s="410">
        <v>1246156396</v>
      </c>
      <c r="K195" s="412">
        <v>45481</v>
      </c>
      <c r="L195" s="410">
        <v>3041000</v>
      </c>
      <c r="M195" s="410" t="s">
        <v>138</v>
      </c>
      <c r="N195" s="410">
        <v>46</v>
      </c>
      <c r="O195" s="410" t="s">
        <v>163</v>
      </c>
      <c r="P195" s="410" t="s">
        <v>500</v>
      </c>
      <c r="Q195">
        <f t="shared" si="3"/>
        <v>640</v>
      </c>
      <c r="R195">
        <f>_xlfn.XLOOKUP(E195,'Data Additive'!E:E,'Data Additive'!E:E,0)</f>
        <v>0</v>
      </c>
    </row>
    <row r="196" spans="1:18" x14ac:dyDescent="0.25">
      <c r="A196" s="410">
        <v>7024</v>
      </c>
      <c r="B196" s="410" t="s">
        <v>860</v>
      </c>
      <c r="C196" s="410" t="s">
        <v>861</v>
      </c>
      <c r="D196" s="411">
        <v>70855.199999999997</v>
      </c>
      <c r="E196" s="410">
        <v>1246269662</v>
      </c>
      <c r="F196" s="412">
        <v>46201</v>
      </c>
      <c r="G196" s="410"/>
      <c r="H196" s="410" t="s">
        <v>28</v>
      </c>
      <c r="I196" s="410" t="s">
        <v>29</v>
      </c>
      <c r="J196" s="410">
        <v>11011</v>
      </c>
      <c r="K196" s="412">
        <v>46111</v>
      </c>
      <c r="L196" s="410">
        <v>1010100</v>
      </c>
      <c r="M196" s="410" t="s">
        <v>35</v>
      </c>
      <c r="N196" s="410">
        <v>161</v>
      </c>
      <c r="O196" s="410" t="s">
        <v>161</v>
      </c>
      <c r="P196" s="410" t="s">
        <v>500</v>
      </c>
      <c r="Q196">
        <f t="shared" si="3"/>
        <v>-65</v>
      </c>
      <c r="R196">
        <f>_xlfn.XLOOKUP(E196,'Data Additive'!E:E,'Data Additive'!E:E,0)</f>
        <v>1246269662</v>
      </c>
    </row>
    <row r="197" spans="1:18" x14ac:dyDescent="0.25">
      <c r="A197" s="410">
        <v>7024</v>
      </c>
      <c r="B197" s="410" t="s">
        <v>860</v>
      </c>
      <c r="C197" s="410" t="s">
        <v>861</v>
      </c>
      <c r="D197" s="411">
        <v>71323.199999999997</v>
      </c>
      <c r="E197" s="410">
        <v>1246270943</v>
      </c>
      <c r="F197" s="412">
        <v>46212</v>
      </c>
      <c r="G197" s="410"/>
      <c r="H197" s="410" t="s">
        <v>28</v>
      </c>
      <c r="I197" s="410" t="s">
        <v>29</v>
      </c>
      <c r="J197" s="410">
        <v>11084</v>
      </c>
      <c r="K197" s="412">
        <v>46122</v>
      </c>
      <c r="L197" s="410">
        <v>1010100</v>
      </c>
      <c r="M197" s="410" t="s">
        <v>35</v>
      </c>
      <c r="N197" s="410">
        <v>161</v>
      </c>
      <c r="O197" s="410" t="s">
        <v>161</v>
      </c>
      <c r="P197" s="410" t="s">
        <v>500</v>
      </c>
      <c r="Q197">
        <f t="shared" si="3"/>
        <v>-76</v>
      </c>
      <c r="R197">
        <f>_xlfn.XLOOKUP(E197,'Data Additive'!E:E,'Data Additive'!E:E,0)</f>
        <v>1246270943</v>
      </c>
    </row>
    <row r="198" spans="1:18" x14ac:dyDescent="0.25">
      <c r="A198" s="410">
        <v>7024</v>
      </c>
      <c r="B198" s="410" t="s">
        <v>860</v>
      </c>
      <c r="C198" s="410" t="s">
        <v>861</v>
      </c>
      <c r="D198" s="411">
        <v>70410.600000000006</v>
      </c>
      <c r="E198" s="410">
        <v>1246265856</v>
      </c>
      <c r="F198" s="412">
        <v>46170</v>
      </c>
      <c r="G198" s="410"/>
      <c r="H198" s="410" t="s">
        <v>28</v>
      </c>
      <c r="I198" s="410" t="s">
        <v>29</v>
      </c>
      <c r="J198" s="410">
        <v>10790</v>
      </c>
      <c r="K198" s="412">
        <v>46080</v>
      </c>
      <c r="L198" s="410">
        <v>1010100</v>
      </c>
      <c r="M198" s="410" t="s">
        <v>35</v>
      </c>
      <c r="N198" s="410">
        <v>161</v>
      </c>
      <c r="O198" s="410" t="s">
        <v>161</v>
      </c>
      <c r="P198" s="410" t="s">
        <v>500</v>
      </c>
      <c r="Q198">
        <f t="shared" si="3"/>
        <v>-34</v>
      </c>
      <c r="R198">
        <f>_xlfn.XLOOKUP(E198,'Data Additive'!E:E,'Data Additive'!E:E,0)</f>
        <v>1246265856</v>
      </c>
    </row>
    <row r="199" spans="1:18" x14ac:dyDescent="0.25">
      <c r="A199" s="410">
        <v>7302</v>
      </c>
      <c r="B199" s="410" t="s">
        <v>104</v>
      </c>
      <c r="C199" s="410" t="s">
        <v>105</v>
      </c>
      <c r="D199" s="411">
        <v>1800</v>
      </c>
      <c r="E199" s="410">
        <v>1246045752</v>
      </c>
      <c r="F199" s="412">
        <v>44848</v>
      </c>
      <c r="G199" s="410"/>
      <c r="H199" s="410" t="s">
        <v>28</v>
      </c>
      <c r="I199" s="410" t="s">
        <v>29</v>
      </c>
      <c r="J199" s="410">
        <v>290922</v>
      </c>
      <c r="K199" s="412">
        <v>44833</v>
      </c>
      <c r="L199" s="410">
        <v>3041000</v>
      </c>
      <c r="M199" s="410" t="s">
        <v>138</v>
      </c>
      <c r="N199" s="410">
        <v>46</v>
      </c>
      <c r="O199" s="410" t="s">
        <v>163</v>
      </c>
      <c r="P199" s="410" t="s">
        <v>500</v>
      </c>
      <c r="Q199">
        <f t="shared" si="3"/>
        <v>1288</v>
      </c>
      <c r="R199">
        <f>_xlfn.XLOOKUP(E199,'Data Additive'!E:E,'Data Additive'!E:E,0)</f>
        <v>0</v>
      </c>
    </row>
    <row r="200" spans="1:18" x14ac:dyDescent="0.25">
      <c r="A200" s="410">
        <v>7302</v>
      </c>
      <c r="B200" s="410" t="s">
        <v>104</v>
      </c>
      <c r="C200" s="410" t="s">
        <v>105</v>
      </c>
      <c r="D200" s="411">
        <v>7200</v>
      </c>
      <c r="E200" s="410">
        <v>1246033417</v>
      </c>
      <c r="F200" s="412">
        <v>44792</v>
      </c>
      <c r="G200" s="410"/>
      <c r="H200" s="410" t="s">
        <v>28</v>
      </c>
      <c r="I200" s="410" t="s">
        <v>29</v>
      </c>
      <c r="J200" s="410">
        <v>1246033417</v>
      </c>
      <c r="K200" s="412">
        <v>44777</v>
      </c>
      <c r="L200" s="410">
        <v>3041000</v>
      </c>
      <c r="M200" s="410" t="s">
        <v>138</v>
      </c>
      <c r="N200" s="410">
        <v>46</v>
      </c>
      <c r="O200" s="410" t="s">
        <v>163</v>
      </c>
      <c r="P200" s="410" t="s">
        <v>500</v>
      </c>
      <c r="Q200">
        <f t="shared" si="3"/>
        <v>1344</v>
      </c>
      <c r="R200">
        <f>_xlfn.XLOOKUP(E200,'Data Additive'!E:E,'Data Additive'!E:E,0)</f>
        <v>0</v>
      </c>
    </row>
    <row r="201" spans="1:18" x14ac:dyDescent="0.25">
      <c r="A201" s="410">
        <v>7302</v>
      </c>
      <c r="B201" s="410" t="s">
        <v>104</v>
      </c>
      <c r="C201" s="410" t="s">
        <v>105</v>
      </c>
      <c r="D201" s="411">
        <v>1431.76</v>
      </c>
      <c r="E201" s="410">
        <v>1246062794</v>
      </c>
      <c r="F201" s="412">
        <v>44939</v>
      </c>
      <c r="G201" s="410"/>
      <c r="H201" s="410" t="s">
        <v>28</v>
      </c>
      <c r="I201" s="410" t="s">
        <v>29</v>
      </c>
      <c r="J201" s="410">
        <v>19884</v>
      </c>
      <c r="K201" s="412">
        <v>44879</v>
      </c>
      <c r="L201" s="410">
        <v>1010100</v>
      </c>
      <c r="M201" s="410" t="s">
        <v>35</v>
      </c>
      <c r="N201" s="410">
        <v>80</v>
      </c>
      <c r="O201" s="410" t="s">
        <v>181</v>
      </c>
      <c r="P201" s="410" t="s">
        <v>500</v>
      </c>
      <c r="Q201">
        <f t="shared" si="3"/>
        <v>1197</v>
      </c>
      <c r="R201">
        <f>_xlfn.XLOOKUP(E201,'Data Additive'!E:E,'Data Additive'!E:E,0)</f>
        <v>1246062794</v>
      </c>
    </row>
    <row r="202" spans="1:18" x14ac:dyDescent="0.25">
      <c r="A202" s="410">
        <v>7302</v>
      </c>
      <c r="B202" s="410" t="s">
        <v>104</v>
      </c>
      <c r="C202" s="410" t="s">
        <v>105</v>
      </c>
      <c r="D202" s="411">
        <v>9000</v>
      </c>
      <c r="E202" s="410">
        <v>1246054438</v>
      </c>
      <c r="F202" s="412">
        <v>44897</v>
      </c>
      <c r="G202" s="410"/>
      <c r="H202" s="410" t="s">
        <v>28</v>
      </c>
      <c r="I202" s="410" t="s">
        <v>29</v>
      </c>
      <c r="J202" s="410">
        <v>1246054438</v>
      </c>
      <c r="K202" s="412">
        <v>44882</v>
      </c>
      <c r="L202" s="410">
        <v>3041000</v>
      </c>
      <c r="M202" s="410" t="s">
        <v>138</v>
      </c>
      <c r="N202" s="410">
        <v>46</v>
      </c>
      <c r="O202" s="410" t="s">
        <v>163</v>
      </c>
      <c r="P202" s="410" t="s">
        <v>500</v>
      </c>
      <c r="Q202">
        <f t="shared" si="3"/>
        <v>1239</v>
      </c>
      <c r="R202">
        <f>_xlfn.XLOOKUP(E202,'Data Additive'!E:E,'Data Additive'!E:E,0)</f>
        <v>0</v>
      </c>
    </row>
    <row r="203" spans="1:18" x14ac:dyDescent="0.25">
      <c r="A203" s="410">
        <v>7302</v>
      </c>
      <c r="B203" s="410" t="s">
        <v>104</v>
      </c>
      <c r="C203" s="410" t="s">
        <v>105</v>
      </c>
      <c r="D203" s="411">
        <v>7200</v>
      </c>
      <c r="E203" s="410">
        <v>1246057914</v>
      </c>
      <c r="F203" s="412">
        <v>44922</v>
      </c>
      <c r="G203" s="410"/>
      <c r="H203" s="410" t="s">
        <v>28</v>
      </c>
      <c r="I203" s="410" t="s">
        <v>29</v>
      </c>
      <c r="J203" s="410">
        <v>1246057914</v>
      </c>
      <c r="K203" s="412">
        <v>44907</v>
      </c>
      <c r="L203" s="410">
        <v>3041000</v>
      </c>
      <c r="M203" s="410" t="s">
        <v>138</v>
      </c>
      <c r="N203" s="410">
        <v>46</v>
      </c>
      <c r="O203" s="410" t="s">
        <v>163</v>
      </c>
      <c r="P203" s="410" t="s">
        <v>500</v>
      </c>
      <c r="Q203">
        <f t="shared" si="3"/>
        <v>1214</v>
      </c>
      <c r="R203">
        <f>_xlfn.XLOOKUP(E203,'Data Additive'!E:E,'Data Additive'!E:E,0)</f>
        <v>0</v>
      </c>
    </row>
    <row r="204" spans="1:18" x14ac:dyDescent="0.25">
      <c r="A204" s="410">
        <v>7302</v>
      </c>
      <c r="B204" s="410" t="s">
        <v>104</v>
      </c>
      <c r="C204" s="410" t="s">
        <v>105</v>
      </c>
      <c r="D204" s="411">
        <v>2517.4</v>
      </c>
      <c r="E204" s="410">
        <v>1246055324</v>
      </c>
      <c r="F204" s="412">
        <v>44887</v>
      </c>
      <c r="G204" s="410"/>
      <c r="H204" s="410" t="s">
        <v>28</v>
      </c>
      <c r="I204" s="410" t="s">
        <v>29</v>
      </c>
      <c r="J204" s="410">
        <v>19314</v>
      </c>
      <c r="K204" s="412">
        <v>44827</v>
      </c>
      <c r="L204" s="410">
        <v>1010100</v>
      </c>
      <c r="M204" s="410" t="s">
        <v>35</v>
      </c>
      <c r="N204" s="410">
        <v>161</v>
      </c>
      <c r="O204" s="410" t="s">
        <v>161</v>
      </c>
      <c r="P204" s="410" t="s">
        <v>500</v>
      </c>
      <c r="Q204">
        <f t="shared" si="3"/>
        <v>1249</v>
      </c>
      <c r="R204">
        <f>_xlfn.XLOOKUP(E204,'Data Additive'!E:E,'Data Additive'!E:E,0)</f>
        <v>1246055324</v>
      </c>
    </row>
    <row r="205" spans="1:18" x14ac:dyDescent="0.25">
      <c r="A205" s="410">
        <v>7302</v>
      </c>
      <c r="B205" s="410" t="s">
        <v>104</v>
      </c>
      <c r="C205" s="410" t="s">
        <v>105</v>
      </c>
      <c r="D205" s="411">
        <v>36679.800000000003</v>
      </c>
      <c r="E205" s="410">
        <v>1246272740</v>
      </c>
      <c r="F205" s="412">
        <v>46229</v>
      </c>
      <c r="G205" s="410"/>
      <c r="H205" s="410" t="s">
        <v>28</v>
      </c>
      <c r="I205" s="410" t="s">
        <v>29</v>
      </c>
      <c r="J205" s="410">
        <v>11223</v>
      </c>
      <c r="K205" s="412">
        <v>46139</v>
      </c>
      <c r="L205" s="410">
        <v>1010100</v>
      </c>
      <c r="M205" s="410" t="s">
        <v>35</v>
      </c>
      <c r="N205" s="410">
        <v>161</v>
      </c>
      <c r="O205" s="410" t="s">
        <v>161</v>
      </c>
      <c r="P205" s="410" t="s">
        <v>500</v>
      </c>
      <c r="Q205">
        <f t="shared" si="3"/>
        <v>-93</v>
      </c>
      <c r="R205">
        <f>_xlfn.XLOOKUP(E205,'Data Additive'!E:E,'Data Additive'!E:E,0)</f>
        <v>1246272740</v>
      </c>
    </row>
    <row r="206" spans="1:18" x14ac:dyDescent="0.25">
      <c r="A206" s="410">
        <v>7302</v>
      </c>
      <c r="B206" s="410" t="s">
        <v>104</v>
      </c>
      <c r="C206" s="410" t="s">
        <v>105</v>
      </c>
      <c r="D206" s="411">
        <v>166320</v>
      </c>
      <c r="E206" s="410">
        <v>1246263181</v>
      </c>
      <c r="F206" s="412">
        <v>46153</v>
      </c>
      <c r="G206" s="410"/>
      <c r="H206" s="410" t="s">
        <v>28</v>
      </c>
      <c r="I206" s="410" t="s">
        <v>29</v>
      </c>
      <c r="J206" s="410">
        <v>10672</v>
      </c>
      <c r="K206" s="412">
        <v>46063</v>
      </c>
      <c r="L206" s="410">
        <v>1010100</v>
      </c>
      <c r="M206" s="410" t="s">
        <v>35</v>
      </c>
      <c r="N206" s="410">
        <v>161</v>
      </c>
      <c r="O206" s="410" t="s">
        <v>161</v>
      </c>
      <c r="P206" s="410" t="s">
        <v>500</v>
      </c>
      <c r="Q206">
        <f t="shared" ref="Q206:Q267" si="4">$R$1-F206</f>
        <v>-17</v>
      </c>
      <c r="R206">
        <f>_xlfn.XLOOKUP(E206,'Data Additive'!E:E,'Data Additive'!E:E,0)</f>
        <v>1246263181</v>
      </c>
    </row>
    <row r="207" spans="1:18" x14ac:dyDescent="0.25">
      <c r="A207" s="410">
        <v>7302</v>
      </c>
      <c r="B207" s="410" t="s">
        <v>104</v>
      </c>
      <c r="C207" s="410" t="s">
        <v>105</v>
      </c>
      <c r="D207" s="411">
        <v>112000</v>
      </c>
      <c r="E207" s="410">
        <v>1246261232</v>
      </c>
      <c r="F207" s="412">
        <v>46139</v>
      </c>
      <c r="G207" s="410"/>
      <c r="H207" s="410" t="s">
        <v>28</v>
      </c>
      <c r="I207" s="410" t="s">
        <v>29</v>
      </c>
      <c r="J207" s="410">
        <v>10587</v>
      </c>
      <c r="K207" s="412">
        <v>46049</v>
      </c>
      <c r="L207" s="410">
        <v>1010100</v>
      </c>
      <c r="M207" s="410" t="s">
        <v>35</v>
      </c>
      <c r="N207" s="410">
        <v>161</v>
      </c>
      <c r="O207" s="410" t="s">
        <v>161</v>
      </c>
      <c r="P207" s="410" t="s">
        <v>500</v>
      </c>
      <c r="Q207">
        <f t="shared" si="4"/>
        <v>-3</v>
      </c>
      <c r="R207">
        <f>_xlfn.XLOOKUP(E207,'Data Additive'!E:E,'Data Additive'!E:E,0)</f>
        <v>1246261232</v>
      </c>
    </row>
    <row r="208" spans="1:18" x14ac:dyDescent="0.25">
      <c r="A208" s="410">
        <v>7302</v>
      </c>
      <c r="B208" s="410" t="s">
        <v>104</v>
      </c>
      <c r="C208" s="410" t="s">
        <v>105</v>
      </c>
      <c r="D208" s="411">
        <v>67867.8</v>
      </c>
      <c r="E208" s="410">
        <v>1246270495</v>
      </c>
      <c r="F208" s="412">
        <v>46209</v>
      </c>
      <c r="G208" s="410"/>
      <c r="H208" s="410" t="s">
        <v>28</v>
      </c>
      <c r="I208" s="410" t="s">
        <v>29</v>
      </c>
      <c r="J208" s="410">
        <v>11064</v>
      </c>
      <c r="K208" s="412">
        <v>46119</v>
      </c>
      <c r="L208" s="410">
        <v>1010100</v>
      </c>
      <c r="M208" s="410" t="s">
        <v>35</v>
      </c>
      <c r="N208" s="410">
        <v>161</v>
      </c>
      <c r="O208" s="410" t="s">
        <v>161</v>
      </c>
      <c r="P208" s="410" t="s">
        <v>500</v>
      </c>
      <c r="Q208">
        <f t="shared" si="4"/>
        <v>-73</v>
      </c>
      <c r="R208">
        <f>_xlfn.XLOOKUP(E208,'Data Additive'!E:E,'Data Additive'!E:E,0)</f>
        <v>1246270495</v>
      </c>
    </row>
    <row r="209" spans="1:18" x14ac:dyDescent="0.25">
      <c r="A209" s="410">
        <v>7302</v>
      </c>
      <c r="B209" s="410" t="s">
        <v>104</v>
      </c>
      <c r="C209" s="410" t="s">
        <v>105</v>
      </c>
      <c r="D209" s="411">
        <v>22600</v>
      </c>
      <c r="E209" s="410">
        <v>1246261045</v>
      </c>
      <c r="F209" s="412">
        <v>46138</v>
      </c>
      <c r="G209" s="410"/>
      <c r="H209" s="410" t="s">
        <v>28</v>
      </c>
      <c r="I209" s="410" t="s">
        <v>29</v>
      </c>
      <c r="J209" s="410">
        <v>10574</v>
      </c>
      <c r="K209" s="412">
        <v>46048</v>
      </c>
      <c r="L209" s="410">
        <v>1010100</v>
      </c>
      <c r="M209" s="410" t="s">
        <v>35</v>
      </c>
      <c r="N209" s="410">
        <v>56</v>
      </c>
      <c r="O209" s="410" t="s">
        <v>162</v>
      </c>
      <c r="P209" s="410" t="s">
        <v>500</v>
      </c>
      <c r="Q209">
        <f t="shared" si="4"/>
        <v>-2</v>
      </c>
      <c r="R209">
        <f>_xlfn.XLOOKUP(E209,'Data Additive'!E:E,'Data Additive'!E:E,0)</f>
        <v>1246261045</v>
      </c>
    </row>
    <row r="210" spans="1:18" x14ac:dyDescent="0.25">
      <c r="A210" s="410">
        <v>7302</v>
      </c>
      <c r="B210" s="410" t="s">
        <v>104</v>
      </c>
      <c r="C210" s="410" t="s">
        <v>105</v>
      </c>
      <c r="D210" s="411">
        <v>129924</v>
      </c>
      <c r="E210" s="410">
        <v>1246268530</v>
      </c>
      <c r="F210" s="412">
        <v>46191</v>
      </c>
      <c r="G210" s="410"/>
      <c r="H210" s="410" t="s">
        <v>28</v>
      </c>
      <c r="I210" s="410" t="s">
        <v>29</v>
      </c>
      <c r="J210" s="410">
        <v>10941</v>
      </c>
      <c r="K210" s="412">
        <v>46101</v>
      </c>
      <c r="L210" s="410">
        <v>1010100</v>
      </c>
      <c r="M210" s="410" t="s">
        <v>35</v>
      </c>
      <c r="N210" s="410">
        <v>56</v>
      </c>
      <c r="O210" s="410" t="s">
        <v>162</v>
      </c>
      <c r="P210" s="410" t="s">
        <v>500</v>
      </c>
      <c r="Q210">
        <f t="shared" si="4"/>
        <v>-55</v>
      </c>
      <c r="R210">
        <f>_xlfn.XLOOKUP(E210,'Data Additive'!E:E,'Data Additive'!E:E,0)</f>
        <v>1246268530</v>
      </c>
    </row>
    <row r="211" spans="1:18" x14ac:dyDescent="0.25">
      <c r="A211" s="410">
        <v>7302</v>
      </c>
      <c r="B211" s="410" t="s">
        <v>104</v>
      </c>
      <c r="C211" s="410" t="s">
        <v>105</v>
      </c>
      <c r="D211" s="411">
        <v>167720</v>
      </c>
      <c r="E211" s="410">
        <v>1246262004</v>
      </c>
      <c r="F211" s="412">
        <v>46145</v>
      </c>
      <c r="G211" s="410"/>
      <c r="H211" s="410" t="s">
        <v>28</v>
      </c>
      <c r="I211" s="410" t="s">
        <v>29</v>
      </c>
      <c r="J211" s="410">
        <v>10622</v>
      </c>
      <c r="K211" s="412">
        <v>46055</v>
      </c>
      <c r="L211" s="410">
        <v>1010100</v>
      </c>
      <c r="M211" s="410" t="s">
        <v>35</v>
      </c>
      <c r="N211" s="410">
        <v>161</v>
      </c>
      <c r="O211" s="410" t="s">
        <v>161</v>
      </c>
      <c r="P211" s="410" t="s">
        <v>500</v>
      </c>
      <c r="Q211">
        <f t="shared" si="4"/>
        <v>-9</v>
      </c>
      <c r="R211">
        <f>_xlfn.XLOOKUP(E211,'Data Additive'!E:E,'Data Additive'!E:E,0)</f>
        <v>1246262004</v>
      </c>
    </row>
    <row r="212" spans="1:18" x14ac:dyDescent="0.25">
      <c r="A212" s="410">
        <v>7302</v>
      </c>
      <c r="B212" s="410" t="s">
        <v>104</v>
      </c>
      <c r="C212" s="410" t="s">
        <v>105</v>
      </c>
      <c r="D212" s="411">
        <v>64.2</v>
      </c>
      <c r="E212" s="410">
        <v>1246226087</v>
      </c>
      <c r="F212" s="412">
        <v>45919</v>
      </c>
      <c r="G212" s="410"/>
      <c r="H212" s="410" t="s">
        <v>28</v>
      </c>
      <c r="I212" s="410" t="s">
        <v>29</v>
      </c>
      <c r="J212" s="410">
        <v>8559</v>
      </c>
      <c r="K212" s="412">
        <v>45859</v>
      </c>
      <c r="L212" s="410">
        <v>1010100</v>
      </c>
      <c r="M212" s="410" t="s">
        <v>35</v>
      </c>
      <c r="N212" s="410">
        <v>161</v>
      </c>
      <c r="O212" s="410" t="s">
        <v>161</v>
      </c>
      <c r="P212" s="410" t="s">
        <v>500</v>
      </c>
      <c r="Q212">
        <f t="shared" si="4"/>
        <v>217</v>
      </c>
      <c r="R212">
        <f>_xlfn.XLOOKUP(E212,'Data Additive'!E:E,'Data Additive'!E:E,0)</f>
        <v>1246226087</v>
      </c>
    </row>
    <row r="213" spans="1:18" x14ac:dyDescent="0.25">
      <c r="A213" s="410">
        <v>6415</v>
      </c>
      <c r="B213" s="410" t="s">
        <v>139</v>
      </c>
      <c r="C213" s="410" t="s">
        <v>140</v>
      </c>
      <c r="D213" s="411">
        <v>3600</v>
      </c>
      <c r="E213" s="410">
        <v>1245985693</v>
      </c>
      <c r="F213" s="412">
        <v>44692</v>
      </c>
      <c r="G213" s="410"/>
      <c r="H213" s="410" t="s">
        <v>28</v>
      </c>
      <c r="I213" s="410" t="s">
        <v>29</v>
      </c>
      <c r="J213" s="410">
        <v>1245985693</v>
      </c>
      <c r="K213" s="412">
        <v>44531</v>
      </c>
      <c r="L213" s="410">
        <v>3041000</v>
      </c>
      <c r="M213" s="410" t="s">
        <v>138</v>
      </c>
      <c r="N213" s="410">
        <v>46</v>
      </c>
      <c r="O213" s="410" t="s">
        <v>163</v>
      </c>
      <c r="P213" s="410" t="s">
        <v>500</v>
      </c>
      <c r="Q213">
        <f t="shared" si="4"/>
        <v>1444</v>
      </c>
      <c r="R213">
        <f>_xlfn.XLOOKUP(E213,'Data Additive'!E:E,'Data Additive'!E:E,0)</f>
        <v>0</v>
      </c>
    </row>
    <row r="214" spans="1:18" x14ac:dyDescent="0.25">
      <c r="A214" s="410">
        <v>7103</v>
      </c>
      <c r="B214" s="410" t="s">
        <v>569</v>
      </c>
      <c r="C214" s="410" t="s">
        <v>570</v>
      </c>
      <c r="D214" s="411">
        <v>57019</v>
      </c>
      <c r="E214" s="410">
        <v>1246269403</v>
      </c>
      <c r="F214" s="412">
        <v>46198</v>
      </c>
      <c r="G214" s="410"/>
      <c r="H214" s="410" t="s">
        <v>28</v>
      </c>
      <c r="I214" s="410" t="s">
        <v>29</v>
      </c>
      <c r="J214" s="410">
        <v>10985</v>
      </c>
      <c r="K214" s="412">
        <v>46108</v>
      </c>
      <c r="L214" s="410">
        <v>1010100</v>
      </c>
      <c r="M214" s="410" t="s">
        <v>35</v>
      </c>
      <c r="N214" s="410">
        <v>161</v>
      </c>
      <c r="O214" s="410" t="s">
        <v>161</v>
      </c>
      <c r="P214" s="410" t="s">
        <v>500</v>
      </c>
      <c r="Q214">
        <f t="shared" si="4"/>
        <v>-62</v>
      </c>
      <c r="R214">
        <f>_xlfn.XLOOKUP(E214,'Data Additive'!E:E,'Data Additive'!E:E,0)</f>
        <v>1246269403</v>
      </c>
    </row>
    <row r="215" spans="1:18" x14ac:dyDescent="0.25">
      <c r="A215" s="410">
        <v>7103</v>
      </c>
      <c r="B215" s="410" t="s">
        <v>569</v>
      </c>
      <c r="C215" s="410" t="s">
        <v>570</v>
      </c>
      <c r="D215" s="411">
        <v>288000</v>
      </c>
      <c r="E215" s="410">
        <v>1246264792</v>
      </c>
      <c r="F215" s="412">
        <v>46167</v>
      </c>
      <c r="G215" s="410"/>
      <c r="H215" s="410" t="s">
        <v>28</v>
      </c>
      <c r="I215" s="410" t="s">
        <v>29</v>
      </c>
      <c r="J215" s="410">
        <v>2769</v>
      </c>
      <c r="K215" s="412">
        <v>46077</v>
      </c>
      <c r="L215" s="410">
        <v>1010100</v>
      </c>
      <c r="M215" s="410" t="s">
        <v>35</v>
      </c>
      <c r="N215" s="410">
        <v>161</v>
      </c>
      <c r="O215" s="410" t="s">
        <v>161</v>
      </c>
      <c r="P215" s="410" t="s">
        <v>500</v>
      </c>
      <c r="Q215">
        <f t="shared" si="4"/>
        <v>-31</v>
      </c>
      <c r="R215">
        <f>_xlfn.XLOOKUP(E215,'Data Additive'!E:E,'Data Additive'!E:E,0)</f>
        <v>1246264792</v>
      </c>
    </row>
    <row r="216" spans="1:18" x14ac:dyDescent="0.25">
      <c r="A216" s="410">
        <v>9824</v>
      </c>
      <c r="B216" s="410" t="s">
        <v>728</v>
      </c>
      <c r="C216" s="410" t="s">
        <v>190</v>
      </c>
      <c r="D216" s="411">
        <v>69971.199999999997</v>
      </c>
      <c r="E216" s="410">
        <v>1246154720</v>
      </c>
      <c r="F216" s="412">
        <v>45738</v>
      </c>
      <c r="G216" s="410"/>
      <c r="H216" s="410" t="s">
        <v>173</v>
      </c>
      <c r="I216" s="410" t="s">
        <v>174</v>
      </c>
      <c r="J216" s="410">
        <v>4113</v>
      </c>
      <c r="K216" s="412">
        <v>45475</v>
      </c>
      <c r="L216" s="410">
        <v>1010100</v>
      </c>
      <c r="M216" s="410" t="s">
        <v>35</v>
      </c>
      <c r="N216" s="410">
        <v>161</v>
      </c>
      <c r="O216" s="410" t="s">
        <v>161</v>
      </c>
      <c r="P216" s="410" t="s">
        <v>427</v>
      </c>
      <c r="Q216">
        <f t="shared" si="4"/>
        <v>398</v>
      </c>
      <c r="R216">
        <f>_xlfn.XLOOKUP(E216,'Data Additive'!E:E,'Data Additive'!E:E,0)</f>
        <v>0</v>
      </c>
    </row>
    <row r="217" spans="1:18" x14ac:dyDescent="0.25">
      <c r="A217" s="410">
        <v>9824</v>
      </c>
      <c r="B217" s="410" t="s">
        <v>728</v>
      </c>
      <c r="C217" s="410" t="s">
        <v>190</v>
      </c>
      <c r="D217" s="411">
        <v>60656</v>
      </c>
      <c r="E217" s="410">
        <v>1246154724</v>
      </c>
      <c r="F217" s="412">
        <v>45738</v>
      </c>
      <c r="G217" s="410"/>
      <c r="H217" s="410" t="s">
        <v>173</v>
      </c>
      <c r="I217" s="410" t="s">
        <v>174</v>
      </c>
      <c r="J217" s="410">
        <v>4114</v>
      </c>
      <c r="K217" s="412">
        <v>45475</v>
      </c>
      <c r="L217" s="410">
        <v>1010100</v>
      </c>
      <c r="M217" s="410" t="s">
        <v>35</v>
      </c>
      <c r="N217" s="410">
        <v>161</v>
      </c>
      <c r="O217" s="410" t="s">
        <v>161</v>
      </c>
      <c r="P217" s="410" t="s">
        <v>427</v>
      </c>
      <c r="Q217">
        <f t="shared" si="4"/>
        <v>398</v>
      </c>
      <c r="R217">
        <f>_xlfn.XLOOKUP(E217,'Data Additive'!E:E,'Data Additive'!E:E,0)</f>
        <v>0</v>
      </c>
    </row>
    <row r="218" spans="1:18" x14ac:dyDescent="0.25">
      <c r="A218" s="410">
        <v>11724</v>
      </c>
      <c r="B218" s="410" t="s">
        <v>118</v>
      </c>
      <c r="C218" s="410" t="s">
        <v>119</v>
      </c>
      <c r="D218" s="411">
        <v>143868</v>
      </c>
      <c r="E218" s="410">
        <v>1246267487</v>
      </c>
      <c r="F218" s="412">
        <v>46167</v>
      </c>
      <c r="G218" s="410"/>
      <c r="H218" s="410" t="s">
        <v>28</v>
      </c>
      <c r="I218" s="410" t="s">
        <v>29</v>
      </c>
      <c r="J218" s="410">
        <v>10867</v>
      </c>
      <c r="K218" s="412">
        <v>46092</v>
      </c>
      <c r="L218" s="410">
        <v>1010100</v>
      </c>
      <c r="M218" s="410" t="s">
        <v>35</v>
      </c>
      <c r="N218" s="410">
        <v>161</v>
      </c>
      <c r="O218" s="410" t="s">
        <v>161</v>
      </c>
      <c r="P218" s="410" t="s">
        <v>428</v>
      </c>
      <c r="Q218">
        <f t="shared" si="4"/>
        <v>-31</v>
      </c>
      <c r="R218">
        <f>_xlfn.XLOOKUP(E218,'Data Additive'!E:E,'Data Additive'!E:E,0)</f>
        <v>1246267487</v>
      </c>
    </row>
    <row r="219" spans="1:18" x14ac:dyDescent="0.25">
      <c r="A219" s="410">
        <v>11724</v>
      </c>
      <c r="B219" s="410" t="s">
        <v>118</v>
      </c>
      <c r="C219" s="410" t="s">
        <v>119</v>
      </c>
      <c r="D219" s="411">
        <v>72162</v>
      </c>
      <c r="E219" s="410">
        <v>1246271964</v>
      </c>
      <c r="F219" s="412">
        <v>46198</v>
      </c>
      <c r="G219" s="410"/>
      <c r="H219" s="410" t="s">
        <v>28</v>
      </c>
      <c r="I219" s="410" t="s">
        <v>29</v>
      </c>
      <c r="J219" s="410">
        <v>11187</v>
      </c>
      <c r="K219" s="412">
        <v>46132</v>
      </c>
      <c r="L219" s="410">
        <v>1010100</v>
      </c>
      <c r="M219" s="410" t="s">
        <v>35</v>
      </c>
      <c r="N219" s="410">
        <v>161</v>
      </c>
      <c r="O219" s="410" t="s">
        <v>161</v>
      </c>
      <c r="P219" s="410" t="s">
        <v>428</v>
      </c>
      <c r="Q219">
        <f t="shared" si="4"/>
        <v>-62</v>
      </c>
      <c r="R219">
        <f>_xlfn.XLOOKUP(E219,'Data Additive'!E:E,'Data Additive'!E:E,0)</f>
        <v>1246271964</v>
      </c>
    </row>
    <row r="220" spans="1:18" x14ac:dyDescent="0.25">
      <c r="A220" s="410">
        <v>11724</v>
      </c>
      <c r="B220" s="410" t="s">
        <v>118</v>
      </c>
      <c r="C220" s="410" t="s">
        <v>119</v>
      </c>
      <c r="D220" s="411">
        <v>72162</v>
      </c>
      <c r="E220" s="410">
        <v>1246271962</v>
      </c>
      <c r="F220" s="412">
        <v>46198</v>
      </c>
      <c r="G220" s="410"/>
      <c r="H220" s="410" t="s">
        <v>28</v>
      </c>
      <c r="I220" s="410" t="s">
        <v>29</v>
      </c>
      <c r="J220" s="410">
        <v>11186</v>
      </c>
      <c r="K220" s="412">
        <v>46132</v>
      </c>
      <c r="L220" s="410">
        <v>1010100</v>
      </c>
      <c r="M220" s="410" t="s">
        <v>35</v>
      </c>
      <c r="N220" s="410">
        <v>161</v>
      </c>
      <c r="O220" s="410" t="s">
        <v>161</v>
      </c>
      <c r="P220" s="410" t="s">
        <v>428</v>
      </c>
      <c r="Q220">
        <f t="shared" si="4"/>
        <v>-62</v>
      </c>
      <c r="R220">
        <f>_xlfn.XLOOKUP(E220,'Data Additive'!E:E,'Data Additive'!E:E,0)</f>
        <v>1246271962</v>
      </c>
    </row>
    <row r="221" spans="1:18" x14ac:dyDescent="0.25">
      <c r="A221" s="410">
        <v>11724</v>
      </c>
      <c r="B221" s="410" t="s">
        <v>118</v>
      </c>
      <c r="C221" s="410" t="s">
        <v>119</v>
      </c>
      <c r="D221" s="411">
        <v>171254.1</v>
      </c>
      <c r="E221" s="410">
        <v>1246263820</v>
      </c>
      <c r="F221" s="412">
        <v>46137</v>
      </c>
      <c r="G221" s="410"/>
      <c r="H221" s="410" t="s">
        <v>28</v>
      </c>
      <c r="I221" s="410" t="s">
        <v>29</v>
      </c>
      <c r="J221" s="410">
        <v>10704</v>
      </c>
      <c r="K221" s="412">
        <v>46069</v>
      </c>
      <c r="L221" s="410">
        <v>1010100</v>
      </c>
      <c r="M221" s="410" t="s">
        <v>35</v>
      </c>
      <c r="N221" s="410">
        <v>161</v>
      </c>
      <c r="O221" s="410" t="s">
        <v>161</v>
      </c>
      <c r="P221" s="410" t="s">
        <v>428</v>
      </c>
      <c r="Q221">
        <f t="shared" si="4"/>
        <v>-1</v>
      </c>
      <c r="R221">
        <f>_xlfn.XLOOKUP(E221,'Data Additive'!E:E,'Data Additive'!E:E,0)</f>
        <v>1246263820</v>
      </c>
    </row>
    <row r="222" spans="1:18" x14ac:dyDescent="0.25">
      <c r="A222" s="410">
        <v>11724</v>
      </c>
      <c r="B222" s="410" t="s">
        <v>118</v>
      </c>
      <c r="C222" s="410" t="s">
        <v>119</v>
      </c>
      <c r="D222" s="411">
        <v>178561.9</v>
      </c>
      <c r="E222" s="410">
        <v>1246270926</v>
      </c>
      <c r="F222" s="412">
        <v>46183</v>
      </c>
      <c r="G222" s="410"/>
      <c r="H222" s="410" t="s">
        <v>28</v>
      </c>
      <c r="I222" s="410" t="s">
        <v>29</v>
      </c>
      <c r="J222" s="410">
        <v>11082</v>
      </c>
      <c r="K222" s="412">
        <v>46121</v>
      </c>
      <c r="L222" s="410">
        <v>1010100</v>
      </c>
      <c r="M222" s="410" t="s">
        <v>35</v>
      </c>
      <c r="N222" s="410">
        <v>161</v>
      </c>
      <c r="O222" s="410" t="s">
        <v>161</v>
      </c>
      <c r="P222" s="410" t="s">
        <v>428</v>
      </c>
      <c r="Q222">
        <f t="shared" si="4"/>
        <v>-47</v>
      </c>
      <c r="R222">
        <f>_xlfn.XLOOKUP(E222,'Data Additive'!E:E,'Data Additive'!E:E,0)</f>
        <v>1246270926</v>
      </c>
    </row>
    <row r="223" spans="1:18" x14ac:dyDescent="0.25">
      <c r="A223" s="410">
        <v>10371</v>
      </c>
      <c r="B223" s="410" t="s">
        <v>255</v>
      </c>
      <c r="C223" s="410" t="s">
        <v>256</v>
      </c>
      <c r="D223" s="411">
        <v>56674.77</v>
      </c>
      <c r="E223" s="410">
        <v>1246161059</v>
      </c>
      <c r="F223" s="412">
        <v>45736</v>
      </c>
      <c r="G223" s="410"/>
      <c r="H223" s="410" t="s">
        <v>173</v>
      </c>
      <c r="I223" s="410" t="s">
        <v>174</v>
      </c>
      <c r="J223" s="410">
        <v>4516</v>
      </c>
      <c r="K223" s="412">
        <v>45502</v>
      </c>
      <c r="L223" s="410">
        <v>1010100</v>
      </c>
      <c r="M223" s="410" t="s">
        <v>35</v>
      </c>
      <c r="N223" s="410">
        <v>161</v>
      </c>
      <c r="O223" s="410" t="s">
        <v>161</v>
      </c>
      <c r="P223" s="410" t="s">
        <v>427</v>
      </c>
      <c r="Q223">
        <f t="shared" si="4"/>
        <v>400</v>
      </c>
      <c r="R223">
        <f>_xlfn.XLOOKUP(E223,'Data Additive'!E:E,'Data Additive'!E:E,0)</f>
        <v>0</v>
      </c>
    </row>
    <row r="224" spans="1:18" x14ac:dyDescent="0.25">
      <c r="A224" s="410">
        <v>10371</v>
      </c>
      <c r="B224" s="410" t="s">
        <v>255</v>
      </c>
      <c r="C224" s="410" t="s">
        <v>256</v>
      </c>
      <c r="D224" s="411">
        <v>50007.15</v>
      </c>
      <c r="E224" s="410">
        <v>1246161057</v>
      </c>
      <c r="F224" s="412">
        <v>45736</v>
      </c>
      <c r="G224" s="410"/>
      <c r="H224" s="410" t="s">
        <v>173</v>
      </c>
      <c r="I224" s="410" t="s">
        <v>174</v>
      </c>
      <c r="J224" s="410">
        <v>4515</v>
      </c>
      <c r="K224" s="412">
        <v>45502</v>
      </c>
      <c r="L224" s="410">
        <v>1010100</v>
      </c>
      <c r="M224" s="410" t="s">
        <v>35</v>
      </c>
      <c r="N224" s="410">
        <v>161</v>
      </c>
      <c r="O224" s="410" t="s">
        <v>161</v>
      </c>
      <c r="P224" s="410" t="s">
        <v>427</v>
      </c>
      <c r="Q224">
        <f t="shared" si="4"/>
        <v>400</v>
      </c>
      <c r="R224">
        <f>_xlfn.XLOOKUP(E224,'Data Additive'!E:E,'Data Additive'!E:E,0)</f>
        <v>0</v>
      </c>
    </row>
    <row r="225" spans="1:18" x14ac:dyDescent="0.25">
      <c r="A225" s="410">
        <v>10660</v>
      </c>
      <c r="B225" s="410" t="s">
        <v>113</v>
      </c>
      <c r="C225" s="410" t="s">
        <v>114</v>
      </c>
      <c r="D225" s="411">
        <v>1282.56</v>
      </c>
      <c r="E225" s="410">
        <v>1246157883</v>
      </c>
      <c r="F225" s="412">
        <v>45472</v>
      </c>
      <c r="G225" s="410"/>
      <c r="H225" s="410" t="s">
        <v>28</v>
      </c>
      <c r="I225" s="410" t="s">
        <v>29</v>
      </c>
      <c r="J225" s="410">
        <v>3740</v>
      </c>
      <c r="K225" s="412">
        <v>45444</v>
      </c>
      <c r="L225" s="410">
        <v>1010100</v>
      </c>
      <c r="M225" s="410" t="s">
        <v>35</v>
      </c>
      <c r="N225" s="410">
        <v>161</v>
      </c>
      <c r="O225" s="410" t="s">
        <v>161</v>
      </c>
      <c r="P225" s="410" t="s">
        <v>420</v>
      </c>
      <c r="Q225">
        <f t="shared" si="4"/>
        <v>664</v>
      </c>
      <c r="R225">
        <f>_xlfn.XLOOKUP(E225,'Data Additive'!E:E,'Data Additive'!E:E,0)</f>
        <v>1246157883</v>
      </c>
    </row>
    <row r="226" spans="1:18" x14ac:dyDescent="0.25">
      <c r="A226" s="410">
        <v>10660</v>
      </c>
      <c r="B226" s="410" t="s">
        <v>113</v>
      </c>
      <c r="C226" s="410" t="s">
        <v>114</v>
      </c>
      <c r="D226" s="411">
        <v>1603.2</v>
      </c>
      <c r="E226" s="410">
        <v>1246176576</v>
      </c>
      <c r="F226" s="412">
        <v>45577</v>
      </c>
      <c r="G226" s="410"/>
      <c r="H226" s="410" t="s">
        <v>28</v>
      </c>
      <c r="I226" s="410" t="s">
        <v>29</v>
      </c>
      <c r="J226" s="410">
        <v>5264</v>
      </c>
      <c r="K226" s="412">
        <v>45549</v>
      </c>
      <c r="L226" s="410">
        <v>1010100</v>
      </c>
      <c r="M226" s="410" t="s">
        <v>35</v>
      </c>
      <c r="N226" s="410">
        <v>161</v>
      </c>
      <c r="O226" s="410" t="s">
        <v>161</v>
      </c>
      <c r="P226" s="410" t="s">
        <v>420</v>
      </c>
      <c r="Q226">
        <f t="shared" si="4"/>
        <v>559</v>
      </c>
      <c r="R226">
        <f>_xlfn.XLOOKUP(E226,'Data Additive'!E:E,'Data Additive'!E:E,0)</f>
        <v>1246176576</v>
      </c>
    </row>
    <row r="227" spans="1:18" x14ac:dyDescent="0.25">
      <c r="A227" s="410">
        <v>10660</v>
      </c>
      <c r="B227" s="410" t="s">
        <v>113</v>
      </c>
      <c r="C227" s="410" t="s">
        <v>114</v>
      </c>
      <c r="D227" s="411">
        <v>1282.56</v>
      </c>
      <c r="E227" s="410">
        <v>1246184893</v>
      </c>
      <c r="F227" s="412">
        <v>45623</v>
      </c>
      <c r="G227" s="410"/>
      <c r="H227" s="410" t="s">
        <v>28</v>
      </c>
      <c r="I227" s="410" t="s">
        <v>29</v>
      </c>
      <c r="J227" s="410">
        <v>5907</v>
      </c>
      <c r="K227" s="412">
        <v>45595</v>
      </c>
      <c r="L227" s="410">
        <v>1010100</v>
      </c>
      <c r="M227" s="410" t="s">
        <v>35</v>
      </c>
      <c r="N227" s="410">
        <v>161</v>
      </c>
      <c r="O227" s="410" t="s">
        <v>161</v>
      </c>
      <c r="P227" s="410" t="s">
        <v>420</v>
      </c>
      <c r="Q227">
        <f t="shared" si="4"/>
        <v>513</v>
      </c>
      <c r="R227">
        <f>_xlfn.XLOOKUP(E227,'Data Additive'!E:E,'Data Additive'!E:E,0)</f>
        <v>1246184893</v>
      </c>
    </row>
    <row r="228" spans="1:18" x14ac:dyDescent="0.25">
      <c r="A228" s="410">
        <v>10434</v>
      </c>
      <c r="B228" s="410" t="s">
        <v>110</v>
      </c>
      <c r="C228" s="410" t="s">
        <v>111</v>
      </c>
      <c r="D228" s="411">
        <v>1200</v>
      </c>
      <c r="E228" s="410">
        <v>1246180341</v>
      </c>
      <c r="F228" s="412">
        <v>45615</v>
      </c>
      <c r="G228" s="410"/>
      <c r="H228" s="410" t="s">
        <v>28</v>
      </c>
      <c r="I228" s="410" t="s">
        <v>29</v>
      </c>
      <c r="J228" s="410">
        <v>1246180341</v>
      </c>
      <c r="K228" s="412">
        <v>45600</v>
      </c>
      <c r="L228" s="410">
        <v>3041000</v>
      </c>
      <c r="M228" s="410" t="s">
        <v>138</v>
      </c>
      <c r="N228" s="410">
        <v>46</v>
      </c>
      <c r="O228" s="410" t="s">
        <v>163</v>
      </c>
      <c r="P228" s="410" t="s">
        <v>416</v>
      </c>
      <c r="Q228">
        <f t="shared" si="4"/>
        <v>521</v>
      </c>
      <c r="R228">
        <f>_xlfn.XLOOKUP(E228,'Data Additive'!E:E,'Data Additive'!E:E,0)</f>
        <v>0</v>
      </c>
    </row>
    <row r="229" spans="1:18" x14ac:dyDescent="0.25">
      <c r="A229" s="410">
        <v>10434</v>
      </c>
      <c r="B229" s="410" t="s">
        <v>110</v>
      </c>
      <c r="C229" s="410" t="s">
        <v>111</v>
      </c>
      <c r="D229" s="411">
        <v>101696.4</v>
      </c>
      <c r="E229" s="410">
        <v>1246272407</v>
      </c>
      <c r="F229" s="412">
        <v>46164</v>
      </c>
      <c r="G229" s="410"/>
      <c r="H229" s="410" t="s">
        <v>28</v>
      </c>
      <c r="I229" s="410" t="s">
        <v>29</v>
      </c>
      <c r="J229" s="410">
        <v>11209</v>
      </c>
      <c r="K229" s="412">
        <v>46136</v>
      </c>
      <c r="L229" s="410">
        <v>1010100</v>
      </c>
      <c r="M229" s="410" t="s">
        <v>35</v>
      </c>
      <c r="N229" s="410">
        <v>161</v>
      </c>
      <c r="O229" s="410" t="s">
        <v>161</v>
      </c>
      <c r="P229" s="410" t="s">
        <v>416</v>
      </c>
      <c r="Q229">
        <f t="shared" si="4"/>
        <v>-28</v>
      </c>
      <c r="R229">
        <f>_xlfn.XLOOKUP(E229,'Data Additive'!E:E,'Data Additive'!E:E,0)</f>
        <v>1246272407</v>
      </c>
    </row>
    <row r="230" spans="1:18" x14ac:dyDescent="0.25">
      <c r="A230" s="410">
        <v>10434</v>
      </c>
      <c r="B230" s="410" t="s">
        <v>110</v>
      </c>
      <c r="C230" s="410" t="s">
        <v>111</v>
      </c>
      <c r="D230" s="411">
        <v>101052</v>
      </c>
      <c r="E230" s="410">
        <v>1246271891</v>
      </c>
      <c r="F230" s="412">
        <v>46160</v>
      </c>
      <c r="G230" s="410"/>
      <c r="H230" s="410" t="s">
        <v>28</v>
      </c>
      <c r="I230" s="410" t="s">
        <v>29</v>
      </c>
      <c r="J230" s="410">
        <v>11178</v>
      </c>
      <c r="K230" s="412">
        <v>46132</v>
      </c>
      <c r="L230" s="410">
        <v>1010100</v>
      </c>
      <c r="M230" s="410" t="s">
        <v>35</v>
      </c>
      <c r="N230" s="410">
        <v>161</v>
      </c>
      <c r="O230" s="410" t="s">
        <v>161</v>
      </c>
      <c r="P230" s="410" t="s">
        <v>416</v>
      </c>
      <c r="Q230">
        <f t="shared" si="4"/>
        <v>-24</v>
      </c>
      <c r="R230">
        <f>_xlfn.XLOOKUP(E230,'Data Additive'!E:E,'Data Additive'!E:E,0)</f>
        <v>1246271891</v>
      </c>
    </row>
    <row r="231" spans="1:18" x14ac:dyDescent="0.25">
      <c r="A231" s="410">
        <v>11207</v>
      </c>
      <c r="B231" s="410" t="s">
        <v>729</v>
      </c>
      <c r="C231" s="410" t="s">
        <v>194</v>
      </c>
      <c r="D231" s="411">
        <v>153825.49</v>
      </c>
      <c r="E231" s="410">
        <v>1246067872</v>
      </c>
      <c r="F231" s="412">
        <v>45412</v>
      </c>
      <c r="G231" s="410"/>
      <c r="H231" s="410" t="s">
        <v>173</v>
      </c>
      <c r="I231" s="410" t="s">
        <v>174</v>
      </c>
      <c r="J231" s="410">
        <v>20696</v>
      </c>
      <c r="K231" s="412">
        <v>44973</v>
      </c>
      <c r="L231" s="410">
        <v>1010100</v>
      </c>
      <c r="M231" s="410" t="s">
        <v>35</v>
      </c>
      <c r="N231" s="410">
        <v>161</v>
      </c>
      <c r="O231" s="410" t="s">
        <v>161</v>
      </c>
      <c r="P231" s="410" t="s">
        <v>429</v>
      </c>
      <c r="Q231">
        <f t="shared" si="4"/>
        <v>724</v>
      </c>
      <c r="R231">
        <f>_xlfn.XLOOKUP(E231,'Data Additive'!E:E,'Data Additive'!E:E,0)</f>
        <v>0</v>
      </c>
    </row>
    <row r="232" spans="1:18" x14ac:dyDescent="0.25">
      <c r="A232" s="410">
        <v>11207</v>
      </c>
      <c r="B232" s="410" t="s">
        <v>729</v>
      </c>
      <c r="C232" s="410" t="s">
        <v>194</v>
      </c>
      <c r="D232" s="411">
        <v>118231.86</v>
      </c>
      <c r="E232" s="410">
        <v>1246074301</v>
      </c>
      <c r="F232" s="412">
        <v>45412</v>
      </c>
      <c r="G232" s="410"/>
      <c r="H232" s="410" t="s">
        <v>173</v>
      </c>
      <c r="I232" s="410" t="s">
        <v>174</v>
      </c>
      <c r="J232" s="410">
        <v>21005</v>
      </c>
      <c r="K232" s="412">
        <v>45015</v>
      </c>
      <c r="L232" s="410">
        <v>1010100</v>
      </c>
      <c r="M232" s="410" t="s">
        <v>35</v>
      </c>
      <c r="N232" s="410">
        <v>161</v>
      </c>
      <c r="O232" s="410" t="s">
        <v>161</v>
      </c>
      <c r="P232" s="410" t="s">
        <v>429</v>
      </c>
      <c r="Q232">
        <f t="shared" si="4"/>
        <v>724</v>
      </c>
      <c r="R232">
        <f>_xlfn.XLOOKUP(E232,'Data Additive'!E:E,'Data Additive'!E:E,0)</f>
        <v>0</v>
      </c>
    </row>
    <row r="233" spans="1:18" x14ac:dyDescent="0.25">
      <c r="A233" s="410">
        <v>11207</v>
      </c>
      <c r="B233" s="410" t="s">
        <v>729</v>
      </c>
      <c r="C233" s="410" t="s">
        <v>194</v>
      </c>
      <c r="D233" s="411">
        <v>91167.15</v>
      </c>
      <c r="E233" s="410">
        <v>1246075550</v>
      </c>
      <c r="F233" s="412">
        <v>45412</v>
      </c>
      <c r="G233" s="410"/>
      <c r="H233" s="410" t="s">
        <v>173</v>
      </c>
      <c r="I233" s="410" t="s">
        <v>174</v>
      </c>
      <c r="J233" s="410">
        <v>21053</v>
      </c>
      <c r="K233" s="412">
        <v>45022</v>
      </c>
      <c r="L233" s="410">
        <v>1010100</v>
      </c>
      <c r="M233" s="410" t="s">
        <v>35</v>
      </c>
      <c r="N233" s="410">
        <v>161</v>
      </c>
      <c r="O233" s="410" t="s">
        <v>161</v>
      </c>
      <c r="P233" s="410" t="s">
        <v>429</v>
      </c>
      <c r="Q233">
        <f t="shared" si="4"/>
        <v>724</v>
      </c>
      <c r="R233">
        <f>_xlfn.XLOOKUP(E233,'Data Additive'!E:E,'Data Additive'!E:E,0)</f>
        <v>0</v>
      </c>
    </row>
    <row r="234" spans="1:18" x14ac:dyDescent="0.25">
      <c r="A234" s="410">
        <v>11207</v>
      </c>
      <c r="B234" s="410" t="s">
        <v>729</v>
      </c>
      <c r="C234" s="410" t="s">
        <v>194</v>
      </c>
      <c r="D234" s="411">
        <v>43771.16</v>
      </c>
      <c r="E234" s="410">
        <v>1246094423</v>
      </c>
      <c r="F234" s="412">
        <v>45423</v>
      </c>
      <c r="G234" s="410"/>
      <c r="H234" s="410" t="s">
        <v>173</v>
      </c>
      <c r="I234" s="410" t="s">
        <v>174</v>
      </c>
      <c r="J234" s="410">
        <v>356</v>
      </c>
      <c r="K234" s="412">
        <v>45133</v>
      </c>
      <c r="L234" s="410">
        <v>1010100</v>
      </c>
      <c r="M234" s="410" t="s">
        <v>35</v>
      </c>
      <c r="N234" s="410">
        <v>161</v>
      </c>
      <c r="O234" s="410" t="s">
        <v>161</v>
      </c>
      <c r="P234" s="410" t="s">
        <v>429</v>
      </c>
      <c r="Q234">
        <f t="shared" si="4"/>
        <v>713</v>
      </c>
      <c r="R234">
        <f>_xlfn.XLOOKUP(E234,'Data Additive'!E:E,'Data Additive'!E:E,0)</f>
        <v>0</v>
      </c>
    </row>
    <row r="235" spans="1:18" x14ac:dyDescent="0.25">
      <c r="A235" s="410">
        <v>11207</v>
      </c>
      <c r="B235" s="410" t="s">
        <v>729</v>
      </c>
      <c r="C235" s="410" t="s">
        <v>194</v>
      </c>
      <c r="D235" s="411">
        <v>44760.26</v>
      </c>
      <c r="E235" s="410">
        <v>1246092027</v>
      </c>
      <c r="F235" s="412">
        <v>45504</v>
      </c>
      <c r="G235" s="410"/>
      <c r="H235" s="410" t="s">
        <v>173</v>
      </c>
      <c r="I235" s="410" t="s">
        <v>174</v>
      </c>
      <c r="J235" s="410">
        <v>138</v>
      </c>
      <c r="K235" s="412">
        <v>45119</v>
      </c>
      <c r="L235" s="410">
        <v>1010100</v>
      </c>
      <c r="M235" s="410" t="s">
        <v>35</v>
      </c>
      <c r="N235" s="410">
        <v>161</v>
      </c>
      <c r="O235" s="410" t="s">
        <v>161</v>
      </c>
      <c r="P235" s="410" t="s">
        <v>429</v>
      </c>
      <c r="Q235">
        <f t="shared" si="4"/>
        <v>632</v>
      </c>
      <c r="R235">
        <f>_xlfn.XLOOKUP(E235,'Data Additive'!E:E,'Data Additive'!E:E,0)</f>
        <v>0</v>
      </c>
    </row>
    <row r="236" spans="1:18" x14ac:dyDescent="0.25">
      <c r="A236" s="410">
        <v>11207</v>
      </c>
      <c r="B236" s="410" t="s">
        <v>729</v>
      </c>
      <c r="C236" s="410" t="s">
        <v>194</v>
      </c>
      <c r="D236" s="411">
        <v>43771.16</v>
      </c>
      <c r="E236" s="410">
        <v>1246093362</v>
      </c>
      <c r="F236" s="412">
        <v>45417</v>
      </c>
      <c r="G236" s="410"/>
      <c r="H236" s="410" t="s">
        <v>173</v>
      </c>
      <c r="I236" s="410" t="s">
        <v>174</v>
      </c>
      <c r="J236" s="410">
        <v>253</v>
      </c>
      <c r="K236" s="412">
        <v>45127</v>
      </c>
      <c r="L236" s="410">
        <v>1010100</v>
      </c>
      <c r="M236" s="410" t="s">
        <v>35</v>
      </c>
      <c r="N236" s="410">
        <v>161</v>
      </c>
      <c r="O236" s="410" t="s">
        <v>161</v>
      </c>
      <c r="P236" s="410" t="s">
        <v>429</v>
      </c>
      <c r="Q236">
        <f t="shared" si="4"/>
        <v>719</v>
      </c>
      <c r="R236">
        <f>_xlfn.XLOOKUP(E236,'Data Additive'!E:E,'Data Additive'!E:E,0)</f>
        <v>0</v>
      </c>
    </row>
    <row r="237" spans="1:18" x14ac:dyDescent="0.25">
      <c r="A237" s="410">
        <v>11207</v>
      </c>
      <c r="B237" s="410" t="s">
        <v>729</v>
      </c>
      <c r="C237" s="410" t="s">
        <v>194</v>
      </c>
      <c r="D237" s="411">
        <v>47925.4</v>
      </c>
      <c r="E237" s="410">
        <v>1246094864</v>
      </c>
      <c r="F237" s="412">
        <v>45544</v>
      </c>
      <c r="G237" s="410"/>
      <c r="H237" s="410" t="s">
        <v>173</v>
      </c>
      <c r="I237" s="410" t="s">
        <v>174</v>
      </c>
      <c r="J237" s="410">
        <v>407</v>
      </c>
      <c r="K237" s="412">
        <v>45135</v>
      </c>
      <c r="L237" s="410">
        <v>1010100</v>
      </c>
      <c r="M237" s="410" t="s">
        <v>35</v>
      </c>
      <c r="N237" s="410">
        <v>161</v>
      </c>
      <c r="O237" s="410" t="s">
        <v>161</v>
      </c>
      <c r="P237" s="410" t="s">
        <v>429</v>
      </c>
      <c r="Q237">
        <f t="shared" si="4"/>
        <v>592</v>
      </c>
      <c r="R237">
        <f>_xlfn.XLOOKUP(E237,'Data Additive'!E:E,'Data Additive'!E:E,0)</f>
        <v>0</v>
      </c>
    </row>
    <row r="238" spans="1:18" x14ac:dyDescent="0.25">
      <c r="A238" s="410">
        <v>11207</v>
      </c>
      <c r="B238" s="410" t="s">
        <v>729</v>
      </c>
      <c r="C238" s="410" t="s">
        <v>194</v>
      </c>
      <c r="D238" s="411">
        <v>106301.38</v>
      </c>
      <c r="E238" s="410">
        <v>1246094863</v>
      </c>
      <c r="F238" s="412">
        <v>45425</v>
      </c>
      <c r="G238" s="410"/>
      <c r="H238" s="410" t="s">
        <v>173</v>
      </c>
      <c r="I238" s="410" t="s">
        <v>174</v>
      </c>
      <c r="J238" s="410">
        <v>406</v>
      </c>
      <c r="K238" s="412">
        <v>45135</v>
      </c>
      <c r="L238" s="410">
        <v>1010100</v>
      </c>
      <c r="M238" s="410" t="s">
        <v>35</v>
      </c>
      <c r="N238" s="410">
        <v>161</v>
      </c>
      <c r="O238" s="410" t="s">
        <v>161</v>
      </c>
      <c r="P238" s="410" t="s">
        <v>429</v>
      </c>
      <c r="Q238">
        <f t="shared" si="4"/>
        <v>711</v>
      </c>
      <c r="R238">
        <f>_xlfn.XLOOKUP(E238,'Data Additive'!E:E,'Data Additive'!E:E,0)</f>
        <v>0</v>
      </c>
    </row>
    <row r="239" spans="1:18" x14ac:dyDescent="0.25">
      <c r="A239" s="410">
        <v>11207</v>
      </c>
      <c r="B239" s="410" t="s">
        <v>729</v>
      </c>
      <c r="C239" s="410" t="s">
        <v>194</v>
      </c>
      <c r="D239" s="411">
        <v>150072.54</v>
      </c>
      <c r="E239" s="410">
        <v>1246095554</v>
      </c>
      <c r="F239" s="412">
        <v>45415</v>
      </c>
      <c r="G239" s="410"/>
      <c r="H239" s="410" t="s">
        <v>173</v>
      </c>
      <c r="I239" s="410" t="s">
        <v>174</v>
      </c>
      <c r="J239" s="410">
        <v>485</v>
      </c>
      <c r="K239" s="412">
        <v>45140</v>
      </c>
      <c r="L239" s="410">
        <v>1010100</v>
      </c>
      <c r="M239" s="410" t="s">
        <v>35</v>
      </c>
      <c r="N239" s="410">
        <v>161</v>
      </c>
      <c r="O239" s="410" t="s">
        <v>161</v>
      </c>
      <c r="P239" s="410" t="s">
        <v>429</v>
      </c>
      <c r="Q239">
        <f t="shared" si="4"/>
        <v>721</v>
      </c>
      <c r="R239">
        <f>_xlfn.XLOOKUP(E239,'Data Additive'!E:E,'Data Additive'!E:E,0)</f>
        <v>0</v>
      </c>
    </row>
    <row r="240" spans="1:18" x14ac:dyDescent="0.25">
      <c r="A240" s="410">
        <v>11207</v>
      </c>
      <c r="B240" s="410" t="s">
        <v>729</v>
      </c>
      <c r="C240" s="410" t="s">
        <v>194</v>
      </c>
      <c r="D240" s="411">
        <v>150072.54999999999</v>
      </c>
      <c r="E240" s="410">
        <v>1246098101</v>
      </c>
      <c r="F240" s="412">
        <v>45414</v>
      </c>
      <c r="G240" s="410"/>
      <c r="H240" s="410" t="s">
        <v>173</v>
      </c>
      <c r="I240" s="410" t="s">
        <v>174</v>
      </c>
      <c r="J240" s="410">
        <v>151</v>
      </c>
      <c r="K240" s="412">
        <v>45154</v>
      </c>
      <c r="L240" s="410">
        <v>1010100</v>
      </c>
      <c r="M240" s="410" t="s">
        <v>35</v>
      </c>
      <c r="N240" s="410">
        <v>161</v>
      </c>
      <c r="O240" s="410" t="s">
        <v>161</v>
      </c>
      <c r="P240" s="410" t="s">
        <v>429</v>
      </c>
      <c r="Q240">
        <f t="shared" si="4"/>
        <v>722</v>
      </c>
      <c r="R240">
        <f>_xlfn.XLOOKUP(E240,'Data Additive'!E:E,'Data Additive'!E:E,0)</f>
        <v>0</v>
      </c>
    </row>
    <row r="241" spans="1:18" x14ac:dyDescent="0.25">
      <c r="A241" s="410">
        <v>11207</v>
      </c>
      <c r="B241" s="410" t="s">
        <v>729</v>
      </c>
      <c r="C241" s="410" t="s">
        <v>194</v>
      </c>
      <c r="D241" s="411">
        <v>43771.16</v>
      </c>
      <c r="E241" s="410">
        <v>1246098102</v>
      </c>
      <c r="F241" s="412">
        <v>45414</v>
      </c>
      <c r="G241" s="410"/>
      <c r="H241" s="410" t="s">
        <v>173</v>
      </c>
      <c r="I241" s="410" t="s">
        <v>174</v>
      </c>
      <c r="J241" s="410">
        <v>152</v>
      </c>
      <c r="K241" s="412">
        <v>45154</v>
      </c>
      <c r="L241" s="410">
        <v>1010100</v>
      </c>
      <c r="M241" s="410" t="s">
        <v>35</v>
      </c>
      <c r="N241" s="410">
        <v>161</v>
      </c>
      <c r="O241" s="410" t="s">
        <v>161</v>
      </c>
      <c r="P241" s="410" t="s">
        <v>429</v>
      </c>
      <c r="Q241">
        <f t="shared" si="4"/>
        <v>722</v>
      </c>
      <c r="R241">
        <f>_xlfn.XLOOKUP(E241,'Data Additive'!E:E,'Data Additive'!E:E,0)</f>
        <v>0</v>
      </c>
    </row>
    <row r="242" spans="1:18" x14ac:dyDescent="0.25">
      <c r="A242" s="410">
        <v>11207</v>
      </c>
      <c r="B242" s="410" t="s">
        <v>729</v>
      </c>
      <c r="C242" s="410" t="s">
        <v>194</v>
      </c>
      <c r="D242" s="411">
        <v>150072.54</v>
      </c>
      <c r="E242" s="410">
        <v>1246096042</v>
      </c>
      <c r="F242" s="412">
        <v>45417</v>
      </c>
      <c r="G242" s="410"/>
      <c r="H242" s="410" t="s">
        <v>173</v>
      </c>
      <c r="I242" s="410" t="s">
        <v>174</v>
      </c>
      <c r="J242" s="410">
        <v>520</v>
      </c>
      <c r="K242" s="412">
        <v>45142</v>
      </c>
      <c r="L242" s="410">
        <v>1010100</v>
      </c>
      <c r="M242" s="410" t="s">
        <v>35</v>
      </c>
      <c r="N242" s="410">
        <v>161</v>
      </c>
      <c r="O242" s="410" t="s">
        <v>161</v>
      </c>
      <c r="P242" s="410" t="s">
        <v>429</v>
      </c>
      <c r="Q242">
        <f t="shared" si="4"/>
        <v>719</v>
      </c>
      <c r="R242">
        <f>_xlfn.XLOOKUP(E242,'Data Additive'!E:E,'Data Additive'!E:E,0)</f>
        <v>0</v>
      </c>
    </row>
    <row r="243" spans="1:18" x14ac:dyDescent="0.25">
      <c r="A243" s="410">
        <v>11207</v>
      </c>
      <c r="B243" s="410" t="s">
        <v>729</v>
      </c>
      <c r="C243" s="410" t="s">
        <v>194</v>
      </c>
      <c r="D243" s="411">
        <v>150072.54999999999</v>
      </c>
      <c r="E243" s="410">
        <v>1246098739</v>
      </c>
      <c r="F243" s="412">
        <v>45446</v>
      </c>
      <c r="G243" s="410"/>
      <c r="H243" s="410" t="s">
        <v>173</v>
      </c>
      <c r="I243" s="410" t="s">
        <v>174</v>
      </c>
      <c r="J243" s="410">
        <v>161</v>
      </c>
      <c r="K243" s="412">
        <v>45156</v>
      </c>
      <c r="L243" s="410">
        <v>1010100</v>
      </c>
      <c r="M243" s="410" t="s">
        <v>35</v>
      </c>
      <c r="N243" s="410">
        <v>161</v>
      </c>
      <c r="O243" s="410" t="s">
        <v>161</v>
      </c>
      <c r="P243" s="410" t="s">
        <v>429</v>
      </c>
      <c r="Q243">
        <f t="shared" si="4"/>
        <v>690</v>
      </c>
      <c r="R243">
        <f>_xlfn.XLOOKUP(E243,'Data Additive'!E:E,'Data Additive'!E:E,0)</f>
        <v>0</v>
      </c>
    </row>
    <row r="244" spans="1:18" x14ac:dyDescent="0.25">
      <c r="A244" s="410">
        <v>11207</v>
      </c>
      <c r="B244" s="410" t="s">
        <v>729</v>
      </c>
      <c r="C244" s="410" t="s">
        <v>194</v>
      </c>
      <c r="D244" s="411">
        <v>150072.54</v>
      </c>
      <c r="E244" s="410">
        <v>1246103409</v>
      </c>
      <c r="F244" s="412">
        <v>45421</v>
      </c>
      <c r="G244" s="410"/>
      <c r="H244" s="410" t="s">
        <v>173</v>
      </c>
      <c r="I244" s="410" t="s">
        <v>174</v>
      </c>
      <c r="J244" s="410">
        <v>231</v>
      </c>
      <c r="K244" s="412">
        <v>45181</v>
      </c>
      <c r="L244" s="410">
        <v>1010100</v>
      </c>
      <c r="M244" s="410" t="s">
        <v>35</v>
      </c>
      <c r="N244" s="410">
        <v>161</v>
      </c>
      <c r="O244" s="410" t="s">
        <v>161</v>
      </c>
      <c r="P244" s="410" t="s">
        <v>429</v>
      </c>
      <c r="Q244">
        <f t="shared" si="4"/>
        <v>715</v>
      </c>
      <c r="R244">
        <f>_xlfn.XLOOKUP(E244,'Data Additive'!E:E,'Data Additive'!E:E,0)</f>
        <v>0</v>
      </c>
    </row>
    <row r="245" spans="1:18" x14ac:dyDescent="0.25">
      <c r="A245" s="410">
        <v>11207</v>
      </c>
      <c r="B245" s="410" t="s">
        <v>729</v>
      </c>
      <c r="C245" s="410" t="s">
        <v>194</v>
      </c>
      <c r="D245" s="411">
        <v>150072.54999999999</v>
      </c>
      <c r="E245" s="410">
        <v>1246104480</v>
      </c>
      <c r="F245" s="412">
        <v>45427</v>
      </c>
      <c r="G245" s="410"/>
      <c r="H245" s="410" t="s">
        <v>173</v>
      </c>
      <c r="I245" s="410" t="s">
        <v>174</v>
      </c>
      <c r="J245" s="410">
        <v>1209</v>
      </c>
      <c r="K245" s="412">
        <v>45187</v>
      </c>
      <c r="L245" s="410">
        <v>1010100</v>
      </c>
      <c r="M245" s="410" t="s">
        <v>35</v>
      </c>
      <c r="N245" s="410">
        <v>161</v>
      </c>
      <c r="O245" s="410" t="s">
        <v>161</v>
      </c>
      <c r="P245" s="410" t="s">
        <v>429</v>
      </c>
      <c r="Q245">
        <f t="shared" si="4"/>
        <v>709</v>
      </c>
      <c r="R245">
        <f>_xlfn.XLOOKUP(E245,'Data Additive'!E:E,'Data Additive'!E:E,0)</f>
        <v>0</v>
      </c>
    </row>
    <row r="246" spans="1:18" x14ac:dyDescent="0.25">
      <c r="A246" s="410">
        <v>11207</v>
      </c>
      <c r="B246" s="410" t="s">
        <v>729</v>
      </c>
      <c r="C246" s="410" t="s">
        <v>194</v>
      </c>
      <c r="D246" s="411">
        <v>98152.42</v>
      </c>
      <c r="E246" s="410">
        <v>1246128194</v>
      </c>
      <c r="F246" s="412">
        <v>45595</v>
      </c>
      <c r="G246" s="410"/>
      <c r="H246" s="410" t="s">
        <v>173</v>
      </c>
      <c r="I246" s="410" t="s">
        <v>174</v>
      </c>
      <c r="J246" s="410">
        <v>2705</v>
      </c>
      <c r="K246" s="412">
        <v>45327</v>
      </c>
      <c r="L246" s="410">
        <v>1010100</v>
      </c>
      <c r="M246" s="410" t="s">
        <v>35</v>
      </c>
      <c r="N246" s="410">
        <v>161</v>
      </c>
      <c r="O246" s="410" t="s">
        <v>161</v>
      </c>
      <c r="P246" s="410" t="s">
        <v>429</v>
      </c>
      <c r="Q246">
        <f t="shared" si="4"/>
        <v>541</v>
      </c>
      <c r="R246">
        <f>_xlfn.XLOOKUP(E246,'Data Additive'!E:E,'Data Additive'!E:E,0)</f>
        <v>0</v>
      </c>
    </row>
    <row r="247" spans="1:18" x14ac:dyDescent="0.25">
      <c r="A247" s="410">
        <v>11207</v>
      </c>
      <c r="B247" s="410" t="s">
        <v>729</v>
      </c>
      <c r="C247" s="410" t="s">
        <v>194</v>
      </c>
      <c r="D247" s="411">
        <v>98152.43</v>
      </c>
      <c r="E247" s="410">
        <v>1246128212</v>
      </c>
      <c r="F247" s="412">
        <v>45595</v>
      </c>
      <c r="G247" s="410"/>
      <c r="H247" s="410" t="s">
        <v>173</v>
      </c>
      <c r="I247" s="410" t="s">
        <v>174</v>
      </c>
      <c r="J247" s="410">
        <v>2708</v>
      </c>
      <c r="K247" s="412">
        <v>45327</v>
      </c>
      <c r="L247" s="410">
        <v>1010100</v>
      </c>
      <c r="M247" s="410" t="s">
        <v>35</v>
      </c>
      <c r="N247" s="410">
        <v>161</v>
      </c>
      <c r="O247" s="410" t="s">
        <v>161</v>
      </c>
      <c r="P247" s="410" t="s">
        <v>429</v>
      </c>
      <c r="Q247">
        <f t="shared" si="4"/>
        <v>541</v>
      </c>
      <c r="R247">
        <f>_xlfn.XLOOKUP(E247,'Data Additive'!E:E,'Data Additive'!E:E,0)</f>
        <v>0</v>
      </c>
    </row>
    <row r="248" spans="1:18" x14ac:dyDescent="0.25">
      <c r="A248" s="410">
        <v>11207</v>
      </c>
      <c r="B248" s="410" t="s">
        <v>729</v>
      </c>
      <c r="C248" s="410" t="s">
        <v>194</v>
      </c>
      <c r="D248" s="411">
        <v>43771.16</v>
      </c>
      <c r="E248" s="410">
        <v>1246102312</v>
      </c>
      <c r="F248" s="412">
        <v>45414</v>
      </c>
      <c r="G248" s="410"/>
      <c r="H248" s="410" t="s">
        <v>173</v>
      </c>
      <c r="I248" s="410" t="s">
        <v>174</v>
      </c>
      <c r="J248" s="410">
        <v>1038</v>
      </c>
      <c r="K248" s="412">
        <v>45174</v>
      </c>
      <c r="L248" s="410">
        <v>1010100</v>
      </c>
      <c r="M248" s="410" t="s">
        <v>35</v>
      </c>
      <c r="N248" s="410">
        <v>161</v>
      </c>
      <c r="O248" s="410" t="s">
        <v>161</v>
      </c>
      <c r="P248" s="410" t="s">
        <v>429</v>
      </c>
      <c r="Q248">
        <f t="shared" si="4"/>
        <v>722</v>
      </c>
      <c r="R248">
        <f>_xlfn.XLOOKUP(E248,'Data Additive'!E:E,'Data Additive'!E:E,0)</f>
        <v>0</v>
      </c>
    </row>
    <row r="249" spans="1:18" x14ac:dyDescent="0.25">
      <c r="A249" s="410">
        <v>11207</v>
      </c>
      <c r="B249" s="410" t="s">
        <v>729</v>
      </c>
      <c r="C249" s="410" t="s">
        <v>194</v>
      </c>
      <c r="D249" s="411">
        <v>43771.16</v>
      </c>
      <c r="E249" s="410">
        <v>1246103425</v>
      </c>
      <c r="F249" s="412">
        <v>45421</v>
      </c>
      <c r="G249" s="410"/>
      <c r="H249" s="410" t="s">
        <v>173</v>
      </c>
      <c r="I249" s="410" t="s">
        <v>174</v>
      </c>
      <c r="J249" s="410">
        <v>232</v>
      </c>
      <c r="K249" s="412">
        <v>45181</v>
      </c>
      <c r="L249" s="410">
        <v>1010100</v>
      </c>
      <c r="M249" s="410" t="s">
        <v>35</v>
      </c>
      <c r="N249" s="410">
        <v>161</v>
      </c>
      <c r="O249" s="410" t="s">
        <v>161</v>
      </c>
      <c r="P249" s="410" t="s">
        <v>429</v>
      </c>
      <c r="Q249">
        <f t="shared" si="4"/>
        <v>715</v>
      </c>
      <c r="R249">
        <f>_xlfn.XLOOKUP(E249,'Data Additive'!E:E,'Data Additive'!E:E,0)</f>
        <v>0</v>
      </c>
    </row>
    <row r="250" spans="1:18" x14ac:dyDescent="0.25">
      <c r="A250" s="410">
        <v>11207</v>
      </c>
      <c r="B250" s="410" t="s">
        <v>729</v>
      </c>
      <c r="C250" s="410" t="s">
        <v>194</v>
      </c>
      <c r="D250" s="411">
        <v>85883.37</v>
      </c>
      <c r="E250" s="410">
        <v>1246128634</v>
      </c>
      <c r="F250" s="412">
        <v>45597</v>
      </c>
      <c r="G250" s="410"/>
      <c r="H250" s="410" t="s">
        <v>173</v>
      </c>
      <c r="I250" s="410" t="s">
        <v>174</v>
      </c>
      <c r="J250" s="410">
        <v>2731</v>
      </c>
      <c r="K250" s="412">
        <v>45329</v>
      </c>
      <c r="L250" s="410">
        <v>1010100</v>
      </c>
      <c r="M250" s="410" t="s">
        <v>35</v>
      </c>
      <c r="N250" s="410">
        <v>161</v>
      </c>
      <c r="O250" s="410" t="s">
        <v>161</v>
      </c>
      <c r="P250" s="410" t="s">
        <v>429</v>
      </c>
      <c r="Q250">
        <f t="shared" si="4"/>
        <v>539</v>
      </c>
      <c r="R250">
        <f>_xlfn.XLOOKUP(E250,'Data Additive'!E:E,'Data Additive'!E:E,0)</f>
        <v>0</v>
      </c>
    </row>
    <row r="251" spans="1:18" x14ac:dyDescent="0.25">
      <c r="A251" s="410">
        <v>11207</v>
      </c>
      <c r="B251" s="410" t="s">
        <v>729</v>
      </c>
      <c r="C251" s="410" t="s">
        <v>194</v>
      </c>
      <c r="D251" s="411">
        <v>150072.54</v>
      </c>
      <c r="E251" s="410">
        <v>1246106013</v>
      </c>
      <c r="F251" s="412">
        <v>45416</v>
      </c>
      <c r="G251" s="410"/>
      <c r="H251" s="410" t="s">
        <v>173</v>
      </c>
      <c r="I251" s="410" t="s">
        <v>174</v>
      </c>
      <c r="J251" s="410">
        <v>1329</v>
      </c>
      <c r="K251" s="412">
        <v>45194</v>
      </c>
      <c r="L251" s="410">
        <v>1010100</v>
      </c>
      <c r="M251" s="410" t="s">
        <v>35</v>
      </c>
      <c r="N251" s="410">
        <v>161</v>
      </c>
      <c r="O251" s="410" t="s">
        <v>161</v>
      </c>
      <c r="P251" s="410" t="s">
        <v>429</v>
      </c>
      <c r="Q251">
        <f t="shared" si="4"/>
        <v>720</v>
      </c>
      <c r="R251">
        <f>_xlfn.XLOOKUP(E251,'Data Additive'!E:E,'Data Additive'!E:E,0)</f>
        <v>0</v>
      </c>
    </row>
    <row r="252" spans="1:18" x14ac:dyDescent="0.25">
      <c r="A252" s="410">
        <v>11207</v>
      </c>
      <c r="B252" s="410" t="s">
        <v>729</v>
      </c>
      <c r="C252" s="410" t="s">
        <v>194</v>
      </c>
      <c r="D252" s="411">
        <v>150072.54</v>
      </c>
      <c r="E252" s="410">
        <v>1246102752</v>
      </c>
      <c r="F252" s="412">
        <v>45415</v>
      </c>
      <c r="G252" s="410"/>
      <c r="H252" s="410" t="s">
        <v>173</v>
      </c>
      <c r="I252" s="410" t="s">
        <v>174</v>
      </c>
      <c r="J252" s="410">
        <v>1071</v>
      </c>
      <c r="K252" s="412">
        <v>45175</v>
      </c>
      <c r="L252" s="410">
        <v>1010100</v>
      </c>
      <c r="M252" s="410" t="s">
        <v>35</v>
      </c>
      <c r="N252" s="410">
        <v>161</v>
      </c>
      <c r="O252" s="410" t="s">
        <v>161</v>
      </c>
      <c r="P252" s="410" t="s">
        <v>429</v>
      </c>
      <c r="Q252">
        <f t="shared" si="4"/>
        <v>721</v>
      </c>
      <c r="R252">
        <f>_xlfn.XLOOKUP(E252,'Data Additive'!E:E,'Data Additive'!E:E,0)</f>
        <v>0</v>
      </c>
    </row>
    <row r="253" spans="1:18" x14ac:dyDescent="0.25">
      <c r="A253" s="410">
        <v>11207</v>
      </c>
      <c r="B253" s="410" t="s">
        <v>729</v>
      </c>
      <c r="C253" s="410" t="s">
        <v>194</v>
      </c>
      <c r="D253" s="411">
        <v>43771.16</v>
      </c>
      <c r="E253" s="410">
        <v>1246103933</v>
      </c>
      <c r="F253" s="412">
        <v>45423</v>
      </c>
      <c r="G253" s="410"/>
      <c r="H253" s="410" t="s">
        <v>173</v>
      </c>
      <c r="I253" s="410" t="s">
        <v>174</v>
      </c>
      <c r="J253" s="410">
        <v>1167</v>
      </c>
      <c r="K253" s="412">
        <v>45183</v>
      </c>
      <c r="L253" s="410">
        <v>1010100</v>
      </c>
      <c r="M253" s="410" t="s">
        <v>35</v>
      </c>
      <c r="N253" s="410">
        <v>161</v>
      </c>
      <c r="O253" s="410" t="s">
        <v>161</v>
      </c>
      <c r="P253" s="410" t="s">
        <v>429</v>
      </c>
      <c r="Q253">
        <f t="shared" si="4"/>
        <v>713</v>
      </c>
      <c r="R253">
        <f>_xlfn.XLOOKUP(E253,'Data Additive'!E:E,'Data Additive'!E:E,0)</f>
        <v>0</v>
      </c>
    </row>
    <row r="254" spans="1:18" x14ac:dyDescent="0.25">
      <c r="A254" s="410">
        <v>11207</v>
      </c>
      <c r="B254" s="410" t="s">
        <v>729</v>
      </c>
      <c r="C254" s="410" t="s">
        <v>194</v>
      </c>
      <c r="D254" s="411">
        <v>150072.54</v>
      </c>
      <c r="E254" s="410">
        <v>1246105096</v>
      </c>
      <c r="F254" s="412">
        <v>45429</v>
      </c>
      <c r="G254" s="410"/>
      <c r="H254" s="410" t="s">
        <v>173</v>
      </c>
      <c r="I254" s="410" t="s">
        <v>174</v>
      </c>
      <c r="J254" s="410">
        <v>1263</v>
      </c>
      <c r="K254" s="412">
        <v>45189</v>
      </c>
      <c r="L254" s="410">
        <v>1010100</v>
      </c>
      <c r="M254" s="410" t="s">
        <v>35</v>
      </c>
      <c r="N254" s="410">
        <v>161</v>
      </c>
      <c r="O254" s="410" t="s">
        <v>161</v>
      </c>
      <c r="P254" s="410" t="s">
        <v>429</v>
      </c>
      <c r="Q254">
        <f t="shared" si="4"/>
        <v>707</v>
      </c>
      <c r="R254">
        <f>_xlfn.XLOOKUP(E254,'Data Additive'!E:E,'Data Additive'!E:E,0)</f>
        <v>0</v>
      </c>
    </row>
    <row r="255" spans="1:18" x14ac:dyDescent="0.25">
      <c r="A255" s="410">
        <v>11207</v>
      </c>
      <c r="B255" s="410" t="s">
        <v>729</v>
      </c>
      <c r="C255" s="410" t="s">
        <v>194</v>
      </c>
      <c r="D255" s="411">
        <v>85883.37</v>
      </c>
      <c r="E255" s="410">
        <v>1246131973</v>
      </c>
      <c r="F255" s="412">
        <v>45595</v>
      </c>
      <c r="G255" s="410"/>
      <c r="H255" s="410" t="s">
        <v>173</v>
      </c>
      <c r="I255" s="410" t="s">
        <v>174</v>
      </c>
      <c r="J255" s="410">
        <v>2972</v>
      </c>
      <c r="K255" s="412">
        <v>45352</v>
      </c>
      <c r="L255" s="410">
        <v>1010100</v>
      </c>
      <c r="M255" s="410" t="s">
        <v>35</v>
      </c>
      <c r="N255" s="410">
        <v>161</v>
      </c>
      <c r="O255" s="410" t="s">
        <v>161</v>
      </c>
      <c r="P255" s="410" t="s">
        <v>429</v>
      </c>
      <c r="Q255">
        <f t="shared" si="4"/>
        <v>541</v>
      </c>
      <c r="R255">
        <f>_xlfn.XLOOKUP(E255,'Data Additive'!E:E,'Data Additive'!E:E,0)</f>
        <v>0</v>
      </c>
    </row>
    <row r="256" spans="1:18" x14ac:dyDescent="0.25">
      <c r="A256" s="410">
        <v>11456</v>
      </c>
      <c r="B256" s="410" t="s">
        <v>201</v>
      </c>
      <c r="C256" s="410" t="s">
        <v>202</v>
      </c>
      <c r="D256" s="411">
        <v>108608.88999999998</v>
      </c>
      <c r="E256" s="410">
        <v>1246074872</v>
      </c>
      <c r="F256" s="412">
        <v>45412</v>
      </c>
      <c r="G256" s="410"/>
      <c r="H256" s="410" t="s">
        <v>173</v>
      </c>
      <c r="I256" s="410" t="s">
        <v>174</v>
      </c>
      <c r="J256" s="410">
        <v>21029</v>
      </c>
      <c r="K256" s="412">
        <v>45019</v>
      </c>
      <c r="L256" s="410">
        <v>1010100</v>
      </c>
      <c r="M256" s="410" t="s">
        <v>35</v>
      </c>
      <c r="N256" s="410">
        <v>161</v>
      </c>
      <c r="O256" s="410" t="s">
        <v>161</v>
      </c>
      <c r="P256" s="410" t="s">
        <v>429</v>
      </c>
      <c r="Q256">
        <f t="shared" si="4"/>
        <v>724</v>
      </c>
      <c r="R256">
        <f>_xlfn.XLOOKUP(E256,'Data Additive'!E:E,'Data Additive'!E:E,0)</f>
        <v>0</v>
      </c>
    </row>
    <row r="257" spans="1:18" x14ac:dyDescent="0.25">
      <c r="A257" s="410">
        <v>11456</v>
      </c>
      <c r="B257" s="410" t="s">
        <v>201</v>
      </c>
      <c r="C257" s="410" t="s">
        <v>202</v>
      </c>
      <c r="D257" s="411">
        <v>136139</v>
      </c>
      <c r="E257" s="410">
        <v>1246074571</v>
      </c>
      <c r="F257" s="412">
        <v>45412</v>
      </c>
      <c r="G257" s="410"/>
      <c r="H257" s="410" t="s">
        <v>173</v>
      </c>
      <c r="I257" s="410" t="s">
        <v>174</v>
      </c>
      <c r="J257" s="410">
        <v>21023</v>
      </c>
      <c r="K257" s="412">
        <v>45017</v>
      </c>
      <c r="L257" s="410">
        <v>1010100</v>
      </c>
      <c r="M257" s="410" t="s">
        <v>35</v>
      </c>
      <c r="N257" s="410">
        <v>161</v>
      </c>
      <c r="O257" s="410" t="s">
        <v>161</v>
      </c>
      <c r="P257" s="410" t="s">
        <v>429</v>
      </c>
      <c r="Q257">
        <f t="shared" si="4"/>
        <v>724</v>
      </c>
      <c r="R257">
        <f>_xlfn.XLOOKUP(E257,'Data Additive'!E:E,'Data Additive'!E:E,0)</f>
        <v>0</v>
      </c>
    </row>
    <row r="258" spans="1:18" x14ac:dyDescent="0.25">
      <c r="A258" s="410">
        <v>11456</v>
      </c>
      <c r="B258" s="410" t="s">
        <v>201</v>
      </c>
      <c r="C258" s="410" t="s">
        <v>202</v>
      </c>
      <c r="D258" s="411">
        <v>150110.1</v>
      </c>
      <c r="E258" s="410">
        <v>1246127149</v>
      </c>
      <c r="F258" s="412">
        <v>45615</v>
      </c>
      <c r="G258" s="410"/>
      <c r="H258" s="410" t="s">
        <v>173</v>
      </c>
      <c r="I258" s="410" t="s">
        <v>174</v>
      </c>
      <c r="J258" s="410">
        <v>2634</v>
      </c>
      <c r="K258" s="412">
        <v>45320</v>
      </c>
      <c r="L258" s="410">
        <v>1010100</v>
      </c>
      <c r="M258" s="410" t="s">
        <v>35</v>
      </c>
      <c r="N258" s="410">
        <v>161</v>
      </c>
      <c r="O258" s="410" t="s">
        <v>161</v>
      </c>
      <c r="P258" s="410" t="s">
        <v>429</v>
      </c>
      <c r="Q258">
        <f t="shared" si="4"/>
        <v>521</v>
      </c>
      <c r="R258">
        <f>_xlfn.XLOOKUP(E258,'Data Additive'!E:E,'Data Additive'!E:E,0)</f>
        <v>0</v>
      </c>
    </row>
    <row r="259" spans="1:18" x14ac:dyDescent="0.25">
      <c r="A259" s="410">
        <v>11456</v>
      </c>
      <c r="B259" s="410" t="s">
        <v>201</v>
      </c>
      <c r="C259" s="410" t="s">
        <v>202</v>
      </c>
      <c r="D259" s="411">
        <v>150110.1</v>
      </c>
      <c r="E259" s="410">
        <v>1246128463</v>
      </c>
      <c r="F259" s="412">
        <v>45623</v>
      </c>
      <c r="G259" s="410"/>
      <c r="H259" s="410" t="s">
        <v>173</v>
      </c>
      <c r="I259" s="410" t="s">
        <v>174</v>
      </c>
      <c r="J259" s="410">
        <v>2720</v>
      </c>
      <c r="K259" s="412">
        <v>45328</v>
      </c>
      <c r="L259" s="410">
        <v>1010100</v>
      </c>
      <c r="M259" s="410" t="s">
        <v>35</v>
      </c>
      <c r="N259" s="410">
        <v>161</v>
      </c>
      <c r="O259" s="410" t="s">
        <v>161</v>
      </c>
      <c r="P259" s="410" t="s">
        <v>429</v>
      </c>
      <c r="Q259">
        <f t="shared" si="4"/>
        <v>513</v>
      </c>
      <c r="R259">
        <f>_xlfn.XLOOKUP(E259,'Data Additive'!E:E,'Data Additive'!E:E,0)</f>
        <v>0</v>
      </c>
    </row>
    <row r="260" spans="1:18" x14ac:dyDescent="0.25">
      <c r="A260" s="410">
        <v>10492</v>
      </c>
      <c r="B260" s="410" t="s">
        <v>112</v>
      </c>
      <c r="C260" s="410" t="s">
        <v>874</v>
      </c>
      <c r="D260" s="411">
        <v>83061.3</v>
      </c>
      <c r="E260" s="410">
        <v>1246271169</v>
      </c>
      <c r="F260" s="412">
        <v>46153</v>
      </c>
      <c r="G260" s="410"/>
      <c r="H260" s="410" t="s">
        <v>28</v>
      </c>
      <c r="I260" s="410" t="s">
        <v>29</v>
      </c>
      <c r="J260" s="410">
        <v>11106</v>
      </c>
      <c r="K260" s="412">
        <v>46125</v>
      </c>
      <c r="L260" s="410">
        <v>1010100</v>
      </c>
      <c r="M260" s="410" t="s">
        <v>35</v>
      </c>
      <c r="N260" s="410">
        <v>161</v>
      </c>
      <c r="O260" s="410" t="s">
        <v>161</v>
      </c>
      <c r="P260" s="410" t="s">
        <v>417</v>
      </c>
      <c r="Q260">
        <f t="shared" si="4"/>
        <v>-17</v>
      </c>
      <c r="R260">
        <f>_xlfn.XLOOKUP(E260,'Data Additive'!E:E,'Data Additive'!E:E,0)</f>
        <v>1246271169</v>
      </c>
    </row>
    <row r="261" spans="1:18" x14ac:dyDescent="0.25">
      <c r="A261" s="410">
        <v>10492</v>
      </c>
      <c r="B261" s="410" t="s">
        <v>112</v>
      </c>
      <c r="C261" s="410" t="s">
        <v>874</v>
      </c>
      <c r="D261" s="411">
        <v>1698000</v>
      </c>
      <c r="E261" s="410">
        <v>1246272739</v>
      </c>
      <c r="F261" s="412">
        <v>46167</v>
      </c>
      <c r="G261" s="410"/>
      <c r="H261" s="410" t="s">
        <v>28</v>
      </c>
      <c r="I261" s="410" t="s">
        <v>29</v>
      </c>
      <c r="J261" s="410">
        <v>2894</v>
      </c>
      <c r="K261" s="412">
        <v>46139</v>
      </c>
      <c r="L261" s="410">
        <v>1010100</v>
      </c>
      <c r="M261" s="410" t="s">
        <v>35</v>
      </c>
      <c r="N261" s="410">
        <v>7</v>
      </c>
      <c r="O261" s="410" t="s">
        <v>654</v>
      </c>
      <c r="P261" s="410" t="s">
        <v>417</v>
      </c>
      <c r="Q261">
        <f t="shared" si="4"/>
        <v>-31</v>
      </c>
      <c r="R261">
        <f>_xlfn.XLOOKUP(E261,'Data Additive'!E:E,'Data Additive'!E:E,0)</f>
        <v>1246272739</v>
      </c>
    </row>
    <row r="262" spans="1:18" x14ac:dyDescent="0.25">
      <c r="A262" s="410">
        <v>10492</v>
      </c>
      <c r="B262" s="410" t="s">
        <v>112</v>
      </c>
      <c r="C262" s="410" t="s">
        <v>874</v>
      </c>
      <c r="D262" s="411">
        <v>352080</v>
      </c>
      <c r="E262" s="410">
        <v>1246271663</v>
      </c>
      <c r="F262" s="412">
        <v>46157</v>
      </c>
      <c r="G262" s="410"/>
      <c r="H262" s="410" t="s">
        <v>28</v>
      </c>
      <c r="I262" s="410" t="s">
        <v>29</v>
      </c>
      <c r="J262" s="410">
        <v>2875</v>
      </c>
      <c r="K262" s="412">
        <v>46129</v>
      </c>
      <c r="L262" s="410">
        <v>1010100</v>
      </c>
      <c r="M262" s="410" t="s">
        <v>35</v>
      </c>
      <c r="N262" s="410">
        <v>161</v>
      </c>
      <c r="O262" s="410" t="s">
        <v>161</v>
      </c>
      <c r="P262" s="410" t="s">
        <v>417</v>
      </c>
      <c r="Q262">
        <f t="shared" si="4"/>
        <v>-21</v>
      </c>
      <c r="R262">
        <f>_xlfn.XLOOKUP(E262,'Data Additive'!E:E,'Data Additive'!E:E,0)</f>
        <v>1246271663</v>
      </c>
    </row>
    <row r="263" spans="1:18" x14ac:dyDescent="0.25">
      <c r="A263" s="410">
        <v>13018</v>
      </c>
      <c r="B263" s="410" t="s">
        <v>685</v>
      </c>
      <c r="C263" s="410" t="s">
        <v>686</v>
      </c>
      <c r="D263" s="411">
        <v>63625.599999999999</v>
      </c>
      <c r="E263" s="410">
        <v>1246271772</v>
      </c>
      <c r="F263" s="412">
        <v>46157</v>
      </c>
      <c r="G263" s="410"/>
      <c r="H263" s="410" t="s">
        <v>28</v>
      </c>
      <c r="I263" s="410" t="s">
        <v>29</v>
      </c>
      <c r="J263" s="410">
        <v>11167</v>
      </c>
      <c r="K263" s="412">
        <v>46129</v>
      </c>
      <c r="L263" s="410">
        <v>1010100</v>
      </c>
      <c r="M263" s="410" t="s">
        <v>35</v>
      </c>
      <c r="N263" s="410">
        <v>161</v>
      </c>
      <c r="O263" s="410" t="s">
        <v>161</v>
      </c>
      <c r="P263" s="410" t="s">
        <v>683</v>
      </c>
      <c r="Q263">
        <f t="shared" si="4"/>
        <v>-21</v>
      </c>
      <c r="R263">
        <f>_xlfn.XLOOKUP(E263,'Data Additive'!E:E,'Data Additive'!E:E,0)</f>
        <v>1246271772</v>
      </c>
    </row>
    <row r="264" spans="1:18" x14ac:dyDescent="0.25">
      <c r="A264" s="410">
        <v>13018</v>
      </c>
      <c r="B264" s="410" t="s">
        <v>685</v>
      </c>
      <c r="C264" s="410" t="s">
        <v>686</v>
      </c>
      <c r="D264" s="411">
        <v>61407.199999999997</v>
      </c>
      <c r="E264" s="410">
        <v>1246271899</v>
      </c>
      <c r="F264" s="412">
        <v>46160</v>
      </c>
      <c r="G264" s="410"/>
      <c r="H264" s="410" t="s">
        <v>28</v>
      </c>
      <c r="I264" s="410" t="s">
        <v>29</v>
      </c>
      <c r="J264" s="410">
        <v>11180</v>
      </c>
      <c r="K264" s="412">
        <v>46132</v>
      </c>
      <c r="L264" s="410">
        <v>1010100</v>
      </c>
      <c r="M264" s="410" t="s">
        <v>35</v>
      </c>
      <c r="N264" s="410">
        <v>161</v>
      </c>
      <c r="O264" s="410" t="s">
        <v>161</v>
      </c>
      <c r="P264" s="410" t="s">
        <v>683</v>
      </c>
      <c r="Q264">
        <f t="shared" si="4"/>
        <v>-24</v>
      </c>
      <c r="R264">
        <f>_xlfn.XLOOKUP(E264,'Data Additive'!E:E,'Data Additive'!E:E,0)</f>
        <v>1246271899</v>
      </c>
    </row>
    <row r="265" spans="1:18" x14ac:dyDescent="0.25">
      <c r="A265" s="410">
        <v>13018</v>
      </c>
      <c r="B265" s="410" t="s">
        <v>685</v>
      </c>
      <c r="C265" s="410" t="s">
        <v>686</v>
      </c>
      <c r="D265" s="411">
        <v>63838</v>
      </c>
      <c r="E265" s="410">
        <v>1246271508</v>
      </c>
      <c r="F265" s="412">
        <v>46155</v>
      </c>
      <c r="G265" s="410"/>
      <c r="H265" s="410" t="s">
        <v>28</v>
      </c>
      <c r="I265" s="410" t="s">
        <v>29</v>
      </c>
      <c r="J265" s="410">
        <v>11134</v>
      </c>
      <c r="K265" s="412">
        <v>46127</v>
      </c>
      <c r="L265" s="410">
        <v>1010100</v>
      </c>
      <c r="M265" s="410" t="s">
        <v>35</v>
      </c>
      <c r="N265" s="410">
        <v>161</v>
      </c>
      <c r="O265" s="410" t="s">
        <v>161</v>
      </c>
      <c r="P265" s="410" t="s">
        <v>683</v>
      </c>
      <c r="Q265">
        <f t="shared" si="4"/>
        <v>-19</v>
      </c>
      <c r="R265">
        <f>_xlfn.XLOOKUP(E265,'Data Additive'!E:E,'Data Additive'!E:E,0)</f>
        <v>1246271508</v>
      </c>
    </row>
    <row r="266" spans="1:18" x14ac:dyDescent="0.25">
      <c r="A266" s="410">
        <v>13018</v>
      </c>
      <c r="B266" s="410" t="s">
        <v>685</v>
      </c>
      <c r="C266" s="410" t="s">
        <v>686</v>
      </c>
      <c r="D266" s="411">
        <v>327740.59999999998</v>
      </c>
      <c r="E266" s="410">
        <v>1246272485</v>
      </c>
      <c r="F266" s="412">
        <v>46164</v>
      </c>
      <c r="G266" s="410"/>
      <c r="H266" s="410" t="s">
        <v>28</v>
      </c>
      <c r="I266" s="410" t="s">
        <v>29</v>
      </c>
      <c r="J266" s="410">
        <v>11214</v>
      </c>
      <c r="K266" s="412">
        <v>46136</v>
      </c>
      <c r="L266" s="410">
        <v>1010100</v>
      </c>
      <c r="M266" s="410" t="s">
        <v>35</v>
      </c>
      <c r="N266" s="410">
        <v>161</v>
      </c>
      <c r="O266" s="410" t="s">
        <v>161</v>
      </c>
      <c r="P266" s="410" t="s">
        <v>683</v>
      </c>
      <c r="Q266">
        <f t="shared" si="4"/>
        <v>-28</v>
      </c>
      <c r="R266">
        <f>_xlfn.XLOOKUP(E266,'Data Additive'!E:E,'Data Additive'!E:E,0)</f>
        <v>1246272485</v>
      </c>
    </row>
    <row r="267" spans="1:18" x14ac:dyDescent="0.25">
      <c r="A267" s="410">
        <v>12741</v>
      </c>
      <c r="B267" s="410" t="s">
        <v>307</v>
      </c>
      <c r="C267" s="410" t="s">
        <v>886</v>
      </c>
      <c r="D267" s="411">
        <v>137256</v>
      </c>
      <c r="E267" s="410">
        <v>1246268240</v>
      </c>
      <c r="F267" s="412">
        <v>46167</v>
      </c>
      <c r="G267" s="410"/>
      <c r="H267" s="410" t="s">
        <v>28</v>
      </c>
      <c r="I267" s="410" t="s">
        <v>29</v>
      </c>
      <c r="J267" s="410">
        <v>10917</v>
      </c>
      <c r="K267" s="412">
        <v>46099</v>
      </c>
      <c r="L267" s="410">
        <v>1010100</v>
      </c>
      <c r="M267" s="410" t="s">
        <v>35</v>
      </c>
      <c r="N267" s="410">
        <v>161</v>
      </c>
      <c r="O267" s="410" t="s">
        <v>161</v>
      </c>
      <c r="P267" s="410" t="s">
        <v>428</v>
      </c>
      <c r="Q267">
        <f t="shared" si="4"/>
        <v>-31</v>
      </c>
      <c r="R267">
        <f>_xlfn.XLOOKUP(E267,'Data Additive'!E:E,'Data Additive'!E:E,0)</f>
        <v>1246268240</v>
      </c>
    </row>
    <row r="268" spans="1:18" x14ac:dyDescent="0.25">
      <c r="A268" s="410">
        <v>14166</v>
      </c>
      <c r="B268" s="410" t="s">
        <v>123</v>
      </c>
      <c r="C268" s="410" t="s">
        <v>124</v>
      </c>
      <c r="D268" s="411">
        <v>82152</v>
      </c>
      <c r="E268" s="410">
        <v>1246231876</v>
      </c>
      <c r="F268" s="412">
        <v>46144</v>
      </c>
      <c r="G268" s="410"/>
      <c r="H268" s="410" t="s">
        <v>173</v>
      </c>
      <c r="I268" s="410" t="s">
        <v>174</v>
      </c>
      <c r="J268" s="410">
        <v>8933</v>
      </c>
      <c r="K268" s="412">
        <v>45888</v>
      </c>
      <c r="L268" s="410">
        <v>1010100</v>
      </c>
      <c r="M268" s="410" t="s">
        <v>35</v>
      </c>
      <c r="N268" s="410">
        <v>161</v>
      </c>
      <c r="O268" s="410" t="s">
        <v>161</v>
      </c>
      <c r="P268" s="410" t="s">
        <v>432</v>
      </c>
      <c r="Q268">
        <f t="shared" ref="Q268:Q312" si="5">$R$1-F268</f>
        <v>-8</v>
      </c>
      <c r="R268">
        <f>_xlfn.XLOOKUP(E268,'Data Additive'!E:E,'Data Additive'!E:E,0)</f>
        <v>0</v>
      </c>
    </row>
    <row r="269" spans="1:18" x14ac:dyDescent="0.25">
      <c r="A269" s="410">
        <v>14166</v>
      </c>
      <c r="B269" s="410" t="s">
        <v>123</v>
      </c>
      <c r="C269" s="410" t="s">
        <v>124</v>
      </c>
      <c r="D269" s="411">
        <v>93462.6</v>
      </c>
      <c r="E269" s="410">
        <v>1246231878</v>
      </c>
      <c r="F269" s="412">
        <v>46144</v>
      </c>
      <c r="G269" s="410"/>
      <c r="H269" s="410" t="s">
        <v>173</v>
      </c>
      <c r="I269" s="410" t="s">
        <v>174</v>
      </c>
      <c r="J269" s="410">
        <v>8934</v>
      </c>
      <c r="K269" s="412">
        <v>45888</v>
      </c>
      <c r="L269" s="410">
        <v>1010100</v>
      </c>
      <c r="M269" s="410" t="s">
        <v>35</v>
      </c>
      <c r="N269" s="410">
        <v>161</v>
      </c>
      <c r="O269" s="410" t="s">
        <v>161</v>
      </c>
      <c r="P269" s="410" t="s">
        <v>432</v>
      </c>
      <c r="Q269">
        <f t="shared" si="5"/>
        <v>-8</v>
      </c>
      <c r="R269">
        <f>_xlfn.XLOOKUP(E269,'Data Additive'!E:E,'Data Additive'!E:E,0)</f>
        <v>0</v>
      </c>
    </row>
    <row r="270" spans="1:18" x14ac:dyDescent="0.25">
      <c r="A270" s="410">
        <v>14166</v>
      </c>
      <c r="B270" s="410" t="s">
        <v>123</v>
      </c>
      <c r="C270" s="410" t="s">
        <v>124</v>
      </c>
      <c r="D270" s="411">
        <v>131112.51999999999</v>
      </c>
      <c r="E270" s="410">
        <v>1246231981</v>
      </c>
      <c r="F270" s="412">
        <v>46143</v>
      </c>
      <c r="G270" s="410"/>
      <c r="H270" s="410" t="s">
        <v>173</v>
      </c>
      <c r="I270" s="410" t="s">
        <v>174</v>
      </c>
      <c r="J270" s="410">
        <v>8941</v>
      </c>
      <c r="K270" s="412">
        <v>45889</v>
      </c>
      <c r="L270" s="410">
        <v>1010100</v>
      </c>
      <c r="M270" s="410" t="s">
        <v>35</v>
      </c>
      <c r="N270" s="410">
        <v>56</v>
      </c>
      <c r="O270" s="410" t="s">
        <v>162</v>
      </c>
      <c r="P270" s="410" t="s">
        <v>432</v>
      </c>
      <c r="Q270">
        <f t="shared" si="5"/>
        <v>-7</v>
      </c>
      <c r="R270">
        <f>_xlfn.XLOOKUP(E270,'Data Additive'!E:E,'Data Additive'!E:E,0)</f>
        <v>0</v>
      </c>
    </row>
    <row r="271" spans="1:18" x14ac:dyDescent="0.25">
      <c r="A271" s="410">
        <v>14166</v>
      </c>
      <c r="B271" s="410" t="s">
        <v>123</v>
      </c>
      <c r="C271" s="410" t="s">
        <v>124</v>
      </c>
      <c r="D271" s="411">
        <v>191491.28</v>
      </c>
      <c r="E271" s="410">
        <v>1246221981</v>
      </c>
      <c r="F271" s="412">
        <v>46140</v>
      </c>
      <c r="G271" s="410"/>
      <c r="H271" s="410" t="s">
        <v>173</v>
      </c>
      <c r="I271" s="410" t="s">
        <v>174</v>
      </c>
      <c r="J271" s="410">
        <v>8305</v>
      </c>
      <c r="K271" s="412">
        <v>45838</v>
      </c>
      <c r="L271" s="410">
        <v>1010100</v>
      </c>
      <c r="M271" s="410" t="s">
        <v>35</v>
      </c>
      <c r="N271" s="410">
        <v>161</v>
      </c>
      <c r="O271" s="410" t="s">
        <v>161</v>
      </c>
      <c r="P271" s="410" t="s">
        <v>432</v>
      </c>
      <c r="Q271">
        <f t="shared" si="5"/>
        <v>-4</v>
      </c>
      <c r="R271">
        <f>_xlfn.XLOOKUP(E271,'Data Additive'!E:E,'Data Additive'!E:E,0)</f>
        <v>0</v>
      </c>
    </row>
    <row r="272" spans="1:18" x14ac:dyDescent="0.25">
      <c r="A272" s="410">
        <v>14849</v>
      </c>
      <c r="B272" s="410" t="s">
        <v>353</v>
      </c>
      <c r="C272" s="410" t="s">
        <v>619</v>
      </c>
      <c r="D272" s="411">
        <v>133718</v>
      </c>
      <c r="E272" s="410">
        <v>1246222953</v>
      </c>
      <c r="F272" s="412">
        <v>46143</v>
      </c>
      <c r="G272" s="410"/>
      <c r="H272" s="410" t="s">
        <v>173</v>
      </c>
      <c r="I272" s="410" t="s">
        <v>174</v>
      </c>
      <c r="J272" s="410">
        <v>8360</v>
      </c>
      <c r="K272" s="412">
        <v>45841</v>
      </c>
      <c r="L272" s="410">
        <v>1010100</v>
      </c>
      <c r="M272" s="410" t="s">
        <v>35</v>
      </c>
      <c r="N272" s="410">
        <v>161</v>
      </c>
      <c r="O272" s="410" t="s">
        <v>161</v>
      </c>
      <c r="P272" s="410" t="s">
        <v>433</v>
      </c>
      <c r="Q272">
        <f t="shared" si="5"/>
        <v>-7</v>
      </c>
      <c r="R272">
        <f>_xlfn.XLOOKUP(E272,'Data Additive'!E:E,'Data Additive'!E:E,0)</f>
        <v>0</v>
      </c>
    </row>
    <row r="273" spans="1:18" x14ac:dyDescent="0.25">
      <c r="A273" s="410">
        <v>15908</v>
      </c>
      <c r="B273" s="410" t="s">
        <v>897</v>
      </c>
      <c r="C273" s="410" t="s">
        <v>898</v>
      </c>
      <c r="D273" s="411">
        <v>152185.74</v>
      </c>
      <c r="E273" s="410">
        <v>1246268845</v>
      </c>
      <c r="F273" s="412">
        <v>46195</v>
      </c>
      <c r="G273" s="410"/>
      <c r="H273" s="410" t="s">
        <v>173</v>
      </c>
      <c r="I273" s="410" t="s">
        <v>174</v>
      </c>
      <c r="J273" s="410">
        <v>10968</v>
      </c>
      <c r="K273" s="412">
        <v>46105</v>
      </c>
      <c r="L273" s="410">
        <v>1010100</v>
      </c>
      <c r="M273" s="410" t="s">
        <v>35</v>
      </c>
      <c r="N273" s="410">
        <v>161</v>
      </c>
      <c r="O273" s="410" t="s">
        <v>161</v>
      </c>
      <c r="P273" s="410" t="s">
        <v>83</v>
      </c>
      <c r="Q273">
        <f t="shared" si="5"/>
        <v>-59</v>
      </c>
      <c r="R273">
        <f>_xlfn.XLOOKUP(E273,'Data Additive'!E:E,'Data Additive'!E:E,0)</f>
        <v>0</v>
      </c>
    </row>
    <row r="274" spans="1:18" x14ac:dyDescent="0.25">
      <c r="A274" s="410">
        <v>15908</v>
      </c>
      <c r="B274" s="410" t="s">
        <v>897</v>
      </c>
      <c r="C274" s="410" t="s">
        <v>898</v>
      </c>
      <c r="D274" s="411">
        <v>38698.71</v>
      </c>
      <c r="E274" s="410">
        <v>1246268455</v>
      </c>
      <c r="F274" s="412">
        <v>46190</v>
      </c>
      <c r="G274" s="410"/>
      <c r="H274" s="410" t="s">
        <v>173</v>
      </c>
      <c r="I274" s="410" t="s">
        <v>174</v>
      </c>
      <c r="J274" s="410">
        <v>10935</v>
      </c>
      <c r="K274" s="412">
        <v>46100</v>
      </c>
      <c r="L274" s="410">
        <v>1010100</v>
      </c>
      <c r="M274" s="410" t="s">
        <v>35</v>
      </c>
      <c r="N274" s="410">
        <v>161</v>
      </c>
      <c r="O274" s="410" t="s">
        <v>161</v>
      </c>
      <c r="P274" s="410" t="s">
        <v>83</v>
      </c>
      <c r="Q274">
        <f t="shared" si="5"/>
        <v>-54</v>
      </c>
      <c r="R274">
        <f>_xlfn.XLOOKUP(E274,'Data Additive'!E:E,'Data Additive'!E:E,0)</f>
        <v>0</v>
      </c>
    </row>
    <row r="275" spans="1:18" x14ac:dyDescent="0.25">
      <c r="A275" s="410">
        <v>15905</v>
      </c>
      <c r="B275" s="410" t="s">
        <v>899</v>
      </c>
      <c r="C275" s="410" t="s">
        <v>900</v>
      </c>
      <c r="D275" s="411">
        <v>51551.06</v>
      </c>
      <c r="E275" s="410">
        <v>1246268473</v>
      </c>
      <c r="F275" s="412">
        <v>46190</v>
      </c>
      <c r="G275" s="410"/>
      <c r="H275" s="410" t="s">
        <v>173</v>
      </c>
      <c r="I275" s="410" t="s">
        <v>174</v>
      </c>
      <c r="J275" s="410">
        <v>10938</v>
      </c>
      <c r="K275" s="412">
        <v>46100</v>
      </c>
      <c r="L275" s="410">
        <v>1010100</v>
      </c>
      <c r="M275" s="410" t="s">
        <v>35</v>
      </c>
      <c r="N275" s="410">
        <v>161</v>
      </c>
      <c r="O275" s="410" t="s">
        <v>161</v>
      </c>
      <c r="P275" s="410" t="s">
        <v>83</v>
      </c>
      <c r="Q275">
        <f t="shared" si="5"/>
        <v>-54</v>
      </c>
      <c r="R275">
        <f>_xlfn.XLOOKUP(E275,'Data Additive'!E:E,'Data Additive'!E:E,0)</f>
        <v>0</v>
      </c>
    </row>
    <row r="276" spans="1:18" x14ac:dyDescent="0.25">
      <c r="A276" s="410">
        <v>15905</v>
      </c>
      <c r="B276" s="410" t="s">
        <v>899</v>
      </c>
      <c r="C276" s="410" t="s">
        <v>900</v>
      </c>
      <c r="D276" s="411">
        <v>177522.26</v>
      </c>
      <c r="E276" s="410">
        <v>1246268967</v>
      </c>
      <c r="F276" s="412">
        <v>46196</v>
      </c>
      <c r="G276" s="410"/>
      <c r="H276" s="410" t="s">
        <v>173</v>
      </c>
      <c r="I276" s="410" t="s">
        <v>174</v>
      </c>
      <c r="J276" s="410">
        <v>10973</v>
      </c>
      <c r="K276" s="412">
        <v>46106</v>
      </c>
      <c r="L276" s="410">
        <v>1010100</v>
      </c>
      <c r="M276" s="410" t="s">
        <v>35</v>
      </c>
      <c r="N276" s="410">
        <v>161</v>
      </c>
      <c r="O276" s="410" t="s">
        <v>161</v>
      </c>
      <c r="P276" s="410" t="s">
        <v>83</v>
      </c>
      <c r="Q276">
        <f t="shared" si="5"/>
        <v>-60</v>
      </c>
      <c r="R276">
        <f>_xlfn.XLOOKUP(E276,'Data Additive'!E:E,'Data Additive'!E:E,0)</f>
        <v>0</v>
      </c>
    </row>
    <row r="277" spans="1:18" x14ac:dyDescent="0.25">
      <c r="A277" s="410">
        <v>15905</v>
      </c>
      <c r="B277" s="410" t="s">
        <v>899</v>
      </c>
      <c r="C277" s="410" t="s">
        <v>900</v>
      </c>
      <c r="D277" s="411">
        <v>72587.789999999994</v>
      </c>
      <c r="E277" s="410">
        <v>1246271194</v>
      </c>
      <c r="F277" s="412">
        <v>46215</v>
      </c>
      <c r="G277" s="410"/>
      <c r="H277" s="410" t="s">
        <v>173</v>
      </c>
      <c r="I277" s="410" t="s">
        <v>174</v>
      </c>
      <c r="J277" s="410">
        <v>11111</v>
      </c>
      <c r="K277" s="412">
        <v>46125</v>
      </c>
      <c r="L277" s="410">
        <v>1010100</v>
      </c>
      <c r="M277" s="410" t="s">
        <v>35</v>
      </c>
      <c r="N277" s="410">
        <v>161</v>
      </c>
      <c r="O277" s="410" t="s">
        <v>161</v>
      </c>
      <c r="P277" s="410" t="s">
        <v>83</v>
      </c>
      <c r="Q277">
        <f t="shared" si="5"/>
        <v>-79</v>
      </c>
      <c r="R277">
        <f>_xlfn.XLOOKUP(E277,'Data Additive'!E:E,'Data Additive'!E:E,0)</f>
        <v>0</v>
      </c>
    </row>
    <row r="278" spans="1:18" x14ac:dyDescent="0.25">
      <c r="A278" s="410">
        <v>16387</v>
      </c>
      <c r="B278" s="410" t="s">
        <v>745</v>
      </c>
      <c r="C278" s="410" t="s">
        <v>746</v>
      </c>
      <c r="D278" s="411">
        <v>5030.5</v>
      </c>
      <c r="E278" s="410">
        <v>1246250305</v>
      </c>
      <c r="F278" s="412">
        <v>46254</v>
      </c>
      <c r="G278" s="410"/>
      <c r="H278" s="410" t="s">
        <v>173</v>
      </c>
      <c r="I278" s="410" t="s">
        <v>174</v>
      </c>
      <c r="J278" s="410">
        <v>10088</v>
      </c>
      <c r="K278" s="412">
        <v>45982</v>
      </c>
      <c r="L278" s="410">
        <v>1010100</v>
      </c>
      <c r="M278" s="410" t="s">
        <v>35</v>
      </c>
      <c r="N278" s="410">
        <v>161</v>
      </c>
      <c r="O278" s="410" t="s">
        <v>161</v>
      </c>
      <c r="P278" s="410" t="s">
        <v>426</v>
      </c>
      <c r="Q278">
        <f t="shared" si="5"/>
        <v>-118</v>
      </c>
      <c r="R278">
        <f>_xlfn.XLOOKUP(E278,'Data Additive'!E:E,'Data Additive'!E:E,0)</f>
        <v>0</v>
      </c>
    </row>
    <row r="279" spans="1:18" x14ac:dyDescent="0.25">
      <c r="A279" s="410">
        <v>15906</v>
      </c>
      <c r="B279" s="410" t="s">
        <v>901</v>
      </c>
      <c r="C279" s="410" t="s">
        <v>902</v>
      </c>
      <c r="D279" s="411">
        <v>51551.06</v>
      </c>
      <c r="E279" s="410">
        <v>1246268468</v>
      </c>
      <c r="F279" s="412">
        <v>46190</v>
      </c>
      <c r="G279" s="410"/>
      <c r="H279" s="410" t="s">
        <v>173</v>
      </c>
      <c r="I279" s="410" t="s">
        <v>174</v>
      </c>
      <c r="J279" s="410">
        <v>10937</v>
      </c>
      <c r="K279" s="412">
        <v>46100</v>
      </c>
      <c r="L279" s="410">
        <v>1010100</v>
      </c>
      <c r="M279" s="410" t="s">
        <v>35</v>
      </c>
      <c r="N279" s="410">
        <v>161</v>
      </c>
      <c r="O279" s="410" t="s">
        <v>161</v>
      </c>
      <c r="P279" s="410" t="s">
        <v>83</v>
      </c>
      <c r="Q279">
        <f t="shared" si="5"/>
        <v>-54</v>
      </c>
      <c r="R279">
        <f>_xlfn.XLOOKUP(E279,'Data Additive'!E:E,'Data Additive'!E:E,0)</f>
        <v>0</v>
      </c>
    </row>
    <row r="280" spans="1:18" x14ac:dyDescent="0.25">
      <c r="A280" s="410">
        <v>15904</v>
      </c>
      <c r="B280" s="410" t="s">
        <v>903</v>
      </c>
      <c r="C280" s="410" t="s">
        <v>904</v>
      </c>
      <c r="D280" s="411">
        <v>38698.71</v>
      </c>
      <c r="E280" s="410">
        <v>1246268475</v>
      </c>
      <c r="F280" s="412">
        <v>46190</v>
      </c>
      <c r="G280" s="410"/>
      <c r="H280" s="410" t="s">
        <v>173</v>
      </c>
      <c r="I280" s="410" t="s">
        <v>174</v>
      </c>
      <c r="J280" s="410">
        <v>10939</v>
      </c>
      <c r="K280" s="412">
        <v>46100</v>
      </c>
      <c r="L280" s="410">
        <v>1010100</v>
      </c>
      <c r="M280" s="410" t="s">
        <v>35</v>
      </c>
      <c r="N280" s="410">
        <v>161</v>
      </c>
      <c r="O280" s="410" t="s">
        <v>161</v>
      </c>
      <c r="P280" s="410" t="s">
        <v>83</v>
      </c>
      <c r="Q280">
        <f t="shared" si="5"/>
        <v>-54</v>
      </c>
      <c r="R280">
        <f>_xlfn.XLOOKUP(E280,'Data Additive'!E:E,'Data Additive'!E:E,0)</f>
        <v>0</v>
      </c>
    </row>
    <row r="281" spans="1:18" x14ac:dyDescent="0.25">
      <c r="A281" s="410">
        <v>15904</v>
      </c>
      <c r="B281" s="410" t="s">
        <v>903</v>
      </c>
      <c r="C281" s="410" t="s">
        <v>904</v>
      </c>
      <c r="D281" s="411">
        <v>152158.14000000001</v>
      </c>
      <c r="E281" s="410">
        <v>1246269114</v>
      </c>
      <c r="F281" s="412">
        <v>46196</v>
      </c>
      <c r="G281" s="410"/>
      <c r="H281" s="410" t="s">
        <v>173</v>
      </c>
      <c r="I281" s="410" t="s">
        <v>174</v>
      </c>
      <c r="J281" s="410">
        <v>10978</v>
      </c>
      <c r="K281" s="412">
        <v>46106</v>
      </c>
      <c r="L281" s="410">
        <v>1010100</v>
      </c>
      <c r="M281" s="410" t="s">
        <v>35</v>
      </c>
      <c r="N281" s="410">
        <v>161</v>
      </c>
      <c r="O281" s="410" t="s">
        <v>161</v>
      </c>
      <c r="P281" s="410" t="s">
        <v>83</v>
      </c>
      <c r="Q281">
        <f t="shared" si="5"/>
        <v>-60</v>
      </c>
      <c r="R281">
        <f>_xlfn.XLOOKUP(E281,'Data Additive'!E:E,'Data Additive'!E:E,0)</f>
        <v>0</v>
      </c>
    </row>
    <row r="282" spans="1:18" x14ac:dyDescent="0.25">
      <c r="A282" s="410">
        <v>707</v>
      </c>
      <c r="B282" s="410" t="s">
        <v>53</v>
      </c>
      <c r="C282" s="410" t="s">
        <v>54</v>
      </c>
      <c r="D282" s="411">
        <v>40320</v>
      </c>
      <c r="E282" s="410">
        <v>1246146706</v>
      </c>
      <c r="F282" s="412">
        <v>45461</v>
      </c>
      <c r="G282" s="410"/>
      <c r="H282" s="410" t="s">
        <v>28</v>
      </c>
      <c r="I282" s="410" t="s">
        <v>29</v>
      </c>
      <c r="J282" s="410">
        <v>3619</v>
      </c>
      <c r="K282" s="412">
        <v>45433</v>
      </c>
      <c r="L282" s="410">
        <v>1010100</v>
      </c>
      <c r="M282" s="410" t="s">
        <v>35</v>
      </c>
      <c r="N282" s="410">
        <v>161</v>
      </c>
      <c r="O282" s="410" t="s">
        <v>161</v>
      </c>
      <c r="P282" s="410" t="s">
        <v>53</v>
      </c>
      <c r="Q282">
        <f t="shared" si="5"/>
        <v>675</v>
      </c>
      <c r="R282">
        <f>_xlfn.XLOOKUP(E282,'Data Additive'!E:E,'Data Additive'!E:E,0)</f>
        <v>1246146706</v>
      </c>
    </row>
    <row r="283" spans="1:18" x14ac:dyDescent="0.25">
      <c r="A283" s="410">
        <v>707</v>
      </c>
      <c r="B283" s="410" t="s">
        <v>53</v>
      </c>
      <c r="C283" s="410" t="s">
        <v>54</v>
      </c>
      <c r="D283" s="411">
        <v>14640</v>
      </c>
      <c r="E283" s="410">
        <v>1246145696</v>
      </c>
      <c r="F283" s="412">
        <v>45454</v>
      </c>
      <c r="G283" s="410"/>
      <c r="H283" s="410" t="s">
        <v>28</v>
      </c>
      <c r="I283" s="410" t="s">
        <v>29</v>
      </c>
      <c r="J283" s="410">
        <v>3538</v>
      </c>
      <c r="K283" s="412">
        <v>45426</v>
      </c>
      <c r="L283" s="410">
        <v>1010100</v>
      </c>
      <c r="M283" s="410" t="s">
        <v>35</v>
      </c>
      <c r="N283" s="410">
        <v>161</v>
      </c>
      <c r="O283" s="410" t="s">
        <v>161</v>
      </c>
      <c r="P283" s="410" t="s">
        <v>53</v>
      </c>
      <c r="Q283">
        <f t="shared" si="5"/>
        <v>682</v>
      </c>
      <c r="R283">
        <f>_xlfn.XLOOKUP(E283,'Data Additive'!E:E,'Data Additive'!E:E,0)</f>
        <v>1246145696</v>
      </c>
    </row>
    <row r="284" spans="1:18" x14ac:dyDescent="0.25">
      <c r="A284" s="410">
        <v>707</v>
      </c>
      <c r="B284" s="410" t="s">
        <v>53</v>
      </c>
      <c r="C284" s="410" t="s">
        <v>54</v>
      </c>
      <c r="D284" s="411">
        <v>43920</v>
      </c>
      <c r="E284" s="410">
        <v>1246148035</v>
      </c>
      <c r="F284" s="412">
        <v>45469</v>
      </c>
      <c r="G284" s="410"/>
      <c r="H284" s="410" t="s">
        <v>28</v>
      </c>
      <c r="I284" s="410" t="s">
        <v>29</v>
      </c>
      <c r="J284" s="410">
        <v>3722</v>
      </c>
      <c r="K284" s="412">
        <v>45441</v>
      </c>
      <c r="L284" s="410">
        <v>1010100</v>
      </c>
      <c r="M284" s="410" t="s">
        <v>35</v>
      </c>
      <c r="N284" s="410">
        <v>161</v>
      </c>
      <c r="O284" s="410" t="s">
        <v>161</v>
      </c>
      <c r="P284" s="410" t="s">
        <v>53</v>
      </c>
      <c r="Q284">
        <f t="shared" si="5"/>
        <v>667</v>
      </c>
      <c r="R284">
        <f>_xlfn.XLOOKUP(E284,'Data Additive'!E:E,'Data Additive'!E:E,0)</f>
        <v>1246148035</v>
      </c>
    </row>
    <row r="285" spans="1:18" x14ac:dyDescent="0.25">
      <c r="A285" s="410">
        <v>707</v>
      </c>
      <c r="B285" s="410" t="s">
        <v>53</v>
      </c>
      <c r="C285" s="410" t="s">
        <v>54</v>
      </c>
      <c r="D285" s="411">
        <v>36600</v>
      </c>
      <c r="E285" s="410">
        <v>1246146938</v>
      </c>
      <c r="F285" s="412">
        <v>45462</v>
      </c>
      <c r="G285" s="410"/>
      <c r="H285" s="410" t="s">
        <v>28</v>
      </c>
      <c r="I285" s="410" t="s">
        <v>29</v>
      </c>
      <c r="J285" s="410">
        <v>3637</v>
      </c>
      <c r="K285" s="412">
        <v>45434</v>
      </c>
      <c r="L285" s="410">
        <v>1010100</v>
      </c>
      <c r="M285" s="410" t="s">
        <v>35</v>
      </c>
      <c r="N285" s="410">
        <v>161</v>
      </c>
      <c r="O285" s="410" t="s">
        <v>161</v>
      </c>
      <c r="P285" s="410" t="s">
        <v>53</v>
      </c>
      <c r="Q285">
        <f t="shared" si="5"/>
        <v>674</v>
      </c>
      <c r="R285">
        <f>_xlfn.XLOOKUP(E285,'Data Additive'!E:E,'Data Additive'!E:E,0)</f>
        <v>1246146938</v>
      </c>
    </row>
    <row r="286" spans="1:18" x14ac:dyDescent="0.25">
      <c r="A286" s="410">
        <v>707</v>
      </c>
      <c r="B286" s="410" t="s">
        <v>53</v>
      </c>
      <c r="C286" s="410" t="s">
        <v>54</v>
      </c>
      <c r="D286" s="411">
        <v>33600</v>
      </c>
      <c r="E286" s="410">
        <v>1246148036</v>
      </c>
      <c r="F286" s="412">
        <v>45469</v>
      </c>
      <c r="G286" s="410"/>
      <c r="H286" s="410" t="s">
        <v>28</v>
      </c>
      <c r="I286" s="410" t="s">
        <v>29</v>
      </c>
      <c r="J286" s="410">
        <v>3723</v>
      </c>
      <c r="K286" s="412">
        <v>45441</v>
      </c>
      <c r="L286" s="410">
        <v>1010100</v>
      </c>
      <c r="M286" s="410" t="s">
        <v>35</v>
      </c>
      <c r="N286" s="410">
        <v>161</v>
      </c>
      <c r="O286" s="410" t="s">
        <v>161</v>
      </c>
      <c r="P286" s="410" t="s">
        <v>53</v>
      </c>
      <c r="Q286">
        <f t="shared" si="5"/>
        <v>667</v>
      </c>
      <c r="R286">
        <f>_xlfn.XLOOKUP(E286,'Data Additive'!E:E,'Data Additive'!E:E,0)</f>
        <v>1246148036</v>
      </c>
    </row>
    <row r="287" spans="1:18" x14ac:dyDescent="0.25">
      <c r="A287" s="410">
        <v>707</v>
      </c>
      <c r="B287" s="410" t="s">
        <v>53</v>
      </c>
      <c r="C287" s="410" t="s">
        <v>54</v>
      </c>
      <c r="D287" s="411">
        <v>16800</v>
      </c>
      <c r="E287" s="410">
        <v>1246141445</v>
      </c>
      <c r="F287" s="412">
        <v>45433</v>
      </c>
      <c r="G287" s="410"/>
      <c r="H287" s="410" t="s">
        <v>28</v>
      </c>
      <c r="I287" s="410" t="s">
        <v>29</v>
      </c>
      <c r="J287" s="410">
        <v>3345</v>
      </c>
      <c r="K287" s="412">
        <v>45405</v>
      </c>
      <c r="L287" s="410">
        <v>1010100</v>
      </c>
      <c r="M287" s="410" t="s">
        <v>35</v>
      </c>
      <c r="N287" s="410">
        <v>161</v>
      </c>
      <c r="O287" s="410" t="s">
        <v>161</v>
      </c>
      <c r="P287" s="410" t="s">
        <v>53</v>
      </c>
      <c r="Q287">
        <f t="shared" si="5"/>
        <v>703</v>
      </c>
      <c r="R287">
        <f>_xlfn.XLOOKUP(E287,'Data Additive'!E:E,'Data Additive'!E:E,0)</f>
        <v>1246141445</v>
      </c>
    </row>
    <row r="288" spans="1:18" x14ac:dyDescent="0.25">
      <c r="A288" s="410">
        <v>707</v>
      </c>
      <c r="B288" s="410" t="s">
        <v>53</v>
      </c>
      <c r="C288" s="410" t="s">
        <v>54</v>
      </c>
      <c r="D288" s="411">
        <v>40353.599999999999</v>
      </c>
      <c r="E288" s="410">
        <v>1246143397</v>
      </c>
      <c r="F288" s="412">
        <v>45443</v>
      </c>
      <c r="G288" s="410"/>
      <c r="H288" s="410" t="s">
        <v>28</v>
      </c>
      <c r="I288" s="410" t="s">
        <v>29</v>
      </c>
      <c r="J288" s="410">
        <v>3448</v>
      </c>
      <c r="K288" s="412">
        <v>45415</v>
      </c>
      <c r="L288" s="410">
        <v>1010100</v>
      </c>
      <c r="M288" s="410" t="s">
        <v>35</v>
      </c>
      <c r="N288" s="410">
        <v>161</v>
      </c>
      <c r="O288" s="410" t="s">
        <v>161</v>
      </c>
      <c r="P288" s="410" t="s">
        <v>53</v>
      </c>
      <c r="Q288">
        <f t="shared" si="5"/>
        <v>693</v>
      </c>
      <c r="R288">
        <f>_xlfn.XLOOKUP(E288,'Data Additive'!E:E,'Data Additive'!E:E,0)</f>
        <v>1246143397</v>
      </c>
    </row>
    <row r="289" spans="1:18" x14ac:dyDescent="0.25">
      <c r="A289" s="410">
        <v>1462</v>
      </c>
      <c r="B289" s="410" t="s">
        <v>65</v>
      </c>
      <c r="C289" s="410" t="s">
        <v>66</v>
      </c>
      <c r="D289" s="411">
        <v>37608.400000000001</v>
      </c>
      <c r="E289" s="410">
        <v>1246266894</v>
      </c>
      <c r="F289" s="412">
        <v>46147</v>
      </c>
      <c r="G289" s="410"/>
      <c r="H289" s="410" t="s">
        <v>28</v>
      </c>
      <c r="I289" s="410" t="s">
        <v>29</v>
      </c>
      <c r="J289" s="410">
        <v>10834</v>
      </c>
      <c r="K289" s="412">
        <v>46087</v>
      </c>
      <c r="L289" s="410">
        <v>1010100</v>
      </c>
      <c r="M289" s="410" t="s">
        <v>35</v>
      </c>
      <c r="N289" s="410">
        <v>161</v>
      </c>
      <c r="O289" s="410" t="s">
        <v>161</v>
      </c>
      <c r="P289" s="410" t="s">
        <v>65</v>
      </c>
      <c r="Q289">
        <f t="shared" si="5"/>
        <v>-11</v>
      </c>
      <c r="R289">
        <f>_xlfn.XLOOKUP(E289,'Data Additive'!E:E,'Data Additive'!E:E,0)</f>
        <v>1246266894</v>
      </c>
    </row>
    <row r="290" spans="1:18" x14ac:dyDescent="0.25">
      <c r="A290" s="410">
        <v>1462</v>
      </c>
      <c r="B290" s="410" t="s">
        <v>65</v>
      </c>
      <c r="C290" s="410" t="s">
        <v>66</v>
      </c>
      <c r="D290" s="411">
        <v>37608.400000000001</v>
      </c>
      <c r="E290" s="410">
        <v>1246266895</v>
      </c>
      <c r="F290" s="412">
        <v>46157</v>
      </c>
      <c r="G290" s="410"/>
      <c r="H290" s="410" t="s">
        <v>28</v>
      </c>
      <c r="I290" s="410" t="s">
        <v>29</v>
      </c>
      <c r="J290" s="410">
        <v>10834</v>
      </c>
      <c r="K290" s="412">
        <v>46087</v>
      </c>
      <c r="L290" s="410">
        <v>1010100</v>
      </c>
      <c r="M290" s="410" t="s">
        <v>35</v>
      </c>
      <c r="N290" s="410">
        <v>161</v>
      </c>
      <c r="O290" s="410" t="s">
        <v>161</v>
      </c>
      <c r="P290" s="410" t="s">
        <v>65</v>
      </c>
      <c r="Q290">
        <f t="shared" si="5"/>
        <v>-21</v>
      </c>
      <c r="R290">
        <f>_xlfn.XLOOKUP(E290,'Data Additive'!E:E,'Data Additive'!E:E,0)</f>
        <v>1246266895</v>
      </c>
    </row>
    <row r="291" spans="1:18" x14ac:dyDescent="0.25">
      <c r="A291" s="410">
        <v>1462</v>
      </c>
      <c r="B291" s="410" t="s">
        <v>65</v>
      </c>
      <c r="C291" s="410" t="s">
        <v>66</v>
      </c>
      <c r="D291" s="411">
        <v>38160.199999999997</v>
      </c>
      <c r="E291" s="410">
        <v>1246270126</v>
      </c>
      <c r="F291" s="412">
        <v>46174</v>
      </c>
      <c r="G291" s="410"/>
      <c r="H291" s="410" t="s">
        <v>28</v>
      </c>
      <c r="I291" s="410" t="s">
        <v>29</v>
      </c>
      <c r="J291" s="410">
        <v>11041</v>
      </c>
      <c r="K291" s="412">
        <v>46114</v>
      </c>
      <c r="L291" s="410">
        <v>1010100</v>
      </c>
      <c r="M291" s="410" t="s">
        <v>35</v>
      </c>
      <c r="N291" s="410">
        <v>161</v>
      </c>
      <c r="O291" s="410" t="s">
        <v>161</v>
      </c>
      <c r="P291" s="410" t="s">
        <v>65</v>
      </c>
      <c r="Q291">
        <f t="shared" si="5"/>
        <v>-38</v>
      </c>
      <c r="R291">
        <f>_xlfn.XLOOKUP(E291,'Data Additive'!E:E,'Data Additive'!E:E,0)</f>
        <v>1246270126</v>
      </c>
    </row>
    <row r="292" spans="1:18" x14ac:dyDescent="0.25">
      <c r="A292" s="410">
        <v>1462</v>
      </c>
      <c r="B292" s="410" t="s">
        <v>65</v>
      </c>
      <c r="C292" s="410" t="s">
        <v>66</v>
      </c>
      <c r="D292" s="411">
        <v>38160.199999999997</v>
      </c>
      <c r="E292" s="410">
        <v>1246270127</v>
      </c>
      <c r="F292" s="412">
        <v>46184</v>
      </c>
      <c r="G292" s="410"/>
      <c r="H292" s="410" t="s">
        <v>28</v>
      </c>
      <c r="I292" s="410" t="s">
        <v>29</v>
      </c>
      <c r="J292" s="410">
        <v>11041</v>
      </c>
      <c r="K292" s="412">
        <v>46114</v>
      </c>
      <c r="L292" s="410">
        <v>1010100</v>
      </c>
      <c r="M292" s="410" t="s">
        <v>35</v>
      </c>
      <c r="N292" s="410">
        <v>161</v>
      </c>
      <c r="O292" s="410" t="s">
        <v>161</v>
      </c>
      <c r="P292" s="410" t="s">
        <v>65</v>
      </c>
      <c r="Q292">
        <f t="shared" si="5"/>
        <v>-48</v>
      </c>
      <c r="R292">
        <f>_xlfn.XLOOKUP(E292,'Data Additive'!E:E,'Data Additive'!E:E,0)</f>
        <v>1246270127</v>
      </c>
    </row>
    <row r="293" spans="1:18" x14ac:dyDescent="0.25">
      <c r="A293" s="410">
        <v>1462</v>
      </c>
      <c r="B293" s="410" t="s">
        <v>65</v>
      </c>
      <c r="C293" s="410" t="s">
        <v>66</v>
      </c>
      <c r="D293" s="411">
        <v>37491.5</v>
      </c>
      <c r="E293" s="410">
        <v>1246262009</v>
      </c>
      <c r="F293" s="412">
        <v>46125</v>
      </c>
      <c r="G293" s="410"/>
      <c r="H293" s="410" t="s">
        <v>28</v>
      </c>
      <c r="I293" s="410" t="s">
        <v>29</v>
      </c>
      <c r="J293" s="410">
        <v>10624</v>
      </c>
      <c r="K293" s="412">
        <v>46055</v>
      </c>
      <c r="L293" s="410">
        <v>1010100</v>
      </c>
      <c r="M293" s="410" t="s">
        <v>35</v>
      </c>
      <c r="N293" s="410">
        <v>161</v>
      </c>
      <c r="O293" s="410" t="s">
        <v>161</v>
      </c>
      <c r="P293" s="410" t="s">
        <v>65</v>
      </c>
      <c r="Q293">
        <f t="shared" si="5"/>
        <v>11</v>
      </c>
      <c r="R293">
        <f>_xlfn.XLOOKUP(E293,'Data Additive'!E:E,'Data Additive'!E:E,0)</f>
        <v>1246262009</v>
      </c>
    </row>
    <row r="294" spans="1:18" x14ac:dyDescent="0.25">
      <c r="A294" s="410">
        <v>2011</v>
      </c>
      <c r="B294" s="410" t="s">
        <v>726</v>
      </c>
      <c r="C294" s="410" t="s">
        <v>549</v>
      </c>
      <c r="D294" s="411">
        <v>106570.7</v>
      </c>
      <c r="E294" s="410">
        <v>1246270108</v>
      </c>
      <c r="F294" s="412">
        <v>46142</v>
      </c>
      <c r="G294" s="410"/>
      <c r="H294" s="410" t="s">
        <v>28</v>
      </c>
      <c r="I294" s="410" t="s">
        <v>29</v>
      </c>
      <c r="J294" s="410">
        <v>11036</v>
      </c>
      <c r="K294" s="412">
        <v>46114</v>
      </c>
      <c r="L294" s="410">
        <v>1010100</v>
      </c>
      <c r="M294" s="410" t="s">
        <v>35</v>
      </c>
      <c r="N294" s="410">
        <v>161</v>
      </c>
      <c r="O294" s="410" t="s">
        <v>161</v>
      </c>
      <c r="P294" s="410" t="s">
        <v>726</v>
      </c>
      <c r="Q294">
        <f t="shared" si="5"/>
        <v>-6</v>
      </c>
      <c r="R294">
        <f>_xlfn.XLOOKUP(E294,'Data Additive'!E:E,'Data Additive'!E:E,0)</f>
        <v>1246270108</v>
      </c>
    </row>
    <row r="295" spans="1:18" x14ac:dyDescent="0.25">
      <c r="A295" s="410">
        <v>2011</v>
      </c>
      <c r="B295" s="410" t="s">
        <v>726</v>
      </c>
      <c r="C295" s="410" t="s">
        <v>549</v>
      </c>
      <c r="D295" s="411">
        <v>105829.4</v>
      </c>
      <c r="E295" s="410">
        <v>1246271331</v>
      </c>
      <c r="F295" s="412">
        <v>46154</v>
      </c>
      <c r="G295" s="410"/>
      <c r="H295" s="410" t="s">
        <v>28</v>
      </c>
      <c r="I295" s="410" t="s">
        <v>29</v>
      </c>
      <c r="J295" s="410">
        <v>11121</v>
      </c>
      <c r="K295" s="412">
        <v>46126</v>
      </c>
      <c r="L295" s="410">
        <v>1010100</v>
      </c>
      <c r="M295" s="410" t="s">
        <v>35</v>
      </c>
      <c r="N295" s="410">
        <v>161</v>
      </c>
      <c r="O295" s="410" t="s">
        <v>161</v>
      </c>
      <c r="P295" s="410" t="s">
        <v>726</v>
      </c>
      <c r="Q295">
        <f t="shared" si="5"/>
        <v>-18</v>
      </c>
      <c r="R295">
        <f>_xlfn.XLOOKUP(E295,'Data Additive'!E:E,'Data Additive'!E:E,0)</f>
        <v>1246271331</v>
      </c>
    </row>
    <row r="296" spans="1:18" x14ac:dyDescent="0.25">
      <c r="A296" s="410">
        <v>31</v>
      </c>
      <c r="B296" s="410" t="s">
        <v>290</v>
      </c>
      <c r="C296" s="410" t="s">
        <v>923</v>
      </c>
      <c r="D296" s="411">
        <v>120000</v>
      </c>
      <c r="E296" s="410">
        <v>1246269899</v>
      </c>
      <c r="F296" s="412">
        <v>46141</v>
      </c>
      <c r="G296" s="410"/>
      <c r="H296" s="410" t="s">
        <v>28</v>
      </c>
      <c r="I296" s="410" t="s">
        <v>29</v>
      </c>
      <c r="J296" s="410">
        <v>2861</v>
      </c>
      <c r="K296" s="412">
        <v>46113</v>
      </c>
      <c r="L296" s="410">
        <v>1010100</v>
      </c>
      <c r="M296" s="410" t="s">
        <v>35</v>
      </c>
      <c r="N296" s="410">
        <v>161</v>
      </c>
      <c r="O296" s="410" t="s">
        <v>161</v>
      </c>
      <c r="P296" s="410" t="s">
        <v>290</v>
      </c>
      <c r="Q296">
        <f t="shared" si="5"/>
        <v>-5</v>
      </c>
      <c r="R296">
        <f>_xlfn.XLOOKUP(E296,'Data Additive'!E:E,'Data Additive'!E:E,0)</f>
        <v>1246269899</v>
      </c>
    </row>
    <row r="297" spans="1:18" x14ac:dyDescent="0.25">
      <c r="A297" s="410">
        <v>3297</v>
      </c>
      <c r="B297" s="410" t="s">
        <v>648</v>
      </c>
      <c r="C297" s="410" t="s">
        <v>31</v>
      </c>
      <c r="D297" s="411">
        <v>49956.68</v>
      </c>
      <c r="E297" s="410">
        <v>1246271355</v>
      </c>
      <c r="F297" s="412">
        <v>46186</v>
      </c>
      <c r="G297" s="410"/>
      <c r="H297" s="410" t="s">
        <v>28</v>
      </c>
      <c r="I297" s="410" t="s">
        <v>29</v>
      </c>
      <c r="J297" s="410">
        <v>11123</v>
      </c>
      <c r="K297" s="412">
        <v>46126</v>
      </c>
      <c r="L297" s="410">
        <v>1010200</v>
      </c>
      <c r="M297" s="410" t="s">
        <v>125</v>
      </c>
      <c r="N297" s="410">
        <v>40</v>
      </c>
      <c r="O297" s="410" t="s">
        <v>171</v>
      </c>
      <c r="P297" s="410" t="s">
        <v>648</v>
      </c>
      <c r="Q297">
        <f t="shared" si="5"/>
        <v>-50</v>
      </c>
      <c r="R297">
        <f>_xlfn.XLOOKUP(E297,'Data Additive'!E:E,'Data Additive'!E:E,0)</f>
        <v>0</v>
      </c>
    </row>
    <row r="298" spans="1:18" x14ac:dyDescent="0.25">
      <c r="A298" s="410">
        <v>3426</v>
      </c>
      <c r="B298" s="410" t="s">
        <v>403</v>
      </c>
      <c r="C298" s="410" t="s">
        <v>32</v>
      </c>
      <c r="D298" s="411">
        <v>250261.53</v>
      </c>
      <c r="E298" s="410">
        <v>1246272081</v>
      </c>
      <c r="F298" s="412">
        <v>46194</v>
      </c>
      <c r="G298" s="410"/>
      <c r="H298" s="410" t="s">
        <v>28</v>
      </c>
      <c r="I298" s="410" t="s">
        <v>29</v>
      </c>
      <c r="J298" s="410">
        <v>2886</v>
      </c>
      <c r="K298" s="412">
        <v>46134</v>
      </c>
      <c r="L298" s="410">
        <v>1010200</v>
      </c>
      <c r="M298" s="410" t="s">
        <v>125</v>
      </c>
      <c r="N298" s="410">
        <v>40</v>
      </c>
      <c r="O298" s="410" t="s">
        <v>171</v>
      </c>
      <c r="P298" s="410" t="s">
        <v>403</v>
      </c>
      <c r="Q298">
        <f t="shared" si="5"/>
        <v>-58</v>
      </c>
      <c r="R298">
        <f>_xlfn.XLOOKUP(E298,'Data Additive'!E:E,'Data Additive'!E:E,0)</f>
        <v>0</v>
      </c>
    </row>
    <row r="299" spans="1:18" x14ac:dyDescent="0.25">
      <c r="A299" s="410">
        <v>2247</v>
      </c>
      <c r="B299" s="410" t="s">
        <v>493</v>
      </c>
      <c r="C299" s="410" t="s">
        <v>927</v>
      </c>
      <c r="D299" s="411">
        <v>12189</v>
      </c>
      <c r="E299" s="410">
        <v>1246272759</v>
      </c>
      <c r="F299" s="412">
        <v>46167</v>
      </c>
      <c r="G299" s="410"/>
      <c r="H299" s="410" t="s">
        <v>28</v>
      </c>
      <c r="I299" s="410" t="s">
        <v>29</v>
      </c>
      <c r="J299" s="410">
        <v>2896</v>
      </c>
      <c r="K299" s="412">
        <v>46139</v>
      </c>
      <c r="L299" s="410">
        <v>1010100</v>
      </c>
      <c r="M299" s="410" t="s">
        <v>35</v>
      </c>
      <c r="N299" s="410">
        <v>161</v>
      </c>
      <c r="O299" s="410" t="s">
        <v>161</v>
      </c>
      <c r="P299" s="410" t="s">
        <v>493</v>
      </c>
      <c r="Q299">
        <f t="shared" si="5"/>
        <v>-31</v>
      </c>
      <c r="R299">
        <f>_xlfn.XLOOKUP(E299,'Data Additive'!E:E,'Data Additive'!E:E,0)</f>
        <v>1246272759</v>
      </c>
    </row>
    <row r="300" spans="1:18" x14ac:dyDescent="0.25">
      <c r="A300" s="410">
        <v>2247</v>
      </c>
      <c r="B300" s="410" t="s">
        <v>493</v>
      </c>
      <c r="C300" s="410" t="s">
        <v>927</v>
      </c>
      <c r="D300" s="411">
        <v>12189</v>
      </c>
      <c r="E300" s="410">
        <v>1246272760</v>
      </c>
      <c r="F300" s="412">
        <v>46195</v>
      </c>
      <c r="G300" s="410"/>
      <c r="H300" s="410" t="s">
        <v>28</v>
      </c>
      <c r="I300" s="410" t="s">
        <v>29</v>
      </c>
      <c r="J300" s="410">
        <v>2896</v>
      </c>
      <c r="K300" s="412">
        <v>46139</v>
      </c>
      <c r="L300" s="410">
        <v>1010100</v>
      </c>
      <c r="M300" s="410" t="s">
        <v>35</v>
      </c>
      <c r="N300" s="410">
        <v>161</v>
      </c>
      <c r="O300" s="410" t="s">
        <v>161</v>
      </c>
      <c r="P300" s="410" t="s">
        <v>493</v>
      </c>
      <c r="Q300">
        <f t="shared" si="5"/>
        <v>-59</v>
      </c>
      <c r="R300">
        <f>_xlfn.XLOOKUP(E300,'Data Additive'!E:E,'Data Additive'!E:E,0)</f>
        <v>1246272760</v>
      </c>
    </row>
    <row r="301" spans="1:18" x14ac:dyDescent="0.25">
      <c r="A301" s="410">
        <v>2247</v>
      </c>
      <c r="B301" s="410" t="s">
        <v>493</v>
      </c>
      <c r="C301" s="410" t="s">
        <v>927</v>
      </c>
      <c r="D301" s="411">
        <v>956</v>
      </c>
      <c r="E301" s="410">
        <v>1246272577</v>
      </c>
      <c r="F301" s="412">
        <v>46164</v>
      </c>
      <c r="G301" s="410"/>
      <c r="H301" s="410" t="s">
        <v>28</v>
      </c>
      <c r="I301" s="410" t="s">
        <v>29</v>
      </c>
      <c r="J301" s="410">
        <v>2892</v>
      </c>
      <c r="K301" s="412">
        <v>46136</v>
      </c>
      <c r="L301" s="410">
        <v>1010100</v>
      </c>
      <c r="M301" s="410" t="s">
        <v>35</v>
      </c>
      <c r="N301" s="410">
        <v>161</v>
      </c>
      <c r="O301" s="410" t="s">
        <v>161</v>
      </c>
      <c r="P301" s="410" t="s">
        <v>493</v>
      </c>
      <c r="Q301">
        <f t="shared" si="5"/>
        <v>-28</v>
      </c>
      <c r="R301">
        <f>_xlfn.XLOOKUP(E301,'Data Additive'!E:E,'Data Additive'!E:E,0)</f>
        <v>1246272577</v>
      </c>
    </row>
    <row r="302" spans="1:18" x14ac:dyDescent="0.25">
      <c r="A302" s="410">
        <v>2247</v>
      </c>
      <c r="B302" s="410" t="s">
        <v>493</v>
      </c>
      <c r="C302" s="410" t="s">
        <v>927</v>
      </c>
      <c r="D302" s="411">
        <v>956</v>
      </c>
      <c r="E302" s="410">
        <v>1246272578</v>
      </c>
      <c r="F302" s="412">
        <v>46192</v>
      </c>
      <c r="G302" s="410"/>
      <c r="H302" s="410" t="s">
        <v>28</v>
      </c>
      <c r="I302" s="410" t="s">
        <v>29</v>
      </c>
      <c r="J302" s="410">
        <v>2892</v>
      </c>
      <c r="K302" s="412">
        <v>46136</v>
      </c>
      <c r="L302" s="410">
        <v>1010100</v>
      </c>
      <c r="M302" s="410" t="s">
        <v>35</v>
      </c>
      <c r="N302" s="410">
        <v>161</v>
      </c>
      <c r="O302" s="410" t="s">
        <v>161</v>
      </c>
      <c r="P302" s="410" t="s">
        <v>493</v>
      </c>
      <c r="Q302">
        <f t="shared" si="5"/>
        <v>-56</v>
      </c>
      <c r="R302">
        <f>_xlfn.XLOOKUP(E302,'Data Additive'!E:E,'Data Additive'!E:E,0)</f>
        <v>1246272578</v>
      </c>
    </row>
    <row r="303" spans="1:18" x14ac:dyDescent="0.25">
      <c r="A303" s="410">
        <v>2680</v>
      </c>
      <c r="B303" s="410" t="s">
        <v>355</v>
      </c>
      <c r="C303" s="410" t="s">
        <v>31</v>
      </c>
      <c r="D303" s="411">
        <v>224812.61</v>
      </c>
      <c r="E303" s="410">
        <v>1246263810</v>
      </c>
      <c r="F303" s="412">
        <v>46144</v>
      </c>
      <c r="G303" s="410"/>
      <c r="H303" s="410" t="s">
        <v>28</v>
      </c>
      <c r="I303" s="410" t="s">
        <v>29</v>
      </c>
      <c r="J303" s="410">
        <v>2743</v>
      </c>
      <c r="K303" s="412">
        <v>46069</v>
      </c>
      <c r="L303" s="410">
        <v>1010200</v>
      </c>
      <c r="M303" s="410" t="s">
        <v>125</v>
      </c>
      <c r="N303" s="410">
        <v>40</v>
      </c>
      <c r="O303" s="410" t="s">
        <v>171</v>
      </c>
      <c r="P303" s="410" t="s">
        <v>355</v>
      </c>
      <c r="Q303">
        <f t="shared" si="5"/>
        <v>-8</v>
      </c>
      <c r="R303">
        <f>_xlfn.XLOOKUP(E303,'Data Additive'!E:E,'Data Additive'!E:E,0)</f>
        <v>0</v>
      </c>
    </row>
    <row r="304" spans="1:18" x14ac:dyDescent="0.25">
      <c r="A304" s="410">
        <v>2680</v>
      </c>
      <c r="B304" s="410" t="s">
        <v>355</v>
      </c>
      <c r="C304" s="410" t="s">
        <v>31</v>
      </c>
      <c r="D304" s="411">
        <v>175275.24</v>
      </c>
      <c r="E304" s="410">
        <v>1246272069</v>
      </c>
      <c r="F304" s="412">
        <v>46194</v>
      </c>
      <c r="G304" s="410"/>
      <c r="H304" s="410" t="s">
        <v>28</v>
      </c>
      <c r="I304" s="410" t="s">
        <v>29</v>
      </c>
      <c r="J304" s="410">
        <v>11191</v>
      </c>
      <c r="K304" s="412">
        <v>46134</v>
      </c>
      <c r="L304" s="410">
        <v>1010200</v>
      </c>
      <c r="M304" s="410" t="s">
        <v>125</v>
      </c>
      <c r="N304" s="410">
        <v>40</v>
      </c>
      <c r="O304" s="410" t="s">
        <v>171</v>
      </c>
      <c r="P304" s="410" t="s">
        <v>355</v>
      </c>
      <c r="Q304">
        <f t="shared" si="5"/>
        <v>-58</v>
      </c>
      <c r="R304">
        <f>_xlfn.XLOOKUP(E304,'Data Additive'!E:E,'Data Additive'!E:E,0)</f>
        <v>0</v>
      </c>
    </row>
    <row r="305" spans="1:18" x14ac:dyDescent="0.25">
      <c r="A305" s="410">
        <v>3142</v>
      </c>
      <c r="B305" s="410" t="s">
        <v>89</v>
      </c>
      <c r="C305" s="410" t="s">
        <v>879</v>
      </c>
      <c r="D305" s="411">
        <v>44919</v>
      </c>
      <c r="E305" s="410">
        <v>1246272504</v>
      </c>
      <c r="F305" s="412">
        <v>46164</v>
      </c>
      <c r="G305" s="410"/>
      <c r="H305" s="410" t="s">
        <v>28</v>
      </c>
      <c r="I305" s="410" t="s">
        <v>29</v>
      </c>
      <c r="J305" s="410">
        <v>11215</v>
      </c>
      <c r="K305" s="412">
        <v>46136</v>
      </c>
      <c r="L305" s="410">
        <v>1010100</v>
      </c>
      <c r="M305" s="410" t="s">
        <v>35</v>
      </c>
      <c r="N305" s="410">
        <v>161</v>
      </c>
      <c r="O305" s="410" t="s">
        <v>161</v>
      </c>
      <c r="P305" s="410" t="s">
        <v>89</v>
      </c>
      <c r="Q305">
        <f t="shared" si="5"/>
        <v>-28</v>
      </c>
      <c r="R305">
        <f>_xlfn.XLOOKUP(E305,'Data Additive'!E:E,'Data Additive'!E:E,0)</f>
        <v>1246272504</v>
      </c>
    </row>
    <row r="306" spans="1:18" x14ac:dyDescent="0.25">
      <c r="A306" s="410">
        <v>2900</v>
      </c>
      <c r="B306" s="410" t="s">
        <v>550</v>
      </c>
      <c r="C306" s="410" t="s">
        <v>884</v>
      </c>
      <c r="D306" s="411">
        <v>17017.16</v>
      </c>
      <c r="E306" s="410">
        <v>1246267967</v>
      </c>
      <c r="F306" s="412">
        <v>46157</v>
      </c>
      <c r="G306" s="410"/>
      <c r="H306" s="410" t="s">
        <v>28</v>
      </c>
      <c r="I306" s="410" t="s">
        <v>29</v>
      </c>
      <c r="J306" s="410">
        <v>10901</v>
      </c>
      <c r="K306" s="412">
        <v>46097</v>
      </c>
      <c r="L306" s="410">
        <v>1010100</v>
      </c>
      <c r="M306" s="410" t="s">
        <v>35</v>
      </c>
      <c r="N306" s="410">
        <v>161</v>
      </c>
      <c r="O306" s="410" t="s">
        <v>161</v>
      </c>
      <c r="P306" s="410" t="s">
        <v>550</v>
      </c>
      <c r="Q306">
        <f t="shared" si="5"/>
        <v>-21</v>
      </c>
      <c r="R306">
        <f>_xlfn.XLOOKUP(E306,'Data Additive'!E:E,'Data Additive'!E:E,0)</f>
        <v>1246267967</v>
      </c>
    </row>
    <row r="307" spans="1:18" x14ac:dyDescent="0.25">
      <c r="A307" s="410">
        <v>2900</v>
      </c>
      <c r="B307" s="410" t="s">
        <v>550</v>
      </c>
      <c r="C307" s="410" t="s">
        <v>884</v>
      </c>
      <c r="D307" s="411">
        <v>17017.16</v>
      </c>
      <c r="E307" s="410">
        <v>1246267968</v>
      </c>
      <c r="F307" s="412">
        <v>46187</v>
      </c>
      <c r="G307" s="410"/>
      <c r="H307" s="410" t="s">
        <v>28</v>
      </c>
      <c r="I307" s="410" t="s">
        <v>29</v>
      </c>
      <c r="J307" s="410">
        <v>10901</v>
      </c>
      <c r="K307" s="412">
        <v>46097</v>
      </c>
      <c r="L307" s="410">
        <v>1010100</v>
      </c>
      <c r="M307" s="410" t="s">
        <v>35</v>
      </c>
      <c r="N307" s="410">
        <v>161</v>
      </c>
      <c r="O307" s="410" t="s">
        <v>161</v>
      </c>
      <c r="P307" s="410" t="s">
        <v>550</v>
      </c>
      <c r="Q307">
        <f t="shared" si="5"/>
        <v>-51</v>
      </c>
      <c r="R307">
        <f>_xlfn.XLOOKUP(E307,'Data Additive'!E:E,'Data Additive'!E:E,0)</f>
        <v>1246267968</v>
      </c>
    </row>
    <row r="308" spans="1:18" x14ac:dyDescent="0.25">
      <c r="A308" s="410">
        <v>2900</v>
      </c>
      <c r="B308" s="410" t="s">
        <v>550</v>
      </c>
      <c r="C308" s="410" t="s">
        <v>884</v>
      </c>
      <c r="D308" s="411">
        <v>32495.81</v>
      </c>
      <c r="E308" s="410">
        <v>1246267972</v>
      </c>
      <c r="F308" s="412">
        <v>46157</v>
      </c>
      <c r="G308" s="410"/>
      <c r="H308" s="410" t="s">
        <v>28</v>
      </c>
      <c r="I308" s="410" t="s">
        <v>29</v>
      </c>
      <c r="J308" s="410">
        <v>10902</v>
      </c>
      <c r="K308" s="412">
        <v>46097</v>
      </c>
      <c r="L308" s="410">
        <v>1010100</v>
      </c>
      <c r="M308" s="410" t="s">
        <v>35</v>
      </c>
      <c r="N308" s="410">
        <v>161</v>
      </c>
      <c r="O308" s="410" t="s">
        <v>161</v>
      </c>
      <c r="P308" s="410" t="s">
        <v>550</v>
      </c>
      <c r="Q308">
        <f t="shared" si="5"/>
        <v>-21</v>
      </c>
      <c r="R308">
        <f>_xlfn.XLOOKUP(E308,'Data Additive'!E:E,'Data Additive'!E:E,0)</f>
        <v>1246267972</v>
      </c>
    </row>
    <row r="309" spans="1:18" x14ac:dyDescent="0.25">
      <c r="A309" s="410">
        <v>2900</v>
      </c>
      <c r="B309" s="410" t="s">
        <v>550</v>
      </c>
      <c r="C309" s="410" t="s">
        <v>884</v>
      </c>
      <c r="D309" s="411">
        <v>32495.82</v>
      </c>
      <c r="E309" s="410">
        <v>1246267973</v>
      </c>
      <c r="F309" s="412">
        <v>46187</v>
      </c>
      <c r="G309" s="410"/>
      <c r="H309" s="410" t="s">
        <v>28</v>
      </c>
      <c r="I309" s="410" t="s">
        <v>29</v>
      </c>
      <c r="J309" s="410">
        <v>10902</v>
      </c>
      <c r="K309" s="412">
        <v>46097</v>
      </c>
      <c r="L309" s="410">
        <v>1010100</v>
      </c>
      <c r="M309" s="410" t="s">
        <v>35</v>
      </c>
      <c r="N309" s="410">
        <v>161</v>
      </c>
      <c r="O309" s="410" t="s">
        <v>161</v>
      </c>
      <c r="P309" s="410" t="s">
        <v>550</v>
      </c>
      <c r="Q309">
        <f t="shared" si="5"/>
        <v>-51</v>
      </c>
      <c r="R309">
        <f>_xlfn.XLOOKUP(E309,'Data Additive'!E:E,'Data Additive'!E:E,0)</f>
        <v>1246267973</v>
      </c>
    </row>
    <row r="310" spans="1:18" x14ac:dyDescent="0.25">
      <c r="A310" s="410">
        <v>2622</v>
      </c>
      <c r="B310" s="410" t="s">
        <v>83</v>
      </c>
      <c r="C310" s="410" t="s">
        <v>565</v>
      </c>
      <c r="D310" s="411">
        <v>410856.52</v>
      </c>
      <c r="E310" s="410">
        <v>1246268936</v>
      </c>
      <c r="F310" s="412">
        <v>46196</v>
      </c>
      <c r="G310" s="410"/>
      <c r="H310" s="410" t="s">
        <v>28</v>
      </c>
      <c r="I310" s="410" t="s">
        <v>29</v>
      </c>
      <c r="J310" s="410">
        <v>2842</v>
      </c>
      <c r="K310" s="412">
        <v>46106</v>
      </c>
      <c r="L310" s="410">
        <v>1010100</v>
      </c>
      <c r="M310" s="410" t="s">
        <v>35</v>
      </c>
      <c r="N310" s="410">
        <v>161</v>
      </c>
      <c r="O310" s="410" t="s">
        <v>161</v>
      </c>
      <c r="P310" s="410" t="s">
        <v>83</v>
      </c>
      <c r="Q310">
        <f t="shared" si="5"/>
        <v>-60</v>
      </c>
      <c r="R310">
        <f>_xlfn.XLOOKUP(E310,'Data Additive'!E:E,'Data Additive'!E:E,0)</f>
        <v>1246268936</v>
      </c>
    </row>
    <row r="311" spans="1:18" x14ac:dyDescent="0.25">
      <c r="A311" s="410">
        <v>2975</v>
      </c>
      <c r="B311" s="410" t="s">
        <v>488</v>
      </c>
      <c r="C311" s="410" t="s">
        <v>86</v>
      </c>
      <c r="D311" s="411">
        <v>80079.3</v>
      </c>
      <c r="E311" s="410">
        <v>1246271560</v>
      </c>
      <c r="F311" s="412">
        <v>46156</v>
      </c>
      <c r="G311" s="410"/>
      <c r="H311" s="410" t="s">
        <v>28</v>
      </c>
      <c r="I311" s="410" t="s">
        <v>29</v>
      </c>
      <c r="J311" s="410">
        <v>11138</v>
      </c>
      <c r="K311" s="412">
        <v>46128</v>
      </c>
      <c r="L311" s="410">
        <v>1010100</v>
      </c>
      <c r="M311" s="410" t="s">
        <v>35</v>
      </c>
      <c r="N311" s="410">
        <v>161</v>
      </c>
      <c r="O311" s="410" t="s">
        <v>161</v>
      </c>
      <c r="P311" s="410" t="s">
        <v>488</v>
      </c>
      <c r="Q311">
        <f t="shared" si="5"/>
        <v>-20</v>
      </c>
      <c r="R311">
        <f>_xlfn.XLOOKUP(E311,'Data Additive'!E:E,'Data Additive'!E:E,0)</f>
        <v>1246271560</v>
      </c>
    </row>
    <row r="312" spans="1:18" x14ac:dyDescent="0.25">
      <c r="A312" s="410">
        <v>2346</v>
      </c>
      <c r="B312" s="410" t="s">
        <v>535</v>
      </c>
      <c r="C312" s="410" t="s">
        <v>811</v>
      </c>
      <c r="D312" s="411">
        <v>103419.88999999998</v>
      </c>
      <c r="E312" s="410">
        <v>1246265843</v>
      </c>
      <c r="F312" s="412">
        <v>46170</v>
      </c>
      <c r="G312" s="410"/>
      <c r="H312" s="410" t="s">
        <v>28</v>
      </c>
      <c r="I312" s="410" t="s">
        <v>29</v>
      </c>
      <c r="J312" s="410">
        <v>2789</v>
      </c>
      <c r="K312" s="412">
        <v>46080</v>
      </c>
      <c r="L312" s="410">
        <v>1010200</v>
      </c>
      <c r="M312" s="410" t="s">
        <v>125</v>
      </c>
      <c r="N312" s="410">
        <v>40</v>
      </c>
      <c r="O312" s="410" t="s">
        <v>171</v>
      </c>
      <c r="P312" s="410" t="s">
        <v>535</v>
      </c>
      <c r="Q312">
        <f t="shared" si="5"/>
        <v>-34</v>
      </c>
      <c r="R312">
        <f>_xlfn.XLOOKUP(E312,'Data Additive'!E:E,'Data Additive'!E:E,0)</f>
        <v>0</v>
      </c>
    </row>
    <row r="313" spans="1:18" x14ac:dyDescent="0.25">
      <c r="A313" s="410">
        <v>2651</v>
      </c>
      <c r="B313" s="410" t="s">
        <v>128</v>
      </c>
      <c r="C313" s="410" t="s">
        <v>31</v>
      </c>
      <c r="D313" s="411">
        <v>252226.12</v>
      </c>
      <c r="E313" s="410">
        <v>1246223341</v>
      </c>
      <c r="F313" s="412">
        <v>45935</v>
      </c>
      <c r="G313" s="410"/>
      <c r="H313" s="410" t="s">
        <v>28</v>
      </c>
      <c r="I313" s="410" t="s">
        <v>29</v>
      </c>
      <c r="J313" s="410">
        <v>8388</v>
      </c>
      <c r="K313" s="412">
        <v>45845</v>
      </c>
      <c r="L313" s="410">
        <v>1010200</v>
      </c>
      <c r="M313" s="410" t="s">
        <v>125</v>
      </c>
      <c r="N313" s="410">
        <v>40</v>
      </c>
      <c r="O313" s="410" t="s">
        <v>171</v>
      </c>
      <c r="P313" s="410" t="s">
        <v>128</v>
      </c>
      <c r="Q313">
        <f t="shared" ref="Q313:Q369" si="6">$R$1-F313</f>
        <v>201</v>
      </c>
      <c r="R313">
        <f>_xlfn.XLOOKUP(E313,'Data Additive'!E:E,'Data Additive'!E:E,0)</f>
        <v>0</v>
      </c>
    </row>
    <row r="314" spans="1:18" x14ac:dyDescent="0.25">
      <c r="A314" s="410">
        <v>2651</v>
      </c>
      <c r="B314" s="410" t="s">
        <v>128</v>
      </c>
      <c r="C314" s="410" t="s">
        <v>31</v>
      </c>
      <c r="D314" s="411">
        <v>197281.56999999998</v>
      </c>
      <c r="E314" s="410">
        <v>1246213269</v>
      </c>
      <c r="F314" s="412">
        <v>45849</v>
      </c>
      <c r="G314" s="410"/>
      <c r="H314" s="410" t="s">
        <v>28</v>
      </c>
      <c r="I314" s="410" t="s">
        <v>29</v>
      </c>
      <c r="J314" s="410">
        <v>1965</v>
      </c>
      <c r="K314" s="412">
        <v>45789</v>
      </c>
      <c r="L314" s="410">
        <v>1010200</v>
      </c>
      <c r="M314" s="410" t="s">
        <v>125</v>
      </c>
      <c r="N314" s="410">
        <v>40</v>
      </c>
      <c r="O314" s="410" t="s">
        <v>171</v>
      </c>
      <c r="P314" s="410" t="s">
        <v>128</v>
      </c>
      <c r="Q314">
        <f t="shared" si="6"/>
        <v>287</v>
      </c>
      <c r="R314">
        <f>_xlfn.XLOOKUP(E314,'Data Additive'!E:E,'Data Additive'!E:E,0)</f>
        <v>0</v>
      </c>
    </row>
    <row r="315" spans="1:18" x14ac:dyDescent="0.25">
      <c r="A315" s="410">
        <v>2652</v>
      </c>
      <c r="B315" s="410" t="s">
        <v>129</v>
      </c>
      <c r="C315" s="410" t="s">
        <v>31</v>
      </c>
      <c r="D315" s="411">
        <v>157149.47</v>
      </c>
      <c r="E315" s="410">
        <v>1246271559</v>
      </c>
      <c r="F315" s="412">
        <v>46158</v>
      </c>
      <c r="G315" s="410"/>
      <c r="H315" s="410" t="s">
        <v>28</v>
      </c>
      <c r="I315" s="410" t="s">
        <v>29</v>
      </c>
      <c r="J315" s="410">
        <v>11137</v>
      </c>
      <c r="K315" s="412">
        <v>46128</v>
      </c>
      <c r="L315" s="410">
        <v>1010200</v>
      </c>
      <c r="M315" s="410" t="s">
        <v>125</v>
      </c>
      <c r="N315" s="410">
        <v>40</v>
      </c>
      <c r="O315" s="410" t="s">
        <v>171</v>
      </c>
      <c r="P315" s="410" t="s">
        <v>129</v>
      </c>
      <c r="Q315">
        <f t="shared" si="6"/>
        <v>-22</v>
      </c>
      <c r="R315">
        <f>_xlfn.XLOOKUP(E315,'Data Additive'!E:E,'Data Additive'!E:E,0)</f>
        <v>0</v>
      </c>
    </row>
    <row r="316" spans="1:18" x14ac:dyDescent="0.25">
      <c r="A316" s="410">
        <v>2287</v>
      </c>
      <c r="B316" s="410" t="s">
        <v>126</v>
      </c>
      <c r="C316" s="410" t="s">
        <v>127</v>
      </c>
      <c r="D316" s="411">
        <v>149613.56999999998</v>
      </c>
      <c r="E316" s="410">
        <v>1246271939</v>
      </c>
      <c r="F316" s="412">
        <v>46162</v>
      </c>
      <c r="G316" s="410"/>
      <c r="H316" s="410" t="s">
        <v>28</v>
      </c>
      <c r="I316" s="410" t="s">
        <v>29</v>
      </c>
      <c r="J316" s="410">
        <v>11183</v>
      </c>
      <c r="K316" s="412">
        <v>46132</v>
      </c>
      <c r="L316" s="410">
        <v>1010200</v>
      </c>
      <c r="M316" s="410" t="s">
        <v>125</v>
      </c>
      <c r="N316" s="410">
        <v>40</v>
      </c>
      <c r="O316" s="410" t="s">
        <v>171</v>
      </c>
      <c r="P316" s="410" t="s">
        <v>126</v>
      </c>
      <c r="Q316">
        <f t="shared" si="6"/>
        <v>-26</v>
      </c>
      <c r="R316">
        <f>_xlfn.XLOOKUP(E316,'Data Additive'!E:E,'Data Additive'!E:E,0)</f>
        <v>0</v>
      </c>
    </row>
    <row r="317" spans="1:18" x14ac:dyDescent="0.25">
      <c r="A317" s="410">
        <v>2287</v>
      </c>
      <c r="B317" s="410" t="s">
        <v>126</v>
      </c>
      <c r="C317" s="410" t="s">
        <v>127</v>
      </c>
      <c r="D317" s="411">
        <v>151987.66</v>
      </c>
      <c r="E317" s="410">
        <v>1246270954</v>
      </c>
      <c r="F317" s="412">
        <v>46152</v>
      </c>
      <c r="G317" s="410"/>
      <c r="H317" s="410" t="s">
        <v>28</v>
      </c>
      <c r="I317" s="410" t="s">
        <v>29</v>
      </c>
      <c r="J317" s="410">
        <v>11086</v>
      </c>
      <c r="K317" s="412">
        <v>46122</v>
      </c>
      <c r="L317" s="410">
        <v>1010200</v>
      </c>
      <c r="M317" s="410" t="s">
        <v>125</v>
      </c>
      <c r="N317" s="410">
        <v>40</v>
      </c>
      <c r="O317" s="410" t="s">
        <v>171</v>
      </c>
      <c r="P317" s="410" t="s">
        <v>126</v>
      </c>
      <c r="Q317">
        <f t="shared" si="6"/>
        <v>-16</v>
      </c>
      <c r="R317">
        <f>_xlfn.XLOOKUP(E317,'Data Additive'!E:E,'Data Additive'!E:E,0)</f>
        <v>0</v>
      </c>
    </row>
    <row r="318" spans="1:18" x14ac:dyDescent="0.25">
      <c r="A318" s="410">
        <v>2287</v>
      </c>
      <c r="B318" s="410" t="s">
        <v>126</v>
      </c>
      <c r="C318" s="410" t="s">
        <v>127</v>
      </c>
      <c r="D318" s="411">
        <v>157607.13</v>
      </c>
      <c r="E318" s="410">
        <v>1246268026</v>
      </c>
      <c r="F318" s="412">
        <v>46128</v>
      </c>
      <c r="G318" s="410"/>
      <c r="H318" s="410" t="s">
        <v>28</v>
      </c>
      <c r="I318" s="410" t="s">
        <v>29</v>
      </c>
      <c r="J318" s="410">
        <v>10909</v>
      </c>
      <c r="K318" s="412">
        <v>46098</v>
      </c>
      <c r="L318" s="410">
        <v>1010200</v>
      </c>
      <c r="M318" s="410" t="s">
        <v>125</v>
      </c>
      <c r="N318" s="410">
        <v>40</v>
      </c>
      <c r="O318" s="410" t="s">
        <v>171</v>
      </c>
      <c r="P318" s="410" t="s">
        <v>126</v>
      </c>
      <c r="Q318">
        <f t="shared" si="6"/>
        <v>8</v>
      </c>
      <c r="R318">
        <f>_xlfn.XLOOKUP(E318,'Data Additive'!E:E,'Data Additive'!E:E,0)</f>
        <v>0</v>
      </c>
    </row>
    <row r="319" spans="1:18" x14ac:dyDescent="0.25">
      <c r="A319" s="410">
        <v>2655</v>
      </c>
      <c r="B319" s="410" t="s">
        <v>360</v>
      </c>
      <c r="C319" s="410" t="s">
        <v>31</v>
      </c>
      <c r="D319" s="411">
        <v>40017.64</v>
      </c>
      <c r="E319" s="410">
        <v>1246268741</v>
      </c>
      <c r="F319" s="412">
        <v>46165</v>
      </c>
      <c r="G319" s="410"/>
      <c r="H319" s="410" t="s">
        <v>28</v>
      </c>
      <c r="I319" s="410" t="s">
        <v>29</v>
      </c>
      <c r="J319" s="410">
        <v>10964</v>
      </c>
      <c r="K319" s="412">
        <v>46105</v>
      </c>
      <c r="L319" s="410">
        <v>1010200</v>
      </c>
      <c r="M319" s="410" t="s">
        <v>125</v>
      </c>
      <c r="N319" s="410">
        <v>40</v>
      </c>
      <c r="O319" s="410" t="s">
        <v>171</v>
      </c>
      <c r="P319" s="410" t="s">
        <v>360</v>
      </c>
      <c r="Q319">
        <f t="shared" si="6"/>
        <v>-29</v>
      </c>
      <c r="R319">
        <f>_xlfn.XLOOKUP(E319,'Data Additive'!E:E,'Data Additive'!E:E,0)</f>
        <v>0</v>
      </c>
    </row>
    <row r="320" spans="1:18" x14ac:dyDescent="0.25">
      <c r="A320" s="410">
        <v>2656</v>
      </c>
      <c r="B320" s="410" t="s">
        <v>130</v>
      </c>
      <c r="C320" s="410" t="s">
        <v>31</v>
      </c>
      <c r="D320" s="411">
        <v>131960.06</v>
      </c>
      <c r="E320" s="410">
        <v>1246271948</v>
      </c>
      <c r="F320" s="412">
        <v>46162</v>
      </c>
      <c r="G320" s="410"/>
      <c r="H320" s="410" t="s">
        <v>28</v>
      </c>
      <c r="I320" s="410" t="s">
        <v>29</v>
      </c>
      <c r="J320" s="410">
        <v>11185</v>
      </c>
      <c r="K320" s="412">
        <v>46132</v>
      </c>
      <c r="L320" s="410">
        <v>1010200</v>
      </c>
      <c r="M320" s="410" t="s">
        <v>125</v>
      </c>
      <c r="N320" s="410">
        <v>40</v>
      </c>
      <c r="O320" s="410" t="s">
        <v>171</v>
      </c>
      <c r="P320" s="410" t="s">
        <v>130</v>
      </c>
      <c r="Q320">
        <f t="shared" si="6"/>
        <v>-26</v>
      </c>
      <c r="R320">
        <f>_xlfn.XLOOKUP(E320,'Data Additive'!E:E,'Data Additive'!E:E,0)</f>
        <v>0</v>
      </c>
    </row>
    <row r="321" spans="1:18" x14ac:dyDescent="0.25">
      <c r="A321" s="410">
        <v>6132</v>
      </c>
      <c r="B321" s="410" t="s">
        <v>177</v>
      </c>
      <c r="C321" s="410" t="s">
        <v>178</v>
      </c>
      <c r="D321" s="411">
        <v>131993.79999999999</v>
      </c>
      <c r="E321" s="410">
        <v>1246090615</v>
      </c>
      <c r="F321" s="412">
        <v>45471</v>
      </c>
      <c r="G321" s="410"/>
      <c r="H321" s="410" t="s">
        <v>173</v>
      </c>
      <c r="I321" s="410" t="s">
        <v>174</v>
      </c>
      <c r="J321" s="410">
        <v>33</v>
      </c>
      <c r="K321" s="412">
        <v>45111</v>
      </c>
      <c r="L321" s="410">
        <v>1010100</v>
      </c>
      <c r="M321" s="410" t="s">
        <v>35</v>
      </c>
      <c r="N321" s="410">
        <v>161</v>
      </c>
      <c r="O321" s="410" t="s">
        <v>161</v>
      </c>
      <c r="P321" s="410" t="s">
        <v>177</v>
      </c>
      <c r="Q321">
        <f t="shared" si="6"/>
        <v>665</v>
      </c>
      <c r="R321">
        <f>_xlfn.XLOOKUP(E321,'Data Additive'!E:E,'Data Additive'!E:E,0)</f>
        <v>0</v>
      </c>
    </row>
    <row r="322" spans="1:18" x14ac:dyDescent="0.25">
      <c r="A322" s="410">
        <v>6132</v>
      </c>
      <c r="B322" s="410" t="s">
        <v>177</v>
      </c>
      <c r="C322" s="410" t="s">
        <v>178</v>
      </c>
      <c r="D322" s="411">
        <v>178370</v>
      </c>
      <c r="E322" s="410">
        <v>1246091907</v>
      </c>
      <c r="F322" s="412">
        <v>45437</v>
      </c>
      <c r="G322" s="410"/>
      <c r="H322" s="410" t="s">
        <v>173</v>
      </c>
      <c r="I322" s="410" t="s">
        <v>174</v>
      </c>
      <c r="J322" s="410">
        <v>129</v>
      </c>
      <c r="K322" s="412">
        <v>45119</v>
      </c>
      <c r="L322" s="410">
        <v>1010100</v>
      </c>
      <c r="M322" s="410" t="s">
        <v>35</v>
      </c>
      <c r="N322" s="410">
        <v>161</v>
      </c>
      <c r="O322" s="410" t="s">
        <v>161</v>
      </c>
      <c r="P322" s="410" t="s">
        <v>177</v>
      </c>
      <c r="Q322">
        <f t="shared" si="6"/>
        <v>699</v>
      </c>
      <c r="R322">
        <f>_xlfn.XLOOKUP(E322,'Data Additive'!E:E,'Data Additive'!E:E,0)</f>
        <v>0</v>
      </c>
    </row>
    <row r="323" spans="1:18" x14ac:dyDescent="0.25">
      <c r="A323" s="410">
        <v>6132</v>
      </c>
      <c r="B323" s="410" t="s">
        <v>177</v>
      </c>
      <c r="C323" s="410" t="s">
        <v>178</v>
      </c>
      <c r="D323" s="411">
        <v>178370</v>
      </c>
      <c r="E323" s="410">
        <v>1246090579</v>
      </c>
      <c r="F323" s="412">
        <v>45470</v>
      </c>
      <c r="G323" s="410"/>
      <c r="H323" s="410" t="s">
        <v>173</v>
      </c>
      <c r="I323" s="410" t="s">
        <v>174</v>
      </c>
      <c r="J323" s="410">
        <v>28</v>
      </c>
      <c r="K323" s="412">
        <v>45110</v>
      </c>
      <c r="L323" s="410">
        <v>1010100</v>
      </c>
      <c r="M323" s="410" t="s">
        <v>35</v>
      </c>
      <c r="N323" s="410">
        <v>161</v>
      </c>
      <c r="O323" s="410" t="s">
        <v>161</v>
      </c>
      <c r="P323" s="410" t="s">
        <v>177</v>
      </c>
      <c r="Q323">
        <f t="shared" si="6"/>
        <v>666</v>
      </c>
      <c r="R323">
        <f>_xlfn.XLOOKUP(E323,'Data Additive'!E:E,'Data Additive'!E:E,0)</f>
        <v>0</v>
      </c>
    </row>
    <row r="324" spans="1:18" x14ac:dyDescent="0.25">
      <c r="A324" s="410">
        <v>6132</v>
      </c>
      <c r="B324" s="410" t="s">
        <v>177</v>
      </c>
      <c r="C324" s="410" t="s">
        <v>178</v>
      </c>
      <c r="D324" s="411">
        <v>142696</v>
      </c>
      <c r="E324" s="410">
        <v>1246091833</v>
      </c>
      <c r="F324" s="412">
        <v>45436</v>
      </c>
      <c r="G324" s="410"/>
      <c r="H324" s="410" t="s">
        <v>173</v>
      </c>
      <c r="I324" s="410" t="s">
        <v>174</v>
      </c>
      <c r="J324" s="410">
        <v>116</v>
      </c>
      <c r="K324" s="412">
        <v>45118</v>
      </c>
      <c r="L324" s="410">
        <v>1010100</v>
      </c>
      <c r="M324" s="410" t="s">
        <v>35</v>
      </c>
      <c r="N324" s="410">
        <v>161</v>
      </c>
      <c r="O324" s="410" t="s">
        <v>161</v>
      </c>
      <c r="P324" s="410" t="s">
        <v>177</v>
      </c>
      <c r="Q324">
        <f t="shared" si="6"/>
        <v>700</v>
      </c>
      <c r="R324">
        <f>_xlfn.XLOOKUP(E324,'Data Additive'!E:E,'Data Additive'!E:E,0)</f>
        <v>0</v>
      </c>
    </row>
    <row r="325" spans="1:18" x14ac:dyDescent="0.25">
      <c r="A325" s="410">
        <v>6132</v>
      </c>
      <c r="B325" s="410" t="s">
        <v>177</v>
      </c>
      <c r="C325" s="410" t="s">
        <v>178</v>
      </c>
      <c r="D325" s="411">
        <v>60766.2</v>
      </c>
      <c r="E325" s="410">
        <v>1246095119</v>
      </c>
      <c r="F325" s="412">
        <v>45447</v>
      </c>
      <c r="G325" s="410"/>
      <c r="H325" s="410" t="s">
        <v>173</v>
      </c>
      <c r="I325" s="410" t="s">
        <v>174</v>
      </c>
      <c r="J325" s="410">
        <v>93</v>
      </c>
      <c r="K325" s="412">
        <v>45138</v>
      </c>
      <c r="L325" s="410">
        <v>1010100</v>
      </c>
      <c r="M325" s="410" t="s">
        <v>35</v>
      </c>
      <c r="N325" s="410">
        <v>161</v>
      </c>
      <c r="O325" s="410" t="s">
        <v>161</v>
      </c>
      <c r="P325" s="410" t="s">
        <v>177</v>
      </c>
      <c r="Q325">
        <f t="shared" si="6"/>
        <v>689</v>
      </c>
      <c r="R325">
        <f>_xlfn.XLOOKUP(E325,'Data Additive'!E:E,'Data Additive'!E:E,0)</f>
        <v>0</v>
      </c>
    </row>
    <row r="326" spans="1:18" x14ac:dyDescent="0.25">
      <c r="A326" s="410">
        <v>6132</v>
      </c>
      <c r="B326" s="410" t="s">
        <v>177</v>
      </c>
      <c r="C326" s="410" t="s">
        <v>178</v>
      </c>
      <c r="D326" s="411">
        <v>178260</v>
      </c>
      <c r="E326" s="410">
        <v>1246091832</v>
      </c>
      <c r="F326" s="412">
        <v>45436</v>
      </c>
      <c r="G326" s="410"/>
      <c r="H326" s="410" t="s">
        <v>173</v>
      </c>
      <c r="I326" s="410" t="s">
        <v>174</v>
      </c>
      <c r="J326" s="410">
        <v>115</v>
      </c>
      <c r="K326" s="412">
        <v>45118</v>
      </c>
      <c r="L326" s="410">
        <v>1010100</v>
      </c>
      <c r="M326" s="410" t="s">
        <v>35</v>
      </c>
      <c r="N326" s="410">
        <v>161</v>
      </c>
      <c r="O326" s="410" t="s">
        <v>161</v>
      </c>
      <c r="P326" s="410" t="s">
        <v>177</v>
      </c>
      <c r="Q326">
        <f t="shared" si="6"/>
        <v>700</v>
      </c>
      <c r="R326">
        <f>_xlfn.XLOOKUP(E326,'Data Additive'!E:E,'Data Additive'!E:E,0)</f>
        <v>0</v>
      </c>
    </row>
    <row r="327" spans="1:18" x14ac:dyDescent="0.25">
      <c r="A327" s="410">
        <v>6132</v>
      </c>
      <c r="B327" s="410" t="s">
        <v>177</v>
      </c>
      <c r="C327" s="410" t="s">
        <v>178</v>
      </c>
      <c r="D327" s="411">
        <v>151915.50000000003</v>
      </c>
      <c r="E327" s="410">
        <v>1246095049</v>
      </c>
      <c r="F327" s="412">
        <v>45447</v>
      </c>
      <c r="G327" s="410"/>
      <c r="H327" s="410" t="s">
        <v>173</v>
      </c>
      <c r="I327" s="410" t="s">
        <v>174</v>
      </c>
      <c r="J327" s="410">
        <v>92</v>
      </c>
      <c r="K327" s="412">
        <v>45138</v>
      </c>
      <c r="L327" s="410">
        <v>1010100</v>
      </c>
      <c r="M327" s="410" t="s">
        <v>35</v>
      </c>
      <c r="N327" s="410">
        <v>161</v>
      </c>
      <c r="O327" s="410" t="s">
        <v>161</v>
      </c>
      <c r="P327" s="410" t="s">
        <v>177</v>
      </c>
      <c r="Q327">
        <f t="shared" si="6"/>
        <v>689</v>
      </c>
      <c r="R327">
        <f>_xlfn.XLOOKUP(E327,'Data Additive'!E:E,'Data Additive'!E:E,0)</f>
        <v>0</v>
      </c>
    </row>
    <row r="328" spans="1:18" x14ac:dyDescent="0.25">
      <c r="A328" s="410">
        <v>6132</v>
      </c>
      <c r="B328" s="410" t="s">
        <v>177</v>
      </c>
      <c r="C328" s="410" t="s">
        <v>178</v>
      </c>
      <c r="D328" s="411">
        <v>91149.3</v>
      </c>
      <c r="E328" s="410">
        <v>1246095124</v>
      </c>
      <c r="F328" s="412">
        <v>45447</v>
      </c>
      <c r="G328" s="410"/>
      <c r="H328" s="410" t="s">
        <v>173</v>
      </c>
      <c r="I328" s="410" t="s">
        <v>174</v>
      </c>
      <c r="J328" s="410">
        <v>94</v>
      </c>
      <c r="K328" s="412">
        <v>45138</v>
      </c>
      <c r="L328" s="410">
        <v>1010100</v>
      </c>
      <c r="M328" s="410" t="s">
        <v>35</v>
      </c>
      <c r="N328" s="410">
        <v>161</v>
      </c>
      <c r="O328" s="410" t="s">
        <v>161</v>
      </c>
      <c r="P328" s="410" t="s">
        <v>177</v>
      </c>
      <c r="Q328">
        <f t="shared" si="6"/>
        <v>689</v>
      </c>
      <c r="R328">
        <f>_xlfn.XLOOKUP(E328,'Data Additive'!E:E,'Data Additive'!E:E,0)</f>
        <v>0</v>
      </c>
    </row>
    <row r="329" spans="1:18" x14ac:dyDescent="0.25">
      <c r="A329" s="410">
        <v>6132</v>
      </c>
      <c r="B329" s="410" t="s">
        <v>177</v>
      </c>
      <c r="C329" s="410" t="s">
        <v>178</v>
      </c>
      <c r="D329" s="411">
        <v>85223.34</v>
      </c>
      <c r="E329" s="410">
        <v>1246097799</v>
      </c>
      <c r="F329" s="412">
        <v>45442</v>
      </c>
      <c r="G329" s="410"/>
      <c r="H329" s="410" t="s">
        <v>173</v>
      </c>
      <c r="I329" s="410" t="s">
        <v>174</v>
      </c>
      <c r="J329" s="410">
        <v>678</v>
      </c>
      <c r="K329" s="412">
        <v>45152</v>
      </c>
      <c r="L329" s="410">
        <v>1010100</v>
      </c>
      <c r="M329" s="410" t="s">
        <v>35</v>
      </c>
      <c r="N329" s="410">
        <v>161</v>
      </c>
      <c r="O329" s="410" t="s">
        <v>161</v>
      </c>
      <c r="P329" s="410" t="s">
        <v>177</v>
      </c>
      <c r="Q329">
        <f t="shared" si="6"/>
        <v>694</v>
      </c>
      <c r="R329">
        <f>_xlfn.XLOOKUP(E329,'Data Additive'!E:E,'Data Additive'!E:E,0)</f>
        <v>0</v>
      </c>
    </row>
    <row r="330" spans="1:18" x14ac:dyDescent="0.25">
      <c r="A330" s="410">
        <v>6132</v>
      </c>
      <c r="B330" s="410" t="s">
        <v>177</v>
      </c>
      <c r="C330" s="410" t="s">
        <v>178</v>
      </c>
      <c r="D330" s="411">
        <v>84323.41</v>
      </c>
      <c r="E330" s="410">
        <v>1246121990</v>
      </c>
      <c r="F330" s="412">
        <v>45557</v>
      </c>
      <c r="G330" s="410"/>
      <c r="H330" s="410" t="s">
        <v>173</v>
      </c>
      <c r="I330" s="410" t="s">
        <v>174</v>
      </c>
      <c r="J330" s="410">
        <v>2361</v>
      </c>
      <c r="K330" s="412">
        <v>45289</v>
      </c>
      <c r="L330" s="410">
        <v>1010100</v>
      </c>
      <c r="M330" s="410" t="s">
        <v>35</v>
      </c>
      <c r="N330" s="410">
        <v>161</v>
      </c>
      <c r="O330" s="410" t="s">
        <v>161</v>
      </c>
      <c r="P330" s="410" t="s">
        <v>177</v>
      </c>
      <c r="Q330">
        <f t="shared" si="6"/>
        <v>579</v>
      </c>
      <c r="R330">
        <f>_xlfn.XLOOKUP(E330,'Data Additive'!E:E,'Data Additive'!E:E,0)</f>
        <v>0</v>
      </c>
    </row>
    <row r="331" spans="1:18" x14ac:dyDescent="0.25">
      <c r="A331" s="410">
        <v>6132</v>
      </c>
      <c r="B331" s="410" t="s">
        <v>177</v>
      </c>
      <c r="C331" s="410" t="s">
        <v>178</v>
      </c>
      <c r="D331" s="411">
        <v>63251.12</v>
      </c>
      <c r="E331" s="410">
        <v>1246128996</v>
      </c>
      <c r="F331" s="412">
        <v>45571</v>
      </c>
      <c r="G331" s="410"/>
      <c r="H331" s="410" t="s">
        <v>173</v>
      </c>
      <c r="I331" s="410" t="s">
        <v>174</v>
      </c>
      <c r="J331" s="410">
        <v>2766</v>
      </c>
      <c r="K331" s="412">
        <v>45331</v>
      </c>
      <c r="L331" s="410">
        <v>1010100</v>
      </c>
      <c r="M331" s="410" t="s">
        <v>35</v>
      </c>
      <c r="N331" s="410">
        <v>161</v>
      </c>
      <c r="O331" s="410" t="s">
        <v>161</v>
      </c>
      <c r="P331" s="410" t="s">
        <v>177</v>
      </c>
      <c r="Q331">
        <f t="shared" si="6"/>
        <v>565</v>
      </c>
      <c r="R331">
        <f>_xlfn.XLOOKUP(E331,'Data Additive'!E:E,'Data Additive'!E:E,0)</f>
        <v>0</v>
      </c>
    </row>
    <row r="332" spans="1:18" x14ac:dyDescent="0.25">
      <c r="A332" s="410">
        <v>6132</v>
      </c>
      <c r="B332" s="410" t="s">
        <v>177</v>
      </c>
      <c r="C332" s="410" t="s">
        <v>178</v>
      </c>
      <c r="D332" s="411">
        <v>52062</v>
      </c>
      <c r="E332" s="410">
        <v>1246115169</v>
      </c>
      <c r="F332" s="412">
        <v>45466</v>
      </c>
      <c r="G332" s="410"/>
      <c r="H332" s="410" t="s">
        <v>173</v>
      </c>
      <c r="I332" s="410" t="s">
        <v>174</v>
      </c>
      <c r="J332" s="410">
        <v>1974</v>
      </c>
      <c r="K332" s="412">
        <v>45244</v>
      </c>
      <c r="L332" s="410">
        <v>1010100</v>
      </c>
      <c r="M332" s="410" t="s">
        <v>35</v>
      </c>
      <c r="N332" s="410">
        <v>161</v>
      </c>
      <c r="O332" s="410" t="s">
        <v>161</v>
      </c>
      <c r="P332" s="410" t="s">
        <v>177</v>
      </c>
      <c r="Q332">
        <f t="shared" si="6"/>
        <v>670</v>
      </c>
      <c r="R332">
        <f>_xlfn.XLOOKUP(E332,'Data Additive'!E:E,'Data Additive'!E:E,0)</f>
        <v>0</v>
      </c>
    </row>
    <row r="333" spans="1:18" x14ac:dyDescent="0.25">
      <c r="A333" s="410">
        <v>6132</v>
      </c>
      <c r="B333" s="410" t="s">
        <v>177</v>
      </c>
      <c r="C333" s="410" t="s">
        <v>178</v>
      </c>
      <c r="D333" s="411">
        <v>32002.66</v>
      </c>
      <c r="E333" s="410">
        <v>1246120211</v>
      </c>
      <c r="F333" s="412">
        <v>45518</v>
      </c>
      <c r="G333" s="410"/>
      <c r="H333" s="410" t="s">
        <v>173</v>
      </c>
      <c r="I333" s="410" t="s">
        <v>174</v>
      </c>
      <c r="J333" s="410">
        <v>2284</v>
      </c>
      <c r="K333" s="412">
        <v>45278</v>
      </c>
      <c r="L333" s="410">
        <v>1010100</v>
      </c>
      <c r="M333" s="410" t="s">
        <v>35</v>
      </c>
      <c r="N333" s="410">
        <v>161</v>
      </c>
      <c r="O333" s="410" t="s">
        <v>161</v>
      </c>
      <c r="P333" s="410" t="s">
        <v>177</v>
      </c>
      <c r="Q333">
        <f t="shared" si="6"/>
        <v>618</v>
      </c>
      <c r="R333">
        <f>_xlfn.XLOOKUP(E333,'Data Additive'!E:E,'Data Additive'!E:E,0)</f>
        <v>0</v>
      </c>
    </row>
    <row r="334" spans="1:18" x14ac:dyDescent="0.25">
      <c r="A334" s="410">
        <v>6132</v>
      </c>
      <c r="B334" s="410" t="s">
        <v>177</v>
      </c>
      <c r="C334" s="410" t="s">
        <v>178</v>
      </c>
      <c r="D334" s="411">
        <v>112435.2</v>
      </c>
      <c r="E334" s="410">
        <v>1246116054</v>
      </c>
      <c r="F334" s="412">
        <v>45491</v>
      </c>
      <c r="G334" s="410"/>
      <c r="H334" s="410" t="s">
        <v>173</v>
      </c>
      <c r="I334" s="410" t="s">
        <v>174</v>
      </c>
      <c r="J334" s="410">
        <v>2046</v>
      </c>
      <c r="K334" s="412">
        <v>45251</v>
      </c>
      <c r="L334" s="410">
        <v>1010100</v>
      </c>
      <c r="M334" s="410" t="s">
        <v>35</v>
      </c>
      <c r="N334" s="410">
        <v>161</v>
      </c>
      <c r="O334" s="410" t="s">
        <v>161</v>
      </c>
      <c r="P334" s="410" t="s">
        <v>177</v>
      </c>
      <c r="Q334">
        <f t="shared" si="6"/>
        <v>645</v>
      </c>
      <c r="R334">
        <f>_xlfn.XLOOKUP(E334,'Data Additive'!E:E,'Data Additive'!E:E,0)</f>
        <v>0</v>
      </c>
    </row>
    <row r="335" spans="1:18" x14ac:dyDescent="0.25">
      <c r="A335" s="410">
        <v>6132</v>
      </c>
      <c r="B335" s="410" t="s">
        <v>177</v>
      </c>
      <c r="C335" s="410" t="s">
        <v>178</v>
      </c>
      <c r="D335" s="411">
        <v>29450.6</v>
      </c>
      <c r="E335" s="410">
        <v>1246128801</v>
      </c>
      <c r="F335" s="412">
        <v>45605</v>
      </c>
      <c r="G335" s="410"/>
      <c r="H335" s="410" t="s">
        <v>173</v>
      </c>
      <c r="I335" s="410" t="s">
        <v>174</v>
      </c>
      <c r="J335" s="410">
        <v>2746</v>
      </c>
      <c r="K335" s="412">
        <v>45330</v>
      </c>
      <c r="L335" s="410">
        <v>1010100</v>
      </c>
      <c r="M335" s="410" t="s">
        <v>35</v>
      </c>
      <c r="N335" s="410">
        <v>161</v>
      </c>
      <c r="O335" s="410" t="s">
        <v>161</v>
      </c>
      <c r="P335" s="410" t="s">
        <v>177</v>
      </c>
      <c r="Q335">
        <f t="shared" si="6"/>
        <v>531</v>
      </c>
      <c r="R335">
        <f>_xlfn.XLOOKUP(E335,'Data Additive'!E:E,'Data Additive'!E:E,0)</f>
        <v>0</v>
      </c>
    </row>
    <row r="336" spans="1:18" x14ac:dyDescent="0.25">
      <c r="A336" s="410">
        <v>6132</v>
      </c>
      <c r="B336" s="410" t="s">
        <v>177</v>
      </c>
      <c r="C336" s="410" t="s">
        <v>178</v>
      </c>
      <c r="D336" s="411">
        <v>87840</v>
      </c>
      <c r="E336" s="410">
        <v>1246113431</v>
      </c>
      <c r="F336" s="412">
        <v>45476</v>
      </c>
      <c r="G336" s="410"/>
      <c r="H336" s="410" t="s">
        <v>173</v>
      </c>
      <c r="I336" s="410" t="s">
        <v>174</v>
      </c>
      <c r="J336" s="410">
        <v>1852</v>
      </c>
      <c r="K336" s="412">
        <v>45236</v>
      </c>
      <c r="L336" s="410">
        <v>1010100</v>
      </c>
      <c r="M336" s="410" t="s">
        <v>35</v>
      </c>
      <c r="N336" s="410">
        <v>161</v>
      </c>
      <c r="O336" s="410" t="s">
        <v>161</v>
      </c>
      <c r="P336" s="410" t="s">
        <v>177</v>
      </c>
      <c r="Q336">
        <f t="shared" si="6"/>
        <v>660</v>
      </c>
      <c r="R336">
        <f>_xlfn.XLOOKUP(E336,'Data Additive'!E:E,'Data Additive'!E:E,0)</f>
        <v>0</v>
      </c>
    </row>
    <row r="337" spans="1:18" x14ac:dyDescent="0.25">
      <c r="A337" s="410">
        <v>6132</v>
      </c>
      <c r="B337" s="410" t="s">
        <v>177</v>
      </c>
      <c r="C337" s="410" t="s">
        <v>178</v>
      </c>
      <c r="D337" s="411">
        <v>27201.1</v>
      </c>
      <c r="E337" s="410">
        <v>1246124199</v>
      </c>
      <c r="F337" s="412">
        <v>45557</v>
      </c>
      <c r="G337" s="410"/>
      <c r="H337" s="410" t="s">
        <v>173</v>
      </c>
      <c r="I337" s="410" t="s">
        <v>174</v>
      </c>
      <c r="J337" s="410">
        <v>2454</v>
      </c>
      <c r="K337" s="412">
        <v>45301</v>
      </c>
      <c r="L337" s="410">
        <v>1010100</v>
      </c>
      <c r="M337" s="410" t="s">
        <v>35</v>
      </c>
      <c r="N337" s="410">
        <v>161</v>
      </c>
      <c r="O337" s="410" t="s">
        <v>161</v>
      </c>
      <c r="P337" s="410" t="s">
        <v>177</v>
      </c>
      <c r="Q337">
        <f t="shared" si="6"/>
        <v>579</v>
      </c>
      <c r="R337">
        <f>_xlfn.XLOOKUP(E337,'Data Additive'!E:E,'Data Additive'!E:E,0)</f>
        <v>0</v>
      </c>
    </row>
    <row r="338" spans="1:18" x14ac:dyDescent="0.25">
      <c r="A338" s="410">
        <v>6132</v>
      </c>
      <c r="B338" s="410" t="s">
        <v>177</v>
      </c>
      <c r="C338" s="410" t="s">
        <v>178</v>
      </c>
      <c r="D338" s="411">
        <v>86529.600000000006</v>
      </c>
      <c r="E338" s="410">
        <v>1246116354</v>
      </c>
      <c r="F338" s="412">
        <v>45475</v>
      </c>
      <c r="G338" s="410"/>
      <c r="H338" s="410" t="s">
        <v>173</v>
      </c>
      <c r="I338" s="410" t="s">
        <v>174</v>
      </c>
      <c r="J338" s="410">
        <v>2068</v>
      </c>
      <c r="K338" s="412">
        <v>45253</v>
      </c>
      <c r="L338" s="410">
        <v>1010100</v>
      </c>
      <c r="M338" s="410" t="s">
        <v>35</v>
      </c>
      <c r="N338" s="410">
        <v>161</v>
      </c>
      <c r="O338" s="410" t="s">
        <v>161</v>
      </c>
      <c r="P338" s="410" t="s">
        <v>177</v>
      </c>
      <c r="Q338">
        <f t="shared" si="6"/>
        <v>661</v>
      </c>
      <c r="R338">
        <f>_xlfn.XLOOKUP(E338,'Data Additive'!E:E,'Data Additive'!E:E,0)</f>
        <v>0</v>
      </c>
    </row>
    <row r="339" spans="1:18" x14ac:dyDescent="0.25">
      <c r="A339" s="410">
        <v>6132</v>
      </c>
      <c r="B339" s="410" t="s">
        <v>177</v>
      </c>
      <c r="C339" s="410" t="s">
        <v>178</v>
      </c>
      <c r="D339" s="411">
        <v>171010</v>
      </c>
      <c r="E339" s="410">
        <v>1246117256</v>
      </c>
      <c r="F339" s="412">
        <v>45474</v>
      </c>
      <c r="G339" s="410"/>
      <c r="H339" s="410" t="s">
        <v>173</v>
      </c>
      <c r="I339" s="410" t="s">
        <v>174</v>
      </c>
      <c r="J339" s="410">
        <v>2130</v>
      </c>
      <c r="K339" s="412">
        <v>45260</v>
      </c>
      <c r="L339" s="410">
        <v>1010100</v>
      </c>
      <c r="M339" s="410" t="s">
        <v>35</v>
      </c>
      <c r="N339" s="410">
        <v>161</v>
      </c>
      <c r="O339" s="410" t="s">
        <v>161</v>
      </c>
      <c r="P339" s="410" t="s">
        <v>177</v>
      </c>
      <c r="Q339">
        <f t="shared" si="6"/>
        <v>662</v>
      </c>
      <c r="R339">
        <f>_xlfn.XLOOKUP(E339,'Data Additive'!E:E,'Data Additive'!E:E,0)</f>
        <v>0</v>
      </c>
    </row>
    <row r="340" spans="1:18" x14ac:dyDescent="0.25">
      <c r="A340" s="410">
        <v>6132</v>
      </c>
      <c r="B340" s="410" t="s">
        <v>177</v>
      </c>
      <c r="C340" s="410" t="s">
        <v>178</v>
      </c>
      <c r="D340" s="411">
        <v>94461</v>
      </c>
      <c r="E340" s="410">
        <v>1246125716</v>
      </c>
      <c r="F340" s="412">
        <v>45578</v>
      </c>
      <c r="G340" s="410"/>
      <c r="H340" s="410" t="s">
        <v>173</v>
      </c>
      <c r="I340" s="410" t="s">
        <v>174</v>
      </c>
      <c r="J340" s="410">
        <v>2541</v>
      </c>
      <c r="K340" s="412">
        <v>45310</v>
      </c>
      <c r="L340" s="410">
        <v>1010100</v>
      </c>
      <c r="M340" s="410" t="s">
        <v>35</v>
      </c>
      <c r="N340" s="410">
        <v>161</v>
      </c>
      <c r="O340" s="410" t="s">
        <v>161</v>
      </c>
      <c r="P340" s="410" t="s">
        <v>177</v>
      </c>
      <c r="Q340">
        <f t="shared" si="6"/>
        <v>558</v>
      </c>
      <c r="R340">
        <f>_xlfn.XLOOKUP(E340,'Data Additive'!E:E,'Data Additive'!E:E,0)</f>
        <v>0</v>
      </c>
    </row>
    <row r="341" spans="1:18" x14ac:dyDescent="0.25">
      <c r="A341" s="410">
        <v>6132</v>
      </c>
      <c r="B341" s="410" t="s">
        <v>177</v>
      </c>
      <c r="C341" s="410" t="s">
        <v>178</v>
      </c>
      <c r="D341" s="411">
        <v>67967</v>
      </c>
      <c r="E341" s="410">
        <v>1246128327</v>
      </c>
      <c r="F341" s="412">
        <v>45567</v>
      </c>
      <c r="G341" s="410"/>
      <c r="H341" s="410" t="s">
        <v>173</v>
      </c>
      <c r="I341" s="410" t="s">
        <v>174</v>
      </c>
      <c r="J341" s="410">
        <v>2712</v>
      </c>
      <c r="K341" s="412">
        <v>45327</v>
      </c>
      <c r="L341" s="410">
        <v>1010100</v>
      </c>
      <c r="M341" s="410" t="s">
        <v>35</v>
      </c>
      <c r="N341" s="410">
        <v>161</v>
      </c>
      <c r="O341" s="410" t="s">
        <v>161</v>
      </c>
      <c r="P341" s="410" t="s">
        <v>177</v>
      </c>
      <c r="Q341">
        <f t="shared" si="6"/>
        <v>569</v>
      </c>
      <c r="R341">
        <f>_xlfn.XLOOKUP(E341,'Data Additive'!E:E,'Data Additive'!E:E,0)</f>
        <v>0</v>
      </c>
    </row>
    <row r="342" spans="1:18" x14ac:dyDescent="0.25">
      <c r="A342" s="410">
        <v>6132</v>
      </c>
      <c r="B342" s="410" t="s">
        <v>177</v>
      </c>
      <c r="C342" s="410" t="s">
        <v>178</v>
      </c>
      <c r="D342" s="411">
        <v>77852.5</v>
      </c>
      <c r="E342" s="410">
        <v>1246128328</v>
      </c>
      <c r="F342" s="412">
        <v>45567</v>
      </c>
      <c r="G342" s="410"/>
      <c r="H342" s="410" t="s">
        <v>173</v>
      </c>
      <c r="I342" s="410" t="s">
        <v>174</v>
      </c>
      <c r="J342" s="410">
        <v>2713</v>
      </c>
      <c r="K342" s="412">
        <v>45327</v>
      </c>
      <c r="L342" s="410">
        <v>1010100</v>
      </c>
      <c r="M342" s="410" t="s">
        <v>35</v>
      </c>
      <c r="N342" s="410">
        <v>161</v>
      </c>
      <c r="O342" s="410" t="s">
        <v>161</v>
      </c>
      <c r="P342" s="410" t="s">
        <v>177</v>
      </c>
      <c r="Q342">
        <f t="shared" si="6"/>
        <v>569</v>
      </c>
      <c r="R342">
        <f>_xlfn.XLOOKUP(E342,'Data Additive'!E:E,'Data Additive'!E:E,0)</f>
        <v>0</v>
      </c>
    </row>
    <row r="343" spans="1:18" x14ac:dyDescent="0.25">
      <c r="A343" s="410">
        <v>6132</v>
      </c>
      <c r="B343" s="410" t="s">
        <v>177</v>
      </c>
      <c r="C343" s="410" t="s">
        <v>178</v>
      </c>
      <c r="D343" s="411">
        <v>41610.269999999997</v>
      </c>
      <c r="E343" s="410">
        <v>1246128682</v>
      </c>
      <c r="F343" s="412">
        <v>45604</v>
      </c>
      <c r="G343" s="410"/>
      <c r="H343" s="410" t="s">
        <v>173</v>
      </c>
      <c r="I343" s="410" t="s">
        <v>174</v>
      </c>
      <c r="J343" s="410">
        <v>2737</v>
      </c>
      <c r="K343" s="412">
        <v>45329</v>
      </c>
      <c r="L343" s="410">
        <v>1010100</v>
      </c>
      <c r="M343" s="410" t="s">
        <v>35</v>
      </c>
      <c r="N343" s="410">
        <v>161</v>
      </c>
      <c r="O343" s="410" t="s">
        <v>161</v>
      </c>
      <c r="P343" s="410" t="s">
        <v>177</v>
      </c>
      <c r="Q343">
        <f t="shared" si="6"/>
        <v>532</v>
      </c>
      <c r="R343">
        <f>_xlfn.XLOOKUP(E343,'Data Additive'!E:E,'Data Additive'!E:E,0)</f>
        <v>0</v>
      </c>
    </row>
    <row r="344" spans="1:18" x14ac:dyDescent="0.25">
      <c r="A344" s="410">
        <v>6132</v>
      </c>
      <c r="B344" s="410" t="s">
        <v>177</v>
      </c>
      <c r="C344" s="410" t="s">
        <v>178</v>
      </c>
      <c r="D344" s="411">
        <v>107254.39999999999</v>
      </c>
      <c r="E344" s="410">
        <v>1246126442</v>
      </c>
      <c r="F344" s="412">
        <v>45565</v>
      </c>
      <c r="G344" s="410"/>
      <c r="H344" s="410" t="s">
        <v>173</v>
      </c>
      <c r="I344" s="410" t="s">
        <v>174</v>
      </c>
      <c r="J344" s="410">
        <v>2587</v>
      </c>
      <c r="K344" s="412">
        <v>45315</v>
      </c>
      <c r="L344" s="410">
        <v>1010100</v>
      </c>
      <c r="M344" s="410" t="s">
        <v>35</v>
      </c>
      <c r="N344" s="410">
        <v>161</v>
      </c>
      <c r="O344" s="410" t="s">
        <v>161</v>
      </c>
      <c r="P344" s="410" t="s">
        <v>177</v>
      </c>
      <c r="Q344">
        <f t="shared" si="6"/>
        <v>571</v>
      </c>
      <c r="R344">
        <f>_xlfn.XLOOKUP(E344,'Data Additive'!E:E,'Data Additive'!E:E,0)</f>
        <v>0</v>
      </c>
    </row>
    <row r="345" spans="1:18" x14ac:dyDescent="0.25">
      <c r="A345" s="410">
        <v>6132</v>
      </c>
      <c r="B345" s="410" t="s">
        <v>177</v>
      </c>
      <c r="C345" s="410" t="s">
        <v>178</v>
      </c>
      <c r="D345" s="411">
        <v>56218.2</v>
      </c>
      <c r="E345" s="410">
        <v>1246128800</v>
      </c>
      <c r="F345" s="412">
        <v>45605</v>
      </c>
      <c r="G345" s="410"/>
      <c r="H345" s="410" t="s">
        <v>173</v>
      </c>
      <c r="I345" s="410" t="s">
        <v>174</v>
      </c>
      <c r="J345" s="410">
        <v>2745</v>
      </c>
      <c r="K345" s="412">
        <v>45330</v>
      </c>
      <c r="L345" s="410">
        <v>1010100</v>
      </c>
      <c r="M345" s="410" t="s">
        <v>35</v>
      </c>
      <c r="N345" s="410">
        <v>161</v>
      </c>
      <c r="O345" s="410" t="s">
        <v>161</v>
      </c>
      <c r="P345" s="410" t="s">
        <v>177</v>
      </c>
      <c r="Q345">
        <f t="shared" si="6"/>
        <v>531</v>
      </c>
      <c r="R345">
        <f>_xlfn.XLOOKUP(E345,'Data Additive'!E:E,'Data Additive'!E:E,0)</f>
        <v>0</v>
      </c>
    </row>
    <row r="346" spans="1:18" x14ac:dyDescent="0.25">
      <c r="A346" s="410">
        <v>6132</v>
      </c>
      <c r="B346" s="410" t="s">
        <v>177</v>
      </c>
      <c r="C346" s="410" t="s">
        <v>178</v>
      </c>
      <c r="D346" s="411">
        <v>24480.99</v>
      </c>
      <c r="E346" s="410">
        <v>1246127802</v>
      </c>
      <c r="F346" s="412">
        <v>45603</v>
      </c>
      <c r="G346" s="410"/>
      <c r="H346" s="410" t="s">
        <v>173</v>
      </c>
      <c r="I346" s="410" t="s">
        <v>174</v>
      </c>
      <c r="J346" s="410">
        <v>2674</v>
      </c>
      <c r="K346" s="412">
        <v>45323</v>
      </c>
      <c r="L346" s="410">
        <v>1010100</v>
      </c>
      <c r="M346" s="410" t="s">
        <v>35</v>
      </c>
      <c r="N346" s="410">
        <v>161</v>
      </c>
      <c r="O346" s="410" t="s">
        <v>161</v>
      </c>
      <c r="P346" s="410" t="s">
        <v>177</v>
      </c>
      <c r="Q346">
        <f t="shared" si="6"/>
        <v>533</v>
      </c>
      <c r="R346">
        <f>_xlfn.XLOOKUP(E346,'Data Additive'!E:E,'Data Additive'!E:E,0)</f>
        <v>0</v>
      </c>
    </row>
    <row r="347" spans="1:18" x14ac:dyDescent="0.25">
      <c r="A347" s="410">
        <v>6132</v>
      </c>
      <c r="B347" s="410" t="s">
        <v>177</v>
      </c>
      <c r="C347" s="410" t="s">
        <v>178</v>
      </c>
      <c r="D347" s="411">
        <v>87043.520000000004</v>
      </c>
      <c r="E347" s="410">
        <v>1246120531</v>
      </c>
      <c r="F347" s="412">
        <v>45559</v>
      </c>
      <c r="G347" s="410"/>
      <c r="H347" s="410" t="s">
        <v>173</v>
      </c>
      <c r="I347" s="410" t="s">
        <v>174</v>
      </c>
      <c r="J347" s="410">
        <v>2295</v>
      </c>
      <c r="K347" s="412">
        <v>45279</v>
      </c>
      <c r="L347" s="410">
        <v>1010100</v>
      </c>
      <c r="M347" s="410" t="s">
        <v>35</v>
      </c>
      <c r="N347" s="410">
        <v>161</v>
      </c>
      <c r="O347" s="410" t="s">
        <v>161</v>
      </c>
      <c r="P347" s="410" t="s">
        <v>177</v>
      </c>
      <c r="Q347">
        <f t="shared" si="6"/>
        <v>577</v>
      </c>
      <c r="R347">
        <f>_xlfn.XLOOKUP(E347,'Data Additive'!E:E,'Data Additive'!E:E,0)</f>
        <v>0</v>
      </c>
    </row>
    <row r="348" spans="1:18" x14ac:dyDescent="0.25">
      <c r="A348" s="410">
        <v>6132</v>
      </c>
      <c r="B348" s="410" t="s">
        <v>177</v>
      </c>
      <c r="C348" s="410" t="s">
        <v>178</v>
      </c>
      <c r="D348" s="411">
        <v>87504.97</v>
      </c>
      <c r="E348" s="410">
        <v>1246119910</v>
      </c>
      <c r="F348" s="412">
        <v>45555</v>
      </c>
      <c r="G348" s="410"/>
      <c r="H348" s="410" t="s">
        <v>173</v>
      </c>
      <c r="I348" s="410" t="s">
        <v>174</v>
      </c>
      <c r="J348" s="410">
        <v>2248</v>
      </c>
      <c r="K348" s="412">
        <v>45275</v>
      </c>
      <c r="L348" s="410">
        <v>1010100</v>
      </c>
      <c r="M348" s="410" t="s">
        <v>35</v>
      </c>
      <c r="N348" s="410">
        <v>161</v>
      </c>
      <c r="O348" s="410" t="s">
        <v>161</v>
      </c>
      <c r="P348" s="410" t="s">
        <v>177</v>
      </c>
      <c r="Q348">
        <f t="shared" si="6"/>
        <v>581</v>
      </c>
      <c r="R348">
        <f>_xlfn.XLOOKUP(E348,'Data Additive'!E:E,'Data Additive'!E:E,0)</f>
        <v>0</v>
      </c>
    </row>
    <row r="349" spans="1:18" x14ac:dyDescent="0.25">
      <c r="A349" s="410">
        <v>6132</v>
      </c>
      <c r="B349" s="410" t="s">
        <v>177</v>
      </c>
      <c r="C349" s="410" t="s">
        <v>178</v>
      </c>
      <c r="D349" s="411">
        <v>22997.32</v>
      </c>
      <c r="E349" s="410">
        <v>1246119982</v>
      </c>
      <c r="F349" s="412">
        <v>45515</v>
      </c>
      <c r="G349" s="410"/>
      <c r="H349" s="410" t="s">
        <v>173</v>
      </c>
      <c r="I349" s="410" t="s">
        <v>174</v>
      </c>
      <c r="J349" s="410">
        <v>2263</v>
      </c>
      <c r="K349" s="412">
        <v>45275</v>
      </c>
      <c r="L349" s="410">
        <v>1010100</v>
      </c>
      <c r="M349" s="410" t="s">
        <v>35</v>
      </c>
      <c r="N349" s="410">
        <v>161</v>
      </c>
      <c r="O349" s="410" t="s">
        <v>161</v>
      </c>
      <c r="P349" s="410" t="s">
        <v>177</v>
      </c>
      <c r="Q349">
        <f t="shared" si="6"/>
        <v>621</v>
      </c>
      <c r="R349">
        <f>_xlfn.XLOOKUP(E349,'Data Additive'!E:E,'Data Additive'!E:E,0)</f>
        <v>0</v>
      </c>
    </row>
    <row r="350" spans="1:18" x14ac:dyDescent="0.25">
      <c r="A350" s="410">
        <v>6132</v>
      </c>
      <c r="B350" s="410" t="s">
        <v>177</v>
      </c>
      <c r="C350" s="410" t="s">
        <v>178</v>
      </c>
      <c r="D350" s="411">
        <v>10860</v>
      </c>
      <c r="E350" s="410">
        <v>1246122169</v>
      </c>
      <c r="F350" s="412">
        <v>45469</v>
      </c>
      <c r="G350" s="410"/>
      <c r="H350" s="410" t="s">
        <v>173</v>
      </c>
      <c r="I350" s="410" t="s">
        <v>174</v>
      </c>
      <c r="J350" s="410">
        <v>2373</v>
      </c>
      <c r="K350" s="412">
        <v>45289</v>
      </c>
      <c r="L350" s="410">
        <v>1010100</v>
      </c>
      <c r="M350" s="410" t="s">
        <v>35</v>
      </c>
      <c r="N350" s="410">
        <v>161</v>
      </c>
      <c r="O350" s="410" t="s">
        <v>161</v>
      </c>
      <c r="P350" s="410" t="s">
        <v>177</v>
      </c>
      <c r="Q350">
        <f t="shared" si="6"/>
        <v>667</v>
      </c>
      <c r="R350">
        <f>_xlfn.XLOOKUP(E350,'Data Additive'!E:E,'Data Additive'!E:E,0)</f>
        <v>0</v>
      </c>
    </row>
    <row r="351" spans="1:18" x14ac:dyDescent="0.25">
      <c r="A351" s="410">
        <v>6132</v>
      </c>
      <c r="B351" s="410" t="s">
        <v>177</v>
      </c>
      <c r="C351" s="410" t="s">
        <v>178</v>
      </c>
      <c r="D351" s="411">
        <v>57205.5</v>
      </c>
      <c r="E351" s="410">
        <v>1246122168</v>
      </c>
      <c r="F351" s="412">
        <v>45557</v>
      </c>
      <c r="G351" s="410"/>
      <c r="H351" s="410" t="s">
        <v>173</v>
      </c>
      <c r="I351" s="410" t="s">
        <v>174</v>
      </c>
      <c r="J351" s="410">
        <v>2372</v>
      </c>
      <c r="K351" s="412">
        <v>45289</v>
      </c>
      <c r="L351" s="410">
        <v>1010100</v>
      </c>
      <c r="M351" s="410" t="s">
        <v>35</v>
      </c>
      <c r="N351" s="410">
        <v>161</v>
      </c>
      <c r="O351" s="410" t="s">
        <v>161</v>
      </c>
      <c r="P351" s="410" t="s">
        <v>177</v>
      </c>
      <c r="Q351">
        <f t="shared" si="6"/>
        <v>579</v>
      </c>
      <c r="R351">
        <f>_xlfn.XLOOKUP(E351,'Data Additive'!E:E,'Data Additive'!E:E,0)</f>
        <v>0</v>
      </c>
    </row>
    <row r="352" spans="1:18" x14ac:dyDescent="0.25">
      <c r="A352" s="410">
        <v>6132</v>
      </c>
      <c r="B352" s="410" t="s">
        <v>177</v>
      </c>
      <c r="C352" s="410" t="s">
        <v>178</v>
      </c>
      <c r="D352" s="411">
        <v>109750.39999999999</v>
      </c>
      <c r="E352" s="410">
        <v>1246117165</v>
      </c>
      <c r="F352" s="412">
        <v>45473</v>
      </c>
      <c r="G352" s="410"/>
      <c r="H352" s="410" t="s">
        <v>173</v>
      </c>
      <c r="I352" s="410" t="s">
        <v>174</v>
      </c>
      <c r="J352" s="410">
        <v>2128</v>
      </c>
      <c r="K352" s="412">
        <v>45259</v>
      </c>
      <c r="L352" s="410">
        <v>1010100</v>
      </c>
      <c r="M352" s="410" t="s">
        <v>35</v>
      </c>
      <c r="N352" s="410">
        <v>161</v>
      </c>
      <c r="O352" s="410" t="s">
        <v>161</v>
      </c>
      <c r="P352" s="410" t="s">
        <v>177</v>
      </c>
      <c r="Q352">
        <f t="shared" si="6"/>
        <v>663</v>
      </c>
      <c r="R352">
        <f>_xlfn.XLOOKUP(E352,'Data Additive'!E:E,'Data Additive'!E:E,0)</f>
        <v>0</v>
      </c>
    </row>
    <row r="353" spans="1:18" x14ac:dyDescent="0.25">
      <c r="A353" s="410">
        <v>6132</v>
      </c>
      <c r="B353" s="410" t="s">
        <v>177</v>
      </c>
      <c r="C353" s="410" t="s">
        <v>178</v>
      </c>
      <c r="D353" s="411">
        <v>111644.8</v>
      </c>
      <c r="E353" s="410">
        <v>1246117516</v>
      </c>
      <c r="F353" s="412">
        <v>45536</v>
      </c>
      <c r="G353" s="410"/>
      <c r="H353" s="410" t="s">
        <v>173</v>
      </c>
      <c r="I353" s="410" t="s">
        <v>174</v>
      </c>
      <c r="J353" s="410">
        <v>2140</v>
      </c>
      <c r="K353" s="412">
        <v>45261</v>
      </c>
      <c r="L353" s="410">
        <v>1010100</v>
      </c>
      <c r="M353" s="410" t="s">
        <v>35</v>
      </c>
      <c r="N353" s="410">
        <v>161</v>
      </c>
      <c r="O353" s="410" t="s">
        <v>161</v>
      </c>
      <c r="P353" s="410" t="s">
        <v>177</v>
      </c>
      <c r="Q353">
        <f t="shared" si="6"/>
        <v>600</v>
      </c>
      <c r="R353">
        <f>_xlfn.XLOOKUP(E353,'Data Additive'!E:E,'Data Additive'!E:E,0)</f>
        <v>0</v>
      </c>
    </row>
    <row r="354" spans="1:18" x14ac:dyDescent="0.25">
      <c r="A354" s="410">
        <v>6132</v>
      </c>
      <c r="B354" s="410" t="s">
        <v>177</v>
      </c>
      <c r="C354" s="410" t="s">
        <v>178</v>
      </c>
      <c r="D354" s="411">
        <v>136005.5</v>
      </c>
      <c r="E354" s="410">
        <v>1246120768</v>
      </c>
      <c r="F354" s="412">
        <v>45560</v>
      </c>
      <c r="G354" s="410"/>
      <c r="H354" s="410" t="s">
        <v>173</v>
      </c>
      <c r="I354" s="410" t="s">
        <v>174</v>
      </c>
      <c r="J354" s="410">
        <v>2299</v>
      </c>
      <c r="K354" s="412">
        <v>45280</v>
      </c>
      <c r="L354" s="410">
        <v>1010100</v>
      </c>
      <c r="M354" s="410" t="s">
        <v>35</v>
      </c>
      <c r="N354" s="410">
        <v>161</v>
      </c>
      <c r="O354" s="410" t="s">
        <v>161</v>
      </c>
      <c r="P354" s="410" t="s">
        <v>177</v>
      </c>
      <c r="Q354">
        <f t="shared" si="6"/>
        <v>576</v>
      </c>
      <c r="R354">
        <f>_xlfn.XLOOKUP(E354,'Data Additive'!E:E,'Data Additive'!E:E,0)</f>
        <v>0</v>
      </c>
    </row>
    <row r="355" spans="1:18" x14ac:dyDescent="0.25">
      <c r="A355" s="410">
        <v>6132</v>
      </c>
      <c r="B355" s="410" t="s">
        <v>177</v>
      </c>
      <c r="C355" s="410" t="s">
        <v>178</v>
      </c>
      <c r="D355" s="411">
        <v>136005.5</v>
      </c>
      <c r="E355" s="410">
        <v>1246124946</v>
      </c>
      <c r="F355" s="412">
        <v>45566</v>
      </c>
      <c r="G355" s="410"/>
      <c r="H355" s="410" t="s">
        <v>173</v>
      </c>
      <c r="I355" s="410" t="s">
        <v>174</v>
      </c>
      <c r="J355" s="410">
        <v>2498</v>
      </c>
      <c r="K355" s="412">
        <v>45306</v>
      </c>
      <c r="L355" s="410">
        <v>1010100</v>
      </c>
      <c r="M355" s="410" t="s">
        <v>35</v>
      </c>
      <c r="N355" s="410">
        <v>161</v>
      </c>
      <c r="O355" s="410" t="s">
        <v>161</v>
      </c>
      <c r="P355" s="410" t="s">
        <v>177</v>
      </c>
      <c r="Q355">
        <f t="shared" si="6"/>
        <v>570</v>
      </c>
      <c r="R355">
        <f>_xlfn.XLOOKUP(E355,'Data Additive'!E:E,'Data Additive'!E:E,0)</f>
        <v>0</v>
      </c>
    </row>
    <row r="356" spans="1:18" x14ac:dyDescent="0.25">
      <c r="A356" s="410">
        <v>6132</v>
      </c>
      <c r="B356" s="410" t="s">
        <v>177</v>
      </c>
      <c r="C356" s="410" t="s">
        <v>178</v>
      </c>
      <c r="D356" s="411">
        <v>87043.520000000004</v>
      </c>
      <c r="E356" s="410">
        <v>1246120099</v>
      </c>
      <c r="F356" s="412">
        <v>45558</v>
      </c>
      <c r="G356" s="410"/>
      <c r="H356" s="410" t="s">
        <v>173</v>
      </c>
      <c r="I356" s="410" t="s">
        <v>174</v>
      </c>
      <c r="J356" s="410">
        <v>2279</v>
      </c>
      <c r="K356" s="412">
        <v>45278</v>
      </c>
      <c r="L356" s="410">
        <v>1010100</v>
      </c>
      <c r="M356" s="410" t="s">
        <v>35</v>
      </c>
      <c r="N356" s="410">
        <v>161</v>
      </c>
      <c r="O356" s="410" t="s">
        <v>161</v>
      </c>
      <c r="P356" s="410" t="s">
        <v>177</v>
      </c>
      <c r="Q356">
        <f t="shared" si="6"/>
        <v>578</v>
      </c>
      <c r="R356">
        <f>_xlfn.XLOOKUP(E356,'Data Additive'!E:E,'Data Additive'!E:E,0)</f>
        <v>0</v>
      </c>
    </row>
    <row r="357" spans="1:18" x14ac:dyDescent="0.25">
      <c r="A357" s="410">
        <v>6132</v>
      </c>
      <c r="B357" s="410" t="s">
        <v>177</v>
      </c>
      <c r="C357" s="410" t="s">
        <v>178</v>
      </c>
      <c r="D357" s="411">
        <v>111465.88</v>
      </c>
      <c r="E357" s="410">
        <v>1246127801</v>
      </c>
      <c r="F357" s="412">
        <v>45603</v>
      </c>
      <c r="G357" s="410"/>
      <c r="H357" s="410" t="s">
        <v>173</v>
      </c>
      <c r="I357" s="410" t="s">
        <v>174</v>
      </c>
      <c r="J357" s="410">
        <v>2673</v>
      </c>
      <c r="K357" s="412">
        <v>45323</v>
      </c>
      <c r="L357" s="410">
        <v>1010100</v>
      </c>
      <c r="M357" s="410" t="s">
        <v>35</v>
      </c>
      <c r="N357" s="410">
        <v>161</v>
      </c>
      <c r="O357" s="410" t="s">
        <v>161</v>
      </c>
      <c r="P357" s="410" t="s">
        <v>177</v>
      </c>
      <c r="Q357">
        <f t="shared" si="6"/>
        <v>533</v>
      </c>
      <c r="R357">
        <f>_xlfn.XLOOKUP(E357,'Data Additive'!E:E,'Data Additive'!E:E,0)</f>
        <v>0</v>
      </c>
    </row>
    <row r="358" spans="1:18" x14ac:dyDescent="0.25">
      <c r="A358" s="410">
        <v>6132</v>
      </c>
      <c r="B358" s="410" t="s">
        <v>177</v>
      </c>
      <c r="C358" s="410" t="s">
        <v>178</v>
      </c>
      <c r="D358" s="411">
        <v>47937.4</v>
      </c>
      <c r="E358" s="410">
        <v>1246118354</v>
      </c>
      <c r="F358" s="412">
        <v>45541</v>
      </c>
      <c r="G358" s="410"/>
      <c r="H358" s="410" t="s">
        <v>173</v>
      </c>
      <c r="I358" s="410" t="s">
        <v>174</v>
      </c>
      <c r="J358" s="410">
        <v>2184</v>
      </c>
      <c r="K358" s="412">
        <v>45266</v>
      </c>
      <c r="L358" s="410">
        <v>1010100</v>
      </c>
      <c r="M358" s="410" t="s">
        <v>35</v>
      </c>
      <c r="N358" s="410">
        <v>161</v>
      </c>
      <c r="O358" s="410" t="s">
        <v>161</v>
      </c>
      <c r="P358" s="410" t="s">
        <v>177</v>
      </c>
      <c r="Q358">
        <f t="shared" si="6"/>
        <v>595</v>
      </c>
      <c r="R358">
        <f>_xlfn.XLOOKUP(E358,'Data Additive'!E:E,'Data Additive'!E:E,0)</f>
        <v>0</v>
      </c>
    </row>
    <row r="359" spans="1:18" x14ac:dyDescent="0.25">
      <c r="A359" s="410">
        <v>6132</v>
      </c>
      <c r="B359" s="410" t="s">
        <v>177</v>
      </c>
      <c r="C359" s="410" t="s">
        <v>178</v>
      </c>
      <c r="D359" s="411">
        <v>155705</v>
      </c>
      <c r="E359" s="410">
        <v>1246129974</v>
      </c>
      <c r="F359" s="412">
        <v>45568</v>
      </c>
      <c r="G359" s="410"/>
      <c r="H359" s="410" t="s">
        <v>173</v>
      </c>
      <c r="I359" s="410" t="s">
        <v>174</v>
      </c>
      <c r="J359" s="410">
        <v>2839</v>
      </c>
      <c r="K359" s="412">
        <v>45341</v>
      </c>
      <c r="L359" s="410">
        <v>1010100</v>
      </c>
      <c r="M359" s="410" t="s">
        <v>35</v>
      </c>
      <c r="N359" s="410">
        <v>161</v>
      </c>
      <c r="O359" s="410" t="s">
        <v>161</v>
      </c>
      <c r="P359" s="410" t="s">
        <v>177</v>
      </c>
      <c r="Q359">
        <f t="shared" si="6"/>
        <v>568</v>
      </c>
      <c r="R359">
        <f>_xlfn.XLOOKUP(E359,'Data Additive'!E:E,'Data Additive'!E:E,0)</f>
        <v>0</v>
      </c>
    </row>
    <row r="360" spans="1:18" x14ac:dyDescent="0.25">
      <c r="A360" s="410">
        <v>6132</v>
      </c>
      <c r="B360" s="410" t="s">
        <v>177</v>
      </c>
      <c r="C360" s="410" t="s">
        <v>178</v>
      </c>
      <c r="D360" s="411">
        <v>42163.65</v>
      </c>
      <c r="E360" s="410">
        <v>1246124200</v>
      </c>
      <c r="F360" s="412">
        <v>45569</v>
      </c>
      <c r="G360" s="410"/>
      <c r="H360" s="410" t="s">
        <v>173</v>
      </c>
      <c r="I360" s="410" t="s">
        <v>174</v>
      </c>
      <c r="J360" s="410">
        <v>2455</v>
      </c>
      <c r="K360" s="412">
        <v>45301</v>
      </c>
      <c r="L360" s="410">
        <v>1010100</v>
      </c>
      <c r="M360" s="410" t="s">
        <v>35</v>
      </c>
      <c r="N360" s="410">
        <v>161</v>
      </c>
      <c r="O360" s="410" t="s">
        <v>161</v>
      </c>
      <c r="P360" s="410" t="s">
        <v>177</v>
      </c>
      <c r="Q360">
        <f t="shared" si="6"/>
        <v>567</v>
      </c>
      <c r="R360">
        <f>_xlfn.XLOOKUP(E360,'Data Additive'!E:E,'Data Additive'!E:E,0)</f>
        <v>0</v>
      </c>
    </row>
    <row r="361" spans="1:18" x14ac:dyDescent="0.25">
      <c r="A361" s="410">
        <v>6132</v>
      </c>
      <c r="B361" s="410" t="s">
        <v>177</v>
      </c>
      <c r="C361" s="410" t="s">
        <v>178</v>
      </c>
      <c r="D361" s="411">
        <v>111065.60000000001</v>
      </c>
      <c r="E361" s="410">
        <v>1246114703</v>
      </c>
      <c r="F361" s="412">
        <v>45463</v>
      </c>
      <c r="G361" s="410"/>
      <c r="H361" s="410" t="s">
        <v>173</v>
      </c>
      <c r="I361" s="410" t="s">
        <v>174</v>
      </c>
      <c r="J361" s="410">
        <v>1937</v>
      </c>
      <c r="K361" s="412">
        <v>45241</v>
      </c>
      <c r="L361" s="410">
        <v>1010100</v>
      </c>
      <c r="M361" s="410" t="s">
        <v>35</v>
      </c>
      <c r="N361" s="410">
        <v>161</v>
      </c>
      <c r="O361" s="410" t="s">
        <v>161</v>
      </c>
      <c r="P361" s="410" t="s">
        <v>177</v>
      </c>
      <c r="Q361">
        <f t="shared" si="6"/>
        <v>673</v>
      </c>
      <c r="R361">
        <f>_xlfn.XLOOKUP(E361,'Data Additive'!E:E,'Data Additive'!E:E,0)</f>
        <v>0</v>
      </c>
    </row>
    <row r="362" spans="1:18" x14ac:dyDescent="0.25">
      <c r="A362" s="410">
        <v>6132</v>
      </c>
      <c r="B362" s="410" t="s">
        <v>177</v>
      </c>
      <c r="C362" s="410" t="s">
        <v>178</v>
      </c>
      <c r="D362" s="411">
        <v>27201.1</v>
      </c>
      <c r="E362" s="410">
        <v>1246125717</v>
      </c>
      <c r="F362" s="412">
        <v>45566</v>
      </c>
      <c r="G362" s="410"/>
      <c r="H362" s="410" t="s">
        <v>173</v>
      </c>
      <c r="I362" s="410" t="s">
        <v>174</v>
      </c>
      <c r="J362" s="410">
        <v>2542</v>
      </c>
      <c r="K362" s="412">
        <v>45310</v>
      </c>
      <c r="L362" s="410">
        <v>1010100</v>
      </c>
      <c r="M362" s="410" t="s">
        <v>35</v>
      </c>
      <c r="N362" s="410">
        <v>161</v>
      </c>
      <c r="O362" s="410" t="s">
        <v>161</v>
      </c>
      <c r="P362" s="410" t="s">
        <v>177</v>
      </c>
      <c r="Q362">
        <f t="shared" si="6"/>
        <v>570</v>
      </c>
      <c r="R362">
        <f>_xlfn.XLOOKUP(E362,'Data Additive'!E:E,'Data Additive'!E:E,0)</f>
        <v>0</v>
      </c>
    </row>
    <row r="363" spans="1:18" x14ac:dyDescent="0.25">
      <c r="A363" s="410">
        <v>6132</v>
      </c>
      <c r="B363" s="410" t="s">
        <v>177</v>
      </c>
      <c r="C363" s="410" t="s">
        <v>178</v>
      </c>
      <c r="D363" s="411">
        <v>136005.5</v>
      </c>
      <c r="E363" s="410">
        <v>1246124718</v>
      </c>
      <c r="F363" s="412">
        <v>45563</v>
      </c>
      <c r="G363" s="410"/>
      <c r="H363" s="410" t="s">
        <v>173</v>
      </c>
      <c r="I363" s="410" t="s">
        <v>174</v>
      </c>
      <c r="J363" s="410">
        <v>2489</v>
      </c>
      <c r="K363" s="412">
        <v>45303</v>
      </c>
      <c r="L363" s="410">
        <v>1010100</v>
      </c>
      <c r="M363" s="410" t="s">
        <v>35</v>
      </c>
      <c r="N363" s="410">
        <v>161</v>
      </c>
      <c r="O363" s="410" t="s">
        <v>161</v>
      </c>
      <c r="P363" s="410" t="s">
        <v>177</v>
      </c>
      <c r="Q363">
        <f t="shared" si="6"/>
        <v>573</v>
      </c>
      <c r="R363">
        <f>_xlfn.XLOOKUP(E363,'Data Additive'!E:E,'Data Additive'!E:E,0)</f>
        <v>0</v>
      </c>
    </row>
    <row r="364" spans="1:18" x14ac:dyDescent="0.25">
      <c r="A364" s="410">
        <v>6132</v>
      </c>
      <c r="B364" s="410" t="s">
        <v>177</v>
      </c>
      <c r="C364" s="410" t="s">
        <v>178</v>
      </c>
      <c r="D364" s="411">
        <v>45093</v>
      </c>
      <c r="E364" s="410">
        <v>1246128683</v>
      </c>
      <c r="F364" s="412">
        <v>45604</v>
      </c>
      <c r="G364" s="410"/>
      <c r="H364" s="410" t="s">
        <v>173</v>
      </c>
      <c r="I364" s="410" t="s">
        <v>174</v>
      </c>
      <c r="J364" s="410">
        <v>2738</v>
      </c>
      <c r="K364" s="412">
        <v>45329</v>
      </c>
      <c r="L364" s="410">
        <v>1010100</v>
      </c>
      <c r="M364" s="410" t="s">
        <v>35</v>
      </c>
      <c r="N364" s="410">
        <v>161</v>
      </c>
      <c r="O364" s="410" t="s">
        <v>161</v>
      </c>
      <c r="P364" s="410" t="s">
        <v>177</v>
      </c>
      <c r="Q364">
        <f t="shared" si="6"/>
        <v>532</v>
      </c>
      <c r="R364">
        <f>_xlfn.XLOOKUP(E364,'Data Additive'!E:E,'Data Additive'!E:E,0)</f>
        <v>0</v>
      </c>
    </row>
    <row r="365" spans="1:18" x14ac:dyDescent="0.25">
      <c r="A365" s="410">
        <v>6132</v>
      </c>
      <c r="B365" s="410" t="s">
        <v>177</v>
      </c>
      <c r="C365" s="410" t="s">
        <v>178</v>
      </c>
      <c r="D365" s="411">
        <v>82986.649999999994</v>
      </c>
      <c r="E365" s="410">
        <v>1246113430</v>
      </c>
      <c r="F365" s="412">
        <v>45476</v>
      </c>
      <c r="G365" s="410"/>
      <c r="H365" s="410" t="s">
        <v>173</v>
      </c>
      <c r="I365" s="410" t="s">
        <v>174</v>
      </c>
      <c r="J365" s="410">
        <v>1851</v>
      </c>
      <c r="K365" s="412">
        <v>45236</v>
      </c>
      <c r="L365" s="410">
        <v>1010100</v>
      </c>
      <c r="M365" s="410" t="s">
        <v>35</v>
      </c>
      <c r="N365" s="410">
        <v>161</v>
      </c>
      <c r="O365" s="410" t="s">
        <v>161</v>
      </c>
      <c r="P365" s="410" t="s">
        <v>177</v>
      </c>
      <c r="Q365">
        <f t="shared" si="6"/>
        <v>660</v>
      </c>
      <c r="R365">
        <f>_xlfn.XLOOKUP(E365,'Data Additive'!E:E,'Data Additive'!E:E,0)</f>
        <v>0</v>
      </c>
    </row>
    <row r="366" spans="1:18" x14ac:dyDescent="0.25">
      <c r="A366" s="410">
        <v>6132</v>
      </c>
      <c r="B366" s="410" t="s">
        <v>177</v>
      </c>
      <c r="C366" s="410" t="s">
        <v>178</v>
      </c>
      <c r="D366" s="411">
        <v>174445</v>
      </c>
      <c r="E366" s="410">
        <v>1246116577</v>
      </c>
      <c r="F366" s="412">
        <v>45468</v>
      </c>
      <c r="G366" s="410"/>
      <c r="H366" s="410" t="s">
        <v>173</v>
      </c>
      <c r="I366" s="410" t="s">
        <v>174</v>
      </c>
      <c r="J366" s="410">
        <v>2091</v>
      </c>
      <c r="K366" s="412">
        <v>45254</v>
      </c>
      <c r="L366" s="410">
        <v>1010100</v>
      </c>
      <c r="M366" s="410" t="s">
        <v>35</v>
      </c>
      <c r="N366" s="410">
        <v>161</v>
      </c>
      <c r="O366" s="410" t="s">
        <v>161</v>
      </c>
      <c r="P366" s="410" t="s">
        <v>177</v>
      </c>
      <c r="Q366">
        <f t="shared" si="6"/>
        <v>668</v>
      </c>
      <c r="R366">
        <f>_xlfn.XLOOKUP(E366,'Data Additive'!E:E,'Data Additive'!E:E,0)</f>
        <v>0</v>
      </c>
    </row>
    <row r="367" spans="1:18" x14ac:dyDescent="0.25">
      <c r="A367" s="410">
        <v>6132</v>
      </c>
      <c r="B367" s="410" t="s">
        <v>177</v>
      </c>
      <c r="C367" s="410" t="s">
        <v>178</v>
      </c>
      <c r="D367" s="411">
        <v>158956.25</v>
      </c>
      <c r="E367" s="410">
        <v>1246104181</v>
      </c>
      <c r="F367" s="412">
        <v>45444</v>
      </c>
      <c r="G367" s="410"/>
      <c r="H367" s="410" t="s">
        <v>173</v>
      </c>
      <c r="I367" s="410" t="s">
        <v>174</v>
      </c>
      <c r="J367" s="410">
        <v>1180</v>
      </c>
      <c r="K367" s="412">
        <v>45184</v>
      </c>
      <c r="L367" s="410">
        <v>1010100</v>
      </c>
      <c r="M367" s="410" t="s">
        <v>35</v>
      </c>
      <c r="N367" s="410">
        <v>161</v>
      </c>
      <c r="O367" s="410" t="s">
        <v>161</v>
      </c>
      <c r="P367" s="410" t="s">
        <v>177</v>
      </c>
      <c r="Q367">
        <f t="shared" si="6"/>
        <v>692</v>
      </c>
      <c r="R367">
        <f>_xlfn.XLOOKUP(E367,'Data Additive'!E:E,'Data Additive'!E:E,0)</f>
        <v>0</v>
      </c>
    </row>
    <row r="368" spans="1:18" x14ac:dyDescent="0.25">
      <c r="A368" s="410">
        <v>6132</v>
      </c>
      <c r="B368" s="410" t="s">
        <v>177</v>
      </c>
      <c r="C368" s="410" t="s">
        <v>178</v>
      </c>
      <c r="D368" s="411">
        <v>171662.49999999997</v>
      </c>
      <c r="E368" s="410">
        <v>1246112815</v>
      </c>
      <c r="F368" s="412">
        <v>45471</v>
      </c>
      <c r="G368" s="410"/>
      <c r="H368" s="410" t="s">
        <v>173</v>
      </c>
      <c r="I368" s="410" t="s">
        <v>174</v>
      </c>
      <c r="J368" s="410">
        <v>1799</v>
      </c>
      <c r="K368" s="412">
        <v>45231</v>
      </c>
      <c r="L368" s="410">
        <v>1010100</v>
      </c>
      <c r="M368" s="410" t="s">
        <v>35</v>
      </c>
      <c r="N368" s="410">
        <v>161</v>
      </c>
      <c r="O368" s="410" t="s">
        <v>161</v>
      </c>
      <c r="P368" s="410" t="s">
        <v>177</v>
      </c>
      <c r="Q368">
        <f t="shared" si="6"/>
        <v>665</v>
      </c>
      <c r="R368">
        <f>_xlfn.XLOOKUP(E368,'Data Additive'!E:E,'Data Additive'!E:E,0)</f>
        <v>0</v>
      </c>
    </row>
    <row r="369" spans="1:18" x14ac:dyDescent="0.25">
      <c r="A369" s="410">
        <v>6132</v>
      </c>
      <c r="B369" s="410" t="s">
        <v>177</v>
      </c>
      <c r="C369" s="410" t="s">
        <v>178</v>
      </c>
      <c r="D369" s="411">
        <v>174610</v>
      </c>
      <c r="E369" s="410">
        <v>1246113736</v>
      </c>
      <c r="F369" s="412">
        <v>45478</v>
      </c>
      <c r="G369" s="410"/>
      <c r="H369" s="410" t="s">
        <v>173</v>
      </c>
      <c r="I369" s="410" t="s">
        <v>174</v>
      </c>
      <c r="J369" s="410">
        <v>1878</v>
      </c>
      <c r="K369" s="412">
        <v>45238</v>
      </c>
      <c r="L369" s="410">
        <v>1010100</v>
      </c>
      <c r="M369" s="410" t="s">
        <v>35</v>
      </c>
      <c r="N369" s="410">
        <v>161</v>
      </c>
      <c r="O369" s="410" t="s">
        <v>161</v>
      </c>
      <c r="P369" s="410" t="s">
        <v>177</v>
      </c>
      <c r="Q369">
        <f t="shared" si="6"/>
        <v>658</v>
      </c>
      <c r="R369">
        <f>_xlfn.XLOOKUP(E369,'Data Additive'!E:E,'Data Additive'!E:E,0)</f>
        <v>0</v>
      </c>
    </row>
    <row r="370" spans="1:18" x14ac:dyDescent="0.25">
      <c r="A370" s="410">
        <v>6132</v>
      </c>
      <c r="B370" s="410" t="s">
        <v>177</v>
      </c>
      <c r="C370" s="410" t="s">
        <v>178</v>
      </c>
      <c r="D370" s="411">
        <v>87840</v>
      </c>
      <c r="E370" s="410">
        <v>1246111212</v>
      </c>
      <c r="F370" s="412">
        <v>45464</v>
      </c>
      <c r="G370" s="410"/>
      <c r="H370" s="410" t="s">
        <v>173</v>
      </c>
      <c r="I370" s="410" t="s">
        <v>174</v>
      </c>
      <c r="J370" s="410">
        <v>1720</v>
      </c>
      <c r="K370" s="412">
        <v>45224</v>
      </c>
      <c r="L370" s="410">
        <v>1010100</v>
      </c>
      <c r="M370" s="410" t="s">
        <v>35</v>
      </c>
      <c r="N370" s="410">
        <v>161</v>
      </c>
      <c r="O370" s="410" t="s">
        <v>161</v>
      </c>
      <c r="P370" s="410" t="s">
        <v>177</v>
      </c>
      <c r="Q370">
        <f t="shared" ref="Q370:Q403" si="7">$R$1-F370</f>
        <v>672</v>
      </c>
      <c r="R370">
        <f>_xlfn.XLOOKUP(E370,'Data Additive'!E:E,'Data Additive'!E:E,0)</f>
        <v>0</v>
      </c>
    </row>
    <row r="371" spans="1:18" x14ac:dyDescent="0.25">
      <c r="A371" s="410">
        <v>6132</v>
      </c>
      <c r="B371" s="410" t="s">
        <v>177</v>
      </c>
      <c r="C371" s="410" t="s">
        <v>178</v>
      </c>
      <c r="D371" s="411">
        <v>23787.68</v>
      </c>
      <c r="E371" s="410">
        <v>1246115170</v>
      </c>
      <c r="F371" s="412">
        <v>45466</v>
      </c>
      <c r="G371" s="410"/>
      <c r="H371" s="410" t="s">
        <v>173</v>
      </c>
      <c r="I371" s="410" t="s">
        <v>174</v>
      </c>
      <c r="J371" s="410">
        <v>1975</v>
      </c>
      <c r="K371" s="412">
        <v>45244</v>
      </c>
      <c r="L371" s="410">
        <v>1010100</v>
      </c>
      <c r="M371" s="410" t="s">
        <v>35</v>
      </c>
      <c r="N371" s="410">
        <v>161</v>
      </c>
      <c r="O371" s="410" t="s">
        <v>161</v>
      </c>
      <c r="P371" s="410" t="s">
        <v>177</v>
      </c>
      <c r="Q371">
        <f t="shared" si="7"/>
        <v>670</v>
      </c>
      <c r="R371">
        <f>_xlfn.XLOOKUP(E371,'Data Additive'!E:E,'Data Additive'!E:E,0)</f>
        <v>0</v>
      </c>
    </row>
    <row r="372" spans="1:18" x14ac:dyDescent="0.25">
      <c r="A372" s="410">
        <v>6132</v>
      </c>
      <c r="B372" s="410" t="s">
        <v>177</v>
      </c>
      <c r="C372" s="410" t="s">
        <v>178</v>
      </c>
      <c r="D372" s="411">
        <v>30381.599999999999</v>
      </c>
      <c r="E372" s="410">
        <v>1246115171</v>
      </c>
      <c r="F372" s="412">
        <v>45466</v>
      </c>
      <c r="G372" s="410"/>
      <c r="H372" s="410" t="s">
        <v>173</v>
      </c>
      <c r="I372" s="410" t="s">
        <v>174</v>
      </c>
      <c r="J372" s="410">
        <v>1976</v>
      </c>
      <c r="K372" s="412">
        <v>45244</v>
      </c>
      <c r="L372" s="410">
        <v>1010100</v>
      </c>
      <c r="M372" s="410" t="s">
        <v>35</v>
      </c>
      <c r="N372" s="410">
        <v>161</v>
      </c>
      <c r="O372" s="410" t="s">
        <v>161</v>
      </c>
      <c r="P372" s="410" t="s">
        <v>177</v>
      </c>
      <c r="Q372">
        <f t="shared" si="7"/>
        <v>670</v>
      </c>
      <c r="R372">
        <f>_xlfn.XLOOKUP(E372,'Data Additive'!E:E,'Data Additive'!E:E,0)</f>
        <v>0</v>
      </c>
    </row>
    <row r="373" spans="1:18" x14ac:dyDescent="0.25">
      <c r="A373" s="410">
        <v>6132</v>
      </c>
      <c r="B373" s="410" t="s">
        <v>177</v>
      </c>
      <c r="C373" s="410" t="s">
        <v>178</v>
      </c>
      <c r="D373" s="411">
        <v>107022</v>
      </c>
      <c r="E373" s="410">
        <v>1246110109</v>
      </c>
      <c r="F373" s="412">
        <v>45439</v>
      </c>
      <c r="G373" s="410"/>
      <c r="H373" s="410" t="s">
        <v>173</v>
      </c>
      <c r="I373" s="410" t="s">
        <v>174</v>
      </c>
      <c r="J373" s="410">
        <v>347</v>
      </c>
      <c r="K373" s="412">
        <v>45217</v>
      </c>
      <c r="L373" s="410">
        <v>1010100</v>
      </c>
      <c r="M373" s="410" t="s">
        <v>35</v>
      </c>
      <c r="N373" s="410">
        <v>161</v>
      </c>
      <c r="O373" s="410" t="s">
        <v>161</v>
      </c>
      <c r="P373" s="410" t="s">
        <v>177</v>
      </c>
      <c r="Q373">
        <f t="shared" si="7"/>
        <v>697</v>
      </c>
      <c r="R373">
        <f>_xlfn.XLOOKUP(E373,'Data Additive'!E:E,'Data Additive'!E:E,0)</f>
        <v>0</v>
      </c>
    </row>
    <row r="374" spans="1:18" x14ac:dyDescent="0.25">
      <c r="A374" s="410">
        <v>6132</v>
      </c>
      <c r="B374" s="410" t="s">
        <v>177</v>
      </c>
      <c r="C374" s="410" t="s">
        <v>178</v>
      </c>
      <c r="D374" s="411">
        <v>83822.5</v>
      </c>
      <c r="E374" s="410">
        <v>1246111211</v>
      </c>
      <c r="F374" s="412">
        <v>45464</v>
      </c>
      <c r="G374" s="410"/>
      <c r="H374" s="410" t="s">
        <v>173</v>
      </c>
      <c r="I374" s="410" t="s">
        <v>174</v>
      </c>
      <c r="J374" s="410">
        <v>1719</v>
      </c>
      <c r="K374" s="412">
        <v>45224</v>
      </c>
      <c r="L374" s="410">
        <v>1010100</v>
      </c>
      <c r="M374" s="410" t="s">
        <v>35</v>
      </c>
      <c r="N374" s="410">
        <v>161</v>
      </c>
      <c r="O374" s="410" t="s">
        <v>161</v>
      </c>
      <c r="P374" s="410" t="s">
        <v>177</v>
      </c>
      <c r="Q374">
        <f t="shared" si="7"/>
        <v>672</v>
      </c>
      <c r="R374">
        <f>_xlfn.XLOOKUP(E374,'Data Additive'!E:E,'Data Additive'!E:E,0)</f>
        <v>0</v>
      </c>
    </row>
    <row r="375" spans="1:18" x14ac:dyDescent="0.25">
      <c r="A375" s="410">
        <v>6132</v>
      </c>
      <c r="B375" s="410" t="s">
        <v>177</v>
      </c>
      <c r="C375" s="410" t="s">
        <v>178</v>
      </c>
      <c r="D375" s="411">
        <v>169458.49999999997</v>
      </c>
      <c r="E375" s="410">
        <v>1246110264</v>
      </c>
      <c r="F375" s="412">
        <v>45440</v>
      </c>
      <c r="G375" s="410"/>
      <c r="H375" s="410" t="s">
        <v>173</v>
      </c>
      <c r="I375" s="410" t="s">
        <v>174</v>
      </c>
      <c r="J375" s="410">
        <v>1662</v>
      </c>
      <c r="K375" s="412">
        <v>45218</v>
      </c>
      <c r="L375" s="410">
        <v>1010100</v>
      </c>
      <c r="M375" s="410" t="s">
        <v>35</v>
      </c>
      <c r="N375" s="410">
        <v>161</v>
      </c>
      <c r="O375" s="410" t="s">
        <v>161</v>
      </c>
      <c r="P375" s="410" t="s">
        <v>177</v>
      </c>
      <c r="Q375">
        <f t="shared" si="7"/>
        <v>696</v>
      </c>
      <c r="R375">
        <f>_xlfn.XLOOKUP(E375,'Data Additive'!E:E,'Data Additive'!E:E,0)</f>
        <v>0</v>
      </c>
    </row>
    <row r="376" spans="1:18" x14ac:dyDescent="0.25">
      <c r="A376" s="410">
        <v>6132</v>
      </c>
      <c r="B376" s="410" t="s">
        <v>177</v>
      </c>
      <c r="C376" s="410" t="s">
        <v>178</v>
      </c>
      <c r="D376" s="411">
        <v>135934</v>
      </c>
      <c r="E376" s="410">
        <v>1246131961</v>
      </c>
      <c r="F376" s="412">
        <v>45566</v>
      </c>
      <c r="G376" s="410"/>
      <c r="H376" s="410" t="s">
        <v>173</v>
      </c>
      <c r="I376" s="410" t="s">
        <v>174</v>
      </c>
      <c r="J376" s="410">
        <v>2969</v>
      </c>
      <c r="K376" s="412">
        <v>45352</v>
      </c>
      <c r="L376" s="410">
        <v>1010100</v>
      </c>
      <c r="M376" s="410" t="s">
        <v>35</v>
      </c>
      <c r="N376" s="410">
        <v>161</v>
      </c>
      <c r="O376" s="410" t="s">
        <v>161</v>
      </c>
      <c r="P376" s="410" t="s">
        <v>177</v>
      </c>
      <c r="Q376">
        <f t="shared" si="7"/>
        <v>570</v>
      </c>
      <c r="R376">
        <f>_xlfn.XLOOKUP(E376,'Data Additive'!E:E,'Data Additive'!E:E,0)</f>
        <v>0</v>
      </c>
    </row>
    <row r="377" spans="1:18" x14ac:dyDescent="0.25">
      <c r="A377" s="410">
        <v>6132</v>
      </c>
      <c r="B377" s="410" t="s">
        <v>177</v>
      </c>
      <c r="C377" s="410" t="s">
        <v>178</v>
      </c>
      <c r="D377" s="411">
        <v>108747.2</v>
      </c>
      <c r="E377" s="410">
        <v>1246132951</v>
      </c>
      <c r="F377" s="412">
        <v>45572</v>
      </c>
      <c r="G377" s="410"/>
      <c r="H377" s="410" t="s">
        <v>173</v>
      </c>
      <c r="I377" s="410" t="s">
        <v>174</v>
      </c>
      <c r="J377" s="410">
        <v>3007</v>
      </c>
      <c r="K377" s="412">
        <v>45358</v>
      </c>
      <c r="L377" s="410">
        <v>1010100</v>
      </c>
      <c r="M377" s="410" t="s">
        <v>35</v>
      </c>
      <c r="N377" s="410">
        <v>161</v>
      </c>
      <c r="O377" s="410" t="s">
        <v>161</v>
      </c>
      <c r="P377" s="410" t="s">
        <v>177</v>
      </c>
      <c r="Q377">
        <f t="shared" si="7"/>
        <v>564</v>
      </c>
      <c r="R377">
        <f>_xlfn.XLOOKUP(E377,'Data Additive'!E:E,'Data Additive'!E:E,0)</f>
        <v>0</v>
      </c>
    </row>
    <row r="378" spans="1:18" x14ac:dyDescent="0.25">
      <c r="A378" s="410">
        <v>6132</v>
      </c>
      <c r="B378" s="410" t="s">
        <v>177</v>
      </c>
      <c r="C378" s="410" t="s">
        <v>178</v>
      </c>
      <c r="D378" s="411">
        <v>86997.759999999995</v>
      </c>
      <c r="E378" s="410">
        <v>1246131102</v>
      </c>
      <c r="F378" s="412">
        <v>45570</v>
      </c>
      <c r="G378" s="410"/>
      <c r="H378" s="410" t="s">
        <v>173</v>
      </c>
      <c r="I378" s="410" t="s">
        <v>174</v>
      </c>
      <c r="J378" s="410">
        <v>2917</v>
      </c>
      <c r="K378" s="412">
        <v>45348</v>
      </c>
      <c r="L378" s="410">
        <v>1010100</v>
      </c>
      <c r="M378" s="410" t="s">
        <v>35</v>
      </c>
      <c r="N378" s="410">
        <v>161</v>
      </c>
      <c r="O378" s="410" t="s">
        <v>161</v>
      </c>
      <c r="P378" s="410" t="s">
        <v>177</v>
      </c>
      <c r="Q378">
        <f t="shared" si="7"/>
        <v>566</v>
      </c>
      <c r="R378">
        <f>_xlfn.XLOOKUP(E378,'Data Additive'!E:E,'Data Additive'!E:E,0)</f>
        <v>0</v>
      </c>
    </row>
    <row r="379" spans="1:18" x14ac:dyDescent="0.25">
      <c r="A379" s="410">
        <v>6132</v>
      </c>
      <c r="B379" s="410" t="s">
        <v>177</v>
      </c>
      <c r="C379" s="410" t="s">
        <v>178</v>
      </c>
      <c r="D379" s="411">
        <v>29450.6</v>
      </c>
      <c r="E379" s="410">
        <v>1246146931</v>
      </c>
      <c r="F379" s="412">
        <v>45584</v>
      </c>
      <c r="G379" s="410"/>
      <c r="H379" s="410" t="s">
        <v>173</v>
      </c>
      <c r="I379" s="410" t="s">
        <v>174</v>
      </c>
      <c r="J379" s="410">
        <v>3632</v>
      </c>
      <c r="K379" s="412">
        <v>45434</v>
      </c>
      <c r="L379" s="410">
        <v>1010100</v>
      </c>
      <c r="M379" s="410" t="s">
        <v>35</v>
      </c>
      <c r="N379" s="410">
        <v>161</v>
      </c>
      <c r="O379" s="410" t="s">
        <v>161</v>
      </c>
      <c r="P379" s="410" t="s">
        <v>177</v>
      </c>
      <c r="Q379">
        <f t="shared" si="7"/>
        <v>552</v>
      </c>
      <c r="R379">
        <f>_xlfn.XLOOKUP(E379,'Data Additive'!E:E,'Data Additive'!E:E,0)</f>
        <v>0</v>
      </c>
    </row>
    <row r="380" spans="1:18" x14ac:dyDescent="0.25">
      <c r="A380" s="410">
        <v>6132</v>
      </c>
      <c r="B380" s="410" t="s">
        <v>177</v>
      </c>
      <c r="C380" s="410" t="s">
        <v>178</v>
      </c>
      <c r="D380" s="411">
        <v>38061.519999999997</v>
      </c>
      <c r="E380" s="410">
        <v>1246146932</v>
      </c>
      <c r="F380" s="412">
        <v>45569</v>
      </c>
      <c r="G380" s="410"/>
      <c r="H380" s="410" t="s">
        <v>173</v>
      </c>
      <c r="I380" s="410" t="s">
        <v>174</v>
      </c>
      <c r="J380" s="410">
        <v>3633</v>
      </c>
      <c r="K380" s="412">
        <v>45434</v>
      </c>
      <c r="L380" s="410">
        <v>1010100</v>
      </c>
      <c r="M380" s="410" t="s">
        <v>35</v>
      </c>
      <c r="N380" s="410">
        <v>161</v>
      </c>
      <c r="O380" s="410" t="s">
        <v>161</v>
      </c>
      <c r="P380" s="410" t="s">
        <v>177</v>
      </c>
      <c r="Q380">
        <f t="shared" si="7"/>
        <v>567</v>
      </c>
      <c r="R380">
        <f>_xlfn.XLOOKUP(E380,'Data Additive'!E:E,'Data Additive'!E:E,0)</f>
        <v>0</v>
      </c>
    </row>
    <row r="381" spans="1:18" x14ac:dyDescent="0.25">
      <c r="A381" s="410">
        <v>6132</v>
      </c>
      <c r="B381" s="410" t="s">
        <v>177</v>
      </c>
      <c r="C381" s="410" t="s">
        <v>178</v>
      </c>
      <c r="D381" s="411">
        <v>8760</v>
      </c>
      <c r="E381" s="410">
        <v>1246146933</v>
      </c>
      <c r="F381" s="412">
        <v>45462</v>
      </c>
      <c r="G381" s="410"/>
      <c r="H381" s="410" t="s">
        <v>173</v>
      </c>
      <c r="I381" s="410" t="s">
        <v>174</v>
      </c>
      <c r="J381" s="410">
        <v>3634</v>
      </c>
      <c r="K381" s="412">
        <v>45434</v>
      </c>
      <c r="L381" s="410">
        <v>1010100</v>
      </c>
      <c r="M381" s="410" t="s">
        <v>35</v>
      </c>
      <c r="N381" s="410">
        <v>161</v>
      </c>
      <c r="O381" s="410" t="s">
        <v>161</v>
      </c>
      <c r="P381" s="410" t="s">
        <v>177</v>
      </c>
      <c r="Q381">
        <f t="shared" si="7"/>
        <v>674</v>
      </c>
      <c r="R381">
        <f>_xlfn.XLOOKUP(E381,'Data Additive'!E:E,'Data Additive'!E:E,0)</f>
        <v>0</v>
      </c>
    </row>
    <row r="382" spans="1:18" x14ac:dyDescent="0.25">
      <c r="A382" s="410">
        <v>6132</v>
      </c>
      <c r="B382" s="410" t="s">
        <v>177</v>
      </c>
      <c r="C382" s="410" t="s">
        <v>178</v>
      </c>
      <c r="D382" s="411">
        <v>14851.85</v>
      </c>
      <c r="E382" s="410">
        <v>1246132474</v>
      </c>
      <c r="F382" s="412">
        <v>45570</v>
      </c>
      <c r="G382" s="410"/>
      <c r="H382" s="410" t="s">
        <v>173</v>
      </c>
      <c r="I382" s="410" t="s">
        <v>174</v>
      </c>
      <c r="J382" s="410">
        <v>2989</v>
      </c>
      <c r="K382" s="412">
        <v>45356</v>
      </c>
      <c r="L382" s="410">
        <v>1010100</v>
      </c>
      <c r="M382" s="410" t="s">
        <v>35</v>
      </c>
      <c r="N382" s="410">
        <v>161</v>
      </c>
      <c r="O382" s="410" t="s">
        <v>161</v>
      </c>
      <c r="P382" s="410" t="s">
        <v>177</v>
      </c>
      <c r="Q382">
        <f t="shared" si="7"/>
        <v>566</v>
      </c>
      <c r="R382">
        <f>_xlfn.XLOOKUP(E382,'Data Additive'!E:E,'Data Additive'!E:E,0)</f>
        <v>0</v>
      </c>
    </row>
    <row r="383" spans="1:18" x14ac:dyDescent="0.25">
      <c r="A383" s="410">
        <v>6132</v>
      </c>
      <c r="B383" s="410" t="s">
        <v>177</v>
      </c>
      <c r="C383" s="410" t="s">
        <v>178</v>
      </c>
      <c r="D383" s="411">
        <v>99200.52</v>
      </c>
      <c r="E383" s="410">
        <v>1246147269</v>
      </c>
      <c r="F383" s="412">
        <v>45571</v>
      </c>
      <c r="G383" s="410"/>
      <c r="H383" s="410" t="s">
        <v>173</v>
      </c>
      <c r="I383" s="410" t="s">
        <v>174</v>
      </c>
      <c r="J383" s="410">
        <v>3665</v>
      </c>
      <c r="K383" s="412">
        <v>45436</v>
      </c>
      <c r="L383" s="410">
        <v>1010100</v>
      </c>
      <c r="M383" s="410" t="s">
        <v>35</v>
      </c>
      <c r="N383" s="410">
        <v>161</v>
      </c>
      <c r="O383" s="410" t="s">
        <v>161</v>
      </c>
      <c r="P383" s="410" t="s">
        <v>177</v>
      </c>
      <c r="Q383">
        <f t="shared" si="7"/>
        <v>565</v>
      </c>
      <c r="R383">
        <f>_xlfn.XLOOKUP(E383,'Data Additive'!E:E,'Data Additive'!E:E,0)</f>
        <v>0</v>
      </c>
    </row>
    <row r="384" spans="1:18" x14ac:dyDescent="0.25">
      <c r="A384" s="410">
        <v>6132</v>
      </c>
      <c r="B384" s="410" t="s">
        <v>177</v>
      </c>
      <c r="C384" s="410" t="s">
        <v>178</v>
      </c>
      <c r="D384" s="411">
        <v>33509.519999999997</v>
      </c>
      <c r="E384" s="410">
        <v>1246148020</v>
      </c>
      <c r="F384" s="412">
        <v>45576</v>
      </c>
      <c r="G384" s="410"/>
      <c r="H384" s="410" t="s">
        <v>173</v>
      </c>
      <c r="I384" s="410" t="s">
        <v>174</v>
      </c>
      <c r="J384" s="410">
        <v>3714</v>
      </c>
      <c r="K384" s="412">
        <v>45441</v>
      </c>
      <c r="L384" s="410">
        <v>1010100</v>
      </c>
      <c r="M384" s="410" t="s">
        <v>35</v>
      </c>
      <c r="N384" s="410">
        <v>161</v>
      </c>
      <c r="O384" s="410" t="s">
        <v>161</v>
      </c>
      <c r="P384" s="410" t="s">
        <v>177</v>
      </c>
      <c r="Q384">
        <f t="shared" si="7"/>
        <v>560</v>
      </c>
      <c r="R384">
        <f>_xlfn.XLOOKUP(E384,'Data Additive'!E:E,'Data Additive'!E:E,0)</f>
        <v>0</v>
      </c>
    </row>
    <row r="385" spans="1:18" x14ac:dyDescent="0.25">
      <c r="A385" s="410">
        <v>6132</v>
      </c>
      <c r="B385" s="410" t="s">
        <v>177</v>
      </c>
      <c r="C385" s="410" t="s">
        <v>178</v>
      </c>
      <c r="D385" s="411">
        <v>56218.2</v>
      </c>
      <c r="E385" s="410">
        <v>1246148019</v>
      </c>
      <c r="F385" s="412">
        <v>45576</v>
      </c>
      <c r="G385" s="410"/>
      <c r="H385" s="410" t="s">
        <v>173</v>
      </c>
      <c r="I385" s="410" t="s">
        <v>174</v>
      </c>
      <c r="J385" s="410">
        <v>3713</v>
      </c>
      <c r="K385" s="412">
        <v>45441</v>
      </c>
      <c r="L385" s="410">
        <v>1010100</v>
      </c>
      <c r="M385" s="410" t="s">
        <v>35</v>
      </c>
      <c r="N385" s="410">
        <v>161</v>
      </c>
      <c r="O385" s="410" t="s">
        <v>161</v>
      </c>
      <c r="P385" s="410" t="s">
        <v>177</v>
      </c>
      <c r="Q385">
        <f t="shared" si="7"/>
        <v>560</v>
      </c>
      <c r="R385">
        <f>_xlfn.XLOOKUP(E385,'Data Additive'!E:E,'Data Additive'!E:E,0)</f>
        <v>0</v>
      </c>
    </row>
    <row r="386" spans="1:18" x14ac:dyDescent="0.25">
      <c r="A386" s="410">
        <v>6132</v>
      </c>
      <c r="B386" s="410" t="s">
        <v>177</v>
      </c>
      <c r="C386" s="410" t="s">
        <v>178</v>
      </c>
      <c r="D386" s="411">
        <v>95220.3</v>
      </c>
      <c r="E386" s="410">
        <v>1246135170</v>
      </c>
      <c r="F386" s="412">
        <v>45566</v>
      </c>
      <c r="G386" s="410"/>
      <c r="H386" s="410" t="s">
        <v>173</v>
      </c>
      <c r="I386" s="410" t="s">
        <v>174</v>
      </c>
      <c r="J386" s="410">
        <v>3136</v>
      </c>
      <c r="K386" s="412">
        <v>45372</v>
      </c>
      <c r="L386" s="410">
        <v>1010100</v>
      </c>
      <c r="M386" s="410" t="s">
        <v>35</v>
      </c>
      <c r="N386" s="410">
        <v>161</v>
      </c>
      <c r="O386" s="410" t="s">
        <v>161</v>
      </c>
      <c r="P386" s="410" t="s">
        <v>177</v>
      </c>
      <c r="Q386">
        <f t="shared" si="7"/>
        <v>570</v>
      </c>
      <c r="R386">
        <f>_xlfn.XLOOKUP(E386,'Data Additive'!E:E,'Data Additive'!E:E,0)</f>
        <v>0</v>
      </c>
    </row>
    <row r="387" spans="1:18" x14ac:dyDescent="0.25">
      <c r="A387" s="410">
        <v>6132</v>
      </c>
      <c r="B387" s="410" t="s">
        <v>177</v>
      </c>
      <c r="C387" s="410" t="s">
        <v>178</v>
      </c>
      <c r="D387" s="411">
        <v>29542.9</v>
      </c>
      <c r="E387" s="410">
        <v>1246135172</v>
      </c>
      <c r="F387" s="412">
        <v>45566</v>
      </c>
      <c r="G387" s="410"/>
      <c r="H387" s="410" t="s">
        <v>173</v>
      </c>
      <c r="I387" s="410" t="s">
        <v>174</v>
      </c>
      <c r="J387" s="410">
        <v>3137</v>
      </c>
      <c r="K387" s="412">
        <v>45372</v>
      </c>
      <c r="L387" s="410">
        <v>1010100</v>
      </c>
      <c r="M387" s="410" t="s">
        <v>35</v>
      </c>
      <c r="N387" s="410">
        <v>161</v>
      </c>
      <c r="O387" s="410" t="s">
        <v>161</v>
      </c>
      <c r="P387" s="410" t="s">
        <v>177</v>
      </c>
      <c r="Q387">
        <f t="shared" si="7"/>
        <v>570</v>
      </c>
      <c r="R387">
        <f>_xlfn.XLOOKUP(E387,'Data Additive'!E:E,'Data Additive'!E:E,0)</f>
        <v>0</v>
      </c>
    </row>
    <row r="388" spans="1:18" x14ac:dyDescent="0.25">
      <c r="A388" s="410">
        <v>6132</v>
      </c>
      <c r="B388" s="410" t="s">
        <v>177</v>
      </c>
      <c r="C388" s="410" t="s">
        <v>178</v>
      </c>
      <c r="D388" s="411">
        <v>92588.02</v>
      </c>
      <c r="E388" s="410">
        <v>1246138275</v>
      </c>
      <c r="F388" s="412">
        <v>45570</v>
      </c>
      <c r="G388" s="410"/>
      <c r="H388" s="410" t="s">
        <v>173</v>
      </c>
      <c r="I388" s="410" t="s">
        <v>174</v>
      </c>
      <c r="J388" s="410">
        <v>3249</v>
      </c>
      <c r="K388" s="412">
        <v>45390</v>
      </c>
      <c r="L388" s="410">
        <v>1010100</v>
      </c>
      <c r="M388" s="410" t="s">
        <v>35</v>
      </c>
      <c r="N388" s="410">
        <v>161</v>
      </c>
      <c r="O388" s="410" t="s">
        <v>161</v>
      </c>
      <c r="P388" s="410" t="s">
        <v>177</v>
      </c>
      <c r="Q388">
        <f t="shared" si="7"/>
        <v>566</v>
      </c>
      <c r="R388">
        <f>_xlfn.XLOOKUP(E388,'Data Additive'!E:E,'Data Additive'!E:E,0)</f>
        <v>0</v>
      </c>
    </row>
    <row r="389" spans="1:18" x14ac:dyDescent="0.25">
      <c r="A389" s="410">
        <v>6132</v>
      </c>
      <c r="B389" s="410" t="s">
        <v>177</v>
      </c>
      <c r="C389" s="410" t="s">
        <v>178</v>
      </c>
      <c r="D389" s="411">
        <v>97872.48</v>
      </c>
      <c r="E389" s="410">
        <v>1246135813</v>
      </c>
      <c r="F389" s="412">
        <v>45570</v>
      </c>
      <c r="G389" s="410"/>
      <c r="H389" s="410" t="s">
        <v>173</v>
      </c>
      <c r="I389" s="410" t="s">
        <v>174</v>
      </c>
      <c r="J389" s="410">
        <v>3160</v>
      </c>
      <c r="K389" s="412">
        <v>45376</v>
      </c>
      <c r="L389" s="410">
        <v>1010100</v>
      </c>
      <c r="M389" s="410" t="s">
        <v>35</v>
      </c>
      <c r="N389" s="410">
        <v>161</v>
      </c>
      <c r="O389" s="410" t="s">
        <v>161</v>
      </c>
      <c r="P389" s="410" t="s">
        <v>177</v>
      </c>
      <c r="Q389">
        <f t="shared" si="7"/>
        <v>566</v>
      </c>
      <c r="R389">
        <f>_xlfn.XLOOKUP(E389,'Data Additive'!E:E,'Data Additive'!E:E,0)</f>
        <v>0</v>
      </c>
    </row>
    <row r="390" spans="1:18" x14ac:dyDescent="0.25">
      <c r="A390" s="410">
        <v>6132</v>
      </c>
      <c r="B390" s="410" t="s">
        <v>177</v>
      </c>
      <c r="C390" s="410" t="s">
        <v>178</v>
      </c>
      <c r="D390" s="411">
        <v>155705</v>
      </c>
      <c r="E390" s="410">
        <v>1246130904</v>
      </c>
      <c r="F390" s="412">
        <v>45567</v>
      </c>
      <c r="G390" s="410"/>
      <c r="H390" s="410" t="s">
        <v>173</v>
      </c>
      <c r="I390" s="410" t="s">
        <v>174</v>
      </c>
      <c r="J390" s="410">
        <v>2906</v>
      </c>
      <c r="K390" s="412">
        <v>45345</v>
      </c>
      <c r="L390" s="410">
        <v>1010100</v>
      </c>
      <c r="M390" s="410" t="s">
        <v>35</v>
      </c>
      <c r="N390" s="410">
        <v>161</v>
      </c>
      <c r="O390" s="410" t="s">
        <v>161</v>
      </c>
      <c r="P390" s="410" t="s">
        <v>177</v>
      </c>
      <c r="Q390">
        <f t="shared" si="7"/>
        <v>569</v>
      </c>
      <c r="R390">
        <f>_xlfn.XLOOKUP(E390,'Data Additive'!E:E,'Data Additive'!E:E,0)</f>
        <v>0</v>
      </c>
    </row>
    <row r="391" spans="1:18" x14ac:dyDescent="0.25">
      <c r="A391" s="410">
        <v>6132</v>
      </c>
      <c r="B391" s="410" t="s">
        <v>177</v>
      </c>
      <c r="C391" s="410" t="s">
        <v>178</v>
      </c>
      <c r="D391" s="411">
        <v>86997.759999999995</v>
      </c>
      <c r="E391" s="410">
        <v>1246137598</v>
      </c>
      <c r="F391" s="412">
        <v>45566</v>
      </c>
      <c r="G391" s="410"/>
      <c r="H391" s="410" t="s">
        <v>173</v>
      </c>
      <c r="I391" s="410" t="s">
        <v>174</v>
      </c>
      <c r="J391" s="410">
        <v>3223</v>
      </c>
      <c r="K391" s="412">
        <v>45386</v>
      </c>
      <c r="L391" s="410">
        <v>1010100</v>
      </c>
      <c r="M391" s="410" t="s">
        <v>35</v>
      </c>
      <c r="N391" s="410">
        <v>161</v>
      </c>
      <c r="O391" s="410" t="s">
        <v>161</v>
      </c>
      <c r="P391" s="410" t="s">
        <v>177</v>
      </c>
      <c r="Q391">
        <f t="shared" si="7"/>
        <v>570</v>
      </c>
      <c r="R391">
        <f>_xlfn.XLOOKUP(E391,'Data Additive'!E:E,'Data Additive'!E:E,0)</f>
        <v>0</v>
      </c>
    </row>
    <row r="392" spans="1:18" x14ac:dyDescent="0.25">
      <c r="A392" s="410">
        <v>6132</v>
      </c>
      <c r="B392" s="410" t="s">
        <v>177</v>
      </c>
      <c r="C392" s="410" t="s">
        <v>178</v>
      </c>
      <c r="D392" s="411">
        <v>55849.2</v>
      </c>
      <c r="E392" s="410">
        <v>1246147270</v>
      </c>
      <c r="F392" s="412">
        <v>45571</v>
      </c>
      <c r="G392" s="410"/>
      <c r="H392" s="410" t="s">
        <v>173</v>
      </c>
      <c r="I392" s="410" t="s">
        <v>174</v>
      </c>
      <c r="J392" s="410">
        <v>3666</v>
      </c>
      <c r="K392" s="412">
        <v>45436</v>
      </c>
      <c r="L392" s="410">
        <v>1010100</v>
      </c>
      <c r="M392" s="410" t="s">
        <v>35</v>
      </c>
      <c r="N392" s="410">
        <v>161</v>
      </c>
      <c r="O392" s="410" t="s">
        <v>161</v>
      </c>
      <c r="P392" s="410" t="s">
        <v>177</v>
      </c>
      <c r="Q392">
        <f t="shared" si="7"/>
        <v>565</v>
      </c>
      <c r="R392">
        <f>_xlfn.XLOOKUP(E392,'Data Additive'!E:E,'Data Additive'!E:E,0)</f>
        <v>0</v>
      </c>
    </row>
    <row r="393" spans="1:18" x14ac:dyDescent="0.25">
      <c r="A393" s="410">
        <v>6132</v>
      </c>
      <c r="B393" s="410" t="s">
        <v>177</v>
      </c>
      <c r="C393" s="410" t="s">
        <v>178</v>
      </c>
      <c r="D393" s="411">
        <v>97872.48</v>
      </c>
      <c r="E393" s="410">
        <v>1246131241</v>
      </c>
      <c r="F393" s="412">
        <v>45571</v>
      </c>
      <c r="G393" s="410"/>
      <c r="H393" s="410" t="s">
        <v>173</v>
      </c>
      <c r="I393" s="410" t="s">
        <v>174</v>
      </c>
      <c r="J393" s="410">
        <v>2928</v>
      </c>
      <c r="K393" s="412">
        <v>45349</v>
      </c>
      <c r="L393" s="410">
        <v>1010100</v>
      </c>
      <c r="M393" s="410" t="s">
        <v>35</v>
      </c>
      <c r="N393" s="410">
        <v>161</v>
      </c>
      <c r="O393" s="410" t="s">
        <v>161</v>
      </c>
      <c r="P393" s="410" t="s">
        <v>177</v>
      </c>
      <c r="Q393">
        <f t="shared" si="7"/>
        <v>565</v>
      </c>
      <c r="R393">
        <f>_xlfn.XLOOKUP(E393,'Data Additive'!E:E,'Data Additive'!E:E,0)</f>
        <v>0</v>
      </c>
    </row>
    <row r="394" spans="1:18" x14ac:dyDescent="0.25">
      <c r="A394" s="410">
        <v>6132</v>
      </c>
      <c r="B394" s="410" t="s">
        <v>177</v>
      </c>
      <c r="C394" s="410" t="s">
        <v>178</v>
      </c>
      <c r="D394" s="411">
        <v>57092.28</v>
      </c>
      <c r="E394" s="410">
        <v>1246133070</v>
      </c>
      <c r="F394" s="412">
        <v>45573</v>
      </c>
      <c r="G394" s="410"/>
      <c r="H394" s="410" t="s">
        <v>173</v>
      </c>
      <c r="I394" s="410" t="s">
        <v>174</v>
      </c>
      <c r="J394" s="410">
        <v>3012</v>
      </c>
      <c r="K394" s="412">
        <v>45359</v>
      </c>
      <c r="L394" s="410">
        <v>1010100</v>
      </c>
      <c r="M394" s="410" t="s">
        <v>35</v>
      </c>
      <c r="N394" s="410">
        <v>161</v>
      </c>
      <c r="O394" s="410" t="s">
        <v>161</v>
      </c>
      <c r="P394" s="410" t="s">
        <v>177</v>
      </c>
      <c r="Q394">
        <f t="shared" si="7"/>
        <v>563</v>
      </c>
      <c r="R394">
        <f>_xlfn.XLOOKUP(E394,'Data Additive'!E:E,'Data Additive'!E:E,0)</f>
        <v>0</v>
      </c>
    </row>
    <row r="395" spans="1:18" x14ac:dyDescent="0.25">
      <c r="A395" s="410">
        <v>6132</v>
      </c>
      <c r="B395" s="410" t="s">
        <v>177</v>
      </c>
      <c r="C395" s="410" t="s">
        <v>178</v>
      </c>
      <c r="D395" s="411">
        <v>86997.759999999995</v>
      </c>
      <c r="E395" s="410">
        <v>1246131594</v>
      </c>
      <c r="F395" s="412">
        <v>45573</v>
      </c>
      <c r="G395" s="410"/>
      <c r="H395" s="410" t="s">
        <v>173</v>
      </c>
      <c r="I395" s="410" t="s">
        <v>174</v>
      </c>
      <c r="J395" s="410">
        <v>2956</v>
      </c>
      <c r="K395" s="412">
        <v>45351</v>
      </c>
      <c r="L395" s="410">
        <v>1010100</v>
      </c>
      <c r="M395" s="410" t="s">
        <v>35</v>
      </c>
      <c r="N395" s="410">
        <v>161</v>
      </c>
      <c r="O395" s="410" t="s">
        <v>161</v>
      </c>
      <c r="P395" s="410" t="s">
        <v>177</v>
      </c>
      <c r="Q395">
        <f t="shared" si="7"/>
        <v>563</v>
      </c>
      <c r="R395">
        <f>_xlfn.XLOOKUP(E395,'Data Additive'!E:E,'Data Additive'!E:E,0)</f>
        <v>0</v>
      </c>
    </row>
    <row r="396" spans="1:18" x14ac:dyDescent="0.25">
      <c r="A396" s="410">
        <v>6132</v>
      </c>
      <c r="B396" s="410" t="s">
        <v>177</v>
      </c>
      <c r="C396" s="410" t="s">
        <v>178</v>
      </c>
      <c r="D396" s="411">
        <v>86997.759999999995</v>
      </c>
      <c r="E396" s="410">
        <v>1246133332</v>
      </c>
      <c r="F396" s="412">
        <v>45576</v>
      </c>
      <c r="G396" s="410"/>
      <c r="H396" s="410" t="s">
        <v>173</v>
      </c>
      <c r="I396" s="410" t="s">
        <v>174</v>
      </c>
      <c r="J396" s="410">
        <v>3028</v>
      </c>
      <c r="K396" s="412">
        <v>45362</v>
      </c>
      <c r="L396" s="410">
        <v>1010100</v>
      </c>
      <c r="M396" s="410" t="s">
        <v>35</v>
      </c>
      <c r="N396" s="410">
        <v>161</v>
      </c>
      <c r="O396" s="410" t="s">
        <v>161</v>
      </c>
      <c r="P396" s="410" t="s">
        <v>177</v>
      </c>
      <c r="Q396">
        <f t="shared" si="7"/>
        <v>560</v>
      </c>
      <c r="R396">
        <f>_xlfn.XLOOKUP(E396,'Data Additive'!E:E,'Data Additive'!E:E,0)</f>
        <v>0</v>
      </c>
    </row>
    <row r="397" spans="1:18" x14ac:dyDescent="0.25">
      <c r="A397" s="410">
        <v>6132</v>
      </c>
      <c r="B397" s="410" t="s">
        <v>177</v>
      </c>
      <c r="C397" s="410" t="s">
        <v>178</v>
      </c>
      <c r="D397" s="411">
        <v>95153.8</v>
      </c>
      <c r="E397" s="410">
        <v>1246133718</v>
      </c>
      <c r="F397" s="412">
        <v>45578</v>
      </c>
      <c r="G397" s="410"/>
      <c r="H397" s="410" t="s">
        <v>173</v>
      </c>
      <c r="I397" s="410" t="s">
        <v>174</v>
      </c>
      <c r="J397" s="410">
        <v>3051</v>
      </c>
      <c r="K397" s="412">
        <v>45364</v>
      </c>
      <c r="L397" s="410">
        <v>1010100</v>
      </c>
      <c r="M397" s="410" t="s">
        <v>35</v>
      </c>
      <c r="N397" s="410">
        <v>161</v>
      </c>
      <c r="O397" s="410" t="s">
        <v>161</v>
      </c>
      <c r="P397" s="410" t="s">
        <v>177</v>
      </c>
      <c r="Q397">
        <f t="shared" si="7"/>
        <v>558</v>
      </c>
      <c r="R397">
        <f>_xlfn.XLOOKUP(E397,'Data Additive'!E:E,'Data Additive'!E:E,0)</f>
        <v>0</v>
      </c>
    </row>
    <row r="398" spans="1:18" x14ac:dyDescent="0.25">
      <c r="A398" s="410">
        <v>6132</v>
      </c>
      <c r="B398" s="410" t="s">
        <v>177</v>
      </c>
      <c r="C398" s="410" t="s">
        <v>178</v>
      </c>
      <c r="D398" s="411">
        <v>116501.9</v>
      </c>
      <c r="E398" s="410">
        <v>1246138114</v>
      </c>
      <c r="F398" s="412">
        <v>45570</v>
      </c>
      <c r="G398" s="410"/>
      <c r="H398" s="410" t="s">
        <v>173</v>
      </c>
      <c r="I398" s="410" t="s">
        <v>174</v>
      </c>
      <c r="J398" s="410">
        <v>3243</v>
      </c>
      <c r="K398" s="412">
        <v>45390</v>
      </c>
      <c r="L398" s="410">
        <v>1010100</v>
      </c>
      <c r="M398" s="410" t="s">
        <v>35</v>
      </c>
      <c r="N398" s="410">
        <v>161</v>
      </c>
      <c r="O398" s="410" t="s">
        <v>161</v>
      </c>
      <c r="P398" s="410" t="s">
        <v>177</v>
      </c>
      <c r="Q398">
        <f t="shared" si="7"/>
        <v>566</v>
      </c>
      <c r="R398">
        <f>_xlfn.XLOOKUP(E398,'Data Additive'!E:E,'Data Additive'!E:E,0)</f>
        <v>0</v>
      </c>
    </row>
    <row r="399" spans="1:18" x14ac:dyDescent="0.25">
      <c r="A399" s="410">
        <v>6132</v>
      </c>
      <c r="B399" s="410" t="s">
        <v>177</v>
      </c>
      <c r="C399" s="410" t="s">
        <v>178</v>
      </c>
      <c r="D399" s="411">
        <v>134954</v>
      </c>
      <c r="E399" s="410">
        <v>1246130651</v>
      </c>
      <c r="F399" s="412">
        <v>45566</v>
      </c>
      <c r="G399" s="410"/>
      <c r="H399" s="410" t="s">
        <v>173</v>
      </c>
      <c r="I399" s="410" t="s">
        <v>174</v>
      </c>
      <c r="J399" s="410">
        <v>2889</v>
      </c>
      <c r="K399" s="412">
        <v>45344</v>
      </c>
      <c r="L399" s="410">
        <v>1010100</v>
      </c>
      <c r="M399" s="410" t="s">
        <v>35</v>
      </c>
      <c r="N399" s="410">
        <v>161</v>
      </c>
      <c r="O399" s="410" t="s">
        <v>161</v>
      </c>
      <c r="P399" s="410" t="s">
        <v>177</v>
      </c>
      <c r="Q399">
        <f t="shared" si="7"/>
        <v>570</v>
      </c>
      <c r="R399">
        <f>_xlfn.XLOOKUP(E399,'Data Additive'!E:E,'Data Additive'!E:E,0)</f>
        <v>0</v>
      </c>
    </row>
    <row r="400" spans="1:18" x14ac:dyDescent="0.25">
      <c r="A400" s="410">
        <v>6132</v>
      </c>
      <c r="B400" s="410" t="s">
        <v>177</v>
      </c>
      <c r="C400" s="410" t="s">
        <v>178</v>
      </c>
      <c r="D400" s="411">
        <v>86997.759999999995</v>
      </c>
      <c r="E400" s="410">
        <v>1246131630</v>
      </c>
      <c r="F400" s="412">
        <v>45573</v>
      </c>
      <c r="G400" s="410"/>
      <c r="H400" s="410" t="s">
        <v>173</v>
      </c>
      <c r="I400" s="410" t="s">
        <v>174</v>
      </c>
      <c r="J400" s="410">
        <v>2958</v>
      </c>
      <c r="K400" s="412">
        <v>45351</v>
      </c>
      <c r="L400" s="410">
        <v>1010100</v>
      </c>
      <c r="M400" s="410" t="s">
        <v>35</v>
      </c>
      <c r="N400" s="410">
        <v>161</v>
      </c>
      <c r="O400" s="410" t="s">
        <v>161</v>
      </c>
      <c r="P400" s="410" t="s">
        <v>177</v>
      </c>
      <c r="Q400">
        <f t="shared" si="7"/>
        <v>563</v>
      </c>
      <c r="R400">
        <f>_xlfn.XLOOKUP(E400,'Data Additive'!E:E,'Data Additive'!E:E,0)</f>
        <v>0</v>
      </c>
    </row>
    <row r="401" spans="1:18" x14ac:dyDescent="0.25">
      <c r="A401" s="410">
        <v>6132</v>
      </c>
      <c r="B401" s="410" t="s">
        <v>177</v>
      </c>
      <c r="C401" s="410" t="s">
        <v>178</v>
      </c>
      <c r="D401" s="411">
        <v>29949.599999999999</v>
      </c>
      <c r="E401" s="410">
        <v>1246133071</v>
      </c>
      <c r="F401" s="412">
        <v>45573</v>
      </c>
      <c r="G401" s="410"/>
      <c r="H401" s="410" t="s">
        <v>173</v>
      </c>
      <c r="I401" s="410" t="s">
        <v>174</v>
      </c>
      <c r="J401" s="410">
        <v>3013</v>
      </c>
      <c r="K401" s="412">
        <v>45359</v>
      </c>
      <c r="L401" s="410">
        <v>1010100</v>
      </c>
      <c r="M401" s="410" t="s">
        <v>35</v>
      </c>
      <c r="N401" s="410">
        <v>161</v>
      </c>
      <c r="O401" s="410" t="s">
        <v>161</v>
      </c>
      <c r="P401" s="410" t="s">
        <v>177</v>
      </c>
      <c r="Q401">
        <f t="shared" si="7"/>
        <v>563</v>
      </c>
      <c r="R401">
        <f>_xlfn.XLOOKUP(E401,'Data Additive'!E:E,'Data Additive'!E:E,0)</f>
        <v>0</v>
      </c>
    </row>
    <row r="402" spans="1:18" x14ac:dyDescent="0.25">
      <c r="A402" s="410">
        <v>6132</v>
      </c>
      <c r="B402" s="410" t="s">
        <v>177</v>
      </c>
      <c r="C402" s="410" t="s">
        <v>178</v>
      </c>
      <c r="D402" s="411">
        <v>54275.6</v>
      </c>
      <c r="E402" s="410">
        <v>1246132475</v>
      </c>
      <c r="F402" s="412">
        <v>45570</v>
      </c>
      <c r="G402" s="410"/>
      <c r="H402" s="410" t="s">
        <v>173</v>
      </c>
      <c r="I402" s="410" t="s">
        <v>174</v>
      </c>
      <c r="J402" s="410">
        <v>2990</v>
      </c>
      <c r="K402" s="412">
        <v>45356</v>
      </c>
      <c r="L402" s="410">
        <v>1010100</v>
      </c>
      <c r="M402" s="410" t="s">
        <v>35</v>
      </c>
      <c r="N402" s="410">
        <v>161</v>
      </c>
      <c r="O402" s="410" t="s">
        <v>161</v>
      </c>
      <c r="P402" s="410" t="s">
        <v>177</v>
      </c>
      <c r="Q402">
        <f t="shared" si="7"/>
        <v>566</v>
      </c>
      <c r="R402">
        <f>_xlfn.XLOOKUP(E402,'Data Additive'!E:E,'Data Additive'!E:E,0)</f>
        <v>0</v>
      </c>
    </row>
    <row r="403" spans="1:18" x14ac:dyDescent="0.25">
      <c r="A403" s="410">
        <v>6132</v>
      </c>
      <c r="B403" s="410" t="s">
        <v>177</v>
      </c>
      <c r="C403" s="410" t="s">
        <v>178</v>
      </c>
      <c r="D403" s="411">
        <v>97872.48</v>
      </c>
      <c r="E403" s="410">
        <v>1246132869</v>
      </c>
      <c r="F403" s="412">
        <v>45572</v>
      </c>
      <c r="G403" s="410"/>
      <c r="H403" s="410" t="s">
        <v>173</v>
      </c>
      <c r="I403" s="410" t="s">
        <v>174</v>
      </c>
      <c r="J403" s="410">
        <v>3001</v>
      </c>
      <c r="K403" s="412">
        <v>45358</v>
      </c>
      <c r="L403" s="410">
        <v>1010100</v>
      </c>
      <c r="M403" s="410" t="s">
        <v>35</v>
      </c>
      <c r="N403" s="410">
        <v>161</v>
      </c>
      <c r="O403" s="410" t="s">
        <v>161</v>
      </c>
      <c r="P403" s="410" t="s">
        <v>177</v>
      </c>
      <c r="Q403">
        <f t="shared" si="7"/>
        <v>564</v>
      </c>
      <c r="R403">
        <f>_xlfn.XLOOKUP(E403,'Data Additive'!E:E,'Data Additive'!E:E,0)</f>
        <v>0</v>
      </c>
    </row>
    <row r="404" spans="1:18" x14ac:dyDescent="0.25">
      <c r="A404" s="410">
        <v>6132</v>
      </c>
      <c r="B404" s="410" t="s">
        <v>177</v>
      </c>
      <c r="C404" s="410" t="s">
        <v>178</v>
      </c>
      <c r="D404" s="411">
        <v>86997.759999999995</v>
      </c>
      <c r="E404" s="410">
        <v>1246147192</v>
      </c>
      <c r="F404" s="412">
        <v>45571</v>
      </c>
      <c r="G404" s="410"/>
      <c r="H404" s="410" t="s">
        <v>173</v>
      </c>
      <c r="I404" s="410" t="s">
        <v>174</v>
      </c>
      <c r="J404" s="410">
        <v>3654</v>
      </c>
      <c r="K404" s="412">
        <v>45436</v>
      </c>
      <c r="L404" s="410">
        <v>1010100</v>
      </c>
      <c r="M404" s="410" t="s">
        <v>35</v>
      </c>
      <c r="N404" s="410">
        <v>161</v>
      </c>
      <c r="O404" s="410" t="s">
        <v>161</v>
      </c>
      <c r="P404" s="410" t="s">
        <v>177</v>
      </c>
      <c r="Q404">
        <f t="shared" ref="Q404:Q446" si="8">$R$1-F404</f>
        <v>565</v>
      </c>
      <c r="R404">
        <f>_xlfn.XLOOKUP(E404,'Data Additive'!E:E,'Data Additive'!E:E,0)</f>
        <v>0</v>
      </c>
    </row>
    <row r="405" spans="1:18" x14ac:dyDescent="0.25">
      <c r="A405" s="410">
        <v>6132</v>
      </c>
      <c r="B405" s="410" t="s">
        <v>177</v>
      </c>
      <c r="C405" s="410" t="s">
        <v>178</v>
      </c>
      <c r="D405" s="411">
        <v>101192.76</v>
      </c>
      <c r="E405" s="410">
        <v>1246148270</v>
      </c>
      <c r="F405" s="412">
        <v>45578</v>
      </c>
      <c r="G405" s="410"/>
      <c r="H405" s="410" t="s">
        <v>173</v>
      </c>
      <c r="I405" s="410" t="s">
        <v>174</v>
      </c>
      <c r="J405" s="410">
        <v>3731</v>
      </c>
      <c r="K405" s="412">
        <v>45443</v>
      </c>
      <c r="L405" s="410">
        <v>1010100</v>
      </c>
      <c r="M405" s="410" t="s">
        <v>35</v>
      </c>
      <c r="N405" s="410">
        <v>161</v>
      </c>
      <c r="O405" s="410" t="s">
        <v>161</v>
      </c>
      <c r="P405" s="410" t="s">
        <v>177</v>
      </c>
      <c r="Q405">
        <f t="shared" si="8"/>
        <v>558</v>
      </c>
      <c r="R405">
        <f>_xlfn.XLOOKUP(E405,'Data Additive'!E:E,'Data Additive'!E:E,0)</f>
        <v>0</v>
      </c>
    </row>
    <row r="406" spans="1:18" x14ac:dyDescent="0.25">
      <c r="A406" s="410">
        <v>5519</v>
      </c>
      <c r="B406" s="410" t="s">
        <v>303</v>
      </c>
      <c r="C406" s="410" t="s">
        <v>909</v>
      </c>
      <c r="D406" s="411">
        <v>43569.75</v>
      </c>
      <c r="E406" s="410">
        <v>1246269682</v>
      </c>
      <c r="F406" s="412">
        <v>46142</v>
      </c>
      <c r="G406" s="410"/>
      <c r="H406" s="410" t="s">
        <v>28</v>
      </c>
      <c r="I406" s="410" t="s">
        <v>29</v>
      </c>
      <c r="J406" s="410">
        <v>11012</v>
      </c>
      <c r="K406" s="412">
        <v>46112</v>
      </c>
      <c r="L406" s="410">
        <v>1010100</v>
      </c>
      <c r="M406" s="410" t="s">
        <v>35</v>
      </c>
      <c r="N406" s="410">
        <v>161</v>
      </c>
      <c r="O406" s="410" t="s">
        <v>161</v>
      </c>
      <c r="P406" s="410" t="s">
        <v>303</v>
      </c>
      <c r="Q406">
        <f t="shared" si="8"/>
        <v>-6</v>
      </c>
      <c r="R406">
        <f>_xlfn.XLOOKUP(E406,'Data Additive'!E:E,'Data Additive'!E:E,0)</f>
        <v>1246269682</v>
      </c>
    </row>
    <row r="407" spans="1:18" x14ac:dyDescent="0.25">
      <c r="A407" s="410">
        <v>5519</v>
      </c>
      <c r="B407" s="410" t="s">
        <v>303</v>
      </c>
      <c r="C407" s="410" t="s">
        <v>909</v>
      </c>
      <c r="D407" s="411">
        <v>43569.75</v>
      </c>
      <c r="E407" s="410">
        <v>1246269683</v>
      </c>
      <c r="F407" s="412">
        <v>46172</v>
      </c>
      <c r="G407" s="410"/>
      <c r="H407" s="410" t="s">
        <v>28</v>
      </c>
      <c r="I407" s="410" t="s">
        <v>29</v>
      </c>
      <c r="J407" s="410">
        <v>11012</v>
      </c>
      <c r="K407" s="412">
        <v>46112</v>
      </c>
      <c r="L407" s="410">
        <v>1010100</v>
      </c>
      <c r="M407" s="410" t="s">
        <v>35</v>
      </c>
      <c r="N407" s="410">
        <v>161</v>
      </c>
      <c r="O407" s="410" t="s">
        <v>161</v>
      </c>
      <c r="P407" s="410" t="s">
        <v>303</v>
      </c>
      <c r="Q407">
        <f t="shared" si="8"/>
        <v>-36</v>
      </c>
      <c r="R407">
        <f>_xlfn.XLOOKUP(E407,'Data Additive'!E:E,'Data Additive'!E:E,0)</f>
        <v>1246269683</v>
      </c>
    </row>
    <row r="408" spans="1:18" x14ac:dyDescent="0.25">
      <c r="A408" s="410">
        <v>6177</v>
      </c>
      <c r="B408" s="410" t="s">
        <v>744</v>
      </c>
      <c r="C408" s="410" t="s">
        <v>821</v>
      </c>
      <c r="D408" s="411">
        <v>121852</v>
      </c>
      <c r="E408" s="410">
        <v>1246269467</v>
      </c>
      <c r="F408" s="412">
        <v>46168</v>
      </c>
      <c r="G408" s="410"/>
      <c r="H408" s="410" t="s">
        <v>28</v>
      </c>
      <c r="I408" s="410" t="s">
        <v>29</v>
      </c>
      <c r="J408" s="410">
        <v>10994</v>
      </c>
      <c r="K408" s="412">
        <v>46108</v>
      </c>
      <c r="L408" s="410">
        <v>1010100</v>
      </c>
      <c r="M408" s="410" t="s">
        <v>35</v>
      </c>
      <c r="N408" s="410">
        <v>161</v>
      </c>
      <c r="O408" s="410" t="s">
        <v>161</v>
      </c>
      <c r="P408" s="410" t="s">
        <v>744</v>
      </c>
      <c r="Q408">
        <f t="shared" si="8"/>
        <v>-32</v>
      </c>
      <c r="R408">
        <f>_xlfn.XLOOKUP(E408,'Data Additive'!E:E,'Data Additive'!E:E,0)</f>
        <v>1246269467</v>
      </c>
    </row>
    <row r="409" spans="1:18" ht="0.6" customHeight="1" x14ac:dyDescent="0.25">
      <c r="A409" s="410">
        <v>5300</v>
      </c>
      <c r="B409" s="410" t="s">
        <v>30</v>
      </c>
      <c r="C409" s="410" t="s">
        <v>551</v>
      </c>
      <c r="D409" s="411">
        <v>173157.7</v>
      </c>
      <c r="E409" s="410">
        <v>1246271143</v>
      </c>
      <c r="F409" s="412">
        <v>46153</v>
      </c>
      <c r="G409" s="410"/>
      <c r="H409" s="410" t="s">
        <v>28</v>
      </c>
      <c r="I409" s="410" t="s">
        <v>29</v>
      </c>
      <c r="J409" s="410">
        <v>11104</v>
      </c>
      <c r="K409" s="412">
        <v>46125</v>
      </c>
      <c r="L409" s="410">
        <v>1010100</v>
      </c>
      <c r="M409" s="410" t="s">
        <v>35</v>
      </c>
      <c r="N409" s="410">
        <v>161</v>
      </c>
      <c r="O409" s="410" t="s">
        <v>161</v>
      </c>
      <c r="P409" s="410" t="s">
        <v>30</v>
      </c>
      <c r="Q409">
        <f t="shared" si="8"/>
        <v>-17</v>
      </c>
      <c r="R409">
        <f>_xlfn.XLOOKUP(E409,'Data Additive'!E:E,'Data Additive'!E:E,0)</f>
        <v>1246271143</v>
      </c>
    </row>
    <row r="410" spans="1:18" x14ac:dyDescent="0.25">
      <c r="A410" s="410">
        <v>5300</v>
      </c>
      <c r="B410" s="410" t="s">
        <v>30</v>
      </c>
      <c r="C410" s="410" t="s">
        <v>551</v>
      </c>
      <c r="D410" s="411">
        <v>175004.1</v>
      </c>
      <c r="E410" s="410">
        <v>1246270198</v>
      </c>
      <c r="F410" s="412">
        <v>46142</v>
      </c>
      <c r="G410" s="410"/>
      <c r="H410" s="410" t="s">
        <v>28</v>
      </c>
      <c r="I410" s="410" t="s">
        <v>29</v>
      </c>
      <c r="J410" s="410">
        <v>11048</v>
      </c>
      <c r="K410" s="412">
        <v>46114</v>
      </c>
      <c r="L410" s="410">
        <v>1010100</v>
      </c>
      <c r="M410" s="410" t="s">
        <v>35</v>
      </c>
      <c r="N410" s="410">
        <v>161</v>
      </c>
      <c r="O410" s="410" t="s">
        <v>161</v>
      </c>
      <c r="P410" s="410" t="s">
        <v>30</v>
      </c>
      <c r="Q410">
        <f t="shared" si="8"/>
        <v>-6</v>
      </c>
      <c r="R410">
        <f>_xlfn.XLOOKUP(E410,'Data Additive'!E:E,'Data Additive'!E:E,0)</f>
        <v>1246270198</v>
      </c>
    </row>
    <row r="411" spans="1:18" x14ac:dyDescent="0.25">
      <c r="A411" s="410">
        <v>5300</v>
      </c>
      <c r="B411" s="410" t="s">
        <v>30</v>
      </c>
      <c r="C411" s="410" t="s">
        <v>551</v>
      </c>
      <c r="D411" s="411">
        <v>175465.7</v>
      </c>
      <c r="E411" s="410">
        <v>1246269610</v>
      </c>
      <c r="F411" s="412">
        <v>46139</v>
      </c>
      <c r="G411" s="410"/>
      <c r="H411" s="410" t="s">
        <v>28</v>
      </c>
      <c r="I411" s="410" t="s">
        <v>29</v>
      </c>
      <c r="J411" s="410">
        <v>11007</v>
      </c>
      <c r="K411" s="412">
        <v>46111</v>
      </c>
      <c r="L411" s="410">
        <v>1010100</v>
      </c>
      <c r="M411" s="410" t="s">
        <v>35</v>
      </c>
      <c r="N411" s="410">
        <v>161</v>
      </c>
      <c r="O411" s="410" t="s">
        <v>161</v>
      </c>
      <c r="P411" s="410" t="s">
        <v>30</v>
      </c>
      <c r="Q411">
        <f t="shared" si="8"/>
        <v>-3</v>
      </c>
      <c r="R411">
        <f>_xlfn.XLOOKUP(E411,'Data Additive'!E:E,'Data Additive'!E:E,0)</f>
        <v>1246269610</v>
      </c>
    </row>
    <row r="412" spans="1:18" x14ac:dyDescent="0.25">
      <c r="A412" s="410">
        <v>4575</v>
      </c>
      <c r="B412" s="410" t="s">
        <v>91</v>
      </c>
      <c r="C412" s="410" t="s">
        <v>92</v>
      </c>
      <c r="D412" s="411">
        <v>20940</v>
      </c>
      <c r="E412" s="410">
        <v>1246113043</v>
      </c>
      <c r="F412" s="412">
        <v>45311</v>
      </c>
      <c r="G412" s="410"/>
      <c r="H412" s="410" t="s">
        <v>28</v>
      </c>
      <c r="I412" s="410" t="s">
        <v>29</v>
      </c>
      <c r="J412" s="410">
        <v>1821</v>
      </c>
      <c r="K412" s="412">
        <v>45233</v>
      </c>
      <c r="L412" s="410">
        <v>1010100</v>
      </c>
      <c r="M412" s="410" t="s">
        <v>35</v>
      </c>
      <c r="N412" s="410">
        <v>161</v>
      </c>
      <c r="O412" s="410" t="s">
        <v>161</v>
      </c>
      <c r="P412" s="410" t="s">
        <v>91</v>
      </c>
      <c r="Q412">
        <f t="shared" si="8"/>
        <v>825</v>
      </c>
      <c r="R412">
        <f>_xlfn.XLOOKUP(E412,'Data Additive'!E:E,'Data Additive'!E:E,0)</f>
        <v>1246113043</v>
      </c>
    </row>
    <row r="413" spans="1:18" x14ac:dyDescent="0.25">
      <c r="A413" s="410">
        <v>4577</v>
      </c>
      <c r="B413" s="410" t="s">
        <v>252</v>
      </c>
      <c r="C413" s="410" t="s">
        <v>880</v>
      </c>
      <c r="D413" s="411">
        <v>66176</v>
      </c>
      <c r="E413" s="410">
        <v>1246270080</v>
      </c>
      <c r="F413" s="412">
        <v>46142</v>
      </c>
      <c r="G413" s="410"/>
      <c r="H413" s="410" t="s">
        <v>28</v>
      </c>
      <c r="I413" s="410" t="s">
        <v>29</v>
      </c>
      <c r="J413" s="410">
        <v>11032</v>
      </c>
      <c r="K413" s="412">
        <v>46114</v>
      </c>
      <c r="L413" s="410">
        <v>1010100</v>
      </c>
      <c r="M413" s="410" t="s">
        <v>35</v>
      </c>
      <c r="N413" s="410">
        <v>161</v>
      </c>
      <c r="O413" s="410" t="s">
        <v>161</v>
      </c>
      <c r="P413" s="410" t="s">
        <v>252</v>
      </c>
      <c r="Q413">
        <f t="shared" si="8"/>
        <v>-6</v>
      </c>
      <c r="R413">
        <f>_xlfn.XLOOKUP(E413,'Data Additive'!E:E,'Data Additive'!E:E,0)</f>
        <v>1246270080</v>
      </c>
    </row>
    <row r="414" spans="1:18" x14ac:dyDescent="0.25">
      <c r="A414" s="410">
        <v>5657</v>
      </c>
      <c r="B414" s="410" t="s">
        <v>95</v>
      </c>
      <c r="C414" s="410" t="s">
        <v>910</v>
      </c>
      <c r="D414" s="411">
        <v>20520</v>
      </c>
      <c r="E414" s="410">
        <v>1246269700</v>
      </c>
      <c r="F414" s="412">
        <v>46140</v>
      </c>
      <c r="G414" s="410"/>
      <c r="H414" s="410" t="s">
        <v>28</v>
      </c>
      <c r="I414" s="410" t="s">
        <v>29</v>
      </c>
      <c r="J414" s="410">
        <v>11013</v>
      </c>
      <c r="K414" s="412">
        <v>46112</v>
      </c>
      <c r="L414" s="410">
        <v>1010100</v>
      </c>
      <c r="M414" s="410" t="s">
        <v>35</v>
      </c>
      <c r="N414" s="410">
        <v>161</v>
      </c>
      <c r="O414" s="410" t="s">
        <v>161</v>
      </c>
      <c r="P414" s="410" t="s">
        <v>95</v>
      </c>
      <c r="Q414">
        <f t="shared" si="8"/>
        <v>-4</v>
      </c>
      <c r="R414">
        <f>_xlfn.XLOOKUP(E414,'Data Additive'!E:E,'Data Additive'!E:E,0)</f>
        <v>1246269700</v>
      </c>
    </row>
    <row r="415" spans="1:18" x14ac:dyDescent="0.25">
      <c r="A415" s="410">
        <v>5657</v>
      </c>
      <c r="B415" s="410" t="s">
        <v>95</v>
      </c>
      <c r="C415" s="410" t="s">
        <v>910</v>
      </c>
      <c r="D415" s="411">
        <v>32320</v>
      </c>
      <c r="E415" s="410">
        <v>1246269757</v>
      </c>
      <c r="F415" s="412">
        <v>46140</v>
      </c>
      <c r="G415" s="410"/>
      <c r="H415" s="410" t="s">
        <v>28</v>
      </c>
      <c r="I415" s="410" t="s">
        <v>29</v>
      </c>
      <c r="J415" s="410">
        <v>2857</v>
      </c>
      <c r="K415" s="412">
        <v>46112</v>
      </c>
      <c r="L415" s="410">
        <v>1010100</v>
      </c>
      <c r="M415" s="410" t="s">
        <v>35</v>
      </c>
      <c r="N415" s="410">
        <v>161</v>
      </c>
      <c r="O415" s="410" t="s">
        <v>161</v>
      </c>
      <c r="P415" s="410" t="s">
        <v>95</v>
      </c>
      <c r="Q415">
        <f t="shared" si="8"/>
        <v>-4</v>
      </c>
      <c r="R415">
        <f>_xlfn.XLOOKUP(E415,'Data Additive'!E:E,'Data Additive'!E:E,0)</f>
        <v>1246269757</v>
      </c>
    </row>
    <row r="416" spans="1:18" x14ac:dyDescent="0.25">
      <c r="A416" s="410">
        <v>7022</v>
      </c>
      <c r="B416" s="410" t="s">
        <v>792</v>
      </c>
      <c r="C416" s="410" t="s">
        <v>101</v>
      </c>
      <c r="D416" s="411">
        <v>1800</v>
      </c>
      <c r="E416" s="410">
        <v>1246054442</v>
      </c>
      <c r="F416" s="412">
        <v>44897</v>
      </c>
      <c r="G416" s="410"/>
      <c r="H416" s="410" t="s">
        <v>28</v>
      </c>
      <c r="I416" s="410" t="s">
        <v>29</v>
      </c>
      <c r="J416" s="410">
        <v>1246054442</v>
      </c>
      <c r="K416" s="412">
        <v>44882</v>
      </c>
      <c r="L416" s="410">
        <v>3041000</v>
      </c>
      <c r="M416" s="410" t="s">
        <v>138</v>
      </c>
      <c r="N416" s="410">
        <v>46</v>
      </c>
      <c r="O416" s="410" t="s">
        <v>163</v>
      </c>
      <c r="P416" s="410" t="s">
        <v>792</v>
      </c>
      <c r="Q416">
        <f t="shared" si="8"/>
        <v>1239</v>
      </c>
      <c r="R416">
        <f>_xlfn.XLOOKUP(E416,'Data Additive'!E:E,'Data Additive'!E:E,0)</f>
        <v>0</v>
      </c>
    </row>
    <row r="417" spans="1:18" x14ac:dyDescent="0.25">
      <c r="A417" s="410">
        <v>7022</v>
      </c>
      <c r="B417" s="410" t="s">
        <v>792</v>
      </c>
      <c r="C417" s="410" t="s">
        <v>101</v>
      </c>
      <c r="D417" s="411">
        <v>70894.399999999994</v>
      </c>
      <c r="E417" s="410">
        <v>1246266057</v>
      </c>
      <c r="F417" s="412">
        <v>46143</v>
      </c>
      <c r="G417" s="410"/>
      <c r="H417" s="410" t="s">
        <v>28</v>
      </c>
      <c r="I417" s="410" t="s">
        <v>29</v>
      </c>
      <c r="J417" s="410">
        <v>10798</v>
      </c>
      <c r="K417" s="412">
        <v>46083</v>
      </c>
      <c r="L417" s="410">
        <v>1010100</v>
      </c>
      <c r="M417" s="410" t="s">
        <v>35</v>
      </c>
      <c r="N417" s="410">
        <v>161</v>
      </c>
      <c r="O417" s="410" t="s">
        <v>161</v>
      </c>
      <c r="P417" s="410" t="s">
        <v>792</v>
      </c>
      <c r="Q417">
        <f t="shared" si="8"/>
        <v>-7</v>
      </c>
      <c r="R417">
        <f>_xlfn.XLOOKUP(E417,'Data Additive'!E:E,'Data Additive'!E:E,0)</f>
        <v>1246266057</v>
      </c>
    </row>
    <row r="418" spans="1:18" x14ac:dyDescent="0.25">
      <c r="A418" s="410">
        <v>7022</v>
      </c>
      <c r="B418" s="410" t="s">
        <v>792</v>
      </c>
      <c r="C418" s="410" t="s">
        <v>101</v>
      </c>
      <c r="D418" s="411">
        <v>70658.399999999994</v>
      </c>
      <c r="E418" s="410">
        <v>1246270917</v>
      </c>
      <c r="F418" s="412">
        <v>46211</v>
      </c>
      <c r="G418" s="410"/>
      <c r="H418" s="410" t="s">
        <v>28</v>
      </c>
      <c r="I418" s="410" t="s">
        <v>29</v>
      </c>
      <c r="J418" s="410">
        <v>11081</v>
      </c>
      <c r="K418" s="412">
        <v>46121</v>
      </c>
      <c r="L418" s="410">
        <v>1010100</v>
      </c>
      <c r="M418" s="410" t="s">
        <v>35</v>
      </c>
      <c r="N418" s="410">
        <v>161</v>
      </c>
      <c r="O418" s="410" t="s">
        <v>161</v>
      </c>
      <c r="P418" s="410" t="s">
        <v>792</v>
      </c>
      <c r="Q418">
        <f t="shared" si="8"/>
        <v>-75</v>
      </c>
      <c r="R418">
        <f>_xlfn.XLOOKUP(E418,'Data Additive'!E:E,'Data Additive'!E:E,0)</f>
        <v>1246270917</v>
      </c>
    </row>
    <row r="419" spans="1:18" x14ac:dyDescent="0.25">
      <c r="A419" s="410">
        <v>7022</v>
      </c>
      <c r="B419" s="410" t="s">
        <v>792</v>
      </c>
      <c r="C419" s="410" t="s">
        <v>101</v>
      </c>
      <c r="D419" s="411">
        <v>70894.399999999994</v>
      </c>
      <c r="E419" s="410">
        <v>1246270966</v>
      </c>
      <c r="F419" s="412">
        <v>46212</v>
      </c>
      <c r="G419" s="410"/>
      <c r="H419" s="410" t="s">
        <v>28</v>
      </c>
      <c r="I419" s="410" t="s">
        <v>29</v>
      </c>
      <c r="J419" s="410">
        <v>11087</v>
      </c>
      <c r="K419" s="412">
        <v>46122</v>
      </c>
      <c r="L419" s="410">
        <v>1010100</v>
      </c>
      <c r="M419" s="410" t="s">
        <v>35</v>
      </c>
      <c r="N419" s="410">
        <v>161</v>
      </c>
      <c r="O419" s="410" t="s">
        <v>161</v>
      </c>
      <c r="P419" s="410" t="s">
        <v>792</v>
      </c>
      <c r="Q419">
        <f t="shared" si="8"/>
        <v>-76</v>
      </c>
      <c r="R419">
        <f>_xlfn.XLOOKUP(E419,'Data Additive'!E:E,'Data Additive'!E:E,0)</f>
        <v>1246270966</v>
      </c>
    </row>
    <row r="420" spans="1:18" x14ac:dyDescent="0.25">
      <c r="A420" s="410">
        <v>7022</v>
      </c>
      <c r="B420" s="410" t="s">
        <v>792</v>
      </c>
      <c r="C420" s="410" t="s">
        <v>101</v>
      </c>
      <c r="D420" s="411">
        <v>70894.399999999994</v>
      </c>
      <c r="E420" s="410">
        <v>1246269324</v>
      </c>
      <c r="F420" s="412">
        <v>46197</v>
      </c>
      <c r="G420" s="410"/>
      <c r="H420" s="410" t="s">
        <v>28</v>
      </c>
      <c r="I420" s="410" t="s">
        <v>29</v>
      </c>
      <c r="J420" s="410">
        <v>10982</v>
      </c>
      <c r="K420" s="412">
        <v>46107</v>
      </c>
      <c r="L420" s="410">
        <v>1010100</v>
      </c>
      <c r="M420" s="410" t="s">
        <v>35</v>
      </c>
      <c r="N420" s="410">
        <v>161</v>
      </c>
      <c r="O420" s="410" t="s">
        <v>161</v>
      </c>
      <c r="P420" s="410" t="s">
        <v>792</v>
      </c>
      <c r="Q420">
        <f t="shared" si="8"/>
        <v>-61</v>
      </c>
      <c r="R420">
        <f>_xlfn.XLOOKUP(E420,'Data Additive'!E:E,'Data Additive'!E:E,0)</f>
        <v>1246269324</v>
      </c>
    </row>
    <row r="421" spans="1:18" x14ac:dyDescent="0.25">
      <c r="A421" s="410">
        <v>7022</v>
      </c>
      <c r="B421" s="410" t="s">
        <v>792</v>
      </c>
      <c r="C421" s="410" t="s">
        <v>101</v>
      </c>
      <c r="D421" s="411">
        <v>71154</v>
      </c>
      <c r="E421" s="410">
        <v>1246265854</v>
      </c>
      <c r="F421" s="412">
        <v>46140</v>
      </c>
      <c r="G421" s="410"/>
      <c r="H421" s="410" t="s">
        <v>28</v>
      </c>
      <c r="I421" s="410" t="s">
        <v>29</v>
      </c>
      <c r="J421" s="410">
        <v>10789</v>
      </c>
      <c r="K421" s="412">
        <v>46080</v>
      </c>
      <c r="L421" s="410">
        <v>1010100</v>
      </c>
      <c r="M421" s="410" t="s">
        <v>35</v>
      </c>
      <c r="N421" s="410">
        <v>161</v>
      </c>
      <c r="O421" s="410" t="s">
        <v>161</v>
      </c>
      <c r="P421" s="410" t="s">
        <v>792</v>
      </c>
      <c r="Q421">
        <f t="shared" si="8"/>
        <v>-4</v>
      </c>
      <c r="R421">
        <f>_xlfn.XLOOKUP(E421,'Data Additive'!E:E,'Data Additive'!E:E,0)</f>
        <v>1246265854</v>
      </c>
    </row>
    <row r="422" spans="1:18" x14ac:dyDescent="0.25">
      <c r="A422" s="410">
        <v>7022</v>
      </c>
      <c r="B422" s="410" t="s">
        <v>792</v>
      </c>
      <c r="C422" s="410" t="s">
        <v>101</v>
      </c>
      <c r="D422" s="411">
        <v>70705.600000000006</v>
      </c>
      <c r="E422" s="410">
        <v>1246268533</v>
      </c>
      <c r="F422" s="412">
        <v>46191</v>
      </c>
      <c r="G422" s="410"/>
      <c r="H422" s="410" t="s">
        <v>28</v>
      </c>
      <c r="I422" s="410" t="s">
        <v>29</v>
      </c>
      <c r="J422" s="410">
        <v>10943</v>
      </c>
      <c r="K422" s="412">
        <v>46101</v>
      </c>
      <c r="L422" s="410">
        <v>1010100</v>
      </c>
      <c r="M422" s="410" t="s">
        <v>35</v>
      </c>
      <c r="N422" s="410">
        <v>161</v>
      </c>
      <c r="O422" s="410" t="s">
        <v>161</v>
      </c>
      <c r="P422" s="410" t="s">
        <v>792</v>
      </c>
      <c r="Q422">
        <f t="shared" si="8"/>
        <v>-55</v>
      </c>
      <c r="R422">
        <f>_xlfn.XLOOKUP(E422,'Data Additive'!E:E,'Data Additive'!E:E,0)</f>
        <v>1246268533</v>
      </c>
    </row>
    <row r="423" spans="1:18" x14ac:dyDescent="0.25">
      <c r="A423" s="410">
        <v>7022</v>
      </c>
      <c r="B423" s="410" t="s">
        <v>792</v>
      </c>
      <c r="C423" s="410" t="s">
        <v>101</v>
      </c>
      <c r="D423" s="411">
        <v>70516.800000000003</v>
      </c>
      <c r="E423" s="410">
        <v>1246270817</v>
      </c>
      <c r="F423" s="412">
        <v>46211</v>
      </c>
      <c r="G423" s="410"/>
      <c r="H423" s="410" t="s">
        <v>28</v>
      </c>
      <c r="I423" s="410" t="s">
        <v>29</v>
      </c>
      <c r="J423" s="410">
        <v>11077</v>
      </c>
      <c r="K423" s="412">
        <v>46121</v>
      </c>
      <c r="L423" s="410">
        <v>1010100</v>
      </c>
      <c r="M423" s="410" t="s">
        <v>35</v>
      </c>
      <c r="N423" s="410">
        <v>161</v>
      </c>
      <c r="O423" s="410" t="s">
        <v>161</v>
      </c>
      <c r="P423" s="410" t="s">
        <v>792</v>
      </c>
      <c r="Q423">
        <f t="shared" si="8"/>
        <v>-75</v>
      </c>
      <c r="R423">
        <f>_xlfn.XLOOKUP(E423,'Data Additive'!E:E,'Data Additive'!E:E,0)</f>
        <v>1246270817</v>
      </c>
    </row>
    <row r="424" spans="1:18" x14ac:dyDescent="0.25">
      <c r="A424" s="410">
        <v>7022</v>
      </c>
      <c r="B424" s="410" t="s">
        <v>792</v>
      </c>
      <c r="C424" s="410" t="s">
        <v>101</v>
      </c>
      <c r="D424" s="411">
        <v>71012.399999999994</v>
      </c>
      <c r="E424" s="410">
        <v>1246272359</v>
      </c>
      <c r="F424" s="412">
        <v>46226</v>
      </c>
      <c r="G424" s="410"/>
      <c r="H424" s="410" t="s">
        <v>28</v>
      </c>
      <c r="I424" s="410" t="s">
        <v>29</v>
      </c>
      <c r="J424" s="410">
        <v>11207</v>
      </c>
      <c r="K424" s="412">
        <v>46136</v>
      </c>
      <c r="L424" s="410">
        <v>1010100</v>
      </c>
      <c r="M424" s="410" t="s">
        <v>35</v>
      </c>
      <c r="N424" s="410">
        <v>161</v>
      </c>
      <c r="O424" s="410" t="s">
        <v>161</v>
      </c>
      <c r="P424" s="410" t="s">
        <v>792</v>
      </c>
      <c r="Q424">
        <f t="shared" si="8"/>
        <v>-90</v>
      </c>
      <c r="R424">
        <f>_xlfn.XLOOKUP(E424,'Data Additive'!E:E,'Data Additive'!E:E,0)</f>
        <v>1246272359</v>
      </c>
    </row>
    <row r="425" spans="1:18" x14ac:dyDescent="0.25">
      <c r="A425" s="410">
        <v>7022</v>
      </c>
      <c r="B425" s="410" t="s">
        <v>792</v>
      </c>
      <c r="C425" s="410" t="s">
        <v>101</v>
      </c>
      <c r="D425" s="411">
        <v>70988.800000000003</v>
      </c>
      <c r="E425" s="410">
        <v>1246266859</v>
      </c>
      <c r="F425" s="412">
        <v>46147</v>
      </c>
      <c r="G425" s="410"/>
      <c r="H425" s="410" t="s">
        <v>28</v>
      </c>
      <c r="I425" s="410" t="s">
        <v>29</v>
      </c>
      <c r="J425" s="410">
        <v>10829</v>
      </c>
      <c r="K425" s="412">
        <v>46087</v>
      </c>
      <c r="L425" s="410">
        <v>1010100</v>
      </c>
      <c r="M425" s="410" t="s">
        <v>35</v>
      </c>
      <c r="N425" s="410">
        <v>161</v>
      </c>
      <c r="O425" s="410" t="s">
        <v>161</v>
      </c>
      <c r="P425" s="410" t="s">
        <v>792</v>
      </c>
      <c r="Q425">
        <f t="shared" si="8"/>
        <v>-11</v>
      </c>
      <c r="R425">
        <f>_xlfn.XLOOKUP(E425,'Data Additive'!E:E,'Data Additive'!E:E,0)</f>
        <v>1246266859</v>
      </c>
    </row>
    <row r="426" spans="1:18" x14ac:dyDescent="0.25">
      <c r="A426" s="410">
        <v>7022</v>
      </c>
      <c r="B426" s="410" t="s">
        <v>792</v>
      </c>
      <c r="C426" s="410" t="s">
        <v>101</v>
      </c>
      <c r="D426" s="411">
        <v>70705.600000000006</v>
      </c>
      <c r="E426" s="410">
        <v>1246267824</v>
      </c>
      <c r="F426" s="412">
        <v>46157</v>
      </c>
      <c r="G426" s="410"/>
      <c r="H426" s="410" t="s">
        <v>28</v>
      </c>
      <c r="I426" s="410" t="s">
        <v>29</v>
      </c>
      <c r="J426" s="410">
        <v>10891</v>
      </c>
      <c r="K426" s="412">
        <v>46097</v>
      </c>
      <c r="L426" s="410">
        <v>1010100</v>
      </c>
      <c r="M426" s="410" t="s">
        <v>35</v>
      </c>
      <c r="N426" s="410">
        <v>161</v>
      </c>
      <c r="O426" s="410" t="s">
        <v>161</v>
      </c>
      <c r="P426" s="410" t="s">
        <v>792</v>
      </c>
      <c r="Q426">
        <f t="shared" si="8"/>
        <v>-21</v>
      </c>
      <c r="R426">
        <f>_xlfn.XLOOKUP(E426,'Data Additive'!E:E,'Data Additive'!E:E,0)</f>
        <v>1246267824</v>
      </c>
    </row>
    <row r="427" spans="1:18" x14ac:dyDescent="0.25">
      <c r="A427" s="410">
        <v>7022</v>
      </c>
      <c r="B427" s="410" t="s">
        <v>792</v>
      </c>
      <c r="C427" s="410" t="s">
        <v>101</v>
      </c>
      <c r="D427" s="411">
        <v>71508</v>
      </c>
      <c r="E427" s="410">
        <v>1246267571</v>
      </c>
      <c r="F427" s="412">
        <v>46153</v>
      </c>
      <c r="G427" s="410"/>
      <c r="H427" s="410" t="s">
        <v>28</v>
      </c>
      <c r="I427" s="410" t="s">
        <v>29</v>
      </c>
      <c r="J427" s="410">
        <v>10871</v>
      </c>
      <c r="K427" s="412">
        <v>46093</v>
      </c>
      <c r="L427" s="410">
        <v>1010100</v>
      </c>
      <c r="M427" s="410" t="s">
        <v>35</v>
      </c>
      <c r="N427" s="410">
        <v>161</v>
      </c>
      <c r="O427" s="410" t="s">
        <v>161</v>
      </c>
      <c r="P427" s="410" t="s">
        <v>792</v>
      </c>
      <c r="Q427">
        <f t="shared" si="8"/>
        <v>-17</v>
      </c>
      <c r="R427">
        <f>_xlfn.XLOOKUP(E427,'Data Additive'!E:E,'Data Additive'!E:E,0)</f>
        <v>1246267571</v>
      </c>
    </row>
    <row r="428" spans="1:18" x14ac:dyDescent="0.25">
      <c r="A428" s="410">
        <v>7022</v>
      </c>
      <c r="B428" s="410" t="s">
        <v>792</v>
      </c>
      <c r="C428" s="410" t="s">
        <v>101</v>
      </c>
      <c r="D428" s="411">
        <v>70516.800000000003</v>
      </c>
      <c r="E428" s="410">
        <v>1246270344</v>
      </c>
      <c r="F428" s="412">
        <v>46208</v>
      </c>
      <c r="G428" s="410"/>
      <c r="H428" s="410" t="s">
        <v>28</v>
      </c>
      <c r="I428" s="410" t="s">
        <v>29</v>
      </c>
      <c r="J428" s="410">
        <v>11052</v>
      </c>
      <c r="K428" s="412">
        <v>46118</v>
      </c>
      <c r="L428" s="410">
        <v>1010100</v>
      </c>
      <c r="M428" s="410" t="s">
        <v>35</v>
      </c>
      <c r="N428" s="410">
        <v>161</v>
      </c>
      <c r="O428" s="410" t="s">
        <v>161</v>
      </c>
      <c r="P428" s="410" t="s">
        <v>792</v>
      </c>
      <c r="Q428">
        <f t="shared" si="8"/>
        <v>-72</v>
      </c>
      <c r="R428">
        <f>_xlfn.XLOOKUP(E428,'Data Additive'!E:E,'Data Additive'!E:E,0)</f>
        <v>1246270344</v>
      </c>
    </row>
    <row r="429" spans="1:18" x14ac:dyDescent="0.25">
      <c r="A429" s="410">
        <v>7022</v>
      </c>
      <c r="B429" s="410" t="s">
        <v>792</v>
      </c>
      <c r="C429" s="410" t="s">
        <v>101</v>
      </c>
      <c r="D429" s="411">
        <v>70705.600000000006</v>
      </c>
      <c r="E429" s="410">
        <v>1246271135</v>
      </c>
      <c r="F429" s="412">
        <v>46215</v>
      </c>
      <c r="G429" s="410"/>
      <c r="H429" s="410" t="s">
        <v>28</v>
      </c>
      <c r="I429" s="410" t="s">
        <v>29</v>
      </c>
      <c r="J429" s="410">
        <v>11102</v>
      </c>
      <c r="K429" s="412">
        <v>46125</v>
      </c>
      <c r="L429" s="410">
        <v>1010100</v>
      </c>
      <c r="M429" s="410" t="s">
        <v>35</v>
      </c>
      <c r="N429" s="410">
        <v>161</v>
      </c>
      <c r="O429" s="410" t="s">
        <v>161</v>
      </c>
      <c r="P429" s="410" t="s">
        <v>792</v>
      </c>
      <c r="Q429">
        <f t="shared" si="8"/>
        <v>-79</v>
      </c>
      <c r="R429">
        <f>_xlfn.XLOOKUP(E429,'Data Additive'!E:E,'Data Additive'!E:E,0)</f>
        <v>1246271135</v>
      </c>
    </row>
    <row r="430" spans="1:18" x14ac:dyDescent="0.25">
      <c r="A430" s="410">
        <v>7022</v>
      </c>
      <c r="B430" s="410" t="s">
        <v>792</v>
      </c>
      <c r="C430" s="410" t="s">
        <v>101</v>
      </c>
      <c r="D430" s="411">
        <v>70941.600000000006</v>
      </c>
      <c r="E430" s="410">
        <v>1246271888</v>
      </c>
      <c r="F430" s="412">
        <v>46222</v>
      </c>
      <c r="G430" s="410"/>
      <c r="H430" s="410" t="s">
        <v>28</v>
      </c>
      <c r="I430" s="410" t="s">
        <v>29</v>
      </c>
      <c r="J430" s="410">
        <v>11176</v>
      </c>
      <c r="K430" s="412">
        <v>46132</v>
      </c>
      <c r="L430" s="410">
        <v>1010100</v>
      </c>
      <c r="M430" s="410" t="s">
        <v>35</v>
      </c>
      <c r="N430" s="410">
        <v>161</v>
      </c>
      <c r="O430" s="410" t="s">
        <v>161</v>
      </c>
      <c r="P430" s="410" t="s">
        <v>792</v>
      </c>
      <c r="Q430">
        <f t="shared" si="8"/>
        <v>-86</v>
      </c>
      <c r="R430">
        <f>_xlfn.XLOOKUP(E430,'Data Additive'!E:E,'Data Additive'!E:E,0)</f>
        <v>1246271888</v>
      </c>
    </row>
    <row r="431" spans="1:18" x14ac:dyDescent="0.25">
      <c r="A431" s="410">
        <v>7022</v>
      </c>
      <c r="B431" s="410" t="s">
        <v>792</v>
      </c>
      <c r="C431" s="410" t="s">
        <v>101</v>
      </c>
      <c r="D431" s="411">
        <v>70752.800000000003</v>
      </c>
      <c r="E431" s="410">
        <v>1246265339</v>
      </c>
      <c r="F431" s="412">
        <v>46139</v>
      </c>
      <c r="G431" s="410"/>
      <c r="H431" s="410" t="s">
        <v>28</v>
      </c>
      <c r="I431" s="410" t="s">
        <v>29</v>
      </c>
      <c r="J431" s="410">
        <v>10774</v>
      </c>
      <c r="K431" s="412">
        <v>46079</v>
      </c>
      <c r="L431" s="410">
        <v>1010100</v>
      </c>
      <c r="M431" s="410" t="s">
        <v>35</v>
      </c>
      <c r="N431" s="410">
        <v>161</v>
      </c>
      <c r="O431" s="410" t="s">
        <v>161</v>
      </c>
      <c r="P431" s="410" t="s">
        <v>792</v>
      </c>
      <c r="Q431">
        <f t="shared" si="8"/>
        <v>-3</v>
      </c>
      <c r="R431">
        <f>_xlfn.XLOOKUP(E431,'Data Additive'!E:E,'Data Additive'!E:E,0)</f>
        <v>1246265339</v>
      </c>
    </row>
    <row r="432" spans="1:18" x14ac:dyDescent="0.25">
      <c r="A432" s="410">
        <v>7060</v>
      </c>
      <c r="B432" s="410" t="s">
        <v>182</v>
      </c>
      <c r="C432" s="410" t="s">
        <v>183</v>
      </c>
      <c r="D432" s="411">
        <v>5180.3999999999996</v>
      </c>
      <c r="E432" s="410">
        <v>1246254161</v>
      </c>
      <c r="F432" s="412">
        <v>46281</v>
      </c>
      <c r="G432" s="410"/>
      <c r="H432" s="410" t="s">
        <v>173</v>
      </c>
      <c r="I432" s="410" t="s">
        <v>174</v>
      </c>
      <c r="J432" s="410">
        <v>10278</v>
      </c>
      <c r="K432" s="412">
        <v>46006</v>
      </c>
      <c r="L432" s="410">
        <v>1010100</v>
      </c>
      <c r="M432" s="410" t="s">
        <v>35</v>
      </c>
      <c r="N432" s="410">
        <v>161</v>
      </c>
      <c r="O432" s="410" t="s">
        <v>161</v>
      </c>
      <c r="P432" s="410" t="s">
        <v>182</v>
      </c>
      <c r="Q432">
        <f t="shared" si="8"/>
        <v>-145</v>
      </c>
      <c r="R432">
        <f>_xlfn.XLOOKUP(E432,'Data Additive'!E:E,'Data Additive'!E:E,0)</f>
        <v>0</v>
      </c>
    </row>
    <row r="433" spans="1:18" x14ac:dyDescent="0.25">
      <c r="A433" s="410">
        <v>7060</v>
      </c>
      <c r="B433" s="410" t="s">
        <v>182</v>
      </c>
      <c r="C433" s="410" t="s">
        <v>183</v>
      </c>
      <c r="D433" s="411">
        <v>8288.64</v>
      </c>
      <c r="E433" s="410">
        <v>1246252321</v>
      </c>
      <c r="F433" s="412">
        <v>46269</v>
      </c>
      <c r="G433" s="410"/>
      <c r="H433" s="410" t="s">
        <v>173</v>
      </c>
      <c r="I433" s="410" t="s">
        <v>174</v>
      </c>
      <c r="J433" s="410">
        <v>10183</v>
      </c>
      <c r="K433" s="412">
        <v>45994</v>
      </c>
      <c r="L433" s="410">
        <v>1010100</v>
      </c>
      <c r="M433" s="410" t="s">
        <v>35</v>
      </c>
      <c r="N433" s="410">
        <v>161</v>
      </c>
      <c r="O433" s="410" t="s">
        <v>161</v>
      </c>
      <c r="P433" s="410" t="s">
        <v>182</v>
      </c>
      <c r="Q433">
        <f t="shared" si="8"/>
        <v>-133</v>
      </c>
      <c r="R433">
        <f>_xlfn.XLOOKUP(E433,'Data Additive'!E:E,'Data Additive'!E:E,0)</f>
        <v>0</v>
      </c>
    </row>
    <row r="434" spans="1:18" x14ac:dyDescent="0.25">
      <c r="A434" s="410">
        <v>7060</v>
      </c>
      <c r="B434" s="410" t="s">
        <v>182</v>
      </c>
      <c r="C434" s="410" t="s">
        <v>183</v>
      </c>
      <c r="D434" s="411">
        <v>67383.5</v>
      </c>
      <c r="E434" s="410">
        <v>1246254471</v>
      </c>
      <c r="F434" s="412">
        <v>46279</v>
      </c>
      <c r="G434" s="410"/>
      <c r="H434" s="410" t="s">
        <v>173</v>
      </c>
      <c r="I434" s="410" t="s">
        <v>174</v>
      </c>
      <c r="J434" s="410">
        <v>10301</v>
      </c>
      <c r="K434" s="412">
        <v>46007</v>
      </c>
      <c r="L434" s="410">
        <v>1010100</v>
      </c>
      <c r="M434" s="410" t="s">
        <v>35</v>
      </c>
      <c r="N434" s="410">
        <v>161</v>
      </c>
      <c r="O434" s="410" t="s">
        <v>161</v>
      </c>
      <c r="P434" s="410" t="s">
        <v>182</v>
      </c>
      <c r="Q434">
        <f t="shared" si="8"/>
        <v>-143</v>
      </c>
      <c r="R434">
        <f>_xlfn.XLOOKUP(E434,'Data Additive'!E:E,'Data Additive'!E:E,0)</f>
        <v>0</v>
      </c>
    </row>
    <row r="435" spans="1:18" x14ac:dyDescent="0.25">
      <c r="A435" s="410">
        <v>7060</v>
      </c>
      <c r="B435" s="410" t="s">
        <v>182</v>
      </c>
      <c r="C435" s="410" t="s">
        <v>183</v>
      </c>
      <c r="D435" s="411">
        <v>202489.44</v>
      </c>
      <c r="E435" s="410">
        <v>1246233024</v>
      </c>
      <c r="F435" s="412">
        <v>46264</v>
      </c>
      <c r="G435" s="410"/>
      <c r="H435" s="410" t="s">
        <v>173</v>
      </c>
      <c r="I435" s="410" t="s">
        <v>174</v>
      </c>
      <c r="J435" s="410">
        <v>9046</v>
      </c>
      <c r="K435" s="412">
        <v>45895</v>
      </c>
      <c r="L435" s="410">
        <v>1010100</v>
      </c>
      <c r="M435" s="410" t="s">
        <v>35</v>
      </c>
      <c r="N435" s="410">
        <v>56</v>
      </c>
      <c r="O435" s="410" t="s">
        <v>162</v>
      </c>
      <c r="P435" s="410" t="s">
        <v>182</v>
      </c>
      <c r="Q435">
        <f t="shared" si="8"/>
        <v>-128</v>
      </c>
      <c r="R435">
        <f>_xlfn.XLOOKUP(E435,'Data Additive'!E:E,'Data Additive'!E:E,0)</f>
        <v>0</v>
      </c>
    </row>
    <row r="436" spans="1:18" x14ac:dyDescent="0.25">
      <c r="A436" s="410">
        <v>7060</v>
      </c>
      <c r="B436" s="410" t="s">
        <v>182</v>
      </c>
      <c r="C436" s="410" t="s">
        <v>183</v>
      </c>
      <c r="D436" s="411">
        <v>210926.49999999997</v>
      </c>
      <c r="E436" s="410">
        <v>1246232491</v>
      </c>
      <c r="F436" s="412">
        <v>46264</v>
      </c>
      <c r="G436" s="410"/>
      <c r="H436" s="410" t="s">
        <v>173</v>
      </c>
      <c r="I436" s="410" t="s">
        <v>174</v>
      </c>
      <c r="J436" s="410">
        <v>9006</v>
      </c>
      <c r="K436" s="412">
        <v>45891</v>
      </c>
      <c r="L436" s="410">
        <v>1010100</v>
      </c>
      <c r="M436" s="410" t="s">
        <v>35</v>
      </c>
      <c r="N436" s="410">
        <v>56</v>
      </c>
      <c r="O436" s="410" t="s">
        <v>162</v>
      </c>
      <c r="P436" s="410" t="s">
        <v>182</v>
      </c>
      <c r="Q436">
        <f t="shared" si="8"/>
        <v>-128</v>
      </c>
      <c r="R436">
        <f>_xlfn.XLOOKUP(E436,'Data Additive'!E:E,'Data Additive'!E:E,0)</f>
        <v>0</v>
      </c>
    </row>
    <row r="437" spans="1:18" x14ac:dyDescent="0.25">
      <c r="A437" s="410">
        <v>7060</v>
      </c>
      <c r="B437" s="410" t="s">
        <v>182</v>
      </c>
      <c r="C437" s="410" t="s">
        <v>183</v>
      </c>
      <c r="D437" s="411">
        <v>130331.92</v>
      </c>
      <c r="E437" s="410">
        <v>1246232349</v>
      </c>
      <c r="F437" s="412">
        <v>46144</v>
      </c>
      <c r="G437" s="410"/>
      <c r="H437" s="410" t="s">
        <v>173</v>
      </c>
      <c r="I437" s="410" t="s">
        <v>174</v>
      </c>
      <c r="J437" s="410">
        <v>8975</v>
      </c>
      <c r="K437" s="412">
        <v>45890</v>
      </c>
      <c r="L437" s="410">
        <v>1010100</v>
      </c>
      <c r="M437" s="410" t="s">
        <v>35</v>
      </c>
      <c r="N437" s="410">
        <v>56</v>
      </c>
      <c r="O437" s="410" t="s">
        <v>162</v>
      </c>
      <c r="P437" s="410" t="s">
        <v>182</v>
      </c>
      <c r="Q437">
        <f t="shared" si="8"/>
        <v>-8</v>
      </c>
      <c r="R437">
        <f>_xlfn.XLOOKUP(E437,'Data Additive'!E:E,'Data Additive'!E:E,0)</f>
        <v>0</v>
      </c>
    </row>
    <row r="438" spans="1:18" x14ac:dyDescent="0.25">
      <c r="A438" s="410">
        <v>7060</v>
      </c>
      <c r="B438" s="410" t="s">
        <v>182</v>
      </c>
      <c r="C438" s="410" t="s">
        <v>183</v>
      </c>
      <c r="D438" s="411">
        <v>6817.24</v>
      </c>
      <c r="E438" s="410">
        <v>1246232336</v>
      </c>
      <c r="F438" s="412">
        <v>46144</v>
      </c>
      <c r="G438" s="410"/>
      <c r="H438" s="410" t="s">
        <v>173</v>
      </c>
      <c r="I438" s="410" t="s">
        <v>174</v>
      </c>
      <c r="J438" s="410">
        <v>8973</v>
      </c>
      <c r="K438" s="412">
        <v>45890</v>
      </c>
      <c r="L438" s="410">
        <v>1010100</v>
      </c>
      <c r="M438" s="410" t="s">
        <v>35</v>
      </c>
      <c r="N438" s="410">
        <v>56</v>
      </c>
      <c r="O438" s="410" t="s">
        <v>162</v>
      </c>
      <c r="P438" s="410" t="s">
        <v>182</v>
      </c>
      <c r="Q438">
        <f t="shared" si="8"/>
        <v>-8</v>
      </c>
      <c r="R438">
        <f>_xlfn.XLOOKUP(E438,'Data Additive'!E:E,'Data Additive'!E:E,0)</f>
        <v>0</v>
      </c>
    </row>
    <row r="439" spans="1:18" x14ac:dyDescent="0.25">
      <c r="A439" s="410">
        <v>7060</v>
      </c>
      <c r="B439" s="410" t="s">
        <v>182</v>
      </c>
      <c r="C439" s="410" t="s">
        <v>183</v>
      </c>
      <c r="D439" s="411">
        <v>135891.48000000001</v>
      </c>
      <c r="E439" s="410">
        <v>1246233319</v>
      </c>
      <c r="F439" s="412">
        <v>46266</v>
      </c>
      <c r="G439" s="410"/>
      <c r="H439" s="410" t="s">
        <v>173</v>
      </c>
      <c r="I439" s="410" t="s">
        <v>174</v>
      </c>
      <c r="J439" s="410">
        <v>9076</v>
      </c>
      <c r="K439" s="412">
        <v>45896</v>
      </c>
      <c r="L439" s="410">
        <v>1010100</v>
      </c>
      <c r="M439" s="410" t="s">
        <v>35</v>
      </c>
      <c r="N439" s="410">
        <v>56</v>
      </c>
      <c r="O439" s="410" t="s">
        <v>162</v>
      </c>
      <c r="P439" s="410" t="s">
        <v>182</v>
      </c>
      <c r="Q439">
        <f t="shared" si="8"/>
        <v>-130</v>
      </c>
      <c r="R439">
        <f>_xlfn.XLOOKUP(E439,'Data Additive'!E:E,'Data Additive'!E:E,0)</f>
        <v>0</v>
      </c>
    </row>
    <row r="440" spans="1:18" x14ac:dyDescent="0.25">
      <c r="A440" s="410">
        <v>7060</v>
      </c>
      <c r="B440" s="410" t="s">
        <v>182</v>
      </c>
      <c r="C440" s="410" t="s">
        <v>183</v>
      </c>
      <c r="D440" s="411">
        <v>137584.20000000001</v>
      </c>
      <c r="E440" s="410">
        <v>1246232316</v>
      </c>
      <c r="F440" s="412">
        <v>46144</v>
      </c>
      <c r="G440" s="410"/>
      <c r="H440" s="410" t="s">
        <v>173</v>
      </c>
      <c r="I440" s="410" t="s">
        <v>174</v>
      </c>
      <c r="J440" s="410">
        <v>8971</v>
      </c>
      <c r="K440" s="412">
        <v>45890</v>
      </c>
      <c r="L440" s="410">
        <v>1010100</v>
      </c>
      <c r="M440" s="410" t="s">
        <v>35</v>
      </c>
      <c r="N440" s="410">
        <v>56</v>
      </c>
      <c r="O440" s="410" t="s">
        <v>162</v>
      </c>
      <c r="P440" s="410" t="s">
        <v>182</v>
      </c>
      <c r="Q440">
        <f t="shared" si="8"/>
        <v>-8</v>
      </c>
      <c r="R440">
        <f>_xlfn.XLOOKUP(E440,'Data Additive'!E:E,'Data Additive'!E:E,0)</f>
        <v>0</v>
      </c>
    </row>
    <row r="441" spans="1:18" x14ac:dyDescent="0.25">
      <c r="A441" s="410">
        <v>7060</v>
      </c>
      <c r="B441" s="410" t="s">
        <v>182</v>
      </c>
      <c r="C441" s="410" t="s">
        <v>183</v>
      </c>
      <c r="D441" s="411">
        <v>160304.14000000001</v>
      </c>
      <c r="E441" s="410">
        <v>1246232724</v>
      </c>
      <c r="F441" s="412">
        <v>46264</v>
      </c>
      <c r="G441" s="410"/>
      <c r="H441" s="410" t="s">
        <v>173</v>
      </c>
      <c r="I441" s="410" t="s">
        <v>174</v>
      </c>
      <c r="J441" s="410">
        <v>9023</v>
      </c>
      <c r="K441" s="412">
        <v>45894</v>
      </c>
      <c r="L441" s="410">
        <v>1010100</v>
      </c>
      <c r="M441" s="410" t="s">
        <v>35</v>
      </c>
      <c r="N441" s="410">
        <v>56</v>
      </c>
      <c r="O441" s="410" t="s">
        <v>162</v>
      </c>
      <c r="P441" s="410" t="s">
        <v>182</v>
      </c>
      <c r="Q441">
        <f t="shared" si="8"/>
        <v>-128</v>
      </c>
      <c r="R441">
        <f>_xlfn.XLOOKUP(E441,'Data Additive'!E:E,'Data Additive'!E:E,0)</f>
        <v>0</v>
      </c>
    </row>
    <row r="442" spans="1:18" x14ac:dyDescent="0.25">
      <c r="A442" s="410">
        <v>7060</v>
      </c>
      <c r="B442" s="410" t="s">
        <v>182</v>
      </c>
      <c r="C442" s="410" t="s">
        <v>183</v>
      </c>
      <c r="D442" s="411">
        <v>134992.95999999999</v>
      </c>
      <c r="E442" s="410">
        <v>1246233318</v>
      </c>
      <c r="F442" s="412">
        <v>46265</v>
      </c>
      <c r="G442" s="410"/>
      <c r="H442" s="410" t="s">
        <v>173</v>
      </c>
      <c r="I442" s="410" t="s">
        <v>174</v>
      </c>
      <c r="J442" s="410">
        <v>9075</v>
      </c>
      <c r="K442" s="412">
        <v>45896</v>
      </c>
      <c r="L442" s="410">
        <v>1010100</v>
      </c>
      <c r="M442" s="410" t="s">
        <v>35</v>
      </c>
      <c r="N442" s="410">
        <v>56</v>
      </c>
      <c r="O442" s="410" t="s">
        <v>162</v>
      </c>
      <c r="P442" s="410" t="s">
        <v>182</v>
      </c>
      <c r="Q442">
        <f t="shared" si="8"/>
        <v>-129</v>
      </c>
      <c r="R442">
        <f>_xlfn.XLOOKUP(E442,'Data Additive'!E:E,'Data Additive'!E:E,0)</f>
        <v>0</v>
      </c>
    </row>
    <row r="443" spans="1:18" x14ac:dyDescent="0.25">
      <c r="A443" s="410">
        <v>6370</v>
      </c>
      <c r="B443" s="410" t="s">
        <v>295</v>
      </c>
      <c r="C443" s="410" t="s">
        <v>32</v>
      </c>
      <c r="D443" s="411">
        <v>177202.68</v>
      </c>
      <c r="E443" s="410">
        <v>1246270149</v>
      </c>
      <c r="F443" s="412">
        <v>46144</v>
      </c>
      <c r="G443" s="410"/>
      <c r="H443" s="410" t="s">
        <v>28</v>
      </c>
      <c r="I443" s="410" t="s">
        <v>29</v>
      </c>
      <c r="J443" s="410">
        <v>11042</v>
      </c>
      <c r="K443" s="412">
        <v>46114</v>
      </c>
      <c r="L443" s="410">
        <v>1010200</v>
      </c>
      <c r="M443" s="410" t="s">
        <v>125</v>
      </c>
      <c r="N443" s="410">
        <v>40</v>
      </c>
      <c r="O443" s="410" t="s">
        <v>171</v>
      </c>
      <c r="P443" s="410" t="s">
        <v>295</v>
      </c>
      <c r="Q443">
        <f t="shared" si="8"/>
        <v>-8</v>
      </c>
      <c r="R443">
        <f>_xlfn.XLOOKUP(E443,'Data Additive'!E:E,'Data Additive'!E:E,0)</f>
        <v>0</v>
      </c>
    </row>
    <row r="444" spans="1:18" x14ac:dyDescent="0.25">
      <c r="A444" s="410">
        <v>6370</v>
      </c>
      <c r="B444" s="410" t="s">
        <v>295</v>
      </c>
      <c r="C444" s="410" t="s">
        <v>32</v>
      </c>
      <c r="D444" s="411">
        <v>172806.77</v>
      </c>
      <c r="E444" s="410">
        <v>1246272162</v>
      </c>
      <c r="F444" s="412">
        <v>46164</v>
      </c>
      <c r="G444" s="410"/>
      <c r="H444" s="410" t="s">
        <v>28</v>
      </c>
      <c r="I444" s="410" t="s">
        <v>29</v>
      </c>
      <c r="J444" s="410">
        <v>11193</v>
      </c>
      <c r="K444" s="412">
        <v>46134</v>
      </c>
      <c r="L444" s="410">
        <v>1010200</v>
      </c>
      <c r="M444" s="410" t="s">
        <v>125</v>
      </c>
      <c r="N444" s="410">
        <v>40</v>
      </c>
      <c r="O444" s="410" t="s">
        <v>171</v>
      </c>
      <c r="P444" s="410" t="s">
        <v>295</v>
      </c>
      <c r="Q444">
        <f t="shared" si="8"/>
        <v>-28</v>
      </c>
      <c r="R444">
        <f>_xlfn.XLOOKUP(E444,'Data Additive'!E:E,'Data Additive'!E:E,0)</f>
        <v>0</v>
      </c>
    </row>
    <row r="445" spans="1:18" x14ac:dyDescent="0.25">
      <c r="A445" s="410">
        <v>9708</v>
      </c>
      <c r="B445" s="410" t="s">
        <v>635</v>
      </c>
      <c r="C445" s="410" t="s">
        <v>31</v>
      </c>
      <c r="D445" s="411">
        <v>687688.91</v>
      </c>
      <c r="E445" s="410">
        <v>1246271322</v>
      </c>
      <c r="F445" s="412">
        <v>46186</v>
      </c>
      <c r="G445" s="410"/>
      <c r="H445" s="410"/>
      <c r="I445" s="410" t="s">
        <v>373</v>
      </c>
      <c r="J445" s="410">
        <v>11122</v>
      </c>
      <c r="K445" s="412">
        <v>46126</v>
      </c>
      <c r="L445" s="410">
        <v>1010200</v>
      </c>
      <c r="M445" s="410" t="s">
        <v>125</v>
      </c>
      <c r="N445" s="410">
        <v>40</v>
      </c>
      <c r="O445" s="410" t="s">
        <v>171</v>
      </c>
      <c r="P445" s="410" t="s">
        <v>635</v>
      </c>
      <c r="Q445">
        <f t="shared" si="8"/>
        <v>-50</v>
      </c>
      <c r="R445">
        <f>_xlfn.XLOOKUP(E445,'Data Additive'!E:E,'Data Additive'!E:E,0)</f>
        <v>0</v>
      </c>
    </row>
    <row r="446" spans="1:18" x14ac:dyDescent="0.25">
      <c r="A446" s="410">
        <v>8187</v>
      </c>
      <c r="B446" s="410" t="s">
        <v>553</v>
      </c>
      <c r="C446" s="410" t="s">
        <v>315</v>
      </c>
      <c r="D446" s="411">
        <v>299642.08</v>
      </c>
      <c r="E446" s="410">
        <v>1246270723</v>
      </c>
      <c r="F446" s="412">
        <v>46357</v>
      </c>
      <c r="G446" s="410"/>
      <c r="H446" s="410" t="s">
        <v>173</v>
      </c>
      <c r="I446" s="410" t="s">
        <v>174</v>
      </c>
      <c r="J446" s="410">
        <v>11075</v>
      </c>
      <c r="K446" s="412">
        <v>46120</v>
      </c>
      <c r="L446" s="410">
        <v>1010100</v>
      </c>
      <c r="M446" s="410" t="s">
        <v>35</v>
      </c>
      <c r="N446" s="410">
        <v>161</v>
      </c>
      <c r="O446" s="410" t="s">
        <v>161</v>
      </c>
      <c r="P446" s="410" t="s">
        <v>553</v>
      </c>
      <c r="Q446">
        <f t="shared" si="8"/>
        <v>-221</v>
      </c>
      <c r="R446">
        <f>_xlfn.XLOOKUP(E446,'Data Additive'!E:E,'Data Additive'!E:E,0)</f>
        <v>0</v>
      </c>
    </row>
    <row r="447" spans="1:18" x14ac:dyDescent="0.25">
      <c r="A447" s="410">
        <v>9295</v>
      </c>
      <c r="B447" s="410" t="s">
        <v>382</v>
      </c>
      <c r="C447" s="410" t="s">
        <v>127</v>
      </c>
      <c r="D447" s="411">
        <v>130127.06</v>
      </c>
      <c r="E447" s="410">
        <v>1246270982</v>
      </c>
      <c r="F447" s="412">
        <v>46152</v>
      </c>
      <c r="G447" s="410"/>
      <c r="H447" s="410" t="s">
        <v>28</v>
      </c>
      <c r="I447" s="410" t="s">
        <v>29</v>
      </c>
      <c r="J447" s="410">
        <v>11090</v>
      </c>
      <c r="K447" s="412">
        <v>46122</v>
      </c>
      <c r="L447" s="410">
        <v>1010200</v>
      </c>
      <c r="M447" s="410" t="s">
        <v>125</v>
      </c>
      <c r="N447" s="410">
        <v>40</v>
      </c>
      <c r="O447" s="410" t="s">
        <v>171</v>
      </c>
      <c r="P447" s="410" t="s">
        <v>382</v>
      </c>
      <c r="Q447">
        <f t="shared" ref="Q447:Q507" si="9">$R$1-F447</f>
        <v>-16</v>
      </c>
      <c r="R447">
        <f>_xlfn.XLOOKUP(E447,'Data Additive'!E:E,'Data Additive'!E:E,0)</f>
        <v>0</v>
      </c>
    </row>
    <row r="448" spans="1:18" x14ac:dyDescent="0.25">
      <c r="A448" s="410">
        <v>9295</v>
      </c>
      <c r="B448" s="410" t="s">
        <v>382</v>
      </c>
      <c r="C448" s="410" t="s">
        <v>127</v>
      </c>
      <c r="D448" s="411">
        <v>132185.95000000001</v>
      </c>
      <c r="E448" s="410">
        <v>1246270621</v>
      </c>
      <c r="F448" s="412">
        <v>46150</v>
      </c>
      <c r="G448" s="410"/>
      <c r="H448" s="410" t="s">
        <v>28</v>
      </c>
      <c r="I448" s="410" t="s">
        <v>29</v>
      </c>
      <c r="J448" s="410">
        <v>11071</v>
      </c>
      <c r="K448" s="412">
        <v>46120</v>
      </c>
      <c r="L448" s="410">
        <v>1010200</v>
      </c>
      <c r="M448" s="410" t="s">
        <v>125</v>
      </c>
      <c r="N448" s="410">
        <v>40</v>
      </c>
      <c r="O448" s="410" t="s">
        <v>171</v>
      </c>
      <c r="P448" s="410" t="s">
        <v>382</v>
      </c>
      <c r="Q448">
        <f t="shared" si="9"/>
        <v>-14</v>
      </c>
      <c r="R448">
        <f>_xlfn.XLOOKUP(E448,'Data Additive'!E:E,'Data Additive'!E:E,0)</f>
        <v>0</v>
      </c>
    </row>
    <row r="449" spans="1:18" x14ac:dyDescent="0.25">
      <c r="A449" s="410">
        <v>9298</v>
      </c>
      <c r="B449" s="410" t="s">
        <v>187</v>
      </c>
      <c r="C449" s="410" t="s">
        <v>188</v>
      </c>
      <c r="D449" s="411">
        <v>111799</v>
      </c>
      <c r="E449" s="410">
        <v>1246070436</v>
      </c>
      <c r="F449" s="412">
        <v>45555</v>
      </c>
      <c r="G449" s="410"/>
      <c r="H449" s="410" t="s">
        <v>173</v>
      </c>
      <c r="I449" s="410" t="s">
        <v>174</v>
      </c>
      <c r="J449" s="410">
        <v>20815</v>
      </c>
      <c r="K449" s="412">
        <v>44991</v>
      </c>
      <c r="L449" s="410">
        <v>1010100</v>
      </c>
      <c r="M449" s="410" t="s">
        <v>35</v>
      </c>
      <c r="N449" s="410">
        <v>161</v>
      </c>
      <c r="O449" s="410" t="s">
        <v>161</v>
      </c>
      <c r="P449" s="410" t="s">
        <v>187</v>
      </c>
      <c r="Q449">
        <f t="shared" si="9"/>
        <v>581</v>
      </c>
      <c r="R449">
        <f>_xlfn.XLOOKUP(E449,'Data Additive'!E:E,'Data Additive'!E:E,0)</f>
        <v>0</v>
      </c>
    </row>
    <row r="450" spans="1:18" x14ac:dyDescent="0.25">
      <c r="A450" s="410">
        <v>9298</v>
      </c>
      <c r="B450" s="410" t="s">
        <v>187</v>
      </c>
      <c r="C450" s="410" t="s">
        <v>188</v>
      </c>
      <c r="D450" s="411">
        <v>65548</v>
      </c>
      <c r="E450" s="410">
        <v>1246070905</v>
      </c>
      <c r="F450" s="412">
        <v>45555</v>
      </c>
      <c r="G450" s="410"/>
      <c r="H450" s="410" t="s">
        <v>173</v>
      </c>
      <c r="I450" s="410" t="s">
        <v>174</v>
      </c>
      <c r="J450" s="410">
        <v>20839</v>
      </c>
      <c r="K450" s="412">
        <v>44994</v>
      </c>
      <c r="L450" s="410">
        <v>1010100</v>
      </c>
      <c r="M450" s="410" t="s">
        <v>35</v>
      </c>
      <c r="N450" s="410">
        <v>161</v>
      </c>
      <c r="O450" s="410" t="s">
        <v>161</v>
      </c>
      <c r="P450" s="410" t="s">
        <v>187</v>
      </c>
      <c r="Q450">
        <f t="shared" si="9"/>
        <v>581</v>
      </c>
      <c r="R450">
        <f>_xlfn.XLOOKUP(E450,'Data Additive'!E:E,'Data Additive'!E:E,0)</f>
        <v>0</v>
      </c>
    </row>
    <row r="451" spans="1:18" x14ac:dyDescent="0.25">
      <c r="A451" s="410">
        <v>9298</v>
      </c>
      <c r="B451" s="410" t="s">
        <v>187</v>
      </c>
      <c r="C451" s="410" t="s">
        <v>188</v>
      </c>
      <c r="D451" s="411">
        <v>112475</v>
      </c>
      <c r="E451" s="410">
        <v>1246068948</v>
      </c>
      <c r="F451" s="412">
        <v>45555</v>
      </c>
      <c r="G451" s="410"/>
      <c r="H451" s="410" t="s">
        <v>173</v>
      </c>
      <c r="I451" s="410" t="s">
        <v>174</v>
      </c>
      <c r="J451" s="410">
        <v>20763</v>
      </c>
      <c r="K451" s="412">
        <v>44984</v>
      </c>
      <c r="L451" s="410">
        <v>1010100</v>
      </c>
      <c r="M451" s="410" t="s">
        <v>35</v>
      </c>
      <c r="N451" s="410">
        <v>161</v>
      </c>
      <c r="O451" s="410" t="s">
        <v>161</v>
      </c>
      <c r="P451" s="410" t="s">
        <v>187</v>
      </c>
      <c r="Q451">
        <f t="shared" si="9"/>
        <v>581</v>
      </c>
      <c r="R451">
        <f>_xlfn.XLOOKUP(E451,'Data Additive'!E:E,'Data Additive'!E:E,0)</f>
        <v>0</v>
      </c>
    </row>
    <row r="452" spans="1:18" x14ac:dyDescent="0.25">
      <c r="A452" s="410">
        <v>9298</v>
      </c>
      <c r="B452" s="410" t="s">
        <v>187</v>
      </c>
      <c r="C452" s="410" t="s">
        <v>188</v>
      </c>
      <c r="D452" s="411">
        <v>149824</v>
      </c>
      <c r="E452" s="410">
        <v>1246068778</v>
      </c>
      <c r="F452" s="412">
        <v>45555</v>
      </c>
      <c r="G452" s="410"/>
      <c r="H452" s="410" t="s">
        <v>173</v>
      </c>
      <c r="I452" s="410" t="s">
        <v>174</v>
      </c>
      <c r="J452" s="410">
        <v>20750</v>
      </c>
      <c r="K452" s="412">
        <v>44981</v>
      </c>
      <c r="L452" s="410">
        <v>1010100</v>
      </c>
      <c r="M452" s="410" t="s">
        <v>35</v>
      </c>
      <c r="N452" s="410">
        <v>161</v>
      </c>
      <c r="O452" s="410" t="s">
        <v>161</v>
      </c>
      <c r="P452" s="410" t="s">
        <v>187</v>
      </c>
      <c r="Q452">
        <f t="shared" si="9"/>
        <v>581</v>
      </c>
      <c r="R452">
        <f>_xlfn.XLOOKUP(E452,'Data Additive'!E:E,'Data Additive'!E:E,0)</f>
        <v>0</v>
      </c>
    </row>
    <row r="453" spans="1:18" x14ac:dyDescent="0.25">
      <c r="A453" s="410">
        <v>9298</v>
      </c>
      <c r="B453" s="410" t="s">
        <v>187</v>
      </c>
      <c r="C453" s="410" t="s">
        <v>188</v>
      </c>
      <c r="D453" s="411">
        <v>131203</v>
      </c>
      <c r="E453" s="410">
        <v>1246070820</v>
      </c>
      <c r="F453" s="412">
        <v>45555</v>
      </c>
      <c r="G453" s="410"/>
      <c r="H453" s="410" t="s">
        <v>173</v>
      </c>
      <c r="I453" s="410" t="s">
        <v>174</v>
      </c>
      <c r="J453" s="410">
        <v>20836</v>
      </c>
      <c r="K453" s="412">
        <v>44993</v>
      </c>
      <c r="L453" s="410">
        <v>1010100</v>
      </c>
      <c r="M453" s="410" t="s">
        <v>35</v>
      </c>
      <c r="N453" s="410">
        <v>161</v>
      </c>
      <c r="O453" s="410" t="s">
        <v>161</v>
      </c>
      <c r="P453" s="410" t="s">
        <v>187</v>
      </c>
      <c r="Q453">
        <f t="shared" si="9"/>
        <v>581</v>
      </c>
      <c r="R453">
        <f>_xlfn.XLOOKUP(E453,'Data Additive'!E:E,'Data Additive'!E:E,0)</f>
        <v>0</v>
      </c>
    </row>
    <row r="454" spans="1:18" x14ac:dyDescent="0.25">
      <c r="A454" s="410">
        <v>9298</v>
      </c>
      <c r="B454" s="410" t="s">
        <v>187</v>
      </c>
      <c r="C454" s="410" t="s">
        <v>188</v>
      </c>
      <c r="D454" s="411">
        <v>119356.2</v>
      </c>
      <c r="E454" s="410">
        <v>1246068614</v>
      </c>
      <c r="F454" s="412">
        <v>45555</v>
      </c>
      <c r="G454" s="410"/>
      <c r="H454" s="410" t="s">
        <v>173</v>
      </c>
      <c r="I454" s="410" t="s">
        <v>174</v>
      </c>
      <c r="J454" s="410">
        <v>20734</v>
      </c>
      <c r="K454" s="412">
        <v>44980</v>
      </c>
      <c r="L454" s="410">
        <v>1010100</v>
      </c>
      <c r="M454" s="410" t="s">
        <v>35</v>
      </c>
      <c r="N454" s="410">
        <v>161</v>
      </c>
      <c r="O454" s="410" t="s">
        <v>161</v>
      </c>
      <c r="P454" s="410" t="s">
        <v>187</v>
      </c>
      <c r="Q454">
        <f t="shared" si="9"/>
        <v>581</v>
      </c>
      <c r="R454">
        <f>_xlfn.XLOOKUP(E454,'Data Additive'!E:E,'Data Additive'!E:E,0)</f>
        <v>0</v>
      </c>
    </row>
    <row r="455" spans="1:18" x14ac:dyDescent="0.25">
      <c r="A455" s="410">
        <v>9298</v>
      </c>
      <c r="B455" s="410" t="s">
        <v>187</v>
      </c>
      <c r="C455" s="410" t="s">
        <v>188</v>
      </c>
      <c r="D455" s="411">
        <v>122521</v>
      </c>
      <c r="E455" s="410">
        <v>1246068997</v>
      </c>
      <c r="F455" s="412">
        <v>45555</v>
      </c>
      <c r="G455" s="410"/>
      <c r="H455" s="410" t="s">
        <v>173</v>
      </c>
      <c r="I455" s="410" t="s">
        <v>174</v>
      </c>
      <c r="J455" s="410">
        <v>20767</v>
      </c>
      <c r="K455" s="412">
        <v>44984</v>
      </c>
      <c r="L455" s="410">
        <v>1010100</v>
      </c>
      <c r="M455" s="410" t="s">
        <v>35</v>
      </c>
      <c r="N455" s="410">
        <v>161</v>
      </c>
      <c r="O455" s="410" t="s">
        <v>161</v>
      </c>
      <c r="P455" s="410" t="s">
        <v>187</v>
      </c>
      <c r="Q455">
        <f t="shared" si="9"/>
        <v>581</v>
      </c>
      <c r="R455">
        <f>_xlfn.XLOOKUP(E455,'Data Additive'!E:E,'Data Additive'!E:E,0)</f>
        <v>0</v>
      </c>
    </row>
    <row r="456" spans="1:18" x14ac:dyDescent="0.25">
      <c r="A456" s="410">
        <v>9298</v>
      </c>
      <c r="B456" s="410" t="s">
        <v>187</v>
      </c>
      <c r="C456" s="410" t="s">
        <v>188</v>
      </c>
      <c r="D456" s="411">
        <v>118731.49</v>
      </c>
      <c r="E456" s="410">
        <v>1246083500</v>
      </c>
      <c r="F456" s="412">
        <v>45555</v>
      </c>
      <c r="G456" s="410"/>
      <c r="H456" s="410" t="s">
        <v>173</v>
      </c>
      <c r="I456" s="410" t="s">
        <v>174</v>
      </c>
      <c r="J456" s="410">
        <v>21456</v>
      </c>
      <c r="K456" s="412">
        <v>45070</v>
      </c>
      <c r="L456" s="410">
        <v>1010100</v>
      </c>
      <c r="M456" s="410" t="s">
        <v>35</v>
      </c>
      <c r="N456" s="410">
        <v>161</v>
      </c>
      <c r="O456" s="410" t="s">
        <v>161</v>
      </c>
      <c r="P456" s="410" t="s">
        <v>187</v>
      </c>
      <c r="Q456">
        <f t="shared" si="9"/>
        <v>581</v>
      </c>
      <c r="R456">
        <f>_xlfn.XLOOKUP(E456,'Data Additive'!E:E,'Data Additive'!E:E,0)</f>
        <v>0</v>
      </c>
    </row>
    <row r="457" spans="1:18" x14ac:dyDescent="0.25">
      <c r="A457" s="410">
        <v>9298</v>
      </c>
      <c r="B457" s="410" t="s">
        <v>187</v>
      </c>
      <c r="C457" s="410" t="s">
        <v>188</v>
      </c>
      <c r="D457" s="411">
        <v>52557.4</v>
      </c>
      <c r="E457" s="410">
        <v>1246083593</v>
      </c>
      <c r="F457" s="412">
        <v>45555</v>
      </c>
      <c r="G457" s="410"/>
      <c r="H457" s="410" t="s">
        <v>173</v>
      </c>
      <c r="I457" s="410" t="s">
        <v>174</v>
      </c>
      <c r="J457" s="410">
        <v>21460</v>
      </c>
      <c r="K457" s="412">
        <v>45070</v>
      </c>
      <c r="L457" s="410">
        <v>1010100</v>
      </c>
      <c r="M457" s="410" t="s">
        <v>35</v>
      </c>
      <c r="N457" s="410">
        <v>161</v>
      </c>
      <c r="O457" s="410" t="s">
        <v>161</v>
      </c>
      <c r="P457" s="410" t="s">
        <v>187</v>
      </c>
      <c r="Q457">
        <f t="shared" si="9"/>
        <v>581</v>
      </c>
      <c r="R457">
        <f>_xlfn.XLOOKUP(E457,'Data Additive'!E:E,'Data Additive'!E:E,0)</f>
        <v>0</v>
      </c>
    </row>
    <row r="458" spans="1:18" x14ac:dyDescent="0.25">
      <c r="A458" s="410">
        <v>9298</v>
      </c>
      <c r="B458" s="410" t="s">
        <v>187</v>
      </c>
      <c r="C458" s="410" t="s">
        <v>188</v>
      </c>
      <c r="D458" s="411">
        <v>52557.4</v>
      </c>
      <c r="E458" s="410">
        <v>1246083373</v>
      </c>
      <c r="F458" s="412">
        <v>45555</v>
      </c>
      <c r="G458" s="410"/>
      <c r="H458" s="410" t="s">
        <v>173</v>
      </c>
      <c r="I458" s="410" t="s">
        <v>174</v>
      </c>
      <c r="J458" s="410">
        <v>21444</v>
      </c>
      <c r="K458" s="412">
        <v>45069</v>
      </c>
      <c r="L458" s="410">
        <v>1010100</v>
      </c>
      <c r="M458" s="410" t="s">
        <v>35</v>
      </c>
      <c r="N458" s="410">
        <v>161</v>
      </c>
      <c r="O458" s="410" t="s">
        <v>161</v>
      </c>
      <c r="P458" s="410" t="s">
        <v>187</v>
      </c>
      <c r="Q458">
        <f t="shared" si="9"/>
        <v>581</v>
      </c>
      <c r="R458">
        <f>_xlfn.XLOOKUP(E458,'Data Additive'!E:E,'Data Additive'!E:E,0)</f>
        <v>0</v>
      </c>
    </row>
    <row r="459" spans="1:18" x14ac:dyDescent="0.25">
      <c r="A459" s="410">
        <v>9298</v>
      </c>
      <c r="B459" s="410" t="s">
        <v>187</v>
      </c>
      <c r="C459" s="410" t="s">
        <v>188</v>
      </c>
      <c r="D459" s="411">
        <v>13957.5</v>
      </c>
      <c r="E459" s="410">
        <v>1246084673</v>
      </c>
      <c r="F459" s="412">
        <v>45555</v>
      </c>
      <c r="G459" s="410"/>
      <c r="H459" s="410" t="s">
        <v>173</v>
      </c>
      <c r="I459" s="410" t="s">
        <v>174</v>
      </c>
      <c r="J459" s="410">
        <v>21538</v>
      </c>
      <c r="K459" s="412">
        <v>45077</v>
      </c>
      <c r="L459" s="410">
        <v>1010100</v>
      </c>
      <c r="M459" s="410" t="s">
        <v>35</v>
      </c>
      <c r="N459" s="410">
        <v>161</v>
      </c>
      <c r="O459" s="410" t="s">
        <v>161</v>
      </c>
      <c r="P459" s="410" t="s">
        <v>187</v>
      </c>
      <c r="Q459">
        <f t="shared" si="9"/>
        <v>581</v>
      </c>
      <c r="R459">
        <f>_xlfn.XLOOKUP(E459,'Data Additive'!E:E,'Data Additive'!E:E,0)</f>
        <v>0</v>
      </c>
    </row>
    <row r="460" spans="1:18" x14ac:dyDescent="0.25">
      <c r="A460" s="410">
        <v>9298</v>
      </c>
      <c r="B460" s="410" t="s">
        <v>187</v>
      </c>
      <c r="C460" s="410" t="s">
        <v>188</v>
      </c>
      <c r="D460" s="411">
        <v>40756.75</v>
      </c>
      <c r="E460" s="410">
        <v>1246084671</v>
      </c>
      <c r="F460" s="412">
        <v>45555</v>
      </c>
      <c r="G460" s="410"/>
      <c r="H460" s="410" t="s">
        <v>173</v>
      </c>
      <c r="I460" s="410" t="s">
        <v>174</v>
      </c>
      <c r="J460" s="410">
        <v>21537</v>
      </c>
      <c r="K460" s="412">
        <v>45077</v>
      </c>
      <c r="L460" s="410">
        <v>1010100</v>
      </c>
      <c r="M460" s="410" t="s">
        <v>35</v>
      </c>
      <c r="N460" s="410">
        <v>161</v>
      </c>
      <c r="O460" s="410" t="s">
        <v>161</v>
      </c>
      <c r="P460" s="410" t="s">
        <v>187</v>
      </c>
      <c r="Q460">
        <f t="shared" si="9"/>
        <v>581</v>
      </c>
      <c r="R460">
        <f>_xlfn.XLOOKUP(E460,'Data Additive'!E:E,'Data Additive'!E:E,0)</f>
        <v>0</v>
      </c>
    </row>
    <row r="461" spans="1:18" x14ac:dyDescent="0.25">
      <c r="A461" s="410">
        <v>9298</v>
      </c>
      <c r="B461" s="410" t="s">
        <v>187</v>
      </c>
      <c r="C461" s="410" t="s">
        <v>188</v>
      </c>
      <c r="D461" s="411">
        <v>13238.05</v>
      </c>
      <c r="E461" s="410">
        <v>1246088994</v>
      </c>
      <c r="F461" s="412">
        <v>45555</v>
      </c>
      <c r="G461" s="410"/>
      <c r="H461" s="410" t="s">
        <v>173</v>
      </c>
      <c r="I461" s="410" t="s">
        <v>174</v>
      </c>
      <c r="J461" s="410">
        <v>20723</v>
      </c>
      <c r="K461" s="412">
        <v>44979</v>
      </c>
      <c r="L461" s="410">
        <v>1010100</v>
      </c>
      <c r="M461" s="410" t="s">
        <v>35</v>
      </c>
      <c r="N461" s="410">
        <v>161</v>
      </c>
      <c r="O461" s="410" t="s">
        <v>161</v>
      </c>
      <c r="P461" s="410" t="s">
        <v>187</v>
      </c>
      <c r="Q461">
        <f t="shared" si="9"/>
        <v>581</v>
      </c>
      <c r="R461">
        <f>_xlfn.XLOOKUP(E461,'Data Additive'!E:E,'Data Additive'!E:E,0)</f>
        <v>0</v>
      </c>
    </row>
    <row r="462" spans="1:18" x14ac:dyDescent="0.25">
      <c r="A462" s="410">
        <v>9298</v>
      </c>
      <c r="B462" s="410" t="s">
        <v>187</v>
      </c>
      <c r="C462" s="410" t="s">
        <v>188</v>
      </c>
      <c r="D462" s="411">
        <v>118788.8</v>
      </c>
      <c r="E462" s="410">
        <v>1246099199</v>
      </c>
      <c r="F462" s="412">
        <v>45562</v>
      </c>
      <c r="G462" s="410"/>
      <c r="H462" s="410" t="s">
        <v>173</v>
      </c>
      <c r="I462" s="410" t="s">
        <v>174</v>
      </c>
      <c r="J462" s="410">
        <v>768</v>
      </c>
      <c r="K462" s="412">
        <v>45159</v>
      </c>
      <c r="L462" s="410">
        <v>1010100</v>
      </c>
      <c r="M462" s="410" t="s">
        <v>35</v>
      </c>
      <c r="N462" s="410">
        <v>161</v>
      </c>
      <c r="O462" s="410" t="s">
        <v>161</v>
      </c>
      <c r="P462" s="410" t="s">
        <v>187</v>
      </c>
      <c r="Q462">
        <f t="shared" si="9"/>
        <v>574</v>
      </c>
      <c r="R462">
        <f>_xlfn.XLOOKUP(E462,'Data Additive'!E:E,'Data Additive'!E:E,0)</f>
        <v>0</v>
      </c>
    </row>
    <row r="463" spans="1:18" x14ac:dyDescent="0.25">
      <c r="A463" s="410">
        <v>9298</v>
      </c>
      <c r="B463" s="410" t="s">
        <v>187</v>
      </c>
      <c r="C463" s="410" t="s">
        <v>188</v>
      </c>
      <c r="D463" s="411">
        <v>118788.8</v>
      </c>
      <c r="E463" s="410">
        <v>1246099294</v>
      </c>
      <c r="F463" s="412">
        <v>45562</v>
      </c>
      <c r="G463" s="410"/>
      <c r="H463" s="410" t="s">
        <v>173</v>
      </c>
      <c r="I463" s="410" t="s">
        <v>174</v>
      </c>
      <c r="J463" s="410">
        <v>777</v>
      </c>
      <c r="K463" s="412">
        <v>45159</v>
      </c>
      <c r="L463" s="410">
        <v>1010100</v>
      </c>
      <c r="M463" s="410" t="s">
        <v>35</v>
      </c>
      <c r="N463" s="410">
        <v>161</v>
      </c>
      <c r="O463" s="410" t="s">
        <v>161</v>
      </c>
      <c r="P463" s="410" t="s">
        <v>187</v>
      </c>
      <c r="Q463">
        <f t="shared" si="9"/>
        <v>574</v>
      </c>
      <c r="R463">
        <f>_xlfn.XLOOKUP(E463,'Data Additive'!E:E,'Data Additive'!E:E,0)</f>
        <v>0</v>
      </c>
    </row>
    <row r="464" spans="1:18" x14ac:dyDescent="0.25">
      <c r="A464" s="410">
        <v>9298</v>
      </c>
      <c r="B464" s="410" t="s">
        <v>187</v>
      </c>
      <c r="C464" s="410" t="s">
        <v>188</v>
      </c>
      <c r="D464" s="411">
        <v>148492.1</v>
      </c>
      <c r="E464" s="410">
        <v>1246105304</v>
      </c>
      <c r="F464" s="412">
        <v>45555</v>
      </c>
      <c r="G464" s="410"/>
      <c r="H464" s="410" t="s">
        <v>173</v>
      </c>
      <c r="I464" s="410" t="s">
        <v>174</v>
      </c>
      <c r="J464" s="410">
        <v>1270</v>
      </c>
      <c r="K464" s="412">
        <v>45190</v>
      </c>
      <c r="L464" s="410">
        <v>1010100</v>
      </c>
      <c r="M464" s="410" t="s">
        <v>35</v>
      </c>
      <c r="N464" s="410">
        <v>161</v>
      </c>
      <c r="O464" s="410" t="s">
        <v>161</v>
      </c>
      <c r="P464" s="410" t="s">
        <v>187</v>
      </c>
      <c r="Q464">
        <f t="shared" si="9"/>
        <v>581</v>
      </c>
      <c r="R464">
        <f>_xlfn.XLOOKUP(E464,'Data Additive'!E:E,'Data Additive'!E:E,0)</f>
        <v>0</v>
      </c>
    </row>
    <row r="465" spans="1:18" x14ac:dyDescent="0.25">
      <c r="A465" s="410">
        <v>9298</v>
      </c>
      <c r="B465" s="410" t="s">
        <v>187</v>
      </c>
      <c r="C465" s="410" t="s">
        <v>188</v>
      </c>
      <c r="D465" s="411">
        <v>79894</v>
      </c>
      <c r="E465" s="410">
        <v>1246114860</v>
      </c>
      <c r="F465" s="412">
        <v>45555</v>
      </c>
      <c r="G465" s="410"/>
      <c r="H465" s="410" t="s">
        <v>173</v>
      </c>
      <c r="I465" s="410" t="s">
        <v>174</v>
      </c>
      <c r="J465" s="410">
        <v>1951</v>
      </c>
      <c r="K465" s="412">
        <v>45243</v>
      </c>
      <c r="L465" s="410">
        <v>1010100</v>
      </c>
      <c r="M465" s="410" t="s">
        <v>35</v>
      </c>
      <c r="N465" s="410">
        <v>161</v>
      </c>
      <c r="O465" s="410" t="s">
        <v>161</v>
      </c>
      <c r="P465" s="410" t="s">
        <v>187</v>
      </c>
      <c r="Q465">
        <f t="shared" si="9"/>
        <v>581</v>
      </c>
      <c r="R465">
        <f>_xlfn.XLOOKUP(E465,'Data Additive'!E:E,'Data Additive'!E:E,0)</f>
        <v>0</v>
      </c>
    </row>
    <row r="466" spans="1:18" x14ac:dyDescent="0.25">
      <c r="A466" s="410">
        <v>9298</v>
      </c>
      <c r="B466" s="410" t="s">
        <v>187</v>
      </c>
      <c r="C466" s="410" t="s">
        <v>188</v>
      </c>
      <c r="D466" s="411">
        <v>123567.8</v>
      </c>
      <c r="E466" s="410">
        <v>1246103672</v>
      </c>
      <c r="F466" s="412">
        <v>45567</v>
      </c>
      <c r="G466" s="410"/>
      <c r="H466" s="410" t="s">
        <v>173</v>
      </c>
      <c r="I466" s="410" t="s">
        <v>174</v>
      </c>
      <c r="J466" s="410">
        <v>1150</v>
      </c>
      <c r="K466" s="412">
        <v>45182</v>
      </c>
      <c r="L466" s="410">
        <v>1010100</v>
      </c>
      <c r="M466" s="410" t="s">
        <v>35</v>
      </c>
      <c r="N466" s="410">
        <v>161</v>
      </c>
      <c r="O466" s="410" t="s">
        <v>161</v>
      </c>
      <c r="P466" s="410" t="s">
        <v>187</v>
      </c>
      <c r="Q466">
        <f t="shared" si="9"/>
        <v>569</v>
      </c>
      <c r="R466">
        <f>_xlfn.XLOOKUP(E466,'Data Additive'!E:E,'Data Additive'!E:E,0)</f>
        <v>0</v>
      </c>
    </row>
    <row r="467" spans="1:18" x14ac:dyDescent="0.25">
      <c r="A467" s="410">
        <v>9298</v>
      </c>
      <c r="B467" s="410" t="s">
        <v>187</v>
      </c>
      <c r="C467" s="410" t="s">
        <v>188</v>
      </c>
      <c r="D467" s="411">
        <v>113355.6</v>
      </c>
      <c r="E467" s="410">
        <v>1246116199</v>
      </c>
      <c r="F467" s="412">
        <v>45561</v>
      </c>
      <c r="G467" s="410"/>
      <c r="H467" s="410" t="s">
        <v>173</v>
      </c>
      <c r="I467" s="410" t="s">
        <v>174</v>
      </c>
      <c r="J467" s="410">
        <v>2054</v>
      </c>
      <c r="K467" s="412">
        <v>45252</v>
      </c>
      <c r="L467" s="410">
        <v>1010100</v>
      </c>
      <c r="M467" s="410" t="s">
        <v>35</v>
      </c>
      <c r="N467" s="410">
        <v>161</v>
      </c>
      <c r="O467" s="410" t="s">
        <v>161</v>
      </c>
      <c r="P467" s="410" t="s">
        <v>187</v>
      </c>
      <c r="Q467">
        <f t="shared" si="9"/>
        <v>575</v>
      </c>
      <c r="R467">
        <f>_xlfn.XLOOKUP(E467,'Data Additive'!E:E,'Data Additive'!E:E,0)</f>
        <v>0</v>
      </c>
    </row>
    <row r="468" spans="1:18" x14ac:dyDescent="0.25">
      <c r="A468" s="410">
        <v>9298</v>
      </c>
      <c r="B468" s="410" t="s">
        <v>187</v>
      </c>
      <c r="C468" s="410" t="s">
        <v>188</v>
      </c>
      <c r="D468" s="411">
        <v>143583.76</v>
      </c>
      <c r="E468" s="410">
        <v>1246106222</v>
      </c>
      <c r="F468" s="412">
        <v>45560</v>
      </c>
      <c r="G468" s="410"/>
      <c r="H468" s="410" t="s">
        <v>173</v>
      </c>
      <c r="I468" s="410" t="s">
        <v>174</v>
      </c>
      <c r="J468" s="410">
        <v>1341</v>
      </c>
      <c r="K468" s="412">
        <v>45195</v>
      </c>
      <c r="L468" s="410">
        <v>1010100</v>
      </c>
      <c r="M468" s="410" t="s">
        <v>35</v>
      </c>
      <c r="N468" s="410">
        <v>161</v>
      </c>
      <c r="O468" s="410" t="s">
        <v>161</v>
      </c>
      <c r="P468" s="410" t="s">
        <v>187</v>
      </c>
      <c r="Q468">
        <f t="shared" si="9"/>
        <v>576</v>
      </c>
      <c r="R468">
        <f>_xlfn.XLOOKUP(E468,'Data Additive'!E:E,'Data Additive'!E:E,0)</f>
        <v>0</v>
      </c>
    </row>
    <row r="469" spans="1:18" x14ac:dyDescent="0.25">
      <c r="A469" s="410">
        <v>9298</v>
      </c>
      <c r="B469" s="410" t="s">
        <v>187</v>
      </c>
      <c r="C469" s="410" t="s">
        <v>188</v>
      </c>
      <c r="D469" s="411">
        <v>55612.2</v>
      </c>
      <c r="E469" s="410">
        <v>1246104999</v>
      </c>
      <c r="F469" s="412">
        <v>45555</v>
      </c>
      <c r="G469" s="410"/>
      <c r="H469" s="410" t="s">
        <v>173</v>
      </c>
      <c r="I469" s="410" t="s">
        <v>174</v>
      </c>
      <c r="J469" s="410">
        <v>1249</v>
      </c>
      <c r="K469" s="412">
        <v>45189</v>
      </c>
      <c r="L469" s="410">
        <v>1010100</v>
      </c>
      <c r="M469" s="410" t="s">
        <v>35</v>
      </c>
      <c r="N469" s="410">
        <v>161</v>
      </c>
      <c r="O469" s="410" t="s">
        <v>161</v>
      </c>
      <c r="P469" s="410" t="s">
        <v>187</v>
      </c>
      <c r="Q469">
        <f t="shared" si="9"/>
        <v>581</v>
      </c>
      <c r="R469">
        <f>_xlfn.XLOOKUP(E469,'Data Additive'!E:E,'Data Additive'!E:E,0)</f>
        <v>0</v>
      </c>
    </row>
    <row r="470" spans="1:18" x14ac:dyDescent="0.25">
      <c r="A470" s="410">
        <v>9298</v>
      </c>
      <c r="B470" s="410" t="s">
        <v>187</v>
      </c>
      <c r="C470" s="410" t="s">
        <v>188</v>
      </c>
      <c r="D470" s="411">
        <v>64234.84</v>
      </c>
      <c r="E470" s="410">
        <v>1246115394</v>
      </c>
      <c r="F470" s="412">
        <v>45555</v>
      </c>
      <c r="G470" s="410"/>
      <c r="H470" s="410" t="s">
        <v>173</v>
      </c>
      <c r="I470" s="410" t="s">
        <v>174</v>
      </c>
      <c r="J470" s="410">
        <v>1991</v>
      </c>
      <c r="K470" s="412">
        <v>45246</v>
      </c>
      <c r="L470" s="410">
        <v>1010100</v>
      </c>
      <c r="M470" s="410" t="s">
        <v>35</v>
      </c>
      <c r="N470" s="410">
        <v>161</v>
      </c>
      <c r="O470" s="410" t="s">
        <v>161</v>
      </c>
      <c r="P470" s="410" t="s">
        <v>187</v>
      </c>
      <c r="Q470">
        <f t="shared" si="9"/>
        <v>581</v>
      </c>
      <c r="R470">
        <f>_xlfn.XLOOKUP(E470,'Data Additive'!E:E,'Data Additive'!E:E,0)</f>
        <v>0</v>
      </c>
    </row>
    <row r="471" spans="1:18" x14ac:dyDescent="0.25">
      <c r="A471" s="410">
        <v>9298</v>
      </c>
      <c r="B471" s="410" t="s">
        <v>187</v>
      </c>
      <c r="C471" s="410" t="s">
        <v>188</v>
      </c>
      <c r="D471" s="411">
        <v>54534.2</v>
      </c>
      <c r="E471" s="410">
        <v>1246115392</v>
      </c>
      <c r="F471" s="412">
        <v>45555</v>
      </c>
      <c r="G471" s="410"/>
      <c r="H471" s="410" t="s">
        <v>173</v>
      </c>
      <c r="I471" s="410" t="s">
        <v>174</v>
      </c>
      <c r="J471" s="410">
        <v>1990</v>
      </c>
      <c r="K471" s="412">
        <v>45246</v>
      </c>
      <c r="L471" s="410">
        <v>1010100</v>
      </c>
      <c r="M471" s="410" t="s">
        <v>35</v>
      </c>
      <c r="N471" s="410">
        <v>161</v>
      </c>
      <c r="O471" s="410" t="s">
        <v>161</v>
      </c>
      <c r="P471" s="410" t="s">
        <v>187</v>
      </c>
      <c r="Q471">
        <f t="shared" si="9"/>
        <v>581</v>
      </c>
      <c r="R471">
        <f>_xlfn.XLOOKUP(E471,'Data Additive'!E:E,'Data Additive'!E:E,0)</f>
        <v>0</v>
      </c>
    </row>
    <row r="472" spans="1:18" x14ac:dyDescent="0.25">
      <c r="A472" s="410">
        <v>9298</v>
      </c>
      <c r="B472" s="410" t="s">
        <v>187</v>
      </c>
      <c r="C472" s="410" t="s">
        <v>188</v>
      </c>
      <c r="D472" s="411">
        <v>139293.64000000001</v>
      </c>
      <c r="E472" s="410">
        <v>1246105902</v>
      </c>
      <c r="F472" s="412">
        <v>45559</v>
      </c>
      <c r="G472" s="410"/>
      <c r="H472" s="410" t="s">
        <v>173</v>
      </c>
      <c r="I472" s="410" t="s">
        <v>174</v>
      </c>
      <c r="J472" s="410">
        <v>1319</v>
      </c>
      <c r="K472" s="412">
        <v>45194</v>
      </c>
      <c r="L472" s="410">
        <v>1010100</v>
      </c>
      <c r="M472" s="410" t="s">
        <v>35</v>
      </c>
      <c r="N472" s="410">
        <v>161</v>
      </c>
      <c r="O472" s="410" t="s">
        <v>161</v>
      </c>
      <c r="P472" s="410" t="s">
        <v>187</v>
      </c>
      <c r="Q472">
        <f t="shared" si="9"/>
        <v>577</v>
      </c>
      <c r="R472">
        <f>_xlfn.XLOOKUP(E472,'Data Additive'!E:E,'Data Additive'!E:E,0)</f>
        <v>0</v>
      </c>
    </row>
    <row r="473" spans="1:18" x14ac:dyDescent="0.25">
      <c r="A473" s="410">
        <v>9298</v>
      </c>
      <c r="B473" s="410" t="s">
        <v>187</v>
      </c>
      <c r="C473" s="410" t="s">
        <v>188</v>
      </c>
      <c r="D473" s="411">
        <v>68013.36</v>
      </c>
      <c r="E473" s="410">
        <v>1246114866</v>
      </c>
      <c r="F473" s="412">
        <v>45555</v>
      </c>
      <c r="G473" s="410"/>
      <c r="H473" s="410" t="s">
        <v>173</v>
      </c>
      <c r="I473" s="410" t="s">
        <v>174</v>
      </c>
      <c r="J473" s="410">
        <v>1952</v>
      </c>
      <c r="K473" s="412">
        <v>45243</v>
      </c>
      <c r="L473" s="410">
        <v>1010100</v>
      </c>
      <c r="M473" s="410" t="s">
        <v>35</v>
      </c>
      <c r="N473" s="410">
        <v>161</v>
      </c>
      <c r="O473" s="410" t="s">
        <v>161</v>
      </c>
      <c r="P473" s="410" t="s">
        <v>187</v>
      </c>
      <c r="Q473">
        <f t="shared" si="9"/>
        <v>581</v>
      </c>
      <c r="R473">
        <f>_xlfn.XLOOKUP(E473,'Data Additive'!E:E,'Data Additive'!E:E,0)</f>
        <v>0</v>
      </c>
    </row>
    <row r="474" spans="1:18" x14ac:dyDescent="0.25">
      <c r="A474" s="410">
        <v>9298</v>
      </c>
      <c r="B474" s="410" t="s">
        <v>187</v>
      </c>
      <c r="C474" s="410" t="s">
        <v>188</v>
      </c>
      <c r="D474" s="411">
        <v>55611.199999999997</v>
      </c>
      <c r="E474" s="410">
        <v>1246167304</v>
      </c>
      <c r="F474" s="412">
        <v>45555</v>
      </c>
      <c r="G474" s="410"/>
      <c r="H474" s="410" t="s">
        <v>173</v>
      </c>
      <c r="I474" s="410" t="s">
        <v>174</v>
      </c>
      <c r="J474" s="410">
        <v>1244</v>
      </c>
      <c r="K474" s="412">
        <v>45189</v>
      </c>
      <c r="L474" s="410">
        <v>1010100</v>
      </c>
      <c r="M474" s="410" t="s">
        <v>35</v>
      </c>
      <c r="N474" s="410">
        <v>161</v>
      </c>
      <c r="O474" s="410" t="s">
        <v>161</v>
      </c>
      <c r="P474" s="410" t="s">
        <v>187</v>
      </c>
      <c r="Q474">
        <f t="shared" si="9"/>
        <v>581</v>
      </c>
      <c r="R474">
        <f>_xlfn.XLOOKUP(E474,'Data Additive'!E:E,'Data Additive'!E:E,0)</f>
        <v>0</v>
      </c>
    </row>
    <row r="475" spans="1:18" x14ac:dyDescent="0.25">
      <c r="A475" s="410">
        <v>9298</v>
      </c>
      <c r="B475" s="410" t="s">
        <v>187</v>
      </c>
      <c r="C475" s="410" t="s">
        <v>188</v>
      </c>
      <c r="D475" s="411">
        <v>104546.96</v>
      </c>
      <c r="E475" s="410">
        <v>1246244742</v>
      </c>
      <c r="F475" s="412">
        <v>45555</v>
      </c>
      <c r="G475" s="410"/>
      <c r="H475" s="410" t="s">
        <v>173</v>
      </c>
      <c r="I475" s="410" t="s">
        <v>174</v>
      </c>
      <c r="J475" s="410">
        <v>20726</v>
      </c>
      <c r="K475" s="412">
        <v>44979</v>
      </c>
      <c r="L475" s="410">
        <v>1010100</v>
      </c>
      <c r="M475" s="410" t="s">
        <v>35</v>
      </c>
      <c r="N475" s="410">
        <v>161</v>
      </c>
      <c r="O475" s="410" t="s">
        <v>161</v>
      </c>
      <c r="P475" s="410" t="s">
        <v>187</v>
      </c>
      <c r="Q475">
        <f t="shared" si="9"/>
        <v>581</v>
      </c>
      <c r="R475">
        <f>_xlfn.XLOOKUP(E475,'Data Additive'!E:E,'Data Additive'!E:E,0)</f>
        <v>0</v>
      </c>
    </row>
    <row r="476" spans="1:18" x14ac:dyDescent="0.25">
      <c r="A476" s="410">
        <v>9355</v>
      </c>
      <c r="B476" s="410" t="s">
        <v>337</v>
      </c>
      <c r="C476" s="410" t="s">
        <v>31</v>
      </c>
      <c r="D476" s="411">
        <v>604265.81999999983</v>
      </c>
      <c r="E476" s="410">
        <v>1246264749</v>
      </c>
      <c r="F476" s="412">
        <v>46177</v>
      </c>
      <c r="G476" s="410"/>
      <c r="H476" s="410" t="s">
        <v>28</v>
      </c>
      <c r="I476" s="410" t="s">
        <v>29</v>
      </c>
      <c r="J476" s="410">
        <v>2768</v>
      </c>
      <c r="K476" s="412">
        <v>46077</v>
      </c>
      <c r="L476" s="410">
        <v>1010200</v>
      </c>
      <c r="M476" s="410" t="s">
        <v>125</v>
      </c>
      <c r="N476" s="410">
        <v>40</v>
      </c>
      <c r="O476" s="410" t="s">
        <v>171</v>
      </c>
      <c r="P476" s="410" t="s">
        <v>337</v>
      </c>
      <c r="Q476">
        <f t="shared" si="9"/>
        <v>-41</v>
      </c>
      <c r="R476">
        <f>_xlfn.XLOOKUP(E476,'Data Additive'!E:E,'Data Additive'!E:E,0)</f>
        <v>0</v>
      </c>
    </row>
    <row r="477" spans="1:18" x14ac:dyDescent="0.25">
      <c r="A477" s="410">
        <v>9355</v>
      </c>
      <c r="B477" s="410" t="s">
        <v>337</v>
      </c>
      <c r="C477" s="410" t="s">
        <v>31</v>
      </c>
      <c r="D477" s="411">
        <v>1191855.2599999998</v>
      </c>
      <c r="E477" s="410">
        <v>1246265046</v>
      </c>
      <c r="F477" s="412">
        <v>46180</v>
      </c>
      <c r="G477" s="410"/>
      <c r="H477" s="410" t="s">
        <v>28</v>
      </c>
      <c r="I477" s="410" t="s">
        <v>29</v>
      </c>
      <c r="J477" s="410">
        <v>10762</v>
      </c>
      <c r="K477" s="412">
        <v>46078</v>
      </c>
      <c r="L477" s="410">
        <v>1010200</v>
      </c>
      <c r="M477" s="410" t="s">
        <v>125</v>
      </c>
      <c r="N477" s="410">
        <v>40</v>
      </c>
      <c r="O477" s="410" t="s">
        <v>171</v>
      </c>
      <c r="P477" s="410" t="s">
        <v>337</v>
      </c>
      <c r="Q477">
        <f t="shared" si="9"/>
        <v>-44</v>
      </c>
      <c r="R477">
        <f>_xlfn.XLOOKUP(E477,'Data Additive'!E:E,'Data Additive'!E:E,0)</f>
        <v>0</v>
      </c>
    </row>
    <row r="478" spans="1:18" x14ac:dyDescent="0.25">
      <c r="A478" s="410">
        <v>9355</v>
      </c>
      <c r="B478" s="410" t="s">
        <v>337</v>
      </c>
      <c r="C478" s="410" t="s">
        <v>31</v>
      </c>
      <c r="D478" s="411">
        <v>292178.84000000003</v>
      </c>
      <c r="E478" s="410">
        <v>1246264769</v>
      </c>
      <c r="F478" s="412">
        <v>46180</v>
      </c>
      <c r="G478" s="410"/>
      <c r="H478" s="410" t="s">
        <v>28</v>
      </c>
      <c r="I478" s="410" t="s">
        <v>29</v>
      </c>
      <c r="J478" s="410">
        <v>10753</v>
      </c>
      <c r="K478" s="412">
        <v>46077</v>
      </c>
      <c r="L478" s="410">
        <v>1010200</v>
      </c>
      <c r="M478" s="410" t="s">
        <v>125</v>
      </c>
      <c r="N478" s="410">
        <v>40</v>
      </c>
      <c r="O478" s="410" t="s">
        <v>171</v>
      </c>
      <c r="P478" s="410" t="s">
        <v>337</v>
      </c>
      <c r="Q478">
        <f t="shared" si="9"/>
        <v>-44</v>
      </c>
      <c r="R478">
        <f>_xlfn.XLOOKUP(E478,'Data Additive'!E:E,'Data Additive'!E:E,0)</f>
        <v>0</v>
      </c>
    </row>
    <row r="479" spans="1:18" x14ac:dyDescent="0.25">
      <c r="A479" s="410">
        <v>9355</v>
      </c>
      <c r="B479" s="410" t="s">
        <v>337</v>
      </c>
      <c r="C479" s="410" t="s">
        <v>31</v>
      </c>
      <c r="D479" s="411">
        <v>1191855.2599999998</v>
      </c>
      <c r="E479" s="410">
        <v>1246265200</v>
      </c>
      <c r="F479" s="412">
        <v>46177</v>
      </c>
      <c r="G479" s="410"/>
      <c r="H479" s="410" t="s">
        <v>28</v>
      </c>
      <c r="I479" s="410" t="s">
        <v>29</v>
      </c>
      <c r="J479" s="410">
        <v>2778</v>
      </c>
      <c r="K479" s="412">
        <v>46078</v>
      </c>
      <c r="L479" s="410">
        <v>1010200</v>
      </c>
      <c r="M479" s="410" t="s">
        <v>125</v>
      </c>
      <c r="N479" s="410">
        <v>40</v>
      </c>
      <c r="O479" s="410" t="s">
        <v>171</v>
      </c>
      <c r="P479" s="410" t="s">
        <v>337</v>
      </c>
      <c r="Q479">
        <f t="shared" si="9"/>
        <v>-41</v>
      </c>
      <c r="R479">
        <f>_xlfn.XLOOKUP(E479,'Data Additive'!E:E,'Data Additive'!E:E,0)</f>
        <v>0</v>
      </c>
    </row>
    <row r="480" spans="1:18" x14ac:dyDescent="0.25">
      <c r="A480" s="410">
        <v>9830</v>
      </c>
      <c r="B480" s="410" t="s">
        <v>875</v>
      </c>
      <c r="C480" s="410" t="s">
        <v>876</v>
      </c>
      <c r="D480" s="411">
        <v>331</v>
      </c>
      <c r="E480" s="410">
        <v>1246266367</v>
      </c>
      <c r="F480" s="412">
        <v>46145</v>
      </c>
      <c r="G480" s="410"/>
      <c r="H480" s="410"/>
      <c r="I480" s="410" t="s">
        <v>373</v>
      </c>
      <c r="J480" s="410">
        <v>10813</v>
      </c>
      <c r="K480" s="412">
        <v>46085</v>
      </c>
      <c r="L480" s="410">
        <v>4011600</v>
      </c>
      <c r="M480" s="410" t="s">
        <v>702</v>
      </c>
      <c r="N480" s="410">
        <v>244</v>
      </c>
      <c r="O480" s="410" t="s">
        <v>191</v>
      </c>
      <c r="P480" s="410" t="s">
        <v>875</v>
      </c>
      <c r="Q480">
        <f t="shared" si="9"/>
        <v>-9</v>
      </c>
      <c r="R480">
        <f>_xlfn.XLOOKUP(E480,'Data Additive'!E:E,'Data Additive'!E:E,0)</f>
        <v>1246266367</v>
      </c>
    </row>
    <row r="481" spans="1:18" x14ac:dyDescent="0.25">
      <c r="A481" s="410">
        <v>9830</v>
      </c>
      <c r="B481" s="410" t="s">
        <v>875</v>
      </c>
      <c r="C481" s="410" t="s">
        <v>876</v>
      </c>
      <c r="D481" s="411">
        <v>331</v>
      </c>
      <c r="E481" s="410">
        <v>1246266368</v>
      </c>
      <c r="F481" s="412">
        <v>46175</v>
      </c>
      <c r="G481" s="410"/>
      <c r="H481" s="410"/>
      <c r="I481" s="410" t="s">
        <v>373</v>
      </c>
      <c r="J481" s="410">
        <v>10813</v>
      </c>
      <c r="K481" s="412">
        <v>46085</v>
      </c>
      <c r="L481" s="410">
        <v>4011600</v>
      </c>
      <c r="M481" s="410" t="s">
        <v>702</v>
      </c>
      <c r="N481" s="410">
        <v>244</v>
      </c>
      <c r="O481" s="410" t="s">
        <v>191</v>
      </c>
      <c r="P481" s="410" t="s">
        <v>875</v>
      </c>
      <c r="Q481">
        <f t="shared" si="9"/>
        <v>-39</v>
      </c>
      <c r="R481">
        <f>_xlfn.XLOOKUP(E481,'Data Additive'!E:E,'Data Additive'!E:E,0)</f>
        <v>1246266368</v>
      </c>
    </row>
    <row r="482" spans="1:18" x14ac:dyDescent="0.25">
      <c r="A482" s="410">
        <v>11768</v>
      </c>
      <c r="B482" s="410" t="s">
        <v>305</v>
      </c>
      <c r="C482" s="410" t="s">
        <v>31</v>
      </c>
      <c r="D482" s="411">
        <v>86689.1</v>
      </c>
      <c r="E482" s="410">
        <v>1246264534</v>
      </c>
      <c r="F482" s="412">
        <v>46136</v>
      </c>
      <c r="G482" s="410"/>
      <c r="H482" s="410" t="s">
        <v>28</v>
      </c>
      <c r="I482" s="410" t="s">
        <v>29</v>
      </c>
      <c r="J482" s="410">
        <v>10744</v>
      </c>
      <c r="K482" s="412">
        <v>46076</v>
      </c>
      <c r="L482" s="410">
        <v>1010200</v>
      </c>
      <c r="M482" s="410" t="s">
        <v>125</v>
      </c>
      <c r="N482" s="410">
        <v>40</v>
      </c>
      <c r="O482" s="410" t="s">
        <v>171</v>
      </c>
      <c r="P482" s="410" t="s">
        <v>305</v>
      </c>
      <c r="Q482">
        <f t="shared" si="9"/>
        <v>0</v>
      </c>
      <c r="R482">
        <f>_xlfn.XLOOKUP(E482,'Data Additive'!E:E,'Data Additive'!E:E,0)</f>
        <v>0</v>
      </c>
    </row>
    <row r="483" spans="1:18" x14ac:dyDescent="0.25">
      <c r="A483" s="410">
        <v>11770</v>
      </c>
      <c r="B483" s="410" t="s">
        <v>438</v>
      </c>
      <c r="C483" s="410" t="s">
        <v>31</v>
      </c>
      <c r="D483" s="411">
        <v>14548.35</v>
      </c>
      <c r="E483" s="410">
        <v>1246263524</v>
      </c>
      <c r="F483" s="412">
        <v>46039</v>
      </c>
      <c r="G483" s="410"/>
      <c r="H483" s="410" t="s">
        <v>28</v>
      </c>
      <c r="I483" s="410" t="s">
        <v>29</v>
      </c>
      <c r="J483" s="410">
        <v>9853</v>
      </c>
      <c r="K483" s="412">
        <v>45959</v>
      </c>
      <c r="L483" s="410">
        <v>1010200</v>
      </c>
      <c r="M483" s="410" t="s">
        <v>125</v>
      </c>
      <c r="N483" s="410">
        <v>40</v>
      </c>
      <c r="O483" s="410" t="s">
        <v>171</v>
      </c>
      <c r="P483" s="410" t="s">
        <v>438</v>
      </c>
      <c r="Q483">
        <f t="shared" si="9"/>
        <v>97</v>
      </c>
      <c r="R483">
        <f>_xlfn.XLOOKUP(E483,'Data Additive'!E:E,'Data Additive'!E:E,0)</f>
        <v>0</v>
      </c>
    </row>
    <row r="484" spans="1:18" x14ac:dyDescent="0.25">
      <c r="A484" s="410">
        <v>10454</v>
      </c>
      <c r="B484" s="410" t="s">
        <v>195</v>
      </c>
      <c r="C484" s="410" t="s">
        <v>196</v>
      </c>
      <c r="D484" s="411">
        <v>144418.20000000001</v>
      </c>
      <c r="E484" s="410">
        <v>1246051128</v>
      </c>
      <c r="F484" s="412">
        <v>45229</v>
      </c>
      <c r="G484" s="410"/>
      <c r="H484" s="410" t="s">
        <v>173</v>
      </c>
      <c r="I484" s="410" t="s">
        <v>174</v>
      </c>
      <c r="J484" s="410">
        <v>19700</v>
      </c>
      <c r="K484" s="412">
        <v>44860</v>
      </c>
      <c r="L484" s="410">
        <v>1010100</v>
      </c>
      <c r="M484" s="410" t="s">
        <v>35</v>
      </c>
      <c r="N484" s="410">
        <v>161</v>
      </c>
      <c r="O484" s="410" t="s">
        <v>161</v>
      </c>
      <c r="P484" s="410" t="s">
        <v>195</v>
      </c>
      <c r="Q484">
        <f t="shared" si="9"/>
        <v>907</v>
      </c>
      <c r="R484">
        <f>_xlfn.XLOOKUP(E484,'Data Additive'!E:E,'Data Additive'!E:E,0)</f>
        <v>0</v>
      </c>
    </row>
    <row r="485" spans="1:18" x14ac:dyDescent="0.25">
      <c r="A485" s="410">
        <v>10454</v>
      </c>
      <c r="B485" s="410" t="s">
        <v>195</v>
      </c>
      <c r="C485" s="410" t="s">
        <v>196</v>
      </c>
      <c r="D485" s="411">
        <v>144418.20000000001</v>
      </c>
      <c r="E485" s="410">
        <v>1246049220</v>
      </c>
      <c r="F485" s="412">
        <v>45229</v>
      </c>
      <c r="G485" s="410"/>
      <c r="H485" s="410" t="s">
        <v>173</v>
      </c>
      <c r="I485" s="410" t="s">
        <v>174</v>
      </c>
      <c r="J485" s="410">
        <v>19589</v>
      </c>
      <c r="K485" s="412">
        <v>44852</v>
      </c>
      <c r="L485" s="410">
        <v>1010100</v>
      </c>
      <c r="M485" s="410" t="s">
        <v>35</v>
      </c>
      <c r="N485" s="410">
        <v>161</v>
      </c>
      <c r="O485" s="410" t="s">
        <v>161</v>
      </c>
      <c r="P485" s="410" t="s">
        <v>195</v>
      </c>
      <c r="Q485">
        <f t="shared" si="9"/>
        <v>907</v>
      </c>
      <c r="R485">
        <f>_xlfn.XLOOKUP(E485,'Data Additive'!E:E,'Data Additive'!E:E,0)</f>
        <v>0</v>
      </c>
    </row>
    <row r="486" spans="1:18" x14ac:dyDescent="0.25">
      <c r="A486" s="410">
        <v>10454</v>
      </c>
      <c r="B486" s="410" t="s">
        <v>195</v>
      </c>
      <c r="C486" s="410" t="s">
        <v>196</v>
      </c>
      <c r="D486" s="411">
        <v>149099.07999999999</v>
      </c>
      <c r="E486" s="410">
        <v>1246058414</v>
      </c>
      <c r="F486" s="412">
        <v>45229</v>
      </c>
      <c r="G486" s="410"/>
      <c r="H486" s="410" t="s">
        <v>173</v>
      </c>
      <c r="I486" s="410" t="s">
        <v>174</v>
      </c>
      <c r="J486" s="410">
        <v>20191</v>
      </c>
      <c r="K486" s="412">
        <v>44909</v>
      </c>
      <c r="L486" s="410">
        <v>1010100</v>
      </c>
      <c r="M486" s="410" t="s">
        <v>35</v>
      </c>
      <c r="N486" s="410">
        <v>161</v>
      </c>
      <c r="O486" s="410" t="s">
        <v>161</v>
      </c>
      <c r="P486" s="410" t="s">
        <v>195</v>
      </c>
      <c r="Q486">
        <f t="shared" si="9"/>
        <v>907</v>
      </c>
      <c r="R486">
        <f>_xlfn.XLOOKUP(E486,'Data Additive'!E:E,'Data Additive'!E:E,0)</f>
        <v>0</v>
      </c>
    </row>
    <row r="487" spans="1:18" x14ac:dyDescent="0.25">
      <c r="A487" s="410">
        <v>10454</v>
      </c>
      <c r="B487" s="410" t="s">
        <v>195</v>
      </c>
      <c r="C487" s="410" t="s">
        <v>196</v>
      </c>
      <c r="D487" s="411">
        <v>151022.07999999999</v>
      </c>
      <c r="E487" s="410">
        <v>1246066481</v>
      </c>
      <c r="F487" s="412">
        <v>45229</v>
      </c>
      <c r="G487" s="410"/>
      <c r="H487" s="410" t="s">
        <v>173</v>
      </c>
      <c r="I487" s="410" t="s">
        <v>174</v>
      </c>
      <c r="J487" s="410">
        <v>20644</v>
      </c>
      <c r="K487" s="412">
        <v>44965</v>
      </c>
      <c r="L487" s="410">
        <v>1010100</v>
      </c>
      <c r="M487" s="410" t="s">
        <v>35</v>
      </c>
      <c r="N487" s="410">
        <v>161</v>
      </c>
      <c r="O487" s="410" t="s">
        <v>161</v>
      </c>
      <c r="P487" s="410" t="s">
        <v>195</v>
      </c>
      <c r="Q487">
        <f t="shared" si="9"/>
        <v>907</v>
      </c>
      <c r="R487">
        <f>_xlfn.XLOOKUP(E487,'Data Additive'!E:E,'Data Additive'!E:E,0)</f>
        <v>0</v>
      </c>
    </row>
    <row r="488" spans="1:18" x14ac:dyDescent="0.25">
      <c r="A488" s="410">
        <v>10454</v>
      </c>
      <c r="B488" s="410" t="s">
        <v>195</v>
      </c>
      <c r="C488" s="410" t="s">
        <v>196</v>
      </c>
      <c r="D488" s="411">
        <v>248498.47</v>
      </c>
      <c r="E488" s="410">
        <v>1246058556</v>
      </c>
      <c r="F488" s="412">
        <v>45229</v>
      </c>
      <c r="G488" s="410"/>
      <c r="H488" s="410" t="s">
        <v>173</v>
      </c>
      <c r="I488" s="410" t="s">
        <v>174</v>
      </c>
      <c r="J488" s="410">
        <v>20197</v>
      </c>
      <c r="K488" s="412">
        <v>44909</v>
      </c>
      <c r="L488" s="410">
        <v>1010100</v>
      </c>
      <c r="M488" s="410" t="s">
        <v>35</v>
      </c>
      <c r="N488" s="410">
        <v>161</v>
      </c>
      <c r="O488" s="410" t="s">
        <v>161</v>
      </c>
      <c r="P488" s="410" t="s">
        <v>195</v>
      </c>
      <c r="Q488">
        <f t="shared" si="9"/>
        <v>907</v>
      </c>
      <c r="R488">
        <f>_xlfn.XLOOKUP(E488,'Data Additive'!E:E,'Data Additive'!E:E,0)</f>
        <v>0</v>
      </c>
    </row>
    <row r="489" spans="1:18" x14ac:dyDescent="0.25">
      <c r="A489" s="410">
        <v>10454</v>
      </c>
      <c r="B489" s="410" t="s">
        <v>195</v>
      </c>
      <c r="C489" s="410" t="s">
        <v>196</v>
      </c>
      <c r="D489" s="411">
        <v>122816.13</v>
      </c>
      <c r="E489" s="410">
        <v>1246065495</v>
      </c>
      <c r="F489" s="412">
        <v>45229</v>
      </c>
      <c r="G489" s="410"/>
      <c r="H489" s="410" t="s">
        <v>173</v>
      </c>
      <c r="I489" s="410" t="s">
        <v>174</v>
      </c>
      <c r="J489" s="410">
        <v>20599</v>
      </c>
      <c r="K489" s="412">
        <v>44958</v>
      </c>
      <c r="L489" s="410">
        <v>1010100</v>
      </c>
      <c r="M489" s="410" t="s">
        <v>35</v>
      </c>
      <c r="N489" s="410">
        <v>161</v>
      </c>
      <c r="O489" s="410" t="s">
        <v>161</v>
      </c>
      <c r="P489" s="410" t="s">
        <v>195</v>
      </c>
      <c r="Q489">
        <f t="shared" si="9"/>
        <v>907</v>
      </c>
      <c r="R489">
        <f>_xlfn.XLOOKUP(E489,'Data Additive'!E:E,'Data Additive'!E:E,0)</f>
        <v>0</v>
      </c>
    </row>
    <row r="490" spans="1:18" x14ac:dyDescent="0.25">
      <c r="A490" s="410">
        <v>10454</v>
      </c>
      <c r="B490" s="410" t="s">
        <v>195</v>
      </c>
      <c r="C490" s="410" t="s">
        <v>196</v>
      </c>
      <c r="D490" s="411">
        <v>97567.15</v>
      </c>
      <c r="E490" s="410">
        <v>1246059110</v>
      </c>
      <c r="F490" s="412">
        <v>45229</v>
      </c>
      <c r="G490" s="410"/>
      <c r="H490" s="410" t="s">
        <v>173</v>
      </c>
      <c r="I490" s="410" t="s">
        <v>174</v>
      </c>
      <c r="J490" s="410">
        <v>20229</v>
      </c>
      <c r="K490" s="412">
        <v>44911</v>
      </c>
      <c r="L490" s="410">
        <v>1010100</v>
      </c>
      <c r="M490" s="410" t="s">
        <v>35</v>
      </c>
      <c r="N490" s="410">
        <v>161</v>
      </c>
      <c r="O490" s="410" t="s">
        <v>161</v>
      </c>
      <c r="P490" s="410" t="s">
        <v>195</v>
      </c>
      <c r="Q490">
        <f t="shared" si="9"/>
        <v>907</v>
      </c>
      <c r="R490">
        <f>_xlfn.XLOOKUP(E490,'Data Additive'!E:E,'Data Additive'!E:E,0)</f>
        <v>0</v>
      </c>
    </row>
    <row r="491" spans="1:18" x14ac:dyDescent="0.25">
      <c r="A491" s="410">
        <v>10454</v>
      </c>
      <c r="B491" s="410" t="s">
        <v>195</v>
      </c>
      <c r="C491" s="410" t="s">
        <v>196</v>
      </c>
      <c r="D491" s="411">
        <v>145199.79999999999</v>
      </c>
      <c r="E491" s="410">
        <v>1246057926</v>
      </c>
      <c r="F491" s="412">
        <v>45229</v>
      </c>
      <c r="G491" s="410"/>
      <c r="H491" s="410" t="s">
        <v>173</v>
      </c>
      <c r="I491" s="410" t="s">
        <v>174</v>
      </c>
      <c r="J491" s="410">
        <v>20177</v>
      </c>
      <c r="K491" s="412">
        <v>44907</v>
      </c>
      <c r="L491" s="410">
        <v>1010100</v>
      </c>
      <c r="M491" s="410" t="s">
        <v>35</v>
      </c>
      <c r="N491" s="410">
        <v>161</v>
      </c>
      <c r="O491" s="410" t="s">
        <v>161</v>
      </c>
      <c r="P491" s="410" t="s">
        <v>195</v>
      </c>
      <c r="Q491">
        <f t="shared" si="9"/>
        <v>907</v>
      </c>
      <c r="R491">
        <f>_xlfn.XLOOKUP(E491,'Data Additive'!E:E,'Data Additive'!E:E,0)</f>
        <v>0</v>
      </c>
    </row>
    <row r="492" spans="1:18" x14ac:dyDescent="0.25">
      <c r="A492" s="410">
        <v>10454</v>
      </c>
      <c r="B492" s="410" t="s">
        <v>195</v>
      </c>
      <c r="C492" s="410" t="s">
        <v>196</v>
      </c>
      <c r="D492" s="411">
        <v>85824.21</v>
      </c>
      <c r="E492" s="410">
        <v>1246058924</v>
      </c>
      <c r="F492" s="412">
        <v>45229</v>
      </c>
      <c r="G492" s="410"/>
      <c r="H492" s="410" t="s">
        <v>173</v>
      </c>
      <c r="I492" s="410" t="s">
        <v>174</v>
      </c>
      <c r="J492" s="410">
        <v>20209</v>
      </c>
      <c r="K492" s="412">
        <v>44910</v>
      </c>
      <c r="L492" s="410">
        <v>1010100</v>
      </c>
      <c r="M492" s="410" t="s">
        <v>35</v>
      </c>
      <c r="N492" s="410">
        <v>161</v>
      </c>
      <c r="O492" s="410" t="s">
        <v>161</v>
      </c>
      <c r="P492" s="410" t="s">
        <v>195</v>
      </c>
      <c r="Q492">
        <f t="shared" si="9"/>
        <v>907</v>
      </c>
      <c r="R492">
        <f>_xlfn.XLOOKUP(E492,'Data Additive'!E:E,'Data Additive'!E:E,0)</f>
        <v>0</v>
      </c>
    </row>
    <row r="493" spans="1:18" x14ac:dyDescent="0.25">
      <c r="A493" s="410">
        <v>10454</v>
      </c>
      <c r="B493" s="410" t="s">
        <v>195</v>
      </c>
      <c r="C493" s="410" t="s">
        <v>196</v>
      </c>
      <c r="D493" s="411">
        <v>154779.14000000001</v>
      </c>
      <c r="E493" s="410">
        <v>1246058289</v>
      </c>
      <c r="F493" s="412">
        <v>45229</v>
      </c>
      <c r="G493" s="410"/>
      <c r="H493" s="410" t="s">
        <v>173</v>
      </c>
      <c r="I493" s="410" t="s">
        <v>174</v>
      </c>
      <c r="J493" s="410">
        <v>20187</v>
      </c>
      <c r="K493" s="412">
        <v>44908</v>
      </c>
      <c r="L493" s="410">
        <v>1010100</v>
      </c>
      <c r="M493" s="410" t="s">
        <v>35</v>
      </c>
      <c r="N493" s="410">
        <v>161</v>
      </c>
      <c r="O493" s="410" t="s">
        <v>161</v>
      </c>
      <c r="P493" s="410" t="s">
        <v>195</v>
      </c>
      <c r="Q493">
        <f t="shared" si="9"/>
        <v>907</v>
      </c>
      <c r="R493">
        <f>_xlfn.XLOOKUP(E493,'Data Additive'!E:E,'Data Additive'!E:E,0)</f>
        <v>0</v>
      </c>
    </row>
    <row r="494" spans="1:18" x14ac:dyDescent="0.25">
      <c r="A494" s="410">
        <v>10454</v>
      </c>
      <c r="B494" s="410" t="s">
        <v>195</v>
      </c>
      <c r="C494" s="410" t="s">
        <v>196</v>
      </c>
      <c r="D494" s="411">
        <v>166124.28999999998</v>
      </c>
      <c r="E494" s="410">
        <v>1246066059</v>
      </c>
      <c r="F494" s="412">
        <v>45229</v>
      </c>
      <c r="G494" s="410"/>
      <c r="H494" s="410" t="s">
        <v>173</v>
      </c>
      <c r="I494" s="410" t="s">
        <v>174</v>
      </c>
      <c r="J494" s="410">
        <v>20622</v>
      </c>
      <c r="K494" s="412">
        <v>44963</v>
      </c>
      <c r="L494" s="410">
        <v>1010100</v>
      </c>
      <c r="M494" s="410" t="s">
        <v>35</v>
      </c>
      <c r="N494" s="410">
        <v>161</v>
      </c>
      <c r="O494" s="410" t="s">
        <v>161</v>
      </c>
      <c r="P494" s="410" t="s">
        <v>195</v>
      </c>
      <c r="Q494">
        <f t="shared" si="9"/>
        <v>907</v>
      </c>
      <c r="R494">
        <f>_xlfn.XLOOKUP(E494,'Data Additive'!E:E,'Data Additive'!E:E,0)</f>
        <v>0</v>
      </c>
    </row>
    <row r="495" spans="1:18" x14ac:dyDescent="0.25">
      <c r="A495" s="410">
        <v>10454</v>
      </c>
      <c r="B495" s="410" t="s">
        <v>195</v>
      </c>
      <c r="C495" s="410" t="s">
        <v>196</v>
      </c>
      <c r="D495" s="411">
        <v>151240.47</v>
      </c>
      <c r="E495" s="410">
        <v>1246059634</v>
      </c>
      <c r="F495" s="412">
        <v>45229</v>
      </c>
      <c r="G495" s="410"/>
      <c r="H495" s="410" t="s">
        <v>173</v>
      </c>
      <c r="I495" s="410" t="s">
        <v>174</v>
      </c>
      <c r="J495" s="410">
        <v>20268</v>
      </c>
      <c r="K495" s="412">
        <v>44916</v>
      </c>
      <c r="L495" s="410">
        <v>1010100</v>
      </c>
      <c r="M495" s="410" t="s">
        <v>35</v>
      </c>
      <c r="N495" s="410">
        <v>161</v>
      </c>
      <c r="O495" s="410" t="s">
        <v>161</v>
      </c>
      <c r="P495" s="410" t="s">
        <v>195</v>
      </c>
      <c r="Q495">
        <f t="shared" si="9"/>
        <v>907</v>
      </c>
      <c r="R495">
        <f>_xlfn.XLOOKUP(E495,'Data Additive'!E:E,'Data Additive'!E:E,0)</f>
        <v>0</v>
      </c>
    </row>
    <row r="496" spans="1:18" x14ac:dyDescent="0.25">
      <c r="A496" s="410">
        <v>10454</v>
      </c>
      <c r="B496" s="410" t="s">
        <v>195</v>
      </c>
      <c r="C496" s="410" t="s">
        <v>196</v>
      </c>
      <c r="D496" s="411">
        <v>102193.68</v>
      </c>
      <c r="E496" s="410">
        <v>1246216830</v>
      </c>
      <c r="F496" s="412">
        <v>45168</v>
      </c>
      <c r="G496" s="410"/>
      <c r="H496" s="410" t="s">
        <v>173</v>
      </c>
      <c r="I496" s="410" t="s">
        <v>174</v>
      </c>
      <c r="J496" s="410">
        <v>19263</v>
      </c>
      <c r="K496" s="412">
        <v>44824</v>
      </c>
      <c r="L496" s="410">
        <v>1010100</v>
      </c>
      <c r="M496" s="410" t="s">
        <v>35</v>
      </c>
      <c r="N496" s="410">
        <v>161</v>
      </c>
      <c r="O496" s="410" t="s">
        <v>161</v>
      </c>
      <c r="P496" s="410" t="s">
        <v>195</v>
      </c>
      <c r="Q496">
        <f t="shared" si="9"/>
        <v>968</v>
      </c>
      <c r="R496">
        <f>_xlfn.XLOOKUP(E496,'Data Additive'!E:E,'Data Additive'!E:E,0)</f>
        <v>0</v>
      </c>
    </row>
    <row r="497" spans="1:18" x14ac:dyDescent="0.25">
      <c r="A497" s="410">
        <v>11326</v>
      </c>
      <c r="B497" s="410" t="s">
        <v>197</v>
      </c>
      <c r="C497" s="410" t="s">
        <v>198</v>
      </c>
      <c r="D497" s="411">
        <v>131680</v>
      </c>
      <c r="E497" s="410">
        <v>1246234342</v>
      </c>
      <c r="F497" s="412">
        <v>46264</v>
      </c>
      <c r="G497" s="410"/>
      <c r="H497" s="410" t="s">
        <v>173</v>
      </c>
      <c r="I497" s="410" t="s">
        <v>174</v>
      </c>
      <c r="J497" s="410">
        <v>9141</v>
      </c>
      <c r="K497" s="412">
        <v>45901</v>
      </c>
      <c r="L497" s="410">
        <v>1010100</v>
      </c>
      <c r="M497" s="410" t="s">
        <v>35</v>
      </c>
      <c r="N497" s="410">
        <v>161</v>
      </c>
      <c r="O497" s="410" t="s">
        <v>161</v>
      </c>
      <c r="P497" s="410" t="s">
        <v>197</v>
      </c>
      <c r="Q497">
        <f t="shared" si="9"/>
        <v>-128</v>
      </c>
      <c r="R497">
        <f>_xlfn.XLOOKUP(E497,'Data Additive'!E:E,'Data Additive'!E:E,0)</f>
        <v>0</v>
      </c>
    </row>
    <row r="498" spans="1:18" x14ac:dyDescent="0.25">
      <c r="A498" s="410">
        <v>11326</v>
      </c>
      <c r="B498" s="410" t="s">
        <v>197</v>
      </c>
      <c r="C498" s="410" t="s">
        <v>198</v>
      </c>
      <c r="D498" s="411">
        <v>137376</v>
      </c>
      <c r="E498" s="410">
        <v>1246222833</v>
      </c>
      <c r="F498" s="412">
        <v>46143</v>
      </c>
      <c r="G498" s="410"/>
      <c r="H498" s="410" t="s">
        <v>173</v>
      </c>
      <c r="I498" s="410" t="s">
        <v>174</v>
      </c>
      <c r="J498" s="410">
        <v>8351</v>
      </c>
      <c r="K498" s="412">
        <v>45841</v>
      </c>
      <c r="L498" s="410">
        <v>1010100</v>
      </c>
      <c r="M498" s="410" t="s">
        <v>35</v>
      </c>
      <c r="N498" s="410">
        <v>161</v>
      </c>
      <c r="O498" s="410" t="s">
        <v>161</v>
      </c>
      <c r="P498" s="410" t="s">
        <v>197</v>
      </c>
      <c r="Q498">
        <f t="shared" si="9"/>
        <v>-7</v>
      </c>
      <c r="R498">
        <f>_xlfn.XLOOKUP(E498,'Data Additive'!E:E,'Data Additive'!E:E,0)</f>
        <v>0</v>
      </c>
    </row>
    <row r="499" spans="1:18" x14ac:dyDescent="0.25">
      <c r="A499" s="410">
        <v>11580</v>
      </c>
      <c r="B499" s="410" t="s">
        <v>492</v>
      </c>
      <c r="C499" s="410" t="s">
        <v>31</v>
      </c>
      <c r="D499" s="411">
        <v>76480.23</v>
      </c>
      <c r="E499" s="410">
        <v>1246268734</v>
      </c>
      <c r="F499" s="412">
        <v>46440</v>
      </c>
      <c r="G499" s="410"/>
      <c r="H499" s="410" t="s">
        <v>28</v>
      </c>
      <c r="I499" s="410" t="s">
        <v>29</v>
      </c>
      <c r="J499" s="410">
        <v>2837</v>
      </c>
      <c r="K499" s="412">
        <v>46105</v>
      </c>
      <c r="L499" s="410">
        <v>1010200</v>
      </c>
      <c r="M499" s="410" t="s">
        <v>125</v>
      </c>
      <c r="N499" s="410">
        <v>40</v>
      </c>
      <c r="O499" s="410" t="s">
        <v>171</v>
      </c>
      <c r="P499" s="410" t="s">
        <v>492</v>
      </c>
      <c r="Q499">
        <f t="shared" si="9"/>
        <v>-304</v>
      </c>
      <c r="R499">
        <f>_xlfn.XLOOKUP(E499,'Data Additive'!E:E,'Data Additive'!E:E,0)</f>
        <v>0</v>
      </c>
    </row>
    <row r="500" spans="1:18" x14ac:dyDescent="0.25">
      <c r="A500" s="410">
        <v>10456</v>
      </c>
      <c r="B500" s="410" t="s">
        <v>199</v>
      </c>
      <c r="C500" s="410" t="s">
        <v>200</v>
      </c>
      <c r="D500" s="411">
        <v>111322.27</v>
      </c>
      <c r="E500" s="410">
        <v>1246093334</v>
      </c>
      <c r="F500" s="412">
        <v>45537</v>
      </c>
      <c r="G500" s="410"/>
      <c r="H500" s="410" t="s">
        <v>173</v>
      </c>
      <c r="I500" s="410" t="s">
        <v>174</v>
      </c>
      <c r="J500" s="410">
        <v>251</v>
      </c>
      <c r="K500" s="412">
        <v>45127</v>
      </c>
      <c r="L500" s="410">
        <v>1010100</v>
      </c>
      <c r="M500" s="410" t="s">
        <v>35</v>
      </c>
      <c r="N500" s="410">
        <v>161</v>
      </c>
      <c r="O500" s="410" t="s">
        <v>161</v>
      </c>
      <c r="P500" s="410" t="s">
        <v>199</v>
      </c>
      <c r="Q500">
        <f t="shared" si="9"/>
        <v>599</v>
      </c>
      <c r="R500">
        <f>_xlfn.XLOOKUP(E500,'Data Additive'!E:E,'Data Additive'!E:E,0)</f>
        <v>0</v>
      </c>
    </row>
    <row r="501" spans="1:18" x14ac:dyDescent="0.25">
      <c r="A501" s="410">
        <v>10456</v>
      </c>
      <c r="B501" s="410" t="s">
        <v>199</v>
      </c>
      <c r="C501" s="410" t="s">
        <v>200</v>
      </c>
      <c r="D501" s="411">
        <v>118491.86</v>
      </c>
      <c r="E501" s="410">
        <v>1246097861</v>
      </c>
      <c r="F501" s="412">
        <v>45565</v>
      </c>
      <c r="G501" s="410"/>
      <c r="H501" s="410" t="s">
        <v>173</v>
      </c>
      <c r="I501" s="410" t="s">
        <v>174</v>
      </c>
      <c r="J501" s="410">
        <v>683</v>
      </c>
      <c r="K501" s="412">
        <v>45152</v>
      </c>
      <c r="L501" s="410">
        <v>1010100</v>
      </c>
      <c r="M501" s="410" t="s">
        <v>35</v>
      </c>
      <c r="N501" s="410">
        <v>161</v>
      </c>
      <c r="O501" s="410" t="s">
        <v>161</v>
      </c>
      <c r="P501" s="410" t="s">
        <v>199</v>
      </c>
      <c r="Q501">
        <f t="shared" si="9"/>
        <v>571</v>
      </c>
      <c r="R501">
        <f>_xlfn.XLOOKUP(E501,'Data Additive'!E:E,'Data Additive'!E:E,0)</f>
        <v>0</v>
      </c>
    </row>
    <row r="502" spans="1:18" x14ac:dyDescent="0.25">
      <c r="A502" s="410">
        <v>10456</v>
      </c>
      <c r="B502" s="410" t="s">
        <v>199</v>
      </c>
      <c r="C502" s="410" t="s">
        <v>200</v>
      </c>
      <c r="D502" s="411">
        <v>117498.04</v>
      </c>
      <c r="E502" s="410">
        <v>1246099432</v>
      </c>
      <c r="F502" s="412">
        <v>45545</v>
      </c>
      <c r="G502" s="410"/>
      <c r="H502" s="410" t="s">
        <v>173</v>
      </c>
      <c r="I502" s="410" t="s">
        <v>174</v>
      </c>
      <c r="J502" s="410">
        <v>787</v>
      </c>
      <c r="K502" s="412">
        <v>45160</v>
      </c>
      <c r="L502" s="410">
        <v>1010100</v>
      </c>
      <c r="M502" s="410" t="s">
        <v>35</v>
      </c>
      <c r="N502" s="410">
        <v>161</v>
      </c>
      <c r="O502" s="410" t="s">
        <v>161</v>
      </c>
      <c r="P502" s="410" t="s">
        <v>199</v>
      </c>
      <c r="Q502">
        <f t="shared" si="9"/>
        <v>591</v>
      </c>
      <c r="R502">
        <f>_xlfn.XLOOKUP(E502,'Data Additive'!E:E,'Data Additive'!E:E,0)</f>
        <v>0</v>
      </c>
    </row>
    <row r="503" spans="1:18" x14ac:dyDescent="0.25">
      <c r="A503" s="410">
        <v>10456</v>
      </c>
      <c r="B503" s="410" t="s">
        <v>199</v>
      </c>
      <c r="C503" s="410" t="s">
        <v>200</v>
      </c>
      <c r="D503" s="411">
        <v>100560.82</v>
      </c>
      <c r="E503" s="410">
        <v>1246100417</v>
      </c>
      <c r="F503" s="412">
        <v>45548</v>
      </c>
      <c r="G503" s="410"/>
      <c r="H503" s="410" t="s">
        <v>173</v>
      </c>
      <c r="I503" s="410" t="s">
        <v>174</v>
      </c>
      <c r="J503" s="410">
        <v>183</v>
      </c>
      <c r="K503" s="412">
        <v>45163</v>
      </c>
      <c r="L503" s="410">
        <v>1010100</v>
      </c>
      <c r="M503" s="410" t="s">
        <v>35</v>
      </c>
      <c r="N503" s="410">
        <v>161</v>
      </c>
      <c r="O503" s="410" t="s">
        <v>161</v>
      </c>
      <c r="P503" s="410" t="s">
        <v>199</v>
      </c>
      <c r="Q503">
        <f t="shared" si="9"/>
        <v>588</v>
      </c>
      <c r="R503">
        <f>_xlfn.XLOOKUP(E503,'Data Additive'!E:E,'Data Additive'!E:E,0)</f>
        <v>0</v>
      </c>
    </row>
    <row r="504" spans="1:18" x14ac:dyDescent="0.25">
      <c r="A504" s="410">
        <v>10456</v>
      </c>
      <c r="B504" s="410" t="s">
        <v>199</v>
      </c>
      <c r="C504" s="410" t="s">
        <v>200</v>
      </c>
      <c r="D504" s="411">
        <v>61416.78</v>
      </c>
      <c r="E504" s="410">
        <v>1246065449</v>
      </c>
      <c r="F504" s="412">
        <v>45199</v>
      </c>
      <c r="G504" s="410"/>
      <c r="H504" s="410" t="s">
        <v>173</v>
      </c>
      <c r="I504" s="410" t="s">
        <v>174</v>
      </c>
      <c r="J504" s="410">
        <v>20596</v>
      </c>
      <c r="K504" s="412">
        <v>44958</v>
      </c>
      <c r="L504" s="410">
        <v>1010100</v>
      </c>
      <c r="M504" s="410" t="s">
        <v>35</v>
      </c>
      <c r="N504" s="410">
        <v>161</v>
      </c>
      <c r="O504" s="410" t="s">
        <v>161</v>
      </c>
      <c r="P504" s="410" t="s">
        <v>199</v>
      </c>
      <c r="Q504">
        <f t="shared" si="9"/>
        <v>937</v>
      </c>
      <c r="R504">
        <f>_xlfn.XLOOKUP(E504,'Data Additive'!E:E,'Data Additive'!E:E,0)</f>
        <v>0</v>
      </c>
    </row>
    <row r="505" spans="1:18" x14ac:dyDescent="0.25">
      <c r="A505" s="410">
        <v>10456</v>
      </c>
      <c r="B505" s="410" t="s">
        <v>199</v>
      </c>
      <c r="C505" s="410" t="s">
        <v>200</v>
      </c>
      <c r="D505" s="411">
        <v>106537.82</v>
      </c>
      <c r="E505" s="410">
        <v>1246110763</v>
      </c>
      <c r="F505" s="412">
        <v>45534</v>
      </c>
      <c r="G505" s="410"/>
      <c r="H505" s="410" t="s">
        <v>173</v>
      </c>
      <c r="I505" s="410" t="s">
        <v>174</v>
      </c>
      <c r="J505" s="410">
        <v>1702</v>
      </c>
      <c r="K505" s="412">
        <v>45222</v>
      </c>
      <c r="L505" s="410">
        <v>1010100</v>
      </c>
      <c r="M505" s="410" t="s">
        <v>35</v>
      </c>
      <c r="N505" s="410">
        <v>161</v>
      </c>
      <c r="O505" s="410" t="s">
        <v>161</v>
      </c>
      <c r="P505" s="410" t="s">
        <v>199</v>
      </c>
      <c r="Q505">
        <f t="shared" si="9"/>
        <v>602</v>
      </c>
      <c r="R505">
        <f>_xlfn.XLOOKUP(E505,'Data Additive'!E:E,'Data Additive'!E:E,0)</f>
        <v>0</v>
      </c>
    </row>
    <row r="506" spans="1:18" x14ac:dyDescent="0.25">
      <c r="A506" s="410">
        <v>10456</v>
      </c>
      <c r="B506" s="410" t="s">
        <v>199</v>
      </c>
      <c r="C506" s="410" t="s">
        <v>200</v>
      </c>
      <c r="D506" s="411">
        <v>110173.77</v>
      </c>
      <c r="E506" s="410">
        <v>1246067444</v>
      </c>
      <c r="F506" s="412">
        <v>45199</v>
      </c>
      <c r="G506" s="410"/>
      <c r="H506" s="410" t="s">
        <v>173</v>
      </c>
      <c r="I506" s="410" t="s">
        <v>174</v>
      </c>
      <c r="J506" s="410">
        <v>20680</v>
      </c>
      <c r="K506" s="412">
        <v>44971</v>
      </c>
      <c r="L506" s="410">
        <v>1010100</v>
      </c>
      <c r="M506" s="410" t="s">
        <v>35</v>
      </c>
      <c r="N506" s="410">
        <v>161</v>
      </c>
      <c r="O506" s="410" t="s">
        <v>161</v>
      </c>
      <c r="P506" s="410" t="s">
        <v>199</v>
      </c>
      <c r="Q506">
        <f t="shared" si="9"/>
        <v>937</v>
      </c>
      <c r="R506">
        <f>_xlfn.XLOOKUP(E506,'Data Additive'!E:E,'Data Additive'!E:E,0)</f>
        <v>0</v>
      </c>
    </row>
    <row r="507" spans="1:18" x14ac:dyDescent="0.25">
      <c r="A507" s="410">
        <v>10456</v>
      </c>
      <c r="B507" s="410" t="s">
        <v>199</v>
      </c>
      <c r="C507" s="410" t="s">
        <v>200</v>
      </c>
      <c r="D507" s="411">
        <v>153644.62</v>
      </c>
      <c r="E507" s="410">
        <v>1246066037</v>
      </c>
      <c r="F507" s="412">
        <v>45199</v>
      </c>
      <c r="G507" s="410"/>
      <c r="H507" s="410" t="s">
        <v>173</v>
      </c>
      <c r="I507" s="410" t="s">
        <v>174</v>
      </c>
      <c r="J507" s="410">
        <v>20619</v>
      </c>
      <c r="K507" s="412">
        <v>44963</v>
      </c>
      <c r="L507" s="410">
        <v>1010100</v>
      </c>
      <c r="M507" s="410" t="s">
        <v>35</v>
      </c>
      <c r="N507" s="410">
        <v>161</v>
      </c>
      <c r="O507" s="410" t="s">
        <v>161</v>
      </c>
      <c r="P507" s="410" t="s">
        <v>199</v>
      </c>
      <c r="Q507">
        <f t="shared" si="9"/>
        <v>937</v>
      </c>
      <c r="R507">
        <f>_xlfn.XLOOKUP(E507,'Data Additive'!E:E,'Data Additive'!E:E,0)</f>
        <v>0</v>
      </c>
    </row>
    <row r="508" spans="1:18" x14ac:dyDescent="0.25">
      <c r="A508" s="410">
        <v>10456</v>
      </c>
      <c r="B508" s="410" t="s">
        <v>199</v>
      </c>
      <c r="C508" s="410" t="s">
        <v>200</v>
      </c>
      <c r="D508" s="411">
        <v>121627.64</v>
      </c>
      <c r="E508" s="410">
        <v>1246061337</v>
      </c>
      <c r="F508" s="412">
        <v>45199</v>
      </c>
      <c r="G508" s="410"/>
      <c r="H508" s="410" t="s">
        <v>173</v>
      </c>
      <c r="I508" s="410" t="s">
        <v>174</v>
      </c>
      <c r="J508" s="410">
        <v>20371</v>
      </c>
      <c r="K508" s="412">
        <v>44930</v>
      </c>
      <c r="L508" s="410">
        <v>1010100</v>
      </c>
      <c r="M508" s="410" t="s">
        <v>35</v>
      </c>
      <c r="N508" s="410">
        <v>161</v>
      </c>
      <c r="O508" s="410" t="s">
        <v>161</v>
      </c>
      <c r="P508" s="410" t="s">
        <v>199</v>
      </c>
      <c r="Q508">
        <f t="shared" ref="Q508:Q565" si="10">$R$1-F508</f>
        <v>937</v>
      </c>
      <c r="R508">
        <f>_xlfn.XLOOKUP(E508,'Data Additive'!E:E,'Data Additive'!E:E,0)</f>
        <v>0</v>
      </c>
    </row>
    <row r="509" spans="1:18" x14ac:dyDescent="0.25">
      <c r="A509" s="410">
        <v>10456</v>
      </c>
      <c r="B509" s="410" t="s">
        <v>199</v>
      </c>
      <c r="C509" s="410" t="s">
        <v>200</v>
      </c>
      <c r="D509" s="411">
        <v>119763.56</v>
      </c>
      <c r="E509" s="410">
        <v>1246107272</v>
      </c>
      <c r="F509" s="412">
        <v>45536</v>
      </c>
      <c r="G509" s="410"/>
      <c r="H509" s="410" t="s">
        <v>173</v>
      </c>
      <c r="I509" s="410" t="s">
        <v>174</v>
      </c>
      <c r="J509" s="410">
        <v>1444</v>
      </c>
      <c r="K509" s="412">
        <v>45201</v>
      </c>
      <c r="L509" s="410">
        <v>1010100</v>
      </c>
      <c r="M509" s="410" t="s">
        <v>35</v>
      </c>
      <c r="N509" s="410">
        <v>161</v>
      </c>
      <c r="O509" s="410" t="s">
        <v>161</v>
      </c>
      <c r="P509" s="410" t="s">
        <v>199</v>
      </c>
      <c r="Q509">
        <f t="shared" si="10"/>
        <v>600</v>
      </c>
      <c r="R509">
        <f>_xlfn.XLOOKUP(E509,'Data Additive'!E:E,'Data Additive'!E:E,0)</f>
        <v>0</v>
      </c>
    </row>
    <row r="510" spans="1:18" x14ac:dyDescent="0.25">
      <c r="A510" s="410">
        <v>10456</v>
      </c>
      <c r="B510" s="410" t="s">
        <v>199</v>
      </c>
      <c r="C510" s="410" t="s">
        <v>200</v>
      </c>
      <c r="D510" s="411">
        <v>129996.55</v>
      </c>
      <c r="E510" s="410">
        <v>1246063009</v>
      </c>
      <c r="F510" s="412">
        <v>45199</v>
      </c>
      <c r="G510" s="410"/>
      <c r="H510" s="410" t="s">
        <v>173</v>
      </c>
      <c r="I510" s="410" t="s">
        <v>174</v>
      </c>
      <c r="J510" s="410">
        <v>20458</v>
      </c>
      <c r="K510" s="412">
        <v>44943</v>
      </c>
      <c r="L510" s="410">
        <v>1010100</v>
      </c>
      <c r="M510" s="410" t="s">
        <v>35</v>
      </c>
      <c r="N510" s="410">
        <v>161</v>
      </c>
      <c r="O510" s="410" t="s">
        <v>161</v>
      </c>
      <c r="P510" s="410" t="s">
        <v>199</v>
      </c>
      <c r="Q510">
        <f t="shared" si="10"/>
        <v>937</v>
      </c>
      <c r="R510">
        <f>_xlfn.XLOOKUP(E510,'Data Additive'!E:E,'Data Additive'!E:E,0)</f>
        <v>0</v>
      </c>
    </row>
    <row r="511" spans="1:18" x14ac:dyDescent="0.25">
      <c r="A511" s="410">
        <v>10456</v>
      </c>
      <c r="B511" s="410" t="s">
        <v>199</v>
      </c>
      <c r="C511" s="410" t="s">
        <v>200</v>
      </c>
      <c r="D511" s="411">
        <v>61021.61</v>
      </c>
      <c r="E511" s="410">
        <v>1246063058</v>
      </c>
      <c r="F511" s="412">
        <v>45199</v>
      </c>
      <c r="G511" s="410"/>
      <c r="H511" s="410" t="s">
        <v>173</v>
      </c>
      <c r="I511" s="410" t="s">
        <v>174</v>
      </c>
      <c r="J511" s="410">
        <v>20480</v>
      </c>
      <c r="K511" s="412">
        <v>44943</v>
      </c>
      <c r="L511" s="410">
        <v>1010100</v>
      </c>
      <c r="M511" s="410" t="s">
        <v>35</v>
      </c>
      <c r="N511" s="410">
        <v>161</v>
      </c>
      <c r="O511" s="410" t="s">
        <v>161</v>
      </c>
      <c r="P511" s="410" t="s">
        <v>199</v>
      </c>
      <c r="Q511">
        <f t="shared" si="10"/>
        <v>937</v>
      </c>
      <c r="R511">
        <f>_xlfn.XLOOKUP(E511,'Data Additive'!E:E,'Data Additive'!E:E,0)</f>
        <v>0</v>
      </c>
    </row>
    <row r="512" spans="1:18" x14ac:dyDescent="0.25">
      <c r="A512" s="410">
        <v>10456</v>
      </c>
      <c r="B512" s="410" t="s">
        <v>199</v>
      </c>
      <c r="C512" s="410" t="s">
        <v>200</v>
      </c>
      <c r="D512" s="411">
        <v>111090.76</v>
      </c>
      <c r="E512" s="410">
        <v>1246063995</v>
      </c>
      <c r="F512" s="412">
        <v>45199</v>
      </c>
      <c r="G512" s="410"/>
      <c r="H512" s="410" t="s">
        <v>173</v>
      </c>
      <c r="I512" s="410" t="s">
        <v>174</v>
      </c>
      <c r="J512" s="410">
        <v>20513</v>
      </c>
      <c r="K512" s="412">
        <v>44949</v>
      </c>
      <c r="L512" s="410">
        <v>1010100</v>
      </c>
      <c r="M512" s="410" t="s">
        <v>35</v>
      </c>
      <c r="N512" s="410">
        <v>161</v>
      </c>
      <c r="O512" s="410" t="s">
        <v>161</v>
      </c>
      <c r="P512" s="410" t="s">
        <v>199</v>
      </c>
      <c r="Q512">
        <f t="shared" si="10"/>
        <v>937</v>
      </c>
      <c r="R512">
        <f>_xlfn.XLOOKUP(E512,'Data Additive'!E:E,'Data Additive'!E:E,0)</f>
        <v>0</v>
      </c>
    </row>
    <row r="513" spans="1:18" x14ac:dyDescent="0.25">
      <c r="A513" s="410">
        <v>10456</v>
      </c>
      <c r="B513" s="410" t="s">
        <v>199</v>
      </c>
      <c r="C513" s="410" t="s">
        <v>200</v>
      </c>
      <c r="D513" s="411">
        <v>110522.5</v>
      </c>
      <c r="E513" s="410">
        <v>1246106689</v>
      </c>
      <c r="F513" s="412">
        <v>45557</v>
      </c>
      <c r="G513" s="410"/>
      <c r="H513" s="410" t="s">
        <v>173</v>
      </c>
      <c r="I513" s="410" t="s">
        <v>174</v>
      </c>
      <c r="J513" s="410">
        <v>1400</v>
      </c>
      <c r="K513" s="412">
        <v>45197</v>
      </c>
      <c r="L513" s="410">
        <v>1010100</v>
      </c>
      <c r="M513" s="410" t="s">
        <v>35</v>
      </c>
      <c r="N513" s="410">
        <v>161</v>
      </c>
      <c r="O513" s="410" t="s">
        <v>161</v>
      </c>
      <c r="P513" s="410" t="s">
        <v>199</v>
      </c>
      <c r="Q513">
        <f t="shared" si="10"/>
        <v>579</v>
      </c>
      <c r="R513">
        <f>_xlfn.XLOOKUP(E513,'Data Additive'!E:E,'Data Additive'!E:E,0)</f>
        <v>0</v>
      </c>
    </row>
    <row r="514" spans="1:18" x14ac:dyDescent="0.25">
      <c r="A514" s="410">
        <v>10456</v>
      </c>
      <c r="B514" s="410" t="s">
        <v>199</v>
      </c>
      <c r="C514" s="410" t="s">
        <v>200</v>
      </c>
      <c r="D514" s="411">
        <v>94275.76</v>
      </c>
      <c r="E514" s="410">
        <v>1246103838</v>
      </c>
      <c r="F514" s="412">
        <v>45543</v>
      </c>
      <c r="G514" s="410"/>
      <c r="H514" s="410" t="s">
        <v>173</v>
      </c>
      <c r="I514" s="410" t="s">
        <v>174</v>
      </c>
      <c r="J514" s="410">
        <v>1159</v>
      </c>
      <c r="K514" s="412">
        <v>45183</v>
      </c>
      <c r="L514" s="410">
        <v>1010100</v>
      </c>
      <c r="M514" s="410" t="s">
        <v>35</v>
      </c>
      <c r="N514" s="410">
        <v>161</v>
      </c>
      <c r="O514" s="410" t="s">
        <v>161</v>
      </c>
      <c r="P514" s="410" t="s">
        <v>199</v>
      </c>
      <c r="Q514">
        <f t="shared" si="10"/>
        <v>593</v>
      </c>
      <c r="R514">
        <f>_xlfn.XLOOKUP(E514,'Data Additive'!E:E,'Data Additive'!E:E,0)</f>
        <v>0</v>
      </c>
    </row>
    <row r="515" spans="1:18" x14ac:dyDescent="0.25">
      <c r="A515" s="410">
        <v>10456</v>
      </c>
      <c r="B515" s="410" t="s">
        <v>199</v>
      </c>
      <c r="C515" s="410" t="s">
        <v>200</v>
      </c>
      <c r="D515" s="411">
        <v>74904.38</v>
      </c>
      <c r="E515" s="410">
        <v>1246269261</v>
      </c>
      <c r="F515" s="412">
        <v>45199</v>
      </c>
      <c r="G515" s="410"/>
      <c r="H515" s="410" t="s">
        <v>173</v>
      </c>
      <c r="I515" s="410" t="s">
        <v>174</v>
      </c>
      <c r="J515" s="410">
        <v>20898</v>
      </c>
      <c r="K515" s="412">
        <v>45000</v>
      </c>
      <c r="L515" s="410">
        <v>1010100</v>
      </c>
      <c r="M515" s="410" t="s">
        <v>35</v>
      </c>
      <c r="N515" s="410">
        <v>161</v>
      </c>
      <c r="O515" s="410" t="s">
        <v>161</v>
      </c>
      <c r="P515" s="410" t="s">
        <v>199</v>
      </c>
      <c r="Q515">
        <f t="shared" si="10"/>
        <v>937</v>
      </c>
      <c r="R515">
        <f>_xlfn.XLOOKUP(E515,'Data Additive'!E:E,'Data Additive'!E:E,0)</f>
        <v>0</v>
      </c>
    </row>
    <row r="516" spans="1:18" x14ac:dyDescent="0.25">
      <c r="A516" s="410">
        <v>11637</v>
      </c>
      <c r="B516" s="410" t="s">
        <v>735</v>
      </c>
      <c r="C516" s="410" t="s">
        <v>896</v>
      </c>
      <c r="D516" s="411">
        <v>290220</v>
      </c>
      <c r="E516" s="410">
        <v>1246272018</v>
      </c>
      <c r="F516" s="412">
        <v>46162</v>
      </c>
      <c r="G516" s="410"/>
      <c r="H516" s="410" t="s">
        <v>28</v>
      </c>
      <c r="I516" s="410" t="s">
        <v>29</v>
      </c>
      <c r="J516" s="410">
        <v>2884</v>
      </c>
      <c r="K516" s="412">
        <v>46134</v>
      </c>
      <c r="L516" s="410">
        <v>1010100</v>
      </c>
      <c r="M516" s="410" t="s">
        <v>35</v>
      </c>
      <c r="N516" s="410">
        <v>161</v>
      </c>
      <c r="O516" s="410" t="s">
        <v>161</v>
      </c>
      <c r="P516" s="410" t="s">
        <v>735</v>
      </c>
      <c r="Q516">
        <f t="shared" si="10"/>
        <v>-26</v>
      </c>
      <c r="R516">
        <f>_xlfn.XLOOKUP(E516,'Data Additive'!E:E,'Data Additive'!E:E,0)</f>
        <v>1246272018</v>
      </c>
    </row>
    <row r="517" spans="1:18" x14ac:dyDescent="0.25">
      <c r="A517" s="410">
        <v>12943</v>
      </c>
      <c r="B517" s="410" t="s">
        <v>294</v>
      </c>
      <c r="C517" s="410" t="s">
        <v>401</v>
      </c>
      <c r="D517" s="411">
        <v>82290</v>
      </c>
      <c r="E517" s="410">
        <v>1246187828</v>
      </c>
      <c r="F517" s="412">
        <v>45667</v>
      </c>
      <c r="G517" s="410"/>
      <c r="H517" s="410" t="s">
        <v>28</v>
      </c>
      <c r="I517" s="410" t="s">
        <v>29</v>
      </c>
      <c r="J517" s="410">
        <v>1585</v>
      </c>
      <c r="K517" s="412">
        <v>45639</v>
      </c>
      <c r="L517" s="410">
        <v>1010100</v>
      </c>
      <c r="M517" s="410" t="s">
        <v>35</v>
      </c>
      <c r="N517" s="410">
        <v>161</v>
      </c>
      <c r="O517" s="410" t="s">
        <v>161</v>
      </c>
      <c r="P517" s="410" t="s">
        <v>294</v>
      </c>
      <c r="Q517">
        <f t="shared" si="10"/>
        <v>469</v>
      </c>
      <c r="R517">
        <f>_xlfn.XLOOKUP(E517,'Data Additive'!E:E,'Data Additive'!E:E,0)</f>
        <v>1246187828</v>
      </c>
    </row>
    <row r="518" spans="1:18" x14ac:dyDescent="0.25">
      <c r="A518" s="410">
        <v>12943</v>
      </c>
      <c r="B518" s="410" t="s">
        <v>294</v>
      </c>
      <c r="C518" s="410" t="s">
        <v>401</v>
      </c>
      <c r="D518" s="411">
        <v>82290</v>
      </c>
      <c r="E518" s="410">
        <v>1246187829</v>
      </c>
      <c r="F518" s="412">
        <v>45695</v>
      </c>
      <c r="G518" s="410"/>
      <c r="H518" s="410" t="s">
        <v>28</v>
      </c>
      <c r="I518" s="410" t="s">
        <v>29</v>
      </c>
      <c r="J518" s="410">
        <v>1585</v>
      </c>
      <c r="K518" s="412">
        <v>45639</v>
      </c>
      <c r="L518" s="410">
        <v>1010100</v>
      </c>
      <c r="M518" s="410" t="s">
        <v>35</v>
      </c>
      <c r="N518" s="410">
        <v>161</v>
      </c>
      <c r="O518" s="410" t="s">
        <v>161</v>
      </c>
      <c r="P518" s="410" t="s">
        <v>294</v>
      </c>
      <c r="Q518">
        <f t="shared" si="10"/>
        <v>441</v>
      </c>
      <c r="R518">
        <f>_xlfn.XLOOKUP(E518,'Data Additive'!E:E,'Data Additive'!E:E,0)</f>
        <v>1246187829</v>
      </c>
    </row>
    <row r="519" spans="1:18" x14ac:dyDescent="0.25">
      <c r="A519" s="410">
        <v>12943</v>
      </c>
      <c r="B519" s="410" t="s">
        <v>294</v>
      </c>
      <c r="C519" s="410" t="s">
        <v>401</v>
      </c>
      <c r="D519" s="411">
        <v>49170</v>
      </c>
      <c r="E519" s="410">
        <v>1246183176</v>
      </c>
      <c r="F519" s="412">
        <v>45642</v>
      </c>
      <c r="G519" s="410"/>
      <c r="H519" s="410" t="s">
        <v>28</v>
      </c>
      <c r="I519" s="410" t="s">
        <v>29</v>
      </c>
      <c r="J519" s="410">
        <v>6129</v>
      </c>
      <c r="K519" s="412">
        <v>45614</v>
      </c>
      <c r="L519" s="410">
        <v>1010100</v>
      </c>
      <c r="M519" s="410" t="s">
        <v>35</v>
      </c>
      <c r="N519" s="410">
        <v>161</v>
      </c>
      <c r="O519" s="410" t="s">
        <v>161</v>
      </c>
      <c r="P519" s="410" t="s">
        <v>294</v>
      </c>
      <c r="Q519">
        <f t="shared" si="10"/>
        <v>494</v>
      </c>
      <c r="R519">
        <f>_xlfn.XLOOKUP(E519,'Data Additive'!E:E,'Data Additive'!E:E,0)</f>
        <v>1246183176</v>
      </c>
    </row>
    <row r="520" spans="1:18" x14ac:dyDescent="0.25">
      <c r="A520" s="410">
        <v>12629</v>
      </c>
      <c r="B520" s="410" t="s">
        <v>120</v>
      </c>
      <c r="C520" s="410" t="s">
        <v>474</v>
      </c>
      <c r="D520" s="411">
        <v>162357</v>
      </c>
      <c r="E520" s="410">
        <v>1246269970</v>
      </c>
      <c r="F520" s="412">
        <v>46143</v>
      </c>
      <c r="G520" s="410"/>
      <c r="H520" s="410" t="s">
        <v>28</v>
      </c>
      <c r="I520" s="410" t="s">
        <v>29</v>
      </c>
      <c r="J520" s="410">
        <v>11028</v>
      </c>
      <c r="K520" s="412">
        <v>46113</v>
      </c>
      <c r="L520" s="410">
        <v>1010100</v>
      </c>
      <c r="M520" s="410" t="s">
        <v>35</v>
      </c>
      <c r="N520" s="410">
        <v>161</v>
      </c>
      <c r="O520" s="410" t="s">
        <v>161</v>
      </c>
      <c r="P520" s="410" t="s">
        <v>120</v>
      </c>
      <c r="Q520">
        <f t="shared" si="10"/>
        <v>-7</v>
      </c>
      <c r="R520">
        <f>_xlfn.XLOOKUP(E520,'Data Additive'!E:E,'Data Additive'!E:E,0)</f>
        <v>1246269970</v>
      </c>
    </row>
    <row r="521" spans="1:18" x14ac:dyDescent="0.25">
      <c r="A521" s="410">
        <v>12629</v>
      </c>
      <c r="B521" s="410" t="s">
        <v>120</v>
      </c>
      <c r="C521" s="410" t="s">
        <v>474</v>
      </c>
      <c r="D521" s="411">
        <v>153506.1</v>
      </c>
      <c r="E521" s="410">
        <v>1246268563</v>
      </c>
      <c r="F521" s="412">
        <v>46131</v>
      </c>
      <c r="G521" s="410"/>
      <c r="H521" s="410" t="s">
        <v>28</v>
      </c>
      <c r="I521" s="410" t="s">
        <v>29</v>
      </c>
      <c r="J521" s="410">
        <v>10948</v>
      </c>
      <c r="K521" s="412">
        <v>46101</v>
      </c>
      <c r="L521" s="410">
        <v>1010100</v>
      </c>
      <c r="M521" s="410" t="s">
        <v>35</v>
      </c>
      <c r="N521" s="410">
        <v>161</v>
      </c>
      <c r="O521" s="410" t="s">
        <v>161</v>
      </c>
      <c r="P521" s="410" t="s">
        <v>120</v>
      </c>
      <c r="Q521">
        <f t="shared" si="10"/>
        <v>5</v>
      </c>
      <c r="R521">
        <f>_xlfn.XLOOKUP(E521,'Data Additive'!E:E,'Data Additive'!E:E,0)</f>
        <v>1246268563</v>
      </c>
    </row>
    <row r="522" spans="1:18" x14ac:dyDescent="0.25">
      <c r="A522" s="410">
        <v>12629</v>
      </c>
      <c r="B522" s="410" t="s">
        <v>120</v>
      </c>
      <c r="C522" s="410" t="s">
        <v>474</v>
      </c>
      <c r="D522" s="411">
        <v>162465.60000000001</v>
      </c>
      <c r="E522" s="410">
        <v>1246269412</v>
      </c>
      <c r="F522" s="412">
        <v>46138</v>
      </c>
      <c r="G522" s="410"/>
      <c r="H522" s="410" t="s">
        <v>28</v>
      </c>
      <c r="I522" s="410" t="s">
        <v>29</v>
      </c>
      <c r="J522" s="410">
        <v>10987</v>
      </c>
      <c r="K522" s="412">
        <v>46108</v>
      </c>
      <c r="L522" s="410">
        <v>1010100</v>
      </c>
      <c r="M522" s="410" t="s">
        <v>35</v>
      </c>
      <c r="N522" s="410">
        <v>161</v>
      </c>
      <c r="O522" s="410" t="s">
        <v>161</v>
      </c>
      <c r="P522" s="410" t="s">
        <v>120</v>
      </c>
      <c r="Q522">
        <f t="shared" si="10"/>
        <v>-2</v>
      </c>
      <c r="R522">
        <f>_xlfn.XLOOKUP(E522,'Data Additive'!E:E,'Data Additive'!E:E,0)</f>
        <v>1246269412</v>
      </c>
    </row>
    <row r="523" spans="1:18" x14ac:dyDescent="0.25">
      <c r="A523" s="410">
        <v>12629</v>
      </c>
      <c r="B523" s="410" t="s">
        <v>120</v>
      </c>
      <c r="C523" s="410" t="s">
        <v>474</v>
      </c>
      <c r="D523" s="411">
        <v>153451.79999999999</v>
      </c>
      <c r="E523" s="410">
        <v>1246270416</v>
      </c>
      <c r="F523" s="412">
        <v>46148</v>
      </c>
      <c r="G523" s="410"/>
      <c r="H523" s="410" t="s">
        <v>28</v>
      </c>
      <c r="I523" s="410" t="s">
        <v>29</v>
      </c>
      <c r="J523" s="410">
        <v>11059</v>
      </c>
      <c r="K523" s="412">
        <v>46118</v>
      </c>
      <c r="L523" s="410">
        <v>1010100</v>
      </c>
      <c r="M523" s="410" t="s">
        <v>35</v>
      </c>
      <c r="N523" s="410">
        <v>161</v>
      </c>
      <c r="O523" s="410" t="s">
        <v>161</v>
      </c>
      <c r="P523" s="410" t="s">
        <v>120</v>
      </c>
      <c r="Q523">
        <f t="shared" si="10"/>
        <v>-12</v>
      </c>
      <c r="R523">
        <f>_xlfn.XLOOKUP(E523,'Data Additive'!E:E,'Data Additive'!E:E,0)</f>
        <v>1246270416</v>
      </c>
    </row>
    <row r="524" spans="1:18" x14ac:dyDescent="0.25">
      <c r="A524" s="410">
        <v>12629</v>
      </c>
      <c r="B524" s="410" t="s">
        <v>120</v>
      </c>
      <c r="C524" s="410" t="s">
        <v>474</v>
      </c>
      <c r="D524" s="411">
        <v>162031.20000000001</v>
      </c>
      <c r="E524" s="410">
        <v>1246271940</v>
      </c>
      <c r="F524" s="412">
        <v>46162</v>
      </c>
      <c r="G524" s="410"/>
      <c r="H524" s="410" t="s">
        <v>28</v>
      </c>
      <c r="I524" s="410" t="s">
        <v>29</v>
      </c>
      <c r="J524" s="410">
        <v>11184</v>
      </c>
      <c r="K524" s="412">
        <v>46132</v>
      </c>
      <c r="L524" s="410">
        <v>1010100</v>
      </c>
      <c r="M524" s="410" t="s">
        <v>35</v>
      </c>
      <c r="N524" s="410">
        <v>161</v>
      </c>
      <c r="O524" s="410" t="s">
        <v>161</v>
      </c>
      <c r="P524" s="410" t="s">
        <v>120</v>
      </c>
      <c r="Q524">
        <f t="shared" si="10"/>
        <v>-26</v>
      </c>
      <c r="R524">
        <f>_xlfn.XLOOKUP(E524,'Data Additive'!E:E,'Data Additive'!E:E,0)</f>
        <v>1246271940</v>
      </c>
    </row>
    <row r="525" spans="1:18" x14ac:dyDescent="0.25">
      <c r="A525" s="410">
        <v>13330</v>
      </c>
      <c r="B525" s="410" t="s">
        <v>679</v>
      </c>
      <c r="C525" s="410" t="s">
        <v>680</v>
      </c>
      <c r="D525" s="411">
        <v>853.24</v>
      </c>
      <c r="E525" s="410">
        <v>1246272264</v>
      </c>
      <c r="F525" s="412">
        <v>46148</v>
      </c>
      <c r="G525" s="410"/>
      <c r="H525" s="410"/>
      <c r="I525" s="410" t="s">
        <v>373</v>
      </c>
      <c r="J525" s="410">
        <v>11057</v>
      </c>
      <c r="K525" s="412">
        <v>46118</v>
      </c>
      <c r="L525" s="410">
        <v>1010200</v>
      </c>
      <c r="M525" s="410" t="s">
        <v>125</v>
      </c>
      <c r="N525" s="410">
        <v>40</v>
      </c>
      <c r="O525" s="410" t="s">
        <v>171</v>
      </c>
      <c r="P525" s="410" t="s">
        <v>679</v>
      </c>
      <c r="Q525">
        <f t="shared" si="10"/>
        <v>-12</v>
      </c>
      <c r="R525">
        <f>_xlfn.XLOOKUP(E525,'Data Additive'!E:E,'Data Additive'!E:E,0)</f>
        <v>0</v>
      </c>
    </row>
    <row r="526" spans="1:18" x14ac:dyDescent="0.25">
      <c r="A526" s="410">
        <v>13330</v>
      </c>
      <c r="B526" s="410" t="s">
        <v>679</v>
      </c>
      <c r="C526" s="410" t="s">
        <v>680</v>
      </c>
      <c r="D526" s="411">
        <v>527.28</v>
      </c>
      <c r="E526" s="410">
        <v>1246238356</v>
      </c>
      <c r="F526" s="412">
        <v>45927</v>
      </c>
      <c r="G526" s="410"/>
      <c r="H526" s="410"/>
      <c r="I526" s="410" t="s">
        <v>373</v>
      </c>
      <c r="J526" s="410">
        <v>9092</v>
      </c>
      <c r="K526" s="412">
        <v>45897</v>
      </c>
      <c r="L526" s="410">
        <v>1010200</v>
      </c>
      <c r="M526" s="410" t="s">
        <v>125</v>
      </c>
      <c r="N526" s="410">
        <v>40</v>
      </c>
      <c r="O526" s="410" t="s">
        <v>171</v>
      </c>
      <c r="P526" s="410" t="s">
        <v>679</v>
      </c>
      <c r="Q526">
        <f t="shared" si="10"/>
        <v>209</v>
      </c>
      <c r="R526">
        <f>_xlfn.XLOOKUP(E526,'Data Additive'!E:E,'Data Additive'!E:E,0)</f>
        <v>0</v>
      </c>
    </row>
    <row r="527" spans="1:18" x14ac:dyDescent="0.25">
      <c r="A527" s="410">
        <v>12295</v>
      </c>
      <c r="B527" s="410" t="s">
        <v>207</v>
      </c>
      <c r="C527" s="410" t="s">
        <v>208</v>
      </c>
      <c r="D527" s="411">
        <v>129728</v>
      </c>
      <c r="E527" s="410">
        <v>1246100036</v>
      </c>
      <c r="F527" s="412">
        <v>45547</v>
      </c>
      <c r="G527" s="410"/>
      <c r="H527" s="410" t="s">
        <v>173</v>
      </c>
      <c r="I527" s="410" t="s">
        <v>174</v>
      </c>
      <c r="J527" s="410">
        <v>843</v>
      </c>
      <c r="K527" s="412">
        <v>45162</v>
      </c>
      <c r="L527" s="410">
        <v>1010100</v>
      </c>
      <c r="M527" s="410" t="s">
        <v>35</v>
      </c>
      <c r="N527" s="410">
        <v>161</v>
      </c>
      <c r="O527" s="410" t="s">
        <v>161</v>
      </c>
      <c r="P527" s="410" t="s">
        <v>207</v>
      </c>
      <c r="Q527">
        <f t="shared" si="10"/>
        <v>589</v>
      </c>
      <c r="R527">
        <f>_xlfn.XLOOKUP(E527,'Data Additive'!E:E,'Data Additive'!E:E,0)</f>
        <v>0</v>
      </c>
    </row>
    <row r="528" spans="1:18" x14ac:dyDescent="0.25">
      <c r="A528" s="410">
        <v>12295</v>
      </c>
      <c r="B528" s="410" t="s">
        <v>207</v>
      </c>
      <c r="C528" s="410" t="s">
        <v>208</v>
      </c>
      <c r="D528" s="411">
        <v>126208</v>
      </c>
      <c r="E528" s="410">
        <v>1246106003</v>
      </c>
      <c r="F528" s="412">
        <v>45559</v>
      </c>
      <c r="G528" s="410"/>
      <c r="H528" s="410" t="s">
        <v>173</v>
      </c>
      <c r="I528" s="410" t="s">
        <v>174</v>
      </c>
      <c r="J528" s="410">
        <v>1328</v>
      </c>
      <c r="K528" s="412">
        <v>45194</v>
      </c>
      <c r="L528" s="410">
        <v>1010100</v>
      </c>
      <c r="M528" s="410" t="s">
        <v>35</v>
      </c>
      <c r="N528" s="410">
        <v>161</v>
      </c>
      <c r="O528" s="410" t="s">
        <v>161</v>
      </c>
      <c r="P528" s="410" t="s">
        <v>207</v>
      </c>
      <c r="Q528">
        <f t="shared" si="10"/>
        <v>577</v>
      </c>
      <c r="R528">
        <f>_xlfn.XLOOKUP(E528,'Data Additive'!E:E,'Data Additive'!E:E,0)</f>
        <v>0</v>
      </c>
    </row>
    <row r="529" spans="1:18" x14ac:dyDescent="0.25">
      <c r="A529" s="410">
        <v>12295</v>
      </c>
      <c r="B529" s="410" t="s">
        <v>207</v>
      </c>
      <c r="C529" s="410" t="s">
        <v>208</v>
      </c>
      <c r="D529" s="411">
        <v>19965</v>
      </c>
      <c r="E529" s="410">
        <v>1246100409</v>
      </c>
      <c r="F529" s="412">
        <v>45548</v>
      </c>
      <c r="G529" s="410"/>
      <c r="H529" s="410" t="s">
        <v>173</v>
      </c>
      <c r="I529" s="410" t="s">
        <v>174</v>
      </c>
      <c r="J529" s="410">
        <v>864</v>
      </c>
      <c r="K529" s="412">
        <v>45163</v>
      </c>
      <c r="L529" s="410">
        <v>1010100</v>
      </c>
      <c r="M529" s="410" t="s">
        <v>35</v>
      </c>
      <c r="N529" s="410">
        <v>161</v>
      </c>
      <c r="O529" s="410" t="s">
        <v>161</v>
      </c>
      <c r="P529" s="410" t="s">
        <v>207</v>
      </c>
      <c r="Q529">
        <f t="shared" si="10"/>
        <v>588</v>
      </c>
      <c r="R529">
        <f>_xlfn.XLOOKUP(E529,'Data Additive'!E:E,'Data Additive'!E:E,0)</f>
        <v>0</v>
      </c>
    </row>
    <row r="530" spans="1:18" x14ac:dyDescent="0.25">
      <c r="A530" s="410">
        <v>12295</v>
      </c>
      <c r="B530" s="410" t="s">
        <v>207</v>
      </c>
      <c r="C530" s="410" t="s">
        <v>208</v>
      </c>
      <c r="D530" s="411">
        <v>102625</v>
      </c>
      <c r="E530" s="410">
        <v>1246100411</v>
      </c>
      <c r="F530" s="412">
        <v>45548</v>
      </c>
      <c r="G530" s="410"/>
      <c r="H530" s="410" t="s">
        <v>173</v>
      </c>
      <c r="I530" s="410" t="s">
        <v>174</v>
      </c>
      <c r="J530" s="410">
        <v>865</v>
      </c>
      <c r="K530" s="412">
        <v>45163</v>
      </c>
      <c r="L530" s="410">
        <v>1010100</v>
      </c>
      <c r="M530" s="410" t="s">
        <v>35</v>
      </c>
      <c r="N530" s="410">
        <v>161</v>
      </c>
      <c r="O530" s="410" t="s">
        <v>161</v>
      </c>
      <c r="P530" s="410" t="s">
        <v>207</v>
      </c>
      <c r="Q530">
        <f t="shared" si="10"/>
        <v>588</v>
      </c>
      <c r="R530">
        <f>_xlfn.XLOOKUP(E530,'Data Additive'!E:E,'Data Additive'!E:E,0)</f>
        <v>0</v>
      </c>
    </row>
    <row r="531" spans="1:18" x14ac:dyDescent="0.25">
      <c r="A531" s="410">
        <v>12295</v>
      </c>
      <c r="B531" s="410" t="s">
        <v>207</v>
      </c>
      <c r="C531" s="410" t="s">
        <v>208</v>
      </c>
      <c r="D531" s="411">
        <v>23664</v>
      </c>
      <c r="E531" s="410">
        <v>1246100034</v>
      </c>
      <c r="F531" s="412">
        <v>45547</v>
      </c>
      <c r="G531" s="410"/>
      <c r="H531" s="410" t="s">
        <v>173</v>
      </c>
      <c r="I531" s="410" t="s">
        <v>174</v>
      </c>
      <c r="J531" s="410">
        <v>842</v>
      </c>
      <c r="K531" s="412">
        <v>45162</v>
      </c>
      <c r="L531" s="410">
        <v>1010100</v>
      </c>
      <c r="M531" s="410" t="s">
        <v>35</v>
      </c>
      <c r="N531" s="410">
        <v>161</v>
      </c>
      <c r="O531" s="410" t="s">
        <v>161</v>
      </c>
      <c r="P531" s="410" t="s">
        <v>207</v>
      </c>
      <c r="Q531">
        <f t="shared" si="10"/>
        <v>589</v>
      </c>
      <c r="R531">
        <f>_xlfn.XLOOKUP(E531,'Data Additive'!E:E,'Data Additive'!E:E,0)</f>
        <v>0</v>
      </c>
    </row>
    <row r="532" spans="1:18" x14ac:dyDescent="0.25">
      <c r="A532" s="410">
        <v>12295</v>
      </c>
      <c r="B532" s="410" t="s">
        <v>207</v>
      </c>
      <c r="C532" s="410" t="s">
        <v>208</v>
      </c>
      <c r="D532" s="411">
        <v>126845</v>
      </c>
      <c r="E532" s="410">
        <v>1246102685</v>
      </c>
      <c r="F532" s="412">
        <v>45560</v>
      </c>
      <c r="G532" s="410"/>
      <c r="H532" s="410" t="s">
        <v>173</v>
      </c>
      <c r="I532" s="410" t="s">
        <v>174</v>
      </c>
      <c r="J532" s="410">
        <v>1060</v>
      </c>
      <c r="K532" s="412">
        <v>45175</v>
      </c>
      <c r="L532" s="410">
        <v>1010100</v>
      </c>
      <c r="M532" s="410" t="s">
        <v>35</v>
      </c>
      <c r="N532" s="410">
        <v>161</v>
      </c>
      <c r="O532" s="410" t="s">
        <v>161</v>
      </c>
      <c r="P532" s="410" t="s">
        <v>207</v>
      </c>
      <c r="Q532">
        <f t="shared" si="10"/>
        <v>576</v>
      </c>
      <c r="R532">
        <f>_xlfn.XLOOKUP(E532,'Data Additive'!E:E,'Data Additive'!E:E,0)</f>
        <v>0</v>
      </c>
    </row>
    <row r="533" spans="1:18" x14ac:dyDescent="0.25">
      <c r="A533" s="410">
        <v>12295</v>
      </c>
      <c r="B533" s="410" t="s">
        <v>207</v>
      </c>
      <c r="C533" s="410" t="s">
        <v>208</v>
      </c>
      <c r="D533" s="411">
        <v>119790</v>
      </c>
      <c r="E533" s="410">
        <v>1246100311</v>
      </c>
      <c r="F533" s="412">
        <v>45548</v>
      </c>
      <c r="G533" s="410"/>
      <c r="H533" s="410" t="s">
        <v>173</v>
      </c>
      <c r="I533" s="410" t="s">
        <v>174</v>
      </c>
      <c r="J533" s="410">
        <v>851</v>
      </c>
      <c r="K533" s="412">
        <v>45163</v>
      </c>
      <c r="L533" s="410">
        <v>1010100</v>
      </c>
      <c r="M533" s="410" t="s">
        <v>35</v>
      </c>
      <c r="N533" s="410">
        <v>161</v>
      </c>
      <c r="O533" s="410" t="s">
        <v>161</v>
      </c>
      <c r="P533" s="410" t="s">
        <v>207</v>
      </c>
      <c r="Q533">
        <f t="shared" si="10"/>
        <v>588</v>
      </c>
      <c r="R533">
        <f>_xlfn.XLOOKUP(E533,'Data Additive'!E:E,'Data Additive'!E:E,0)</f>
        <v>0</v>
      </c>
    </row>
    <row r="534" spans="1:18" x14ac:dyDescent="0.25">
      <c r="A534" s="410">
        <v>12295</v>
      </c>
      <c r="B534" s="410" t="s">
        <v>207</v>
      </c>
      <c r="C534" s="410" t="s">
        <v>208</v>
      </c>
      <c r="D534" s="411">
        <v>127776</v>
      </c>
      <c r="E534" s="410">
        <v>1246102654</v>
      </c>
      <c r="F534" s="412">
        <v>45560</v>
      </c>
      <c r="G534" s="410"/>
      <c r="H534" s="410" t="s">
        <v>173</v>
      </c>
      <c r="I534" s="410" t="s">
        <v>174</v>
      </c>
      <c r="J534" s="410">
        <v>1053</v>
      </c>
      <c r="K534" s="412">
        <v>45175</v>
      </c>
      <c r="L534" s="410">
        <v>1010100</v>
      </c>
      <c r="M534" s="410" t="s">
        <v>35</v>
      </c>
      <c r="N534" s="410">
        <v>161</v>
      </c>
      <c r="O534" s="410" t="s">
        <v>161</v>
      </c>
      <c r="P534" s="410" t="s">
        <v>207</v>
      </c>
      <c r="Q534">
        <f t="shared" si="10"/>
        <v>576</v>
      </c>
      <c r="R534">
        <f>_xlfn.XLOOKUP(E534,'Data Additive'!E:E,'Data Additive'!E:E,0)</f>
        <v>0</v>
      </c>
    </row>
    <row r="535" spans="1:18" x14ac:dyDescent="0.25">
      <c r="A535" s="410">
        <v>12295</v>
      </c>
      <c r="B535" s="410" t="s">
        <v>207</v>
      </c>
      <c r="C535" s="410" t="s">
        <v>208</v>
      </c>
      <c r="D535" s="411">
        <v>99410.750000000015</v>
      </c>
      <c r="E535" s="410">
        <v>1246240412</v>
      </c>
      <c r="F535" s="412">
        <v>45546</v>
      </c>
      <c r="G535" s="410"/>
      <c r="H535" s="410" t="s">
        <v>173</v>
      </c>
      <c r="I535" s="410" t="s">
        <v>174</v>
      </c>
      <c r="J535" s="410">
        <v>176</v>
      </c>
      <c r="K535" s="412">
        <v>45161</v>
      </c>
      <c r="L535" s="410">
        <v>1010100</v>
      </c>
      <c r="M535" s="410" t="s">
        <v>35</v>
      </c>
      <c r="N535" s="410">
        <v>161</v>
      </c>
      <c r="O535" s="410" t="s">
        <v>161</v>
      </c>
      <c r="P535" s="410" t="s">
        <v>207</v>
      </c>
      <c r="Q535">
        <f t="shared" si="10"/>
        <v>590</v>
      </c>
      <c r="R535">
        <f>_xlfn.XLOOKUP(E535,'Data Additive'!E:E,'Data Additive'!E:E,0)</f>
        <v>0</v>
      </c>
    </row>
    <row r="536" spans="1:18" x14ac:dyDescent="0.25">
      <c r="A536" s="410">
        <v>13069</v>
      </c>
      <c r="B536" s="410" t="s">
        <v>537</v>
      </c>
      <c r="C536" s="410" t="s">
        <v>812</v>
      </c>
      <c r="D536" s="411">
        <v>100</v>
      </c>
      <c r="E536" s="410">
        <v>1246258365</v>
      </c>
      <c r="F536" s="412">
        <v>46118</v>
      </c>
      <c r="G536" s="410"/>
      <c r="H536" s="410"/>
      <c r="I536" s="410" t="s">
        <v>373</v>
      </c>
      <c r="J536" s="410">
        <v>10425</v>
      </c>
      <c r="K536" s="412">
        <v>46028</v>
      </c>
      <c r="L536" s="410">
        <v>4010300</v>
      </c>
      <c r="M536" s="410" t="s">
        <v>142</v>
      </c>
      <c r="N536" s="410">
        <v>244</v>
      </c>
      <c r="O536" s="410" t="s">
        <v>191</v>
      </c>
      <c r="P536" s="410" t="s">
        <v>537</v>
      </c>
      <c r="Q536">
        <f t="shared" si="10"/>
        <v>18</v>
      </c>
      <c r="R536">
        <f>_xlfn.XLOOKUP(E536,'Data Additive'!E:E,'Data Additive'!E:E,0)</f>
        <v>1246258365</v>
      </c>
    </row>
    <row r="537" spans="1:18" x14ac:dyDescent="0.25">
      <c r="A537" s="410">
        <v>13193</v>
      </c>
      <c r="B537" s="410" t="s">
        <v>210</v>
      </c>
      <c r="C537" s="410" t="s">
        <v>211</v>
      </c>
      <c r="D537" s="411">
        <v>39218.19</v>
      </c>
      <c r="E537" s="410">
        <v>1246129675</v>
      </c>
      <c r="F537" s="412">
        <v>45598</v>
      </c>
      <c r="G537" s="410"/>
      <c r="H537" s="410" t="s">
        <v>173</v>
      </c>
      <c r="I537" s="410" t="s">
        <v>174</v>
      </c>
      <c r="J537" s="410">
        <v>2817</v>
      </c>
      <c r="K537" s="412">
        <v>45338</v>
      </c>
      <c r="L537" s="410">
        <v>1010100</v>
      </c>
      <c r="M537" s="410" t="s">
        <v>35</v>
      </c>
      <c r="N537" s="410">
        <v>161</v>
      </c>
      <c r="O537" s="410" t="s">
        <v>161</v>
      </c>
      <c r="P537" s="410" t="s">
        <v>210</v>
      </c>
      <c r="Q537">
        <f t="shared" si="10"/>
        <v>538</v>
      </c>
      <c r="R537">
        <f>_xlfn.XLOOKUP(E537,'Data Additive'!E:E,'Data Additive'!E:E,0)</f>
        <v>0</v>
      </c>
    </row>
    <row r="538" spans="1:18" x14ac:dyDescent="0.25">
      <c r="A538" s="410">
        <v>13193</v>
      </c>
      <c r="B538" s="410" t="s">
        <v>210</v>
      </c>
      <c r="C538" s="410" t="s">
        <v>211</v>
      </c>
      <c r="D538" s="411">
        <v>96537.1</v>
      </c>
      <c r="E538" s="410">
        <v>1246128994</v>
      </c>
      <c r="F538" s="412">
        <v>45599</v>
      </c>
      <c r="G538" s="410"/>
      <c r="H538" s="410" t="s">
        <v>173</v>
      </c>
      <c r="I538" s="410" t="s">
        <v>174</v>
      </c>
      <c r="J538" s="410">
        <v>2765</v>
      </c>
      <c r="K538" s="412">
        <v>45331</v>
      </c>
      <c r="L538" s="410">
        <v>1010100</v>
      </c>
      <c r="M538" s="410" t="s">
        <v>35</v>
      </c>
      <c r="N538" s="410">
        <v>161</v>
      </c>
      <c r="O538" s="410" t="s">
        <v>161</v>
      </c>
      <c r="P538" s="410" t="s">
        <v>210</v>
      </c>
      <c r="Q538">
        <f t="shared" si="10"/>
        <v>537</v>
      </c>
      <c r="R538">
        <f>_xlfn.XLOOKUP(E538,'Data Additive'!E:E,'Data Additive'!E:E,0)</f>
        <v>0</v>
      </c>
    </row>
    <row r="539" spans="1:18" x14ac:dyDescent="0.25">
      <c r="A539" s="410">
        <v>13193</v>
      </c>
      <c r="B539" s="410" t="s">
        <v>210</v>
      </c>
      <c r="C539" s="410" t="s">
        <v>211</v>
      </c>
      <c r="D539" s="411">
        <v>14369.79</v>
      </c>
      <c r="E539" s="410">
        <v>1246129687</v>
      </c>
      <c r="F539" s="412">
        <v>45594</v>
      </c>
      <c r="G539" s="410"/>
      <c r="H539" s="410" t="s">
        <v>173</v>
      </c>
      <c r="I539" s="410" t="s">
        <v>174</v>
      </c>
      <c r="J539" s="410">
        <v>2824</v>
      </c>
      <c r="K539" s="412">
        <v>45338</v>
      </c>
      <c r="L539" s="410">
        <v>1010100</v>
      </c>
      <c r="M539" s="410" t="s">
        <v>35</v>
      </c>
      <c r="N539" s="410">
        <v>161</v>
      </c>
      <c r="O539" s="410" t="s">
        <v>161</v>
      </c>
      <c r="P539" s="410" t="s">
        <v>210</v>
      </c>
      <c r="Q539">
        <f t="shared" si="10"/>
        <v>542</v>
      </c>
      <c r="R539">
        <f>_xlfn.XLOOKUP(E539,'Data Additive'!E:E,'Data Additive'!E:E,0)</f>
        <v>0</v>
      </c>
    </row>
    <row r="540" spans="1:18" x14ac:dyDescent="0.25">
      <c r="A540" s="410">
        <v>13193</v>
      </c>
      <c r="B540" s="410" t="s">
        <v>210</v>
      </c>
      <c r="C540" s="410" t="s">
        <v>211</v>
      </c>
      <c r="D540" s="411">
        <v>102482.69</v>
      </c>
      <c r="E540" s="410">
        <v>1246129689</v>
      </c>
      <c r="F540" s="412">
        <v>45594</v>
      </c>
      <c r="G540" s="410"/>
      <c r="H540" s="410" t="s">
        <v>173</v>
      </c>
      <c r="I540" s="410" t="s">
        <v>174</v>
      </c>
      <c r="J540" s="410">
        <v>2825</v>
      </c>
      <c r="K540" s="412">
        <v>45338</v>
      </c>
      <c r="L540" s="410">
        <v>1010100</v>
      </c>
      <c r="M540" s="410" t="s">
        <v>35</v>
      </c>
      <c r="N540" s="410">
        <v>161</v>
      </c>
      <c r="O540" s="410" t="s">
        <v>161</v>
      </c>
      <c r="P540" s="410" t="s">
        <v>210</v>
      </c>
      <c r="Q540">
        <f t="shared" si="10"/>
        <v>542</v>
      </c>
      <c r="R540">
        <f>_xlfn.XLOOKUP(E540,'Data Additive'!E:E,'Data Additive'!E:E,0)</f>
        <v>0</v>
      </c>
    </row>
    <row r="541" spans="1:18" x14ac:dyDescent="0.25">
      <c r="A541" s="410">
        <v>13193</v>
      </c>
      <c r="B541" s="410" t="s">
        <v>210</v>
      </c>
      <c r="C541" s="410" t="s">
        <v>211</v>
      </c>
      <c r="D541" s="411">
        <v>96537.1</v>
      </c>
      <c r="E541" s="410">
        <v>1246128030</v>
      </c>
      <c r="F541" s="412">
        <v>45604</v>
      </c>
      <c r="G541" s="410"/>
      <c r="H541" s="410" t="s">
        <v>173</v>
      </c>
      <c r="I541" s="410" t="s">
        <v>174</v>
      </c>
      <c r="J541" s="410">
        <v>2691</v>
      </c>
      <c r="K541" s="412">
        <v>45324</v>
      </c>
      <c r="L541" s="410">
        <v>1010100</v>
      </c>
      <c r="M541" s="410" t="s">
        <v>35</v>
      </c>
      <c r="N541" s="410">
        <v>161</v>
      </c>
      <c r="O541" s="410" t="s">
        <v>161</v>
      </c>
      <c r="P541" s="410" t="s">
        <v>210</v>
      </c>
      <c r="Q541">
        <f t="shared" si="10"/>
        <v>532</v>
      </c>
      <c r="R541">
        <f>_xlfn.XLOOKUP(E541,'Data Additive'!E:E,'Data Additive'!E:E,0)</f>
        <v>0</v>
      </c>
    </row>
    <row r="542" spans="1:18" x14ac:dyDescent="0.25">
      <c r="A542" s="410">
        <v>13193</v>
      </c>
      <c r="B542" s="410" t="s">
        <v>210</v>
      </c>
      <c r="C542" s="410" t="s">
        <v>211</v>
      </c>
      <c r="D542" s="411">
        <v>96537.1</v>
      </c>
      <c r="E542" s="410">
        <v>1246129535</v>
      </c>
      <c r="F542" s="412">
        <v>45597</v>
      </c>
      <c r="G542" s="410"/>
      <c r="H542" s="410" t="s">
        <v>173</v>
      </c>
      <c r="I542" s="410" t="s">
        <v>174</v>
      </c>
      <c r="J542" s="410">
        <v>2797</v>
      </c>
      <c r="K542" s="412">
        <v>45337</v>
      </c>
      <c r="L542" s="410">
        <v>1010100</v>
      </c>
      <c r="M542" s="410" t="s">
        <v>35</v>
      </c>
      <c r="N542" s="410">
        <v>161</v>
      </c>
      <c r="O542" s="410" t="s">
        <v>161</v>
      </c>
      <c r="P542" s="410" t="s">
        <v>210</v>
      </c>
      <c r="Q542">
        <f t="shared" si="10"/>
        <v>539</v>
      </c>
      <c r="R542">
        <f>_xlfn.XLOOKUP(E542,'Data Additive'!E:E,'Data Additive'!E:E,0)</f>
        <v>0</v>
      </c>
    </row>
    <row r="543" spans="1:18" x14ac:dyDescent="0.25">
      <c r="A543" s="410">
        <v>13193</v>
      </c>
      <c r="B543" s="410" t="s">
        <v>210</v>
      </c>
      <c r="C543" s="410" t="s">
        <v>211</v>
      </c>
      <c r="D543" s="411">
        <v>12586.97</v>
      </c>
      <c r="E543" s="410">
        <v>1246129615</v>
      </c>
      <c r="F543" s="412">
        <v>45594</v>
      </c>
      <c r="G543" s="410"/>
      <c r="H543" s="410" t="s">
        <v>173</v>
      </c>
      <c r="I543" s="410" t="s">
        <v>174</v>
      </c>
      <c r="J543" s="410">
        <v>2804</v>
      </c>
      <c r="K543" s="412">
        <v>45338</v>
      </c>
      <c r="L543" s="410">
        <v>1010100</v>
      </c>
      <c r="M543" s="410" t="s">
        <v>35</v>
      </c>
      <c r="N543" s="410">
        <v>161</v>
      </c>
      <c r="O543" s="410" t="s">
        <v>161</v>
      </c>
      <c r="P543" s="410" t="s">
        <v>210</v>
      </c>
      <c r="Q543">
        <f t="shared" si="10"/>
        <v>542</v>
      </c>
      <c r="R543">
        <f>_xlfn.XLOOKUP(E543,'Data Additive'!E:E,'Data Additive'!E:E,0)</f>
        <v>0</v>
      </c>
    </row>
    <row r="544" spans="1:18" x14ac:dyDescent="0.25">
      <c r="A544" s="410">
        <v>13193</v>
      </c>
      <c r="B544" s="410" t="s">
        <v>210</v>
      </c>
      <c r="C544" s="410" t="s">
        <v>211</v>
      </c>
      <c r="D544" s="411">
        <v>96537.1</v>
      </c>
      <c r="E544" s="410">
        <v>1246129423</v>
      </c>
      <c r="F544" s="412">
        <v>45597</v>
      </c>
      <c r="G544" s="410"/>
      <c r="H544" s="410" t="s">
        <v>173</v>
      </c>
      <c r="I544" s="410" t="s">
        <v>174</v>
      </c>
      <c r="J544" s="410">
        <v>2793</v>
      </c>
      <c r="K544" s="412">
        <v>45337</v>
      </c>
      <c r="L544" s="410">
        <v>1010100</v>
      </c>
      <c r="M544" s="410" t="s">
        <v>35</v>
      </c>
      <c r="N544" s="410">
        <v>161</v>
      </c>
      <c r="O544" s="410" t="s">
        <v>161</v>
      </c>
      <c r="P544" s="410" t="s">
        <v>210</v>
      </c>
      <c r="Q544">
        <f t="shared" si="10"/>
        <v>539</v>
      </c>
      <c r="R544">
        <f>_xlfn.XLOOKUP(E544,'Data Additive'!E:E,'Data Additive'!E:E,0)</f>
        <v>0</v>
      </c>
    </row>
    <row r="545" spans="1:18" x14ac:dyDescent="0.25">
      <c r="A545" s="410">
        <v>13193</v>
      </c>
      <c r="B545" s="410" t="s">
        <v>210</v>
      </c>
      <c r="C545" s="410" t="s">
        <v>211</v>
      </c>
      <c r="D545" s="411">
        <v>96537.1</v>
      </c>
      <c r="E545" s="410">
        <v>1246129513</v>
      </c>
      <c r="F545" s="412">
        <v>45605</v>
      </c>
      <c r="G545" s="410"/>
      <c r="H545" s="410" t="s">
        <v>173</v>
      </c>
      <c r="I545" s="410" t="s">
        <v>174</v>
      </c>
      <c r="J545" s="410">
        <v>2795</v>
      </c>
      <c r="K545" s="412">
        <v>45337</v>
      </c>
      <c r="L545" s="410">
        <v>1010100</v>
      </c>
      <c r="M545" s="410" t="s">
        <v>35</v>
      </c>
      <c r="N545" s="410">
        <v>161</v>
      </c>
      <c r="O545" s="410" t="s">
        <v>161</v>
      </c>
      <c r="P545" s="410" t="s">
        <v>210</v>
      </c>
      <c r="Q545">
        <f t="shared" si="10"/>
        <v>531</v>
      </c>
      <c r="R545">
        <f>_xlfn.XLOOKUP(E545,'Data Additive'!E:E,'Data Additive'!E:E,0)</f>
        <v>0</v>
      </c>
    </row>
    <row r="546" spans="1:18" x14ac:dyDescent="0.25">
      <c r="A546" s="410">
        <v>13193</v>
      </c>
      <c r="B546" s="410" t="s">
        <v>210</v>
      </c>
      <c r="C546" s="410" t="s">
        <v>211</v>
      </c>
      <c r="D546" s="411">
        <v>100695.77</v>
      </c>
      <c r="E546" s="410">
        <v>1246129348</v>
      </c>
      <c r="F546" s="412">
        <v>45592</v>
      </c>
      <c r="G546" s="410"/>
      <c r="H546" s="410" t="s">
        <v>173</v>
      </c>
      <c r="I546" s="410" t="s">
        <v>174</v>
      </c>
      <c r="J546" s="410">
        <v>2788</v>
      </c>
      <c r="K546" s="412">
        <v>45336</v>
      </c>
      <c r="L546" s="410">
        <v>1010100</v>
      </c>
      <c r="M546" s="410" t="s">
        <v>35</v>
      </c>
      <c r="N546" s="410">
        <v>161</v>
      </c>
      <c r="O546" s="410" t="s">
        <v>161</v>
      </c>
      <c r="P546" s="410" t="s">
        <v>210</v>
      </c>
      <c r="Q546">
        <f t="shared" si="10"/>
        <v>544</v>
      </c>
      <c r="R546">
        <f>_xlfn.XLOOKUP(E546,'Data Additive'!E:E,'Data Additive'!E:E,0)</f>
        <v>0</v>
      </c>
    </row>
    <row r="547" spans="1:18" x14ac:dyDescent="0.25">
      <c r="A547" s="410">
        <v>13193</v>
      </c>
      <c r="B547" s="410" t="s">
        <v>210</v>
      </c>
      <c r="C547" s="410" t="s">
        <v>211</v>
      </c>
      <c r="D547" s="411">
        <v>96537.12</v>
      </c>
      <c r="E547" s="410">
        <v>1246129613</v>
      </c>
      <c r="F547" s="412">
        <v>45598</v>
      </c>
      <c r="G547" s="410"/>
      <c r="H547" s="410" t="s">
        <v>173</v>
      </c>
      <c r="I547" s="410" t="s">
        <v>174</v>
      </c>
      <c r="J547" s="410">
        <v>2803</v>
      </c>
      <c r="K547" s="412">
        <v>45338</v>
      </c>
      <c r="L547" s="410">
        <v>1010100</v>
      </c>
      <c r="M547" s="410" t="s">
        <v>35</v>
      </c>
      <c r="N547" s="410">
        <v>161</v>
      </c>
      <c r="O547" s="410" t="s">
        <v>161</v>
      </c>
      <c r="P547" s="410" t="s">
        <v>210</v>
      </c>
      <c r="Q547">
        <f t="shared" si="10"/>
        <v>538</v>
      </c>
      <c r="R547">
        <f>_xlfn.XLOOKUP(E547,'Data Additive'!E:E,'Data Additive'!E:E,0)</f>
        <v>0</v>
      </c>
    </row>
    <row r="548" spans="1:18" x14ac:dyDescent="0.25">
      <c r="A548" s="410">
        <v>13193</v>
      </c>
      <c r="B548" s="410" t="s">
        <v>210</v>
      </c>
      <c r="C548" s="410" t="s">
        <v>211</v>
      </c>
      <c r="D548" s="411">
        <v>114958.38999999998</v>
      </c>
      <c r="E548" s="410">
        <v>1246126152</v>
      </c>
      <c r="F548" s="412">
        <v>45594</v>
      </c>
      <c r="G548" s="410"/>
      <c r="H548" s="410" t="s">
        <v>173</v>
      </c>
      <c r="I548" s="410" t="s">
        <v>174</v>
      </c>
      <c r="J548" s="410">
        <v>2568</v>
      </c>
      <c r="K548" s="412">
        <v>45314</v>
      </c>
      <c r="L548" s="410">
        <v>1010100</v>
      </c>
      <c r="M548" s="410" t="s">
        <v>35</v>
      </c>
      <c r="N548" s="410">
        <v>161</v>
      </c>
      <c r="O548" s="410" t="s">
        <v>161</v>
      </c>
      <c r="P548" s="410" t="s">
        <v>210</v>
      </c>
      <c r="Q548">
        <f t="shared" si="10"/>
        <v>542</v>
      </c>
      <c r="R548">
        <f>_xlfn.XLOOKUP(E548,'Data Additive'!E:E,'Data Additive'!E:E,0)</f>
        <v>0</v>
      </c>
    </row>
    <row r="549" spans="1:18" x14ac:dyDescent="0.25">
      <c r="A549" s="410">
        <v>13193</v>
      </c>
      <c r="B549" s="410" t="s">
        <v>210</v>
      </c>
      <c r="C549" s="410" t="s">
        <v>211</v>
      </c>
      <c r="D549" s="411">
        <v>111898.75000000001</v>
      </c>
      <c r="E549" s="410">
        <v>1246126325</v>
      </c>
      <c r="F549" s="412">
        <v>45595</v>
      </c>
      <c r="G549" s="410"/>
      <c r="H549" s="410" t="s">
        <v>173</v>
      </c>
      <c r="I549" s="410" t="s">
        <v>174</v>
      </c>
      <c r="J549" s="410">
        <v>2581</v>
      </c>
      <c r="K549" s="412">
        <v>45315</v>
      </c>
      <c r="L549" s="410">
        <v>1010100</v>
      </c>
      <c r="M549" s="410" t="s">
        <v>35</v>
      </c>
      <c r="N549" s="410">
        <v>161</v>
      </c>
      <c r="O549" s="410" t="s">
        <v>161</v>
      </c>
      <c r="P549" s="410" t="s">
        <v>210</v>
      </c>
      <c r="Q549">
        <f t="shared" si="10"/>
        <v>541</v>
      </c>
      <c r="R549">
        <f>_xlfn.XLOOKUP(E549,'Data Additive'!E:E,'Data Additive'!E:E,0)</f>
        <v>0</v>
      </c>
    </row>
    <row r="550" spans="1:18" x14ac:dyDescent="0.25">
      <c r="A550" s="410">
        <v>13193</v>
      </c>
      <c r="B550" s="410" t="s">
        <v>210</v>
      </c>
      <c r="C550" s="410" t="s">
        <v>211</v>
      </c>
      <c r="D550" s="411">
        <v>108604.24</v>
      </c>
      <c r="E550" s="410">
        <v>1246126878</v>
      </c>
      <c r="F550" s="412">
        <v>45597</v>
      </c>
      <c r="G550" s="410"/>
      <c r="H550" s="410" t="s">
        <v>173</v>
      </c>
      <c r="I550" s="410" t="s">
        <v>174</v>
      </c>
      <c r="J550" s="410">
        <v>2614</v>
      </c>
      <c r="K550" s="412">
        <v>45317</v>
      </c>
      <c r="L550" s="410">
        <v>1010100</v>
      </c>
      <c r="M550" s="410" t="s">
        <v>35</v>
      </c>
      <c r="N550" s="410">
        <v>161</v>
      </c>
      <c r="O550" s="410" t="s">
        <v>161</v>
      </c>
      <c r="P550" s="410" t="s">
        <v>210</v>
      </c>
      <c r="Q550">
        <f t="shared" si="10"/>
        <v>539</v>
      </c>
      <c r="R550">
        <f>_xlfn.XLOOKUP(E550,'Data Additive'!E:E,'Data Additive'!E:E,0)</f>
        <v>0</v>
      </c>
    </row>
    <row r="551" spans="1:18" x14ac:dyDescent="0.25">
      <c r="A551" s="410">
        <v>13193</v>
      </c>
      <c r="B551" s="410" t="s">
        <v>210</v>
      </c>
      <c r="C551" s="410" t="s">
        <v>211</v>
      </c>
      <c r="D551" s="411">
        <v>110524.44</v>
      </c>
      <c r="E551" s="410">
        <v>1246126771</v>
      </c>
      <c r="F551" s="412">
        <v>45597</v>
      </c>
      <c r="G551" s="410"/>
      <c r="H551" s="410" t="s">
        <v>173</v>
      </c>
      <c r="I551" s="410" t="s">
        <v>174</v>
      </c>
      <c r="J551" s="410">
        <v>2605</v>
      </c>
      <c r="K551" s="412">
        <v>45317</v>
      </c>
      <c r="L551" s="410">
        <v>1010100</v>
      </c>
      <c r="M551" s="410" t="s">
        <v>35</v>
      </c>
      <c r="N551" s="410">
        <v>161</v>
      </c>
      <c r="O551" s="410" t="s">
        <v>161</v>
      </c>
      <c r="P551" s="410" t="s">
        <v>210</v>
      </c>
      <c r="Q551">
        <f t="shared" si="10"/>
        <v>539</v>
      </c>
      <c r="R551">
        <f>_xlfn.XLOOKUP(E551,'Data Additive'!E:E,'Data Additive'!E:E,0)</f>
        <v>0</v>
      </c>
    </row>
    <row r="552" spans="1:18" x14ac:dyDescent="0.25">
      <c r="A552" s="410">
        <v>13193</v>
      </c>
      <c r="B552" s="410" t="s">
        <v>210</v>
      </c>
      <c r="C552" s="410" t="s">
        <v>211</v>
      </c>
      <c r="D552" s="411">
        <v>81453.179999999993</v>
      </c>
      <c r="E552" s="410">
        <v>1246126682</v>
      </c>
      <c r="F552" s="412">
        <v>45596</v>
      </c>
      <c r="G552" s="410"/>
      <c r="H552" s="410" t="s">
        <v>173</v>
      </c>
      <c r="I552" s="410" t="s">
        <v>174</v>
      </c>
      <c r="J552" s="410">
        <v>2598</v>
      </c>
      <c r="K552" s="412">
        <v>45316</v>
      </c>
      <c r="L552" s="410">
        <v>1010100</v>
      </c>
      <c r="M552" s="410" t="s">
        <v>35</v>
      </c>
      <c r="N552" s="410">
        <v>161</v>
      </c>
      <c r="O552" s="410" t="s">
        <v>161</v>
      </c>
      <c r="P552" s="410" t="s">
        <v>210</v>
      </c>
      <c r="Q552">
        <f t="shared" si="10"/>
        <v>540</v>
      </c>
      <c r="R552">
        <f>_xlfn.XLOOKUP(E552,'Data Additive'!E:E,'Data Additive'!E:E,0)</f>
        <v>0</v>
      </c>
    </row>
    <row r="553" spans="1:18" x14ac:dyDescent="0.25">
      <c r="A553" s="410">
        <v>13193</v>
      </c>
      <c r="B553" s="410" t="s">
        <v>210</v>
      </c>
      <c r="C553" s="410" t="s">
        <v>211</v>
      </c>
      <c r="D553" s="411">
        <v>97994.5</v>
      </c>
      <c r="E553" s="410">
        <v>1246124699</v>
      </c>
      <c r="F553" s="412">
        <v>45593</v>
      </c>
      <c r="G553" s="410"/>
      <c r="H553" s="410" t="s">
        <v>173</v>
      </c>
      <c r="I553" s="410" t="s">
        <v>174</v>
      </c>
      <c r="J553" s="410">
        <v>2485</v>
      </c>
      <c r="K553" s="412">
        <v>45303</v>
      </c>
      <c r="L553" s="410">
        <v>1010100</v>
      </c>
      <c r="M553" s="410" t="s">
        <v>35</v>
      </c>
      <c r="N553" s="410">
        <v>161</v>
      </c>
      <c r="O553" s="410" t="s">
        <v>161</v>
      </c>
      <c r="P553" s="410" t="s">
        <v>210</v>
      </c>
      <c r="Q553">
        <f t="shared" si="10"/>
        <v>543</v>
      </c>
      <c r="R553">
        <f>_xlfn.XLOOKUP(E553,'Data Additive'!E:E,'Data Additive'!E:E,0)</f>
        <v>0</v>
      </c>
    </row>
    <row r="554" spans="1:18" x14ac:dyDescent="0.25">
      <c r="A554" s="410">
        <v>13193</v>
      </c>
      <c r="B554" s="410" t="s">
        <v>210</v>
      </c>
      <c r="C554" s="410" t="s">
        <v>211</v>
      </c>
      <c r="D554" s="411">
        <v>102482.69</v>
      </c>
      <c r="E554" s="410">
        <v>1246129677</v>
      </c>
      <c r="F554" s="412">
        <v>45594</v>
      </c>
      <c r="G554" s="410"/>
      <c r="H554" s="410" t="s">
        <v>173</v>
      </c>
      <c r="I554" s="410" t="s">
        <v>174</v>
      </c>
      <c r="J554" s="410">
        <v>2818</v>
      </c>
      <c r="K554" s="412">
        <v>45338</v>
      </c>
      <c r="L554" s="410">
        <v>1010100</v>
      </c>
      <c r="M554" s="410" t="s">
        <v>35</v>
      </c>
      <c r="N554" s="410">
        <v>161</v>
      </c>
      <c r="O554" s="410" t="s">
        <v>161</v>
      </c>
      <c r="P554" s="410" t="s">
        <v>210</v>
      </c>
      <c r="Q554">
        <f t="shared" si="10"/>
        <v>542</v>
      </c>
      <c r="R554">
        <f>_xlfn.XLOOKUP(E554,'Data Additive'!E:E,'Data Additive'!E:E,0)</f>
        <v>0</v>
      </c>
    </row>
    <row r="555" spans="1:18" x14ac:dyDescent="0.25">
      <c r="A555" s="410">
        <v>13193</v>
      </c>
      <c r="B555" s="410" t="s">
        <v>210</v>
      </c>
      <c r="C555" s="410" t="s">
        <v>211</v>
      </c>
      <c r="D555" s="411">
        <v>140175.09</v>
      </c>
      <c r="E555" s="410">
        <v>1246130332</v>
      </c>
      <c r="F555" s="412">
        <v>45599</v>
      </c>
      <c r="G555" s="410"/>
      <c r="H555" s="410" t="s">
        <v>173</v>
      </c>
      <c r="I555" s="410" t="s">
        <v>174</v>
      </c>
      <c r="J555" s="410">
        <v>2873</v>
      </c>
      <c r="K555" s="412">
        <v>45343</v>
      </c>
      <c r="L555" s="410">
        <v>1010100</v>
      </c>
      <c r="M555" s="410" t="s">
        <v>35</v>
      </c>
      <c r="N555" s="410">
        <v>161</v>
      </c>
      <c r="O555" s="410" t="s">
        <v>161</v>
      </c>
      <c r="P555" s="410" t="s">
        <v>210</v>
      </c>
      <c r="Q555">
        <f t="shared" si="10"/>
        <v>537</v>
      </c>
      <c r="R555">
        <f>_xlfn.XLOOKUP(E555,'Data Additive'!E:E,'Data Additive'!E:E,0)</f>
        <v>0</v>
      </c>
    </row>
    <row r="556" spans="1:18" x14ac:dyDescent="0.25">
      <c r="A556" s="410">
        <v>13193</v>
      </c>
      <c r="B556" s="410" t="s">
        <v>210</v>
      </c>
      <c r="C556" s="410" t="s">
        <v>211</v>
      </c>
      <c r="D556" s="411">
        <v>112140.07</v>
      </c>
      <c r="E556" s="410">
        <v>1246130309</v>
      </c>
      <c r="F556" s="412">
        <v>45599</v>
      </c>
      <c r="G556" s="410"/>
      <c r="H556" s="410" t="s">
        <v>173</v>
      </c>
      <c r="I556" s="410" t="s">
        <v>174</v>
      </c>
      <c r="J556" s="410">
        <v>2867</v>
      </c>
      <c r="K556" s="412">
        <v>45343</v>
      </c>
      <c r="L556" s="410">
        <v>1010100</v>
      </c>
      <c r="M556" s="410" t="s">
        <v>35</v>
      </c>
      <c r="N556" s="410">
        <v>161</v>
      </c>
      <c r="O556" s="410" t="s">
        <v>161</v>
      </c>
      <c r="P556" s="410" t="s">
        <v>210</v>
      </c>
      <c r="Q556">
        <f t="shared" si="10"/>
        <v>537</v>
      </c>
      <c r="R556">
        <f>_xlfn.XLOOKUP(E556,'Data Additive'!E:E,'Data Additive'!E:E,0)</f>
        <v>0</v>
      </c>
    </row>
    <row r="557" spans="1:18" x14ac:dyDescent="0.25">
      <c r="A557" s="410">
        <v>13193</v>
      </c>
      <c r="B557" s="410" t="s">
        <v>210</v>
      </c>
      <c r="C557" s="410" t="s">
        <v>211</v>
      </c>
      <c r="D557" s="411">
        <v>105131.31</v>
      </c>
      <c r="E557" s="410">
        <v>1246132575</v>
      </c>
      <c r="F557" s="412">
        <v>45597</v>
      </c>
      <c r="G557" s="410"/>
      <c r="H557" s="410" t="s">
        <v>173</v>
      </c>
      <c r="I557" s="410" t="s">
        <v>174</v>
      </c>
      <c r="J557" s="410">
        <v>2994</v>
      </c>
      <c r="K557" s="412">
        <v>45357</v>
      </c>
      <c r="L557" s="410">
        <v>1010100</v>
      </c>
      <c r="M557" s="410" t="s">
        <v>35</v>
      </c>
      <c r="N557" s="410">
        <v>161</v>
      </c>
      <c r="O557" s="410" t="s">
        <v>161</v>
      </c>
      <c r="P557" s="410" t="s">
        <v>210</v>
      </c>
      <c r="Q557">
        <f t="shared" si="10"/>
        <v>539</v>
      </c>
      <c r="R557">
        <f>_xlfn.XLOOKUP(E557,'Data Additive'!E:E,'Data Additive'!E:E,0)</f>
        <v>0</v>
      </c>
    </row>
    <row r="558" spans="1:18" x14ac:dyDescent="0.25">
      <c r="A558" s="410">
        <v>13193</v>
      </c>
      <c r="B558" s="410" t="s">
        <v>210</v>
      </c>
      <c r="C558" s="410" t="s">
        <v>211</v>
      </c>
      <c r="D558" s="411">
        <v>97257.29</v>
      </c>
      <c r="E558" s="410">
        <v>1246139180</v>
      </c>
      <c r="F558" s="412">
        <v>45573</v>
      </c>
      <c r="G558" s="410"/>
      <c r="H558" s="410" t="s">
        <v>173</v>
      </c>
      <c r="I558" s="410" t="s">
        <v>174</v>
      </c>
      <c r="J558" s="410">
        <v>3265</v>
      </c>
      <c r="K558" s="412">
        <v>45393</v>
      </c>
      <c r="L558" s="410">
        <v>1010100</v>
      </c>
      <c r="M558" s="410" t="s">
        <v>35</v>
      </c>
      <c r="N558" s="410">
        <v>161</v>
      </c>
      <c r="O558" s="410" t="s">
        <v>161</v>
      </c>
      <c r="P558" s="410" t="s">
        <v>210</v>
      </c>
      <c r="Q558">
        <f t="shared" si="10"/>
        <v>563</v>
      </c>
      <c r="R558">
        <f>_xlfn.XLOOKUP(E558,'Data Additive'!E:E,'Data Additive'!E:E,0)</f>
        <v>0</v>
      </c>
    </row>
    <row r="559" spans="1:18" x14ac:dyDescent="0.25">
      <c r="A559" s="410">
        <v>13193</v>
      </c>
      <c r="B559" s="410" t="s">
        <v>210</v>
      </c>
      <c r="C559" s="410" t="s">
        <v>211</v>
      </c>
      <c r="D559" s="411">
        <v>104293.46</v>
      </c>
      <c r="E559" s="410">
        <v>1246135519</v>
      </c>
      <c r="F559" s="412">
        <v>45600</v>
      </c>
      <c r="G559" s="410"/>
      <c r="H559" s="410" t="s">
        <v>173</v>
      </c>
      <c r="I559" s="410" t="s">
        <v>174</v>
      </c>
      <c r="J559" s="410">
        <v>3146</v>
      </c>
      <c r="K559" s="412">
        <v>45373</v>
      </c>
      <c r="L559" s="410">
        <v>1010100</v>
      </c>
      <c r="M559" s="410" t="s">
        <v>35</v>
      </c>
      <c r="N559" s="410">
        <v>161</v>
      </c>
      <c r="O559" s="410" t="s">
        <v>161</v>
      </c>
      <c r="P559" s="410" t="s">
        <v>210</v>
      </c>
      <c r="Q559">
        <f t="shared" si="10"/>
        <v>536</v>
      </c>
      <c r="R559">
        <f>_xlfn.XLOOKUP(E559,'Data Additive'!E:E,'Data Additive'!E:E,0)</f>
        <v>0</v>
      </c>
    </row>
    <row r="560" spans="1:18" x14ac:dyDescent="0.25">
      <c r="A560" s="410">
        <v>13193</v>
      </c>
      <c r="B560" s="410" t="s">
        <v>210</v>
      </c>
      <c r="C560" s="410" t="s">
        <v>211</v>
      </c>
      <c r="D560" s="411">
        <v>120980.73</v>
      </c>
      <c r="E560" s="410">
        <v>1246138904</v>
      </c>
      <c r="F560" s="412">
        <v>45572</v>
      </c>
      <c r="G560" s="410"/>
      <c r="H560" s="410" t="s">
        <v>173</v>
      </c>
      <c r="I560" s="410" t="s">
        <v>174</v>
      </c>
      <c r="J560" s="410">
        <v>3260</v>
      </c>
      <c r="K560" s="412">
        <v>45392</v>
      </c>
      <c r="L560" s="410">
        <v>1010100</v>
      </c>
      <c r="M560" s="410" t="s">
        <v>35</v>
      </c>
      <c r="N560" s="410">
        <v>161</v>
      </c>
      <c r="O560" s="410" t="s">
        <v>161</v>
      </c>
      <c r="P560" s="410" t="s">
        <v>210</v>
      </c>
      <c r="Q560">
        <f t="shared" si="10"/>
        <v>564</v>
      </c>
      <c r="R560">
        <f>_xlfn.XLOOKUP(E560,'Data Additive'!E:E,'Data Additive'!E:E,0)</f>
        <v>0</v>
      </c>
    </row>
    <row r="561" spans="1:18" x14ac:dyDescent="0.25">
      <c r="A561" s="410">
        <v>13193</v>
      </c>
      <c r="B561" s="410" t="s">
        <v>210</v>
      </c>
      <c r="C561" s="410" t="s">
        <v>211</v>
      </c>
      <c r="D561" s="411">
        <v>142145.26999999999</v>
      </c>
      <c r="E561" s="410">
        <v>1246138695</v>
      </c>
      <c r="F561" s="412">
        <v>45571</v>
      </c>
      <c r="G561" s="410"/>
      <c r="H561" s="410" t="s">
        <v>173</v>
      </c>
      <c r="I561" s="410" t="s">
        <v>174</v>
      </c>
      <c r="J561" s="410">
        <v>3255</v>
      </c>
      <c r="K561" s="412">
        <v>45391</v>
      </c>
      <c r="L561" s="410">
        <v>1010100</v>
      </c>
      <c r="M561" s="410" t="s">
        <v>35</v>
      </c>
      <c r="N561" s="410">
        <v>161</v>
      </c>
      <c r="O561" s="410" t="s">
        <v>161</v>
      </c>
      <c r="P561" s="410" t="s">
        <v>210</v>
      </c>
      <c r="Q561">
        <f t="shared" si="10"/>
        <v>565</v>
      </c>
      <c r="R561">
        <f>_xlfn.XLOOKUP(E561,'Data Additive'!E:E,'Data Additive'!E:E,0)</f>
        <v>0</v>
      </c>
    </row>
    <row r="562" spans="1:18" x14ac:dyDescent="0.25">
      <c r="A562" s="410">
        <v>13193</v>
      </c>
      <c r="B562" s="410" t="s">
        <v>210</v>
      </c>
      <c r="C562" s="410" t="s">
        <v>211</v>
      </c>
      <c r="D562" s="411">
        <v>30167.84</v>
      </c>
      <c r="E562" s="410">
        <v>1246134824</v>
      </c>
      <c r="F562" s="412">
        <v>45597</v>
      </c>
      <c r="G562" s="410"/>
      <c r="H562" s="410" t="s">
        <v>173</v>
      </c>
      <c r="I562" s="410" t="s">
        <v>174</v>
      </c>
      <c r="J562" s="410">
        <v>3122</v>
      </c>
      <c r="K562" s="412">
        <v>45370</v>
      </c>
      <c r="L562" s="410">
        <v>1010100</v>
      </c>
      <c r="M562" s="410" t="s">
        <v>35</v>
      </c>
      <c r="N562" s="410">
        <v>161</v>
      </c>
      <c r="O562" s="410" t="s">
        <v>161</v>
      </c>
      <c r="P562" s="410" t="s">
        <v>210</v>
      </c>
      <c r="Q562">
        <f t="shared" si="10"/>
        <v>539</v>
      </c>
      <c r="R562">
        <f>_xlfn.XLOOKUP(E562,'Data Additive'!E:E,'Data Additive'!E:E,0)</f>
        <v>0</v>
      </c>
    </row>
    <row r="563" spans="1:18" x14ac:dyDescent="0.25">
      <c r="A563" s="410">
        <v>13193</v>
      </c>
      <c r="B563" s="410" t="s">
        <v>210</v>
      </c>
      <c r="C563" s="410" t="s">
        <v>211</v>
      </c>
      <c r="D563" s="411">
        <v>96077.53</v>
      </c>
      <c r="E563" s="410">
        <v>1246134935</v>
      </c>
      <c r="F563" s="412">
        <v>45598</v>
      </c>
      <c r="G563" s="410"/>
      <c r="H563" s="410" t="s">
        <v>173</v>
      </c>
      <c r="I563" s="410" t="s">
        <v>174</v>
      </c>
      <c r="J563" s="410">
        <v>3128</v>
      </c>
      <c r="K563" s="412">
        <v>45371</v>
      </c>
      <c r="L563" s="410">
        <v>1010100</v>
      </c>
      <c r="M563" s="410" t="s">
        <v>35</v>
      </c>
      <c r="N563" s="410">
        <v>161</v>
      </c>
      <c r="O563" s="410" t="s">
        <v>161</v>
      </c>
      <c r="P563" s="410" t="s">
        <v>210</v>
      </c>
      <c r="Q563">
        <f t="shared" si="10"/>
        <v>538</v>
      </c>
      <c r="R563">
        <f>_xlfn.XLOOKUP(E563,'Data Additive'!E:E,'Data Additive'!E:E,0)</f>
        <v>0</v>
      </c>
    </row>
    <row r="564" spans="1:18" x14ac:dyDescent="0.25">
      <c r="A564" s="410">
        <v>13193</v>
      </c>
      <c r="B564" s="410" t="s">
        <v>210</v>
      </c>
      <c r="C564" s="410" t="s">
        <v>211</v>
      </c>
      <c r="D564" s="411">
        <v>90503.54</v>
      </c>
      <c r="E564" s="410">
        <v>1246134807</v>
      </c>
      <c r="F564" s="412">
        <v>45597</v>
      </c>
      <c r="G564" s="410"/>
      <c r="H564" s="410" t="s">
        <v>173</v>
      </c>
      <c r="I564" s="410" t="s">
        <v>174</v>
      </c>
      <c r="J564" s="410">
        <v>3119</v>
      </c>
      <c r="K564" s="412">
        <v>45370</v>
      </c>
      <c r="L564" s="410">
        <v>1010100</v>
      </c>
      <c r="M564" s="410" t="s">
        <v>35</v>
      </c>
      <c r="N564" s="410">
        <v>161</v>
      </c>
      <c r="O564" s="410" t="s">
        <v>161</v>
      </c>
      <c r="P564" s="410" t="s">
        <v>210</v>
      </c>
      <c r="Q564">
        <f t="shared" si="10"/>
        <v>539</v>
      </c>
      <c r="R564">
        <f>_xlfn.XLOOKUP(E564,'Data Additive'!E:E,'Data Additive'!E:E,0)</f>
        <v>0</v>
      </c>
    </row>
    <row r="565" spans="1:18" x14ac:dyDescent="0.25">
      <c r="A565" s="410">
        <v>13193</v>
      </c>
      <c r="B565" s="410" t="s">
        <v>210</v>
      </c>
      <c r="C565" s="410" t="s">
        <v>211</v>
      </c>
      <c r="D565" s="411">
        <v>90503.54</v>
      </c>
      <c r="E565" s="410">
        <v>1246134540</v>
      </c>
      <c r="F565" s="412">
        <v>45596</v>
      </c>
      <c r="G565" s="410"/>
      <c r="H565" s="410" t="s">
        <v>173</v>
      </c>
      <c r="I565" s="410" t="s">
        <v>174</v>
      </c>
      <c r="J565" s="410">
        <v>3110</v>
      </c>
      <c r="K565" s="412">
        <v>45369</v>
      </c>
      <c r="L565" s="410">
        <v>1010100</v>
      </c>
      <c r="M565" s="410" t="s">
        <v>35</v>
      </c>
      <c r="N565" s="410">
        <v>161</v>
      </c>
      <c r="O565" s="410" t="s">
        <v>161</v>
      </c>
      <c r="P565" s="410" t="s">
        <v>210</v>
      </c>
      <c r="Q565">
        <f t="shared" si="10"/>
        <v>540</v>
      </c>
      <c r="R565">
        <f>_xlfn.XLOOKUP(E565,'Data Additive'!E:E,'Data Additive'!E:E,0)</f>
        <v>0</v>
      </c>
    </row>
    <row r="566" spans="1:18" x14ac:dyDescent="0.25">
      <c r="A566" s="410">
        <v>13193</v>
      </c>
      <c r="B566" s="410" t="s">
        <v>210</v>
      </c>
      <c r="C566" s="410" t="s">
        <v>211</v>
      </c>
      <c r="D566" s="411">
        <v>82776.289999999994</v>
      </c>
      <c r="E566" s="410">
        <v>1246139327</v>
      </c>
      <c r="F566" s="412">
        <v>45573</v>
      </c>
      <c r="G566" s="410"/>
      <c r="H566" s="410" t="s">
        <v>173</v>
      </c>
      <c r="I566" s="410" t="s">
        <v>174</v>
      </c>
      <c r="J566" s="410">
        <v>3272</v>
      </c>
      <c r="K566" s="412">
        <v>45393</v>
      </c>
      <c r="L566" s="410">
        <v>1010100</v>
      </c>
      <c r="M566" s="410" t="s">
        <v>35</v>
      </c>
      <c r="N566" s="410">
        <v>161</v>
      </c>
      <c r="O566" s="410" t="s">
        <v>161</v>
      </c>
      <c r="P566" s="410" t="s">
        <v>210</v>
      </c>
      <c r="Q566">
        <f t="shared" ref="Q566:Q617" si="11">$R$1-F566</f>
        <v>563</v>
      </c>
      <c r="R566">
        <f>_xlfn.XLOOKUP(E566,'Data Additive'!E:E,'Data Additive'!E:E,0)</f>
        <v>0</v>
      </c>
    </row>
    <row r="567" spans="1:18" x14ac:dyDescent="0.25">
      <c r="A567" s="410">
        <v>13193</v>
      </c>
      <c r="B567" s="410" t="s">
        <v>210</v>
      </c>
      <c r="C567" s="410" t="s">
        <v>211</v>
      </c>
      <c r="D567" s="411">
        <v>64051.68</v>
      </c>
      <c r="E567" s="410">
        <v>1246134828</v>
      </c>
      <c r="F567" s="412">
        <v>45597</v>
      </c>
      <c r="G567" s="410"/>
      <c r="H567" s="410" t="s">
        <v>173</v>
      </c>
      <c r="I567" s="410" t="s">
        <v>174</v>
      </c>
      <c r="J567" s="410">
        <v>3123</v>
      </c>
      <c r="K567" s="412">
        <v>45370</v>
      </c>
      <c r="L567" s="410">
        <v>1010100</v>
      </c>
      <c r="M567" s="410" t="s">
        <v>35</v>
      </c>
      <c r="N567" s="410">
        <v>161</v>
      </c>
      <c r="O567" s="410" t="s">
        <v>161</v>
      </c>
      <c r="P567" s="410" t="s">
        <v>210</v>
      </c>
      <c r="Q567">
        <f t="shared" si="11"/>
        <v>539</v>
      </c>
      <c r="R567">
        <f>_xlfn.XLOOKUP(E567,'Data Additive'!E:E,'Data Additive'!E:E,0)</f>
        <v>0</v>
      </c>
    </row>
    <row r="568" spans="1:18" x14ac:dyDescent="0.25">
      <c r="A568" s="410">
        <v>13193</v>
      </c>
      <c r="B568" s="410" t="s">
        <v>210</v>
      </c>
      <c r="C568" s="410" t="s">
        <v>211</v>
      </c>
      <c r="D568" s="411">
        <v>96077.53</v>
      </c>
      <c r="E568" s="410">
        <v>1246134926</v>
      </c>
      <c r="F568" s="412">
        <v>45598</v>
      </c>
      <c r="G568" s="410"/>
      <c r="H568" s="410" t="s">
        <v>173</v>
      </c>
      <c r="I568" s="410" t="s">
        <v>174</v>
      </c>
      <c r="J568" s="410">
        <v>3126</v>
      </c>
      <c r="K568" s="412">
        <v>45371</v>
      </c>
      <c r="L568" s="410">
        <v>1010100</v>
      </c>
      <c r="M568" s="410" t="s">
        <v>35</v>
      </c>
      <c r="N568" s="410">
        <v>161</v>
      </c>
      <c r="O568" s="410" t="s">
        <v>161</v>
      </c>
      <c r="P568" s="410" t="s">
        <v>210</v>
      </c>
      <c r="Q568">
        <f t="shared" si="11"/>
        <v>538</v>
      </c>
      <c r="R568">
        <f>_xlfn.XLOOKUP(E568,'Data Additive'!E:E,'Data Additive'!E:E,0)</f>
        <v>0</v>
      </c>
    </row>
    <row r="569" spans="1:18" x14ac:dyDescent="0.25">
      <c r="A569" s="410">
        <v>13193</v>
      </c>
      <c r="B569" s="410" t="s">
        <v>210</v>
      </c>
      <c r="C569" s="410" t="s">
        <v>211</v>
      </c>
      <c r="D569" s="411">
        <v>96077.53</v>
      </c>
      <c r="E569" s="410">
        <v>1246135475</v>
      </c>
      <c r="F569" s="412">
        <v>45600</v>
      </c>
      <c r="G569" s="410"/>
      <c r="H569" s="410" t="s">
        <v>173</v>
      </c>
      <c r="I569" s="410" t="s">
        <v>174</v>
      </c>
      <c r="J569" s="410">
        <v>3143</v>
      </c>
      <c r="K569" s="412">
        <v>45373</v>
      </c>
      <c r="L569" s="410">
        <v>1010100</v>
      </c>
      <c r="M569" s="410" t="s">
        <v>35</v>
      </c>
      <c r="N569" s="410">
        <v>161</v>
      </c>
      <c r="O569" s="410" t="s">
        <v>161</v>
      </c>
      <c r="P569" s="410" t="s">
        <v>210</v>
      </c>
      <c r="Q569">
        <f t="shared" si="11"/>
        <v>536</v>
      </c>
      <c r="R569">
        <f>_xlfn.XLOOKUP(E569,'Data Additive'!E:E,'Data Additive'!E:E,0)</f>
        <v>0</v>
      </c>
    </row>
    <row r="570" spans="1:18" x14ac:dyDescent="0.25">
      <c r="A570" s="410">
        <v>14094</v>
      </c>
      <c r="B570" s="410" t="s">
        <v>265</v>
      </c>
      <c r="C570" s="410" t="s">
        <v>266</v>
      </c>
      <c r="D570" s="411">
        <v>100</v>
      </c>
      <c r="E570" s="410">
        <v>1246154530</v>
      </c>
      <c r="F570" s="412">
        <v>45474</v>
      </c>
      <c r="G570" s="410"/>
      <c r="H570" s="410"/>
      <c r="I570" s="410" t="s">
        <v>373</v>
      </c>
      <c r="J570" s="410">
        <v>4088</v>
      </c>
      <c r="K570" s="412">
        <v>45474</v>
      </c>
      <c r="L570" s="410">
        <v>4010300</v>
      </c>
      <c r="M570" s="410" t="s">
        <v>142</v>
      </c>
      <c r="N570" s="410">
        <v>244</v>
      </c>
      <c r="O570" s="410" t="s">
        <v>191</v>
      </c>
      <c r="P570" s="410" t="s">
        <v>265</v>
      </c>
      <c r="Q570">
        <f t="shared" si="11"/>
        <v>662</v>
      </c>
      <c r="R570">
        <f>_xlfn.XLOOKUP(E570,'Data Additive'!E:E,'Data Additive'!E:E,0)</f>
        <v>1246154530</v>
      </c>
    </row>
    <row r="571" spans="1:18" x14ac:dyDescent="0.25">
      <c r="A571" s="410">
        <v>13873</v>
      </c>
      <c r="B571" s="410" t="s">
        <v>309</v>
      </c>
      <c r="C571" s="410" t="s">
        <v>310</v>
      </c>
      <c r="D571" s="411">
        <v>50</v>
      </c>
      <c r="E571" s="410">
        <v>1246166396</v>
      </c>
      <c r="F571" s="412">
        <v>45525</v>
      </c>
      <c r="G571" s="410"/>
      <c r="H571" s="410"/>
      <c r="I571" s="410" t="s">
        <v>373</v>
      </c>
      <c r="J571" s="410">
        <v>4854</v>
      </c>
      <c r="K571" s="412">
        <v>45525</v>
      </c>
      <c r="L571" s="410">
        <v>4010300</v>
      </c>
      <c r="M571" s="410" t="s">
        <v>142</v>
      </c>
      <c r="N571" s="410">
        <v>244</v>
      </c>
      <c r="O571" s="410" t="s">
        <v>191</v>
      </c>
      <c r="P571" s="410" t="s">
        <v>309</v>
      </c>
      <c r="Q571">
        <f t="shared" si="11"/>
        <v>611</v>
      </c>
      <c r="R571">
        <f>_xlfn.XLOOKUP(E571,'Data Additive'!E:E,'Data Additive'!E:E,0)</f>
        <v>1246166396</v>
      </c>
    </row>
    <row r="572" spans="1:18" x14ac:dyDescent="0.25">
      <c r="A572" s="410">
        <v>14179</v>
      </c>
      <c r="B572" s="410" t="s">
        <v>814</v>
      </c>
      <c r="C572" s="410" t="s">
        <v>815</v>
      </c>
      <c r="D572" s="411">
        <v>292.08</v>
      </c>
      <c r="E572" s="410">
        <v>1246270339</v>
      </c>
      <c r="F572" s="412">
        <v>46143</v>
      </c>
      <c r="G572" s="410"/>
      <c r="H572" s="410"/>
      <c r="I572" s="410" t="s">
        <v>373</v>
      </c>
      <c r="J572" s="410">
        <v>10469</v>
      </c>
      <c r="K572" s="412">
        <v>46035</v>
      </c>
      <c r="L572" s="410">
        <v>4011600</v>
      </c>
      <c r="M572" s="410" t="s">
        <v>702</v>
      </c>
      <c r="N572" s="410">
        <v>244</v>
      </c>
      <c r="O572" s="410" t="s">
        <v>191</v>
      </c>
      <c r="P572" s="410" t="s">
        <v>814</v>
      </c>
      <c r="Q572">
        <f t="shared" si="11"/>
        <v>-7</v>
      </c>
      <c r="R572">
        <f>_xlfn.XLOOKUP(E572,'Data Additive'!E:E,'Data Additive'!E:E,0)</f>
        <v>1246270339</v>
      </c>
    </row>
    <row r="573" spans="1:18" x14ac:dyDescent="0.25">
      <c r="A573" s="410">
        <v>14106</v>
      </c>
      <c r="B573" s="410" t="s">
        <v>383</v>
      </c>
      <c r="C573" s="410" t="s">
        <v>384</v>
      </c>
      <c r="D573" s="411">
        <v>300</v>
      </c>
      <c r="E573" s="410">
        <v>1246182736</v>
      </c>
      <c r="F573" s="412">
        <v>45625</v>
      </c>
      <c r="G573" s="410"/>
      <c r="H573" s="410"/>
      <c r="I573" s="410" t="s">
        <v>373</v>
      </c>
      <c r="J573" s="410">
        <v>6092</v>
      </c>
      <c r="K573" s="412">
        <v>45610</v>
      </c>
      <c r="L573" s="410">
        <v>1020400</v>
      </c>
      <c r="M573" s="410" t="s">
        <v>144</v>
      </c>
      <c r="N573" s="410">
        <v>136</v>
      </c>
      <c r="O573" s="410" t="s">
        <v>144</v>
      </c>
      <c r="P573" s="410" t="s">
        <v>383</v>
      </c>
      <c r="Q573">
        <f t="shared" si="11"/>
        <v>511</v>
      </c>
      <c r="R573">
        <f>_xlfn.XLOOKUP(E573,'Data Additive'!E:E,'Data Additive'!E:E,0)</f>
        <v>1246182736</v>
      </c>
    </row>
    <row r="574" spans="1:18" x14ac:dyDescent="0.25">
      <c r="A574" s="410">
        <v>13567</v>
      </c>
      <c r="B574" s="410" t="s">
        <v>378</v>
      </c>
      <c r="C574" s="410" t="s">
        <v>379</v>
      </c>
      <c r="D574" s="411">
        <v>108547.57</v>
      </c>
      <c r="E574" s="410">
        <v>1246235061</v>
      </c>
      <c r="F574" s="412">
        <v>46143</v>
      </c>
      <c r="G574" s="410"/>
      <c r="H574" s="410" t="s">
        <v>173</v>
      </c>
      <c r="I574" s="410" t="s">
        <v>174</v>
      </c>
      <c r="J574" s="410">
        <v>9184</v>
      </c>
      <c r="K574" s="412">
        <v>45904</v>
      </c>
      <c r="L574" s="410">
        <v>1010100</v>
      </c>
      <c r="M574" s="410" t="s">
        <v>35</v>
      </c>
      <c r="N574" s="410">
        <v>56</v>
      </c>
      <c r="O574" s="410" t="s">
        <v>162</v>
      </c>
      <c r="P574" s="410" t="s">
        <v>378</v>
      </c>
      <c r="Q574">
        <f t="shared" si="11"/>
        <v>-7</v>
      </c>
      <c r="R574">
        <f>_xlfn.XLOOKUP(E574,'Data Additive'!E:E,'Data Additive'!E:E,0)</f>
        <v>0</v>
      </c>
    </row>
    <row r="575" spans="1:18" x14ac:dyDescent="0.25">
      <c r="A575" s="410">
        <v>13567</v>
      </c>
      <c r="B575" s="410" t="s">
        <v>378</v>
      </c>
      <c r="C575" s="410" t="s">
        <v>379</v>
      </c>
      <c r="D575" s="411">
        <v>114260.6</v>
      </c>
      <c r="E575" s="410">
        <v>1246235060</v>
      </c>
      <c r="F575" s="412">
        <v>46143</v>
      </c>
      <c r="G575" s="410"/>
      <c r="H575" s="410" t="s">
        <v>173</v>
      </c>
      <c r="I575" s="410" t="s">
        <v>174</v>
      </c>
      <c r="J575" s="410">
        <v>9183</v>
      </c>
      <c r="K575" s="412">
        <v>45904</v>
      </c>
      <c r="L575" s="410">
        <v>1010100</v>
      </c>
      <c r="M575" s="410" t="s">
        <v>35</v>
      </c>
      <c r="N575" s="410">
        <v>56</v>
      </c>
      <c r="O575" s="410" t="s">
        <v>162</v>
      </c>
      <c r="P575" s="410" t="s">
        <v>378</v>
      </c>
      <c r="Q575">
        <f t="shared" si="11"/>
        <v>-7</v>
      </c>
      <c r="R575">
        <f>_xlfn.XLOOKUP(E575,'Data Additive'!E:E,'Data Additive'!E:E,0)</f>
        <v>0</v>
      </c>
    </row>
    <row r="576" spans="1:18" x14ac:dyDescent="0.25">
      <c r="A576" s="410">
        <v>14948</v>
      </c>
      <c r="B576" s="410" t="s">
        <v>380</v>
      </c>
      <c r="C576" s="410" t="s">
        <v>381</v>
      </c>
      <c r="D576" s="411">
        <v>184217.94</v>
      </c>
      <c r="E576" s="410">
        <v>1246221983</v>
      </c>
      <c r="F576" s="412">
        <v>46138</v>
      </c>
      <c r="G576" s="410"/>
      <c r="H576" s="410" t="s">
        <v>173</v>
      </c>
      <c r="I576" s="410" t="s">
        <v>174</v>
      </c>
      <c r="J576" s="410">
        <v>8306</v>
      </c>
      <c r="K576" s="412">
        <v>45838</v>
      </c>
      <c r="L576" s="410">
        <v>1010100</v>
      </c>
      <c r="M576" s="410" t="s">
        <v>35</v>
      </c>
      <c r="N576" s="410">
        <v>56</v>
      </c>
      <c r="O576" s="410" t="s">
        <v>162</v>
      </c>
      <c r="P576" s="410" t="s">
        <v>380</v>
      </c>
      <c r="Q576">
        <f t="shared" si="11"/>
        <v>-2</v>
      </c>
      <c r="R576">
        <f>_xlfn.XLOOKUP(E576,'Data Additive'!E:E,'Data Additive'!E:E,0)</f>
        <v>0</v>
      </c>
    </row>
    <row r="577" spans="1:18" x14ac:dyDescent="0.25">
      <c r="A577" s="410">
        <v>14948</v>
      </c>
      <c r="B577" s="410" t="s">
        <v>380</v>
      </c>
      <c r="C577" s="410" t="s">
        <v>381</v>
      </c>
      <c r="D577" s="411">
        <v>235730.06</v>
      </c>
      <c r="E577" s="410">
        <v>1246228090</v>
      </c>
      <c r="F577" s="412">
        <v>46134</v>
      </c>
      <c r="G577" s="410"/>
      <c r="H577" s="410" t="s">
        <v>173</v>
      </c>
      <c r="I577" s="410" t="s">
        <v>174</v>
      </c>
      <c r="J577" s="410">
        <v>8683</v>
      </c>
      <c r="K577" s="412">
        <v>45868</v>
      </c>
      <c r="L577" s="410">
        <v>1010100</v>
      </c>
      <c r="M577" s="410" t="s">
        <v>35</v>
      </c>
      <c r="N577" s="410">
        <v>56</v>
      </c>
      <c r="O577" s="410" t="s">
        <v>162</v>
      </c>
      <c r="P577" s="410" t="s">
        <v>380</v>
      </c>
      <c r="Q577">
        <f t="shared" si="11"/>
        <v>2</v>
      </c>
      <c r="R577">
        <f>_xlfn.XLOOKUP(E577,'Data Additive'!E:E,'Data Additive'!E:E,0)</f>
        <v>0</v>
      </c>
    </row>
    <row r="578" spans="1:18" x14ac:dyDescent="0.25">
      <c r="A578" s="410">
        <v>15508</v>
      </c>
      <c r="B578" s="410" t="s">
        <v>571</v>
      </c>
      <c r="C578" s="410" t="s">
        <v>924</v>
      </c>
      <c r="D578" s="411">
        <v>137716.91</v>
      </c>
      <c r="E578" s="410">
        <v>1246270312</v>
      </c>
      <c r="F578" s="412">
        <v>46148</v>
      </c>
      <c r="G578" s="410"/>
      <c r="H578" s="410" t="s">
        <v>28</v>
      </c>
      <c r="I578" s="410" t="s">
        <v>29</v>
      </c>
      <c r="J578" s="410">
        <v>11050</v>
      </c>
      <c r="K578" s="412">
        <v>46118</v>
      </c>
      <c r="L578" s="410">
        <v>1010200</v>
      </c>
      <c r="M578" s="410" t="s">
        <v>125</v>
      </c>
      <c r="N578" s="410">
        <v>40</v>
      </c>
      <c r="O578" s="410" t="s">
        <v>171</v>
      </c>
      <c r="P578" s="410" t="s">
        <v>571</v>
      </c>
      <c r="Q578">
        <f t="shared" si="11"/>
        <v>-12</v>
      </c>
      <c r="R578">
        <f>_xlfn.XLOOKUP(E578,'Data Additive'!E:E,'Data Additive'!E:E,0)</f>
        <v>0</v>
      </c>
    </row>
    <row r="579" spans="1:18" x14ac:dyDescent="0.25">
      <c r="A579" s="410">
        <v>14552</v>
      </c>
      <c r="B579" s="410" t="s">
        <v>335</v>
      </c>
      <c r="C579" s="410" t="s">
        <v>336</v>
      </c>
      <c r="D579" s="411">
        <v>91336</v>
      </c>
      <c r="E579" s="410">
        <v>1246259067</v>
      </c>
      <c r="F579" s="412">
        <v>46141</v>
      </c>
      <c r="G579" s="410"/>
      <c r="H579" s="410" t="s">
        <v>173</v>
      </c>
      <c r="I579" s="410" t="s">
        <v>174</v>
      </c>
      <c r="J579" s="410">
        <v>8636</v>
      </c>
      <c r="K579" s="412">
        <v>45866</v>
      </c>
      <c r="L579" s="410">
        <v>1010100</v>
      </c>
      <c r="M579" s="410" t="s">
        <v>35</v>
      </c>
      <c r="N579" s="410">
        <v>7</v>
      </c>
      <c r="O579" s="410" t="s">
        <v>654</v>
      </c>
      <c r="P579" s="410" t="s">
        <v>335</v>
      </c>
      <c r="Q579">
        <f t="shared" si="11"/>
        <v>-5</v>
      </c>
      <c r="R579">
        <f>_xlfn.XLOOKUP(E579,'Data Additive'!E:E,'Data Additive'!E:E,0)</f>
        <v>0</v>
      </c>
    </row>
    <row r="580" spans="1:18" x14ac:dyDescent="0.25">
      <c r="A580" s="410">
        <v>14552</v>
      </c>
      <c r="B580" s="410" t="s">
        <v>335</v>
      </c>
      <c r="C580" s="410" t="s">
        <v>336</v>
      </c>
      <c r="D580" s="411">
        <v>85316</v>
      </c>
      <c r="E580" s="410">
        <v>1246259061</v>
      </c>
      <c r="F580" s="412">
        <v>46142</v>
      </c>
      <c r="G580" s="410"/>
      <c r="H580" s="410" t="s">
        <v>173</v>
      </c>
      <c r="I580" s="410" t="s">
        <v>174</v>
      </c>
      <c r="J580" s="410">
        <v>8620</v>
      </c>
      <c r="K580" s="412">
        <v>45863</v>
      </c>
      <c r="L580" s="410">
        <v>1010100</v>
      </c>
      <c r="M580" s="410" t="s">
        <v>35</v>
      </c>
      <c r="N580" s="410">
        <v>7</v>
      </c>
      <c r="O580" s="410" t="s">
        <v>654</v>
      </c>
      <c r="P580" s="410" t="s">
        <v>335</v>
      </c>
      <c r="Q580">
        <f t="shared" si="11"/>
        <v>-6</v>
      </c>
      <c r="R580">
        <f>_xlfn.XLOOKUP(E580,'Data Additive'!E:E,'Data Additive'!E:E,0)</f>
        <v>0</v>
      </c>
    </row>
    <row r="581" spans="1:18" x14ac:dyDescent="0.25">
      <c r="A581" s="410">
        <v>14552</v>
      </c>
      <c r="B581" s="410" t="s">
        <v>335</v>
      </c>
      <c r="C581" s="410" t="s">
        <v>336</v>
      </c>
      <c r="D581" s="411">
        <v>156088</v>
      </c>
      <c r="E581" s="410">
        <v>1246226199</v>
      </c>
      <c r="F581" s="412">
        <v>46142</v>
      </c>
      <c r="G581" s="410"/>
      <c r="H581" s="410" t="s">
        <v>173</v>
      </c>
      <c r="I581" s="410" t="s">
        <v>174</v>
      </c>
      <c r="J581" s="410">
        <v>8567</v>
      </c>
      <c r="K581" s="412">
        <v>45859</v>
      </c>
      <c r="L581" s="410">
        <v>1010100</v>
      </c>
      <c r="M581" s="410" t="s">
        <v>35</v>
      </c>
      <c r="N581" s="410">
        <v>161</v>
      </c>
      <c r="O581" s="410" t="s">
        <v>161</v>
      </c>
      <c r="P581" s="410" t="s">
        <v>335</v>
      </c>
      <c r="Q581">
        <f t="shared" si="11"/>
        <v>-6</v>
      </c>
      <c r="R581">
        <f>_xlfn.XLOOKUP(E581,'Data Additive'!E:E,'Data Additive'!E:E,0)</f>
        <v>0</v>
      </c>
    </row>
    <row r="582" spans="1:18" x14ac:dyDescent="0.25">
      <c r="A582" s="410">
        <v>14552</v>
      </c>
      <c r="B582" s="410" t="s">
        <v>335</v>
      </c>
      <c r="C582" s="410" t="s">
        <v>336</v>
      </c>
      <c r="D582" s="411">
        <v>194626</v>
      </c>
      <c r="E582" s="410">
        <v>1246240017</v>
      </c>
      <c r="F582" s="412">
        <v>46143</v>
      </c>
      <c r="G582" s="410"/>
      <c r="H582" s="410" t="s">
        <v>173</v>
      </c>
      <c r="I582" s="410" t="s">
        <v>174</v>
      </c>
      <c r="J582" s="410">
        <v>9500</v>
      </c>
      <c r="K582" s="412">
        <v>45929</v>
      </c>
      <c r="L582" s="410">
        <v>1010100</v>
      </c>
      <c r="M582" s="410" t="s">
        <v>35</v>
      </c>
      <c r="N582" s="410">
        <v>161</v>
      </c>
      <c r="O582" s="410" t="s">
        <v>161</v>
      </c>
      <c r="P582" s="410" t="s">
        <v>335</v>
      </c>
      <c r="Q582">
        <f t="shared" si="11"/>
        <v>-7</v>
      </c>
      <c r="R582">
        <f>_xlfn.XLOOKUP(E582,'Data Additive'!E:E,'Data Additive'!E:E,0)</f>
        <v>0</v>
      </c>
    </row>
    <row r="583" spans="1:18" x14ac:dyDescent="0.25">
      <c r="A583" s="410">
        <v>14552</v>
      </c>
      <c r="B583" s="410" t="s">
        <v>335</v>
      </c>
      <c r="C583" s="410" t="s">
        <v>336</v>
      </c>
      <c r="D583" s="411">
        <v>176320</v>
      </c>
      <c r="E583" s="410">
        <v>1246225706</v>
      </c>
      <c r="F583" s="412">
        <v>46145</v>
      </c>
      <c r="G583" s="410"/>
      <c r="H583" s="410" t="s">
        <v>173</v>
      </c>
      <c r="I583" s="410" t="s">
        <v>174</v>
      </c>
      <c r="J583" s="410">
        <v>8525</v>
      </c>
      <c r="K583" s="412">
        <v>45855</v>
      </c>
      <c r="L583" s="410">
        <v>1010100</v>
      </c>
      <c r="M583" s="410" t="s">
        <v>35</v>
      </c>
      <c r="N583" s="410">
        <v>161</v>
      </c>
      <c r="O583" s="410" t="s">
        <v>161</v>
      </c>
      <c r="P583" s="410" t="s">
        <v>335</v>
      </c>
      <c r="Q583">
        <f t="shared" si="11"/>
        <v>-9</v>
      </c>
      <c r="R583">
        <f>_xlfn.XLOOKUP(E583,'Data Additive'!E:E,'Data Additive'!E:E,0)</f>
        <v>0</v>
      </c>
    </row>
    <row r="584" spans="1:18" x14ac:dyDescent="0.25">
      <c r="A584" s="410">
        <v>14552</v>
      </c>
      <c r="B584" s="410" t="s">
        <v>335</v>
      </c>
      <c r="C584" s="410" t="s">
        <v>336</v>
      </c>
      <c r="D584" s="411">
        <v>112043</v>
      </c>
      <c r="E584" s="410">
        <v>1246240517</v>
      </c>
      <c r="F584" s="412">
        <v>46144</v>
      </c>
      <c r="G584" s="410"/>
      <c r="H584" s="410" t="s">
        <v>173</v>
      </c>
      <c r="I584" s="410" t="s">
        <v>174</v>
      </c>
      <c r="J584" s="410">
        <v>9522</v>
      </c>
      <c r="K584" s="412">
        <v>45930</v>
      </c>
      <c r="L584" s="410">
        <v>1010100</v>
      </c>
      <c r="M584" s="410" t="s">
        <v>35</v>
      </c>
      <c r="N584" s="410">
        <v>161</v>
      </c>
      <c r="O584" s="410" t="s">
        <v>161</v>
      </c>
      <c r="P584" s="410" t="s">
        <v>335</v>
      </c>
      <c r="Q584">
        <f t="shared" si="11"/>
        <v>-8</v>
      </c>
      <c r="R584">
        <f>_xlfn.XLOOKUP(E584,'Data Additive'!E:E,'Data Additive'!E:E,0)</f>
        <v>0</v>
      </c>
    </row>
    <row r="585" spans="1:18" x14ac:dyDescent="0.25">
      <c r="A585" s="410">
        <v>14848</v>
      </c>
      <c r="B585" s="410" t="s">
        <v>377</v>
      </c>
      <c r="C585" s="410" t="s">
        <v>659</v>
      </c>
      <c r="D585" s="411">
        <v>207773.56999999998</v>
      </c>
      <c r="E585" s="410">
        <v>1246230064</v>
      </c>
      <c r="F585" s="412">
        <v>46162</v>
      </c>
      <c r="G585" s="410"/>
      <c r="H585" s="410" t="s">
        <v>173</v>
      </c>
      <c r="I585" s="410" t="s">
        <v>174</v>
      </c>
      <c r="J585" s="410">
        <v>8811</v>
      </c>
      <c r="K585" s="412">
        <v>45877</v>
      </c>
      <c r="L585" s="410">
        <v>1010100</v>
      </c>
      <c r="M585" s="410" t="s">
        <v>35</v>
      </c>
      <c r="N585" s="410">
        <v>161</v>
      </c>
      <c r="O585" s="410" t="s">
        <v>161</v>
      </c>
      <c r="P585" s="410" t="s">
        <v>377</v>
      </c>
      <c r="Q585">
        <f t="shared" si="11"/>
        <v>-26</v>
      </c>
      <c r="R585">
        <f>_xlfn.XLOOKUP(E585,'Data Additive'!E:E,'Data Additive'!E:E,0)</f>
        <v>0</v>
      </c>
    </row>
    <row r="586" spans="1:18" x14ac:dyDescent="0.25">
      <c r="A586" s="410">
        <v>14848</v>
      </c>
      <c r="B586" s="410" t="s">
        <v>377</v>
      </c>
      <c r="C586" s="410" t="s">
        <v>659</v>
      </c>
      <c r="D586" s="411">
        <v>121554.34</v>
      </c>
      <c r="E586" s="410">
        <v>1246230701</v>
      </c>
      <c r="F586" s="412">
        <v>46164</v>
      </c>
      <c r="G586" s="410"/>
      <c r="H586" s="410" t="s">
        <v>173</v>
      </c>
      <c r="I586" s="410" t="s">
        <v>174</v>
      </c>
      <c r="J586" s="410">
        <v>8856</v>
      </c>
      <c r="K586" s="412">
        <v>45881</v>
      </c>
      <c r="L586" s="410">
        <v>1010100</v>
      </c>
      <c r="M586" s="410" t="s">
        <v>35</v>
      </c>
      <c r="N586" s="410">
        <v>161</v>
      </c>
      <c r="O586" s="410" t="s">
        <v>161</v>
      </c>
      <c r="P586" s="410" t="s">
        <v>377</v>
      </c>
      <c r="Q586">
        <f t="shared" si="11"/>
        <v>-28</v>
      </c>
      <c r="R586">
        <f>_xlfn.XLOOKUP(E586,'Data Additive'!E:E,'Data Additive'!E:E,0)</f>
        <v>0</v>
      </c>
    </row>
    <row r="587" spans="1:18" x14ac:dyDescent="0.25">
      <c r="A587" s="410">
        <v>14396</v>
      </c>
      <c r="B587" s="410" t="s">
        <v>270</v>
      </c>
      <c r="C587" s="410" t="s">
        <v>271</v>
      </c>
      <c r="D587" s="411">
        <v>137598</v>
      </c>
      <c r="E587" s="410">
        <v>1246163527</v>
      </c>
      <c r="F587" s="412">
        <v>45779</v>
      </c>
      <c r="G587" s="410"/>
      <c r="H587" s="410" t="s">
        <v>173</v>
      </c>
      <c r="I587" s="410" t="s">
        <v>174</v>
      </c>
      <c r="J587" s="410">
        <v>4649</v>
      </c>
      <c r="K587" s="412">
        <v>45511</v>
      </c>
      <c r="L587" s="410">
        <v>1010100</v>
      </c>
      <c r="M587" s="410" t="s">
        <v>35</v>
      </c>
      <c r="N587" s="410">
        <v>161</v>
      </c>
      <c r="O587" s="410" t="s">
        <v>161</v>
      </c>
      <c r="P587" s="410" t="s">
        <v>270</v>
      </c>
      <c r="Q587">
        <f t="shared" si="11"/>
        <v>357</v>
      </c>
      <c r="R587">
        <f>_xlfn.XLOOKUP(E587,'Data Additive'!E:E,'Data Additive'!E:E,0)</f>
        <v>0</v>
      </c>
    </row>
    <row r="588" spans="1:18" x14ac:dyDescent="0.25">
      <c r="A588" s="410">
        <v>14396</v>
      </c>
      <c r="B588" s="410" t="s">
        <v>270</v>
      </c>
      <c r="C588" s="410" t="s">
        <v>271</v>
      </c>
      <c r="D588" s="411">
        <v>121086.24</v>
      </c>
      <c r="E588" s="410">
        <v>1246160799</v>
      </c>
      <c r="F588" s="412">
        <v>45779</v>
      </c>
      <c r="G588" s="410"/>
      <c r="H588" s="410" t="s">
        <v>173</v>
      </c>
      <c r="I588" s="410" t="s">
        <v>174</v>
      </c>
      <c r="J588" s="410">
        <v>4489</v>
      </c>
      <c r="K588" s="412">
        <v>45499</v>
      </c>
      <c r="L588" s="410">
        <v>1010100</v>
      </c>
      <c r="M588" s="410" t="s">
        <v>35</v>
      </c>
      <c r="N588" s="410">
        <v>161</v>
      </c>
      <c r="O588" s="410" t="s">
        <v>161</v>
      </c>
      <c r="P588" s="410" t="s">
        <v>270</v>
      </c>
      <c r="Q588">
        <f t="shared" si="11"/>
        <v>357</v>
      </c>
      <c r="R588">
        <f>_xlfn.XLOOKUP(E588,'Data Additive'!E:E,'Data Additive'!E:E,0)</f>
        <v>0</v>
      </c>
    </row>
    <row r="589" spans="1:18" x14ac:dyDescent="0.25">
      <c r="A589" s="410">
        <v>14396</v>
      </c>
      <c r="B589" s="410" t="s">
        <v>270</v>
      </c>
      <c r="C589" s="410" t="s">
        <v>271</v>
      </c>
      <c r="D589" s="411">
        <v>145692</v>
      </c>
      <c r="E589" s="410">
        <v>1246160793</v>
      </c>
      <c r="F589" s="412">
        <v>45779</v>
      </c>
      <c r="G589" s="410"/>
      <c r="H589" s="410" t="s">
        <v>173</v>
      </c>
      <c r="I589" s="410" t="s">
        <v>174</v>
      </c>
      <c r="J589" s="410">
        <v>4485</v>
      </c>
      <c r="K589" s="412">
        <v>45499</v>
      </c>
      <c r="L589" s="410">
        <v>1010100</v>
      </c>
      <c r="M589" s="410" t="s">
        <v>35</v>
      </c>
      <c r="N589" s="410">
        <v>161</v>
      </c>
      <c r="O589" s="410" t="s">
        <v>161</v>
      </c>
      <c r="P589" s="410" t="s">
        <v>270</v>
      </c>
      <c r="Q589">
        <f t="shared" si="11"/>
        <v>357</v>
      </c>
      <c r="R589">
        <f>_xlfn.XLOOKUP(E589,'Data Additive'!E:E,'Data Additive'!E:E,0)</f>
        <v>0</v>
      </c>
    </row>
    <row r="590" spans="1:18" x14ac:dyDescent="0.25">
      <c r="A590" s="410">
        <v>14396</v>
      </c>
      <c r="B590" s="410" t="s">
        <v>270</v>
      </c>
      <c r="C590" s="410" t="s">
        <v>271</v>
      </c>
      <c r="D590" s="411">
        <v>121410</v>
      </c>
      <c r="E590" s="410">
        <v>1246180565</v>
      </c>
      <c r="F590" s="412">
        <v>45776</v>
      </c>
      <c r="G590" s="410"/>
      <c r="H590" s="410" t="s">
        <v>173</v>
      </c>
      <c r="I590" s="410" t="s">
        <v>174</v>
      </c>
      <c r="J590" s="410">
        <v>5953</v>
      </c>
      <c r="K590" s="412">
        <v>45600</v>
      </c>
      <c r="L590" s="410">
        <v>1010100</v>
      </c>
      <c r="M590" s="410" t="s">
        <v>35</v>
      </c>
      <c r="N590" s="410">
        <v>161</v>
      </c>
      <c r="O590" s="410" t="s">
        <v>161</v>
      </c>
      <c r="P590" s="410" t="s">
        <v>270</v>
      </c>
      <c r="Q590">
        <f t="shared" si="11"/>
        <v>360</v>
      </c>
      <c r="R590">
        <f>_xlfn.XLOOKUP(E590,'Data Additive'!E:E,'Data Additive'!E:E,0)</f>
        <v>0</v>
      </c>
    </row>
    <row r="591" spans="1:18" x14ac:dyDescent="0.25">
      <c r="A591" s="410">
        <v>14396</v>
      </c>
      <c r="B591" s="410" t="s">
        <v>270</v>
      </c>
      <c r="C591" s="410" t="s">
        <v>271</v>
      </c>
      <c r="D591" s="411">
        <v>171360</v>
      </c>
      <c r="E591" s="410">
        <v>1246202562</v>
      </c>
      <c r="F591" s="412">
        <v>45930</v>
      </c>
      <c r="G591" s="410"/>
      <c r="H591" s="410" t="s">
        <v>173</v>
      </c>
      <c r="I591" s="410" t="s">
        <v>174</v>
      </c>
      <c r="J591" s="410">
        <v>7204</v>
      </c>
      <c r="K591" s="412">
        <v>45728</v>
      </c>
      <c r="L591" s="410">
        <v>1010100</v>
      </c>
      <c r="M591" s="410" t="s">
        <v>35</v>
      </c>
      <c r="N591" s="410">
        <v>161</v>
      </c>
      <c r="O591" s="410" t="s">
        <v>161</v>
      </c>
      <c r="P591" s="410" t="s">
        <v>270</v>
      </c>
      <c r="Q591">
        <f t="shared" si="11"/>
        <v>206</v>
      </c>
      <c r="R591">
        <f>_xlfn.XLOOKUP(E591,'Data Additive'!E:E,'Data Additive'!E:E,0)</f>
        <v>0</v>
      </c>
    </row>
    <row r="592" spans="1:18" x14ac:dyDescent="0.25">
      <c r="A592" s="410">
        <v>14396</v>
      </c>
      <c r="B592" s="410" t="s">
        <v>270</v>
      </c>
      <c r="C592" s="410" t="s">
        <v>271</v>
      </c>
      <c r="D592" s="411">
        <v>4000</v>
      </c>
      <c r="E592" s="410">
        <v>1246203613</v>
      </c>
      <c r="F592" s="412">
        <v>45920</v>
      </c>
      <c r="G592" s="410"/>
      <c r="H592" s="410" t="s">
        <v>173</v>
      </c>
      <c r="I592" s="410" t="s">
        <v>174</v>
      </c>
      <c r="J592" s="410">
        <v>7286</v>
      </c>
      <c r="K592" s="412">
        <v>45735</v>
      </c>
      <c r="L592" s="410">
        <v>1010100</v>
      </c>
      <c r="M592" s="410" t="s">
        <v>35</v>
      </c>
      <c r="N592" s="410">
        <v>161</v>
      </c>
      <c r="O592" s="410" t="s">
        <v>161</v>
      </c>
      <c r="P592" s="410" t="s">
        <v>270</v>
      </c>
      <c r="Q592">
        <f t="shared" si="11"/>
        <v>216</v>
      </c>
      <c r="R592">
        <f>_xlfn.XLOOKUP(E592,'Data Additive'!E:E,'Data Additive'!E:E,0)</f>
        <v>0</v>
      </c>
    </row>
    <row r="593" spans="1:18" x14ac:dyDescent="0.25">
      <c r="A593" s="410">
        <v>14396</v>
      </c>
      <c r="B593" s="410" t="s">
        <v>270</v>
      </c>
      <c r="C593" s="410" t="s">
        <v>271</v>
      </c>
      <c r="D593" s="411">
        <v>139680</v>
      </c>
      <c r="E593" s="410">
        <v>1246199147</v>
      </c>
      <c r="F593" s="412">
        <v>45889</v>
      </c>
      <c r="G593" s="410"/>
      <c r="H593" s="410" t="s">
        <v>173</v>
      </c>
      <c r="I593" s="410" t="s">
        <v>174</v>
      </c>
      <c r="J593" s="410">
        <v>6996</v>
      </c>
      <c r="K593" s="412">
        <v>45706</v>
      </c>
      <c r="L593" s="410">
        <v>1010100</v>
      </c>
      <c r="M593" s="410" t="s">
        <v>35</v>
      </c>
      <c r="N593" s="410">
        <v>161</v>
      </c>
      <c r="O593" s="410" t="s">
        <v>161</v>
      </c>
      <c r="P593" s="410" t="s">
        <v>270</v>
      </c>
      <c r="Q593">
        <f t="shared" si="11"/>
        <v>247</v>
      </c>
      <c r="R593">
        <f>_xlfn.XLOOKUP(E593,'Data Additive'!E:E,'Data Additive'!E:E,0)</f>
        <v>0</v>
      </c>
    </row>
    <row r="594" spans="1:18" x14ac:dyDescent="0.25">
      <c r="A594" s="410">
        <v>14396</v>
      </c>
      <c r="B594" s="410" t="s">
        <v>270</v>
      </c>
      <c r="C594" s="410" t="s">
        <v>271</v>
      </c>
      <c r="D594" s="411">
        <v>139680</v>
      </c>
      <c r="E594" s="410">
        <v>1246199209</v>
      </c>
      <c r="F594" s="412">
        <v>45889</v>
      </c>
      <c r="G594" s="410"/>
      <c r="H594" s="410" t="s">
        <v>173</v>
      </c>
      <c r="I594" s="410" t="s">
        <v>174</v>
      </c>
      <c r="J594" s="410">
        <v>7005</v>
      </c>
      <c r="K594" s="412">
        <v>45706</v>
      </c>
      <c r="L594" s="410">
        <v>1010100</v>
      </c>
      <c r="M594" s="410" t="s">
        <v>35</v>
      </c>
      <c r="N594" s="410">
        <v>161</v>
      </c>
      <c r="O594" s="410" t="s">
        <v>161</v>
      </c>
      <c r="P594" s="410" t="s">
        <v>270</v>
      </c>
      <c r="Q594">
        <f t="shared" si="11"/>
        <v>247</v>
      </c>
      <c r="R594">
        <f>_xlfn.XLOOKUP(E594,'Data Additive'!E:E,'Data Additive'!E:E,0)</f>
        <v>0</v>
      </c>
    </row>
    <row r="595" spans="1:18" x14ac:dyDescent="0.25">
      <c r="A595" s="410">
        <v>14396</v>
      </c>
      <c r="B595" s="410" t="s">
        <v>270</v>
      </c>
      <c r="C595" s="410" t="s">
        <v>271</v>
      </c>
      <c r="D595" s="411">
        <v>8000</v>
      </c>
      <c r="E595" s="410">
        <v>1246205781</v>
      </c>
      <c r="F595" s="412">
        <v>45920</v>
      </c>
      <c r="G595" s="410"/>
      <c r="H595" s="410" t="s">
        <v>173</v>
      </c>
      <c r="I595" s="410" t="s">
        <v>174</v>
      </c>
      <c r="J595" s="410">
        <v>7423</v>
      </c>
      <c r="K595" s="412">
        <v>45744</v>
      </c>
      <c r="L595" s="410">
        <v>1010100</v>
      </c>
      <c r="M595" s="410" t="s">
        <v>35</v>
      </c>
      <c r="N595" s="410">
        <v>161</v>
      </c>
      <c r="O595" s="410" t="s">
        <v>161</v>
      </c>
      <c r="P595" s="410" t="s">
        <v>270</v>
      </c>
      <c r="Q595">
        <f t="shared" si="11"/>
        <v>216</v>
      </c>
      <c r="R595">
        <f>_xlfn.XLOOKUP(E595,'Data Additive'!E:E,'Data Additive'!E:E,0)</f>
        <v>0</v>
      </c>
    </row>
    <row r="596" spans="1:18" x14ac:dyDescent="0.25">
      <c r="A596" s="410">
        <v>15543</v>
      </c>
      <c r="B596" s="410" t="s">
        <v>852</v>
      </c>
      <c r="C596" s="410" t="s">
        <v>853</v>
      </c>
      <c r="D596" s="411">
        <v>45718.46</v>
      </c>
      <c r="E596" s="410">
        <v>1246264533</v>
      </c>
      <c r="F596" s="412">
        <v>46181</v>
      </c>
      <c r="G596" s="410"/>
      <c r="H596" s="410"/>
      <c r="I596" s="410" t="s">
        <v>373</v>
      </c>
      <c r="J596" s="410">
        <v>10745</v>
      </c>
      <c r="K596" s="412">
        <v>46076</v>
      </c>
      <c r="L596" s="410">
        <v>1010200</v>
      </c>
      <c r="M596" s="410" t="s">
        <v>125</v>
      </c>
      <c r="N596" s="410">
        <v>40</v>
      </c>
      <c r="O596" s="410" t="s">
        <v>171</v>
      </c>
      <c r="P596" s="410" t="s">
        <v>852</v>
      </c>
      <c r="Q596">
        <f t="shared" si="11"/>
        <v>-45</v>
      </c>
      <c r="R596">
        <f>_xlfn.XLOOKUP(E596,'Data Additive'!E:E,'Data Additive'!E:E,0)</f>
        <v>0</v>
      </c>
    </row>
    <row r="597" spans="1:18" x14ac:dyDescent="0.25">
      <c r="A597" s="410">
        <v>16032</v>
      </c>
      <c r="B597" s="410" t="s">
        <v>854</v>
      </c>
      <c r="C597" s="410" t="s">
        <v>855</v>
      </c>
      <c r="D597" s="411">
        <v>583.34</v>
      </c>
      <c r="E597" s="410">
        <v>1246264383</v>
      </c>
      <c r="F597" s="412">
        <v>46163</v>
      </c>
      <c r="G597" s="410"/>
      <c r="H597" s="410"/>
      <c r="I597" s="410" t="s">
        <v>373</v>
      </c>
      <c r="J597" s="410">
        <v>10732</v>
      </c>
      <c r="K597" s="412">
        <v>46073</v>
      </c>
      <c r="L597" s="410">
        <v>4011600</v>
      </c>
      <c r="M597" s="410" t="s">
        <v>702</v>
      </c>
      <c r="N597" s="410">
        <v>244</v>
      </c>
      <c r="O597" s="410" t="s">
        <v>191</v>
      </c>
      <c r="P597" s="410" t="s">
        <v>854</v>
      </c>
      <c r="Q597">
        <f t="shared" si="11"/>
        <v>-27</v>
      </c>
      <c r="R597">
        <f>_xlfn.XLOOKUP(E597,'Data Additive'!E:E,'Data Additive'!E:E,0)</f>
        <v>1246264383</v>
      </c>
    </row>
    <row r="598" spans="1:18" x14ac:dyDescent="0.25">
      <c r="A598" s="410">
        <v>16107</v>
      </c>
      <c r="B598" s="410" t="s">
        <v>581</v>
      </c>
      <c r="C598" s="410" t="s">
        <v>582</v>
      </c>
      <c r="D598" s="411">
        <v>58579.74</v>
      </c>
      <c r="E598" s="410">
        <v>1246235692</v>
      </c>
      <c r="F598" s="412">
        <v>46142</v>
      </c>
      <c r="G598" s="410"/>
      <c r="H598" s="410" t="s">
        <v>173</v>
      </c>
      <c r="I598" s="410" t="s">
        <v>174</v>
      </c>
      <c r="J598" s="410">
        <v>9246</v>
      </c>
      <c r="K598" s="412">
        <v>45908</v>
      </c>
      <c r="L598" s="410">
        <v>1010100</v>
      </c>
      <c r="M598" s="410" t="s">
        <v>35</v>
      </c>
      <c r="N598" s="410">
        <v>161</v>
      </c>
      <c r="O598" s="410" t="s">
        <v>161</v>
      </c>
      <c r="P598" s="410" t="s">
        <v>581</v>
      </c>
      <c r="Q598">
        <f t="shared" si="11"/>
        <v>-6</v>
      </c>
      <c r="R598">
        <f>_xlfn.XLOOKUP(E598,'Data Additive'!E:E,'Data Additive'!E:E,0)</f>
        <v>0</v>
      </c>
    </row>
    <row r="599" spans="1:18" x14ac:dyDescent="0.25">
      <c r="A599" s="410">
        <v>16107</v>
      </c>
      <c r="B599" s="410" t="s">
        <v>581</v>
      </c>
      <c r="C599" s="410" t="s">
        <v>582</v>
      </c>
      <c r="D599" s="411">
        <v>120293.94</v>
      </c>
      <c r="E599" s="410">
        <v>1246234013</v>
      </c>
      <c r="F599" s="412">
        <v>46164</v>
      </c>
      <c r="G599" s="410"/>
      <c r="H599" s="410" t="s">
        <v>173</v>
      </c>
      <c r="I599" s="410" t="s">
        <v>174</v>
      </c>
      <c r="J599" s="410">
        <v>9130</v>
      </c>
      <c r="K599" s="412">
        <v>45898</v>
      </c>
      <c r="L599" s="410">
        <v>1010100</v>
      </c>
      <c r="M599" s="410" t="s">
        <v>35</v>
      </c>
      <c r="N599" s="410">
        <v>161</v>
      </c>
      <c r="O599" s="410" t="s">
        <v>161</v>
      </c>
      <c r="P599" s="410" t="s">
        <v>581</v>
      </c>
      <c r="Q599">
        <f t="shared" si="11"/>
        <v>-28</v>
      </c>
      <c r="R599">
        <f>_xlfn.XLOOKUP(E599,'Data Additive'!E:E,'Data Additive'!E:E,0)</f>
        <v>0</v>
      </c>
    </row>
    <row r="600" spans="1:18" x14ac:dyDescent="0.25">
      <c r="A600" s="410">
        <v>16107</v>
      </c>
      <c r="B600" s="410" t="s">
        <v>581</v>
      </c>
      <c r="C600" s="410" t="s">
        <v>582</v>
      </c>
      <c r="D600" s="411">
        <v>52795.360000000001</v>
      </c>
      <c r="E600" s="410">
        <v>1246231811</v>
      </c>
      <c r="F600" s="412">
        <v>46144</v>
      </c>
      <c r="G600" s="410"/>
      <c r="H600" s="410" t="s">
        <v>173</v>
      </c>
      <c r="I600" s="410" t="s">
        <v>174</v>
      </c>
      <c r="J600" s="410">
        <v>8929</v>
      </c>
      <c r="K600" s="412">
        <v>45888</v>
      </c>
      <c r="L600" s="410">
        <v>1010100</v>
      </c>
      <c r="M600" s="410" t="s">
        <v>35</v>
      </c>
      <c r="N600" s="410">
        <v>161</v>
      </c>
      <c r="O600" s="410" t="s">
        <v>161</v>
      </c>
      <c r="P600" s="410" t="s">
        <v>581</v>
      </c>
      <c r="Q600">
        <f t="shared" si="11"/>
        <v>-8</v>
      </c>
      <c r="R600">
        <f>_xlfn.XLOOKUP(E600,'Data Additive'!E:E,'Data Additive'!E:E,0)</f>
        <v>0</v>
      </c>
    </row>
    <row r="601" spans="1:18" x14ac:dyDescent="0.25">
      <c r="A601" s="410">
        <v>16107</v>
      </c>
      <c r="B601" s="410" t="s">
        <v>581</v>
      </c>
      <c r="C601" s="410" t="s">
        <v>582</v>
      </c>
      <c r="D601" s="411">
        <v>92391.88</v>
      </c>
      <c r="E601" s="410">
        <v>1246232362</v>
      </c>
      <c r="F601" s="412">
        <v>46144</v>
      </c>
      <c r="G601" s="410"/>
      <c r="H601" s="410" t="s">
        <v>173</v>
      </c>
      <c r="I601" s="410" t="s">
        <v>174</v>
      </c>
      <c r="J601" s="410">
        <v>8978</v>
      </c>
      <c r="K601" s="412">
        <v>45890</v>
      </c>
      <c r="L601" s="410">
        <v>1010100</v>
      </c>
      <c r="M601" s="410" t="s">
        <v>35</v>
      </c>
      <c r="N601" s="410">
        <v>161</v>
      </c>
      <c r="O601" s="410" t="s">
        <v>161</v>
      </c>
      <c r="P601" s="410" t="s">
        <v>581</v>
      </c>
      <c r="Q601">
        <f t="shared" si="11"/>
        <v>-8</v>
      </c>
      <c r="R601">
        <f>_xlfn.XLOOKUP(E601,'Data Additive'!E:E,'Data Additive'!E:E,0)</f>
        <v>0</v>
      </c>
    </row>
    <row r="602" spans="1:18" x14ac:dyDescent="0.25">
      <c r="A602" s="410">
        <v>16107</v>
      </c>
      <c r="B602" s="410" t="s">
        <v>581</v>
      </c>
      <c r="C602" s="410" t="s">
        <v>582</v>
      </c>
      <c r="D602" s="411">
        <v>94968.9</v>
      </c>
      <c r="E602" s="410">
        <v>1246234271</v>
      </c>
      <c r="F602" s="412">
        <v>46167</v>
      </c>
      <c r="G602" s="410"/>
      <c r="H602" s="410" t="s">
        <v>173</v>
      </c>
      <c r="I602" s="410" t="s">
        <v>174</v>
      </c>
      <c r="J602" s="410">
        <v>9136</v>
      </c>
      <c r="K602" s="412">
        <v>45901</v>
      </c>
      <c r="L602" s="410">
        <v>1010100</v>
      </c>
      <c r="M602" s="410" t="s">
        <v>35</v>
      </c>
      <c r="N602" s="410">
        <v>161</v>
      </c>
      <c r="O602" s="410" t="s">
        <v>161</v>
      </c>
      <c r="P602" s="410" t="s">
        <v>581</v>
      </c>
      <c r="Q602">
        <f t="shared" si="11"/>
        <v>-31</v>
      </c>
      <c r="R602">
        <f>_xlfn.XLOOKUP(E602,'Data Additive'!E:E,'Data Additive'!E:E,0)</f>
        <v>0</v>
      </c>
    </row>
    <row r="603" spans="1:18" x14ac:dyDescent="0.25">
      <c r="A603" s="410">
        <v>16107</v>
      </c>
      <c r="B603" s="410" t="s">
        <v>581</v>
      </c>
      <c r="C603" s="410" t="s">
        <v>582</v>
      </c>
      <c r="D603" s="411">
        <v>101300.16</v>
      </c>
      <c r="E603" s="410">
        <v>1246233237</v>
      </c>
      <c r="F603" s="412">
        <v>46162</v>
      </c>
      <c r="G603" s="410"/>
      <c r="H603" s="410" t="s">
        <v>173</v>
      </c>
      <c r="I603" s="410" t="s">
        <v>174</v>
      </c>
      <c r="J603" s="410">
        <v>9072</v>
      </c>
      <c r="K603" s="412">
        <v>45896</v>
      </c>
      <c r="L603" s="410">
        <v>1010100</v>
      </c>
      <c r="M603" s="410" t="s">
        <v>35</v>
      </c>
      <c r="N603" s="410">
        <v>161</v>
      </c>
      <c r="O603" s="410" t="s">
        <v>161</v>
      </c>
      <c r="P603" s="410" t="s">
        <v>581</v>
      </c>
      <c r="Q603">
        <f t="shared" si="11"/>
        <v>-26</v>
      </c>
      <c r="R603">
        <f>_xlfn.XLOOKUP(E603,'Data Additive'!E:E,'Data Additive'!E:E,0)</f>
        <v>0</v>
      </c>
    </row>
    <row r="604" spans="1:18" x14ac:dyDescent="0.25">
      <c r="A604" s="410">
        <v>16107</v>
      </c>
      <c r="B604" s="410" t="s">
        <v>581</v>
      </c>
      <c r="C604" s="410" t="s">
        <v>582</v>
      </c>
      <c r="D604" s="411">
        <v>27054.5</v>
      </c>
      <c r="E604" s="410">
        <v>1246235694</v>
      </c>
      <c r="F604" s="412">
        <v>46142</v>
      </c>
      <c r="G604" s="410"/>
      <c r="H604" s="410" t="s">
        <v>173</v>
      </c>
      <c r="I604" s="410" t="s">
        <v>174</v>
      </c>
      <c r="J604" s="410">
        <v>9247</v>
      </c>
      <c r="K604" s="412">
        <v>45908</v>
      </c>
      <c r="L604" s="410">
        <v>1010100</v>
      </c>
      <c r="M604" s="410" t="s">
        <v>35</v>
      </c>
      <c r="N604" s="410">
        <v>161</v>
      </c>
      <c r="O604" s="410" t="s">
        <v>161</v>
      </c>
      <c r="P604" s="410" t="s">
        <v>581</v>
      </c>
      <c r="Q604">
        <f t="shared" si="11"/>
        <v>-6</v>
      </c>
      <c r="R604">
        <f>_xlfn.XLOOKUP(E604,'Data Additive'!E:E,'Data Additive'!E:E,0)</f>
        <v>0</v>
      </c>
    </row>
    <row r="605" spans="1:18" x14ac:dyDescent="0.25">
      <c r="A605" s="410">
        <v>16107</v>
      </c>
      <c r="B605" s="410" t="s">
        <v>581</v>
      </c>
      <c r="C605" s="410" t="s">
        <v>582</v>
      </c>
      <c r="D605" s="411">
        <v>94968.9</v>
      </c>
      <c r="E605" s="410">
        <v>1246233894</v>
      </c>
      <c r="F605" s="412">
        <v>46164</v>
      </c>
      <c r="G605" s="410"/>
      <c r="H605" s="410" t="s">
        <v>173</v>
      </c>
      <c r="I605" s="410" t="s">
        <v>174</v>
      </c>
      <c r="J605" s="410">
        <v>9120</v>
      </c>
      <c r="K605" s="412">
        <v>45898</v>
      </c>
      <c r="L605" s="410">
        <v>1010100</v>
      </c>
      <c r="M605" s="410" t="s">
        <v>35</v>
      </c>
      <c r="N605" s="410">
        <v>161</v>
      </c>
      <c r="O605" s="410" t="s">
        <v>161</v>
      </c>
      <c r="P605" s="410" t="s">
        <v>581</v>
      </c>
      <c r="Q605">
        <f t="shared" si="11"/>
        <v>-28</v>
      </c>
      <c r="R605">
        <f>_xlfn.XLOOKUP(E605,'Data Additive'!E:E,'Data Additive'!E:E,0)</f>
        <v>0</v>
      </c>
    </row>
    <row r="606" spans="1:18" x14ac:dyDescent="0.25">
      <c r="A606" s="410">
        <v>16107</v>
      </c>
      <c r="B606" s="410" t="s">
        <v>581</v>
      </c>
      <c r="C606" s="410" t="s">
        <v>582</v>
      </c>
      <c r="D606" s="411">
        <v>94968.9</v>
      </c>
      <c r="E606" s="410">
        <v>1246238555</v>
      </c>
      <c r="F606" s="412">
        <v>46164</v>
      </c>
      <c r="G606" s="410"/>
      <c r="H606" s="410" t="s">
        <v>173</v>
      </c>
      <c r="I606" s="410" t="s">
        <v>174</v>
      </c>
      <c r="J606" s="410">
        <v>9444</v>
      </c>
      <c r="K606" s="412">
        <v>45924</v>
      </c>
      <c r="L606" s="410">
        <v>1010100</v>
      </c>
      <c r="M606" s="410" t="s">
        <v>35</v>
      </c>
      <c r="N606" s="410">
        <v>161</v>
      </c>
      <c r="O606" s="410" t="s">
        <v>161</v>
      </c>
      <c r="P606" s="410" t="s">
        <v>581</v>
      </c>
      <c r="Q606">
        <f t="shared" si="11"/>
        <v>-28</v>
      </c>
      <c r="R606">
        <f>_xlfn.XLOOKUP(E606,'Data Additive'!E:E,'Data Additive'!E:E,0)</f>
        <v>0</v>
      </c>
    </row>
    <row r="607" spans="1:18" x14ac:dyDescent="0.25">
      <c r="A607" s="410">
        <v>16107</v>
      </c>
      <c r="B607" s="410" t="s">
        <v>581</v>
      </c>
      <c r="C607" s="410" t="s">
        <v>582</v>
      </c>
      <c r="D607" s="411">
        <v>2217.7800000000002</v>
      </c>
      <c r="E607" s="410">
        <v>1246235696</v>
      </c>
      <c r="F607" s="412">
        <v>46142</v>
      </c>
      <c r="G607" s="410"/>
      <c r="H607" s="410" t="s">
        <v>173</v>
      </c>
      <c r="I607" s="410" t="s">
        <v>174</v>
      </c>
      <c r="J607" s="410">
        <v>9248</v>
      </c>
      <c r="K607" s="412">
        <v>45908</v>
      </c>
      <c r="L607" s="410">
        <v>1010100</v>
      </c>
      <c r="M607" s="410" t="s">
        <v>35</v>
      </c>
      <c r="N607" s="410">
        <v>161</v>
      </c>
      <c r="O607" s="410" t="s">
        <v>161</v>
      </c>
      <c r="P607" s="410" t="s">
        <v>581</v>
      </c>
      <c r="Q607">
        <f t="shared" si="11"/>
        <v>-6</v>
      </c>
      <c r="R607">
        <f>_xlfn.XLOOKUP(E607,'Data Additive'!E:E,'Data Additive'!E:E,0)</f>
        <v>0</v>
      </c>
    </row>
    <row r="608" spans="1:18" x14ac:dyDescent="0.25">
      <c r="A608" s="410">
        <v>16189</v>
      </c>
      <c r="B608" s="410" t="s">
        <v>841</v>
      </c>
      <c r="C608" s="410" t="s">
        <v>842</v>
      </c>
      <c r="D608" s="411">
        <v>49440</v>
      </c>
      <c r="E608" s="410">
        <v>1246261824</v>
      </c>
      <c r="F608" s="412">
        <v>46087</v>
      </c>
      <c r="G608" s="410"/>
      <c r="H608" s="410"/>
      <c r="I608" s="410" t="s">
        <v>373</v>
      </c>
      <c r="J608" s="410">
        <v>1246261824</v>
      </c>
      <c r="K608" s="412">
        <v>46055</v>
      </c>
      <c r="L608" s="410">
        <v>7240000</v>
      </c>
      <c r="M608" s="410" t="s">
        <v>843</v>
      </c>
      <c r="N608" s="410">
        <v>46</v>
      </c>
      <c r="O608" s="410" t="s">
        <v>163</v>
      </c>
      <c r="P608" s="410" t="s">
        <v>841</v>
      </c>
      <c r="Q608">
        <f t="shared" si="11"/>
        <v>49</v>
      </c>
      <c r="R608">
        <f>_xlfn.XLOOKUP(E608,'Data Additive'!E:E,'Data Additive'!E:E,0)</f>
        <v>1246261824</v>
      </c>
    </row>
    <row r="609" spans="1:18" x14ac:dyDescent="0.25">
      <c r="A609" s="410">
        <v>15917</v>
      </c>
      <c r="B609" s="410" t="s">
        <v>671</v>
      </c>
      <c r="C609" s="410" t="s">
        <v>695</v>
      </c>
      <c r="D609" s="411">
        <v>8176</v>
      </c>
      <c r="E609" s="410">
        <v>1246241844</v>
      </c>
      <c r="F609" s="412">
        <v>46143</v>
      </c>
      <c r="G609" s="410"/>
      <c r="H609" s="410" t="s">
        <v>173</v>
      </c>
      <c r="I609" s="410" t="s">
        <v>174</v>
      </c>
      <c r="J609" s="410">
        <v>9608</v>
      </c>
      <c r="K609" s="412">
        <v>45937</v>
      </c>
      <c r="L609" s="410">
        <v>1010100</v>
      </c>
      <c r="M609" s="410" t="s">
        <v>35</v>
      </c>
      <c r="N609" s="410">
        <v>161</v>
      </c>
      <c r="O609" s="410" t="s">
        <v>161</v>
      </c>
      <c r="P609" s="410" t="s">
        <v>671</v>
      </c>
      <c r="Q609">
        <f t="shared" si="11"/>
        <v>-7</v>
      </c>
      <c r="R609">
        <f>_xlfn.XLOOKUP(E609,'Data Additive'!E:E,'Data Additive'!E:E,0)</f>
        <v>0</v>
      </c>
    </row>
    <row r="610" spans="1:18" x14ac:dyDescent="0.25">
      <c r="A610" s="410">
        <v>15917</v>
      </c>
      <c r="B610" s="410" t="s">
        <v>671</v>
      </c>
      <c r="C610" s="410" t="s">
        <v>695</v>
      </c>
      <c r="D610" s="411">
        <v>2564.1</v>
      </c>
      <c r="E610" s="410">
        <v>1246237253</v>
      </c>
      <c r="F610" s="412">
        <v>46142</v>
      </c>
      <c r="G610" s="410"/>
      <c r="H610" s="410" t="s">
        <v>173</v>
      </c>
      <c r="I610" s="410" t="s">
        <v>174</v>
      </c>
      <c r="J610" s="410">
        <v>9360</v>
      </c>
      <c r="K610" s="412">
        <v>45918</v>
      </c>
      <c r="L610" s="410">
        <v>1010100</v>
      </c>
      <c r="M610" s="410" t="s">
        <v>35</v>
      </c>
      <c r="N610" s="410">
        <v>161</v>
      </c>
      <c r="O610" s="410" t="s">
        <v>161</v>
      </c>
      <c r="P610" s="410" t="s">
        <v>671</v>
      </c>
      <c r="Q610">
        <f t="shared" si="11"/>
        <v>-6</v>
      </c>
      <c r="R610">
        <f>_xlfn.XLOOKUP(E610,'Data Additive'!E:E,'Data Additive'!E:E,0)</f>
        <v>0</v>
      </c>
    </row>
    <row r="611" spans="1:18" x14ac:dyDescent="0.25">
      <c r="A611" s="410">
        <v>15917</v>
      </c>
      <c r="B611" s="410" t="s">
        <v>671</v>
      </c>
      <c r="C611" s="410" t="s">
        <v>695</v>
      </c>
      <c r="D611" s="411">
        <v>3492</v>
      </c>
      <c r="E611" s="410">
        <v>1246240189</v>
      </c>
      <c r="F611" s="412">
        <v>46154</v>
      </c>
      <c r="G611" s="410"/>
      <c r="H611" s="410" t="s">
        <v>173</v>
      </c>
      <c r="I611" s="410" t="s">
        <v>174</v>
      </c>
      <c r="J611" s="410">
        <v>9509</v>
      </c>
      <c r="K611" s="412">
        <v>45930</v>
      </c>
      <c r="L611" s="410">
        <v>1010100</v>
      </c>
      <c r="M611" s="410" t="s">
        <v>35</v>
      </c>
      <c r="N611" s="410">
        <v>161</v>
      </c>
      <c r="O611" s="410" t="s">
        <v>161</v>
      </c>
      <c r="P611" s="410" t="s">
        <v>671</v>
      </c>
      <c r="Q611">
        <f t="shared" si="11"/>
        <v>-18</v>
      </c>
      <c r="R611">
        <f>_xlfn.XLOOKUP(E611,'Data Additive'!E:E,'Data Additive'!E:E,0)</f>
        <v>0</v>
      </c>
    </row>
    <row r="612" spans="1:18" x14ac:dyDescent="0.25">
      <c r="A612" s="410">
        <v>15917</v>
      </c>
      <c r="B612" s="410" t="s">
        <v>671</v>
      </c>
      <c r="C612" s="410" t="s">
        <v>695</v>
      </c>
      <c r="D612" s="411">
        <v>6293.7</v>
      </c>
      <c r="E612" s="410">
        <v>1246241843</v>
      </c>
      <c r="F612" s="412">
        <v>46143</v>
      </c>
      <c r="G612" s="410"/>
      <c r="H612" s="410" t="s">
        <v>173</v>
      </c>
      <c r="I612" s="410" t="s">
        <v>174</v>
      </c>
      <c r="J612" s="410">
        <v>9607</v>
      </c>
      <c r="K612" s="412">
        <v>45937</v>
      </c>
      <c r="L612" s="410">
        <v>1010100</v>
      </c>
      <c r="M612" s="410" t="s">
        <v>35</v>
      </c>
      <c r="N612" s="410">
        <v>161</v>
      </c>
      <c r="O612" s="410" t="s">
        <v>161</v>
      </c>
      <c r="P612" s="410" t="s">
        <v>671</v>
      </c>
      <c r="Q612">
        <f t="shared" si="11"/>
        <v>-7</v>
      </c>
      <c r="R612">
        <f>_xlfn.XLOOKUP(E612,'Data Additive'!E:E,'Data Additive'!E:E,0)</f>
        <v>0</v>
      </c>
    </row>
    <row r="613" spans="1:18" x14ac:dyDescent="0.25">
      <c r="D613" s="34"/>
      <c r="F613" s="30"/>
      <c r="K613" s="30"/>
      <c r="Q613">
        <f t="shared" si="11"/>
        <v>46136</v>
      </c>
      <c r="R613">
        <f>_xlfn.XLOOKUP(E613,'Data Additive'!E:E,'Data Additive'!E:E,0)</f>
        <v>0</v>
      </c>
    </row>
    <row r="614" spans="1:18" x14ac:dyDescent="0.25">
      <c r="D614" s="34"/>
      <c r="F614" s="30"/>
      <c r="K614" s="30"/>
      <c r="Q614">
        <f t="shared" si="11"/>
        <v>46136</v>
      </c>
      <c r="R614">
        <f>_xlfn.XLOOKUP(E614,'Data Additive'!E:E,'Data Additive'!E:E,0)</f>
        <v>0</v>
      </c>
    </row>
    <row r="615" spans="1:18" x14ac:dyDescent="0.25">
      <c r="D615" s="34"/>
      <c r="F615" s="30"/>
      <c r="K615" s="30"/>
      <c r="Q615">
        <f t="shared" si="11"/>
        <v>46136</v>
      </c>
      <c r="R615">
        <f>_xlfn.XLOOKUP(E615,'Data Additive'!E:E,'Data Additive'!E:E,0)</f>
        <v>0</v>
      </c>
    </row>
    <row r="616" spans="1:18" x14ac:dyDescent="0.25">
      <c r="D616" s="34"/>
      <c r="F616" s="30"/>
      <c r="K616" s="30"/>
      <c r="Q616">
        <f t="shared" si="11"/>
        <v>46136</v>
      </c>
      <c r="R616">
        <f>_xlfn.XLOOKUP(E616,'Data Additive'!E:E,'Data Additive'!E:E,0)</f>
        <v>0</v>
      </c>
    </row>
    <row r="617" spans="1:18" x14ac:dyDescent="0.25">
      <c r="D617" s="34"/>
      <c r="F617" s="30"/>
      <c r="K617" s="30"/>
      <c r="Q617">
        <f t="shared" si="11"/>
        <v>46136</v>
      </c>
      <c r="R617">
        <f>_xlfn.XLOOKUP(E617,'Data Additive'!E:E,'Data Additive'!E:E,0)</f>
        <v>0</v>
      </c>
    </row>
    <row r="618" spans="1:18" x14ac:dyDescent="0.25">
      <c r="D618" s="34"/>
      <c r="F618" s="30"/>
      <c r="K618" s="30"/>
      <c r="Q618">
        <f t="shared" ref="Q618:Q671" si="12">$R$1-F618</f>
        <v>46136</v>
      </c>
      <c r="R618">
        <f>_xlfn.XLOOKUP(E618,'Data Additive'!E:E,'Data Additive'!E:E,0)</f>
        <v>0</v>
      </c>
    </row>
    <row r="619" spans="1:18" x14ac:dyDescent="0.25">
      <c r="D619" s="34"/>
      <c r="F619" s="30"/>
      <c r="K619" s="30"/>
      <c r="Q619">
        <f t="shared" si="12"/>
        <v>46136</v>
      </c>
      <c r="R619">
        <f>_xlfn.XLOOKUP(E619,'Data Additive'!E:E,'Data Additive'!E:E,0)</f>
        <v>0</v>
      </c>
    </row>
    <row r="620" spans="1:18" x14ac:dyDescent="0.25">
      <c r="D620" s="34"/>
      <c r="F620" s="30"/>
      <c r="K620" s="30"/>
      <c r="Q620">
        <f t="shared" si="12"/>
        <v>46136</v>
      </c>
      <c r="R620">
        <f>_xlfn.XLOOKUP(E620,'Data Additive'!E:E,'Data Additive'!E:E,0)</f>
        <v>0</v>
      </c>
    </row>
    <row r="621" spans="1:18" x14ac:dyDescent="0.25">
      <c r="D621" s="34"/>
      <c r="F621" s="30"/>
      <c r="K621" s="30"/>
      <c r="Q621">
        <f t="shared" si="12"/>
        <v>46136</v>
      </c>
      <c r="R621">
        <f>_xlfn.XLOOKUP(E621,'Data Additive'!E:E,'Data Additive'!E:E,0)</f>
        <v>0</v>
      </c>
    </row>
    <row r="622" spans="1:18" x14ac:dyDescent="0.25">
      <c r="D622" s="34"/>
      <c r="F622" s="30"/>
      <c r="K622" s="30"/>
      <c r="Q622">
        <f t="shared" si="12"/>
        <v>46136</v>
      </c>
      <c r="R622">
        <f>_xlfn.XLOOKUP(E622,'Data Additive'!E:E,'Data Additive'!E:E,0)</f>
        <v>0</v>
      </c>
    </row>
    <row r="623" spans="1:18" x14ac:dyDescent="0.25">
      <c r="D623" s="34"/>
      <c r="F623" s="30"/>
      <c r="K623" s="30"/>
      <c r="Q623">
        <f t="shared" si="12"/>
        <v>46136</v>
      </c>
      <c r="R623">
        <f>_xlfn.XLOOKUP(E623,'Data Additive'!E:E,'Data Additive'!E:E,0)</f>
        <v>0</v>
      </c>
    </row>
    <row r="624" spans="1:18" x14ac:dyDescent="0.25">
      <c r="D624" s="34"/>
      <c r="F624" s="30"/>
      <c r="K624" s="30"/>
      <c r="Q624">
        <f t="shared" si="12"/>
        <v>46136</v>
      </c>
      <c r="R624">
        <f>_xlfn.XLOOKUP(E624,'Data Additive'!E:E,'Data Additive'!E:E,0)</f>
        <v>0</v>
      </c>
    </row>
    <row r="625" spans="4:18" x14ac:dyDescent="0.25">
      <c r="D625" s="34"/>
      <c r="F625" s="30"/>
      <c r="K625" s="30"/>
      <c r="Q625">
        <f t="shared" si="12"/>
        <v>46136</v>
      </c>
      <c r="R625">
        <f>_xlfn.XLOOKUP(E625,'Data Additive'!E:E,'Data Additive'!E:E,0)</f>
        <v>0</v>
      </c>
    </row>
    <row r="626" spans="4:18" x14ac:dyDescent="0.25">
      <c r="D626" s="34"/>
      <c r="F626" s="30"/>
      <c r="K626" s="30"/>
      <c r="Q626">
        <f t="shared" si="12"/>
        <v>46136</v>
      </c>
      <c r="R626">
        <f>_xlfn.XLOOKUP(E626,'Data Additive'!E:E,'Data Additive'!E:E,0)</f>
        <v>0</v>
      </c>
    </row>
    <row r="627" spans="4:18" x14ac:dyDescent="0.25">
      <c r="D627" s="34"/>
      <c r="F627" s="30"/>
      <c r="K627" s="30"/>
      <c r="Q627">
        <f t="shared" si="12"/>
        <v>46136</v>
      </c>
      <c r="R627">
        <f>_xlfn.XLOOKUP(E627,'Data Additive'!E:E,'Data Additive'!E:E,0)</f>
        <v>0</v>
      </c>
    </row>
    <row r="628" spans="4:18" x14ac:dyDescent="0.25">
      <c r="D628" s="34"/>
      <c r="F628" s="30"/>
      <c r="K628" s="30"/>
      <c r="Q628">
        <f t="shared" si="12"/>
        <v>46136</v>
      </c>
      <c r="R628">
        <f>_xlfn.XLOOKUP(E628,'Data Additive'!E:E,'Data Additive'!E:E,0)</f>
        <v>0</v>
      </c>
    </row>
    <row r="629" spans="4:18" x14ac:dyDescent="0.25">
      <c r="D629" s="34"/>
      <c r="F629" s="30"/>
      <c r="K629" s="30"/>
      <c r="Q629">
        <f t="shared" si="12"/>
        <v>46136</v>
      </c>
      <c r="R629">
        <f>_xlfn.XLOOKUP(E629,'Data Additive'!E:E,'Data Additive'!E:E,0)</f>
        <v>0</v>
      </c>
    </row>
    <row r="630" spans="4:18" x14ac:dyDescent="0.25">
      <c r="D630" s="34"/>
      <c r="F630" s="30"/>
      <c r="K630" s="30"/>
      <c r="Q630">
        <f t="shared" si="12"/>
        <v>46136</v>
      </c>
      <c r="R630">
        <f>_xlfn.XLOOKUP(E630,'Data Additive'!E:E,'Data Additive'!E:E,0)</f>
        <v>0</v>
      </c>
    </row>
    <row r="631" spans="4:18" x14ac:dyDescent="0.25">
      <c r="D631" s="34"/>
      <c r="F631" s="30"/>
      <c r="K631" s="30"/>
      <c r="Q631">
        <f t="shared" si="12"/>
        <v>46136</v>
      </c>
      <c r="R631">
        <f>_xlfn.XLOOKUP(E631,'Data Additive'!E:E,'Data Additive'!E:E,0)</f>
        <v>0</v>
      </c>
    </row>
    <row r="632" spans="4:18" x14ac:dyDescent="0.25">
      <c r="D632" s="34"/>
      <c r="F632" s="30"/>
      <c r="K632" s="30"/>
      <c r="Q632">
        <f t="shared" si="12"/>
        <v>46136</v>
      </c>
      <c r="R632">
        <f>_xlfn.XLOOKUP(E632,'Data Additive'!E:E,'Data Additive'!E:E,0)</f>
        <v>0</v>
      </c>
    </row>
    <row r="633" spans="4:18" x14ac:dyDescent="0.25">
      <c r="D633" s="34"/>
      <c r="F633" s="30"/>
      <c r="K633" s="30"/>
      <c r="Q633">
        <f t="shared" si="12"/>
        <v>46136</v>
      </c>
      <c r="R633">
        <f>_xlfn.XLOOKUP(E633,'Data Additive'!E:E,'Data Additive'!E:E,0)</f>
        <v>0</v>
      </c>
    </row>
    <row r="634" spans="4:18" x14ac:dyDescent="0.25">
      <c r="D634" s="34"/>
      <c r="F634" s="30"/>
      <c r="K634" s="30"/>
      <c r="Q634">
        <f t="shared" si="12"/>
        <v>46136</v>
      </c>
      <c r="R634">
        <f>_xlfn.XLOOKUP(E634,'Data Additive'!E:E,'Data Additive'!E:E,0)</f>
        <v>0</v>
      </c>
    </row>
    <row r="635" spans="4:18" x14ac:dyDescent="0.25">
      <c r="D635" s="34"/>
      <c r="F635" s="30"/>
      <c r="K635" s="30"/>
      <c r="Q635">
        <f t="shared" si="12"/>
        <v>46136</v>
      </c>
      <c r="R635">
        <f>_xlfn.XLOOKUP(E635,'Data Additive'!E:E,'Data Additive'!E:E,0)</f>
        <v>0</v>
      </c>
    </row>
    <row r="636" spans="4:18" x14ac:dyDescent="0.25">
      <c r="D636" s="34"/>
      <c r="F636" s="30"/>
      <c r="K636" s="30"/>
      <c r="Q636">
        <f t="shared" si="12"/>
        <v>46136</v>
      </c>
      <c r="R636">
        <f>_xlfn.XLOOKUP(E636,'Data Additive'!E:E,'Data Additive'!E:E,0)</f>
        <v>0</v>
      </c>
    </row>
    <row r="637" spans="4:18" x14ac:dyDescent="0.25">
      <c r="D637" s="34"/>
      <c r="F637" s="30"/>
      <c r="K637" s="30"/>
      <c r="Q637">
        <f t="shared" si="12"/>
        <v>46136</v>
      </c>
      <c r="R637">
        <f>_xlfn.XLOOKUP(E637,'Data Additive'!E:E,'Data Additive'!E:E,0)</f>
        <v>0</v>
      </c>
    </row>
    <row r="638" spans="4:18" x14ac:dyDescent="0.25">
      <c r="D638" s="34"/>
      <c r="F638" s="30"/>
      <c r="K638" s="30"/>
      <c r="Q638">
        <f t="shared" si="12"/>
        <v>46136</v>
      </c>
      <c r="R638">
        <f>_xlfn.XLOOKUP(E638,'Data Additive'!E:E,'Data Additive'!E:E,0)</f>
        <v>0</v>
      </c>
    </row>
    <row r="639" spans="4:18" x14ac:dyDescent="0.25">
      <c r="D639" s="34"/>
      <c r="F639" s="30"/>
      <c r="K639" s="30"/>
      <c r="Q639">
        <f>$R$1-F639</f>
        <v>46136</v>
      </c>
      <c r="R639">
        <f>_xlfn.XLOOKUP(E639,'Data Additive'!E:E,'Data Additive'!E:E,0)</f>
        <v>0</v>
      </c>
    </row>
    <row r="640" spans="4:18" x14ac:dyDescent="0.25">
      <c r="D640" s="34"/>
      <c r="F640" s="30"/>
      <c r="K640" s="30"/>
      <c r="Q640">
        <f t="shared" si="12"/>
        <v>46136</v>
      </c>
      <c r="R640">
        <f>_xlfn.XLOOKUP(E640,'Data Additive'!E:E,'Data Additive'!E:E,0)</f>
        <v>0</v>
      </c>
    </row>
    <row r="641" spans="4:18" x14ac:dyDescent="0.25">
      <c r="D641" s="34"/>
      <c r="F641" s="30"/>
      <c r="K641" s="30"/>
      <c r="Q641">
        <f t="shared" si="12"/>
        <v>46136</v>
      </c>
      <c r="R641">
        <f>_xlfn.XLOOKUP(E641,'Data Additive'!E:E,'Data Additive'!E:E,0)</f>
        <v>0</v>
      </c>
    </row>
    <row r="642" spans="4:18" x14ac:dyDescent="0.25">
      <c r="D642" s="34"/>
      <c r="F642" s="30"/>
      <c r="K642" s="30"/>
      <c r="Q642">
        <f t="shared" si="12"/>
        <v>46136</v>
      </c>
      <c r="R642">
        <f>_xlfn.XLOOKUP(E642,'Data Additive'!E:E,'Data Additive'!E:E,0)</f>
        <v>0</v>
      </c>
    </row>
    <row r="643" spans="4:18" x14ac:dyDescent="0.25">
      <c r="D643" s="34"/>
      <c r="F643" s="30"/>
      <c r="K643" s="30"/>
      <c r="Q643">
        <f t="shared" si="12"/>
        <v>46136</v>
      </c>
      <c r="R643">
        <f>_xlfn.XLOOKUP(E643,'Data Additive'!E:E,'Data Additive'!E:E,0)</f>
        <v>0</v>
      </c>
    </row>
    <row r="644" spans="4:18" x14ac:dyDescent="0.25">
      <c r="D644" s="34"/>
      <c r="F644" s="30"/>
      <c r="K644" s="30"/>
      <c r="Q644">
        <f t="shared" si="12"/>
        <v>46136</v>
      </c>
      <c r="R644">
        <f>_xlfn.XLOOKUP(E644,'Data Additive'!E:E,'Data Additive'!E:E,0)</f>
        <v>0</v>
      </c>
    </row>
    <row r="645" spans="4:18" x14ac:dyDescent="0.25">
      <c r="D645" s="34"/>
      <c r="F645" s="30"/>
      <c r="K645" s="30"/>
      <c r="Q645">
        <f t="shared" si="12"/>
        <v>46136</v>
      </c>
      <c r="R645">
        <f>_xlfn.XLOOKUP(E645,'Data Additive'!E:E,'Data Additive'!E:E,0)</f>
        <v>0</v>
      </c>
    </row>
    <row r="646" spans="4:18" x14ac:dyDescent="0.25">
      <c r="D646" s="34"/>
      <c r="F646" s="30"/>
      <c r="K646" s="30"/>
      <c r="Q646">
        <f t="shared" si="12"/>
        <v>46136</v>
      </c>
      <c r="R646">
        <f>_xlfn.XLOOKUP(E646,'Data Additive'!E:E,'Data Additive'!E:E,0)</f>
        <v>0</v>
      </c>
    </row>
    <row r="647" spans="4:18" x14ac:dyDescent="0.25">
      <c r="D647" s="34"/>
      <c r="F647" s="30"/>
      <c r="K647" s="30"/>
      <c r="Q647">
        <f t="shared" si="12"/>
        <v>46136</v>
      </c>
      <c r="R647">
        <f>_xlfn.XLOOKUP(E647,'Data Additive'!E:E,'Data Additive'!E:E,0)</f>
        <v>0</v>
      </c>
    </row>
    <row r="648" spans="4:18" x14ac:dyDescent="0.25">
      <c r="D648" s="34"/>
      <c r="F648" s="30"/>
      <c r="K648" s="30"/>
      <c r="Q648">
        <f t="shared" si="12"/>
        <v>46136</v>
      </c>
      <c r="R648">
        <f>_xlfn.XLOOKUP(E648,'Data Additive'!E:E,'Data Additive'!E:E,0)</f>
        <v>0</v>
      </c>
    </row>
    <row r="649" spans="4:18" x14ac:dyDescent="0.25">
      <c r="D649" s="34"/>
      <c r="F649" s="30"/>
      <c r="K649" s="30"/>
      <c r="Q649">
        <f t="shared" si="12"/>
        <v>46136</v>
      </c>
      <c r="R649">
        <f>_xlfn.XLOOKUP(E649,'Data Additive'!E:E,'Data Additive'!E:E,0)</f>
        <v>0</v>
      </c>
    </row>
    <row r="650" spans="4:18" x14ac:dyDescent="0.25">
      <c r="D650" s="34"/>
      <c r="F650" s="30"/>
      <c r="K650" s="30"/>
      <c r="Q650">
        <f t="shared" si="12"/>
        <v>46136</v>
      </c>
      <c r="R650">
        <f>_xlfn.XLOOKUP(E650,'Data Additive'!E:E,'Data Additive'!E:E,0)</f>
        <v>0</v>
      </c>
    </row>
    <row r="651" spans="4:18" x14ac:dyDescent="0.25">
      <c r="D651" s="34"/>
      <c r="F651" s="30"/>
      <c r="K651" s="30"/>
      <c r="Q651">
        <f t="shared" si="12"/>
        <v>46136</v>
      </c>
      <c r="R651">
        <f>_xlfn.XLOOKUP(E651,'Data Additive'!E:E,'Data Additive'!E:E,0)</f>
        <v>0</v>
      </c>
    </row>
    <row r="652" spans="4:18" x14ac:dyDescent="0.25">
      <c r="D652" s="34"/>
      <c r="F652" s="30"/>
      <c r="K652" s="30"/>
      <c r="Q652">
        <f t="shared" si="12"/>
        <v>46136</v>
      </c>
      <c r="R652">
        <f>_xlfn.XLOOKUP(E652,'Data Additive'!E:E,'Data Additive'!E:E,0)</f>
        <v>0</v>
      </c>
    </row>
    <row r="653" spans="4:18" x14ac:dyDescent="0.25">
      <c r="D653" s="34"/>
      <c r="F653" s="30"/>
      <c r="K653" s="30"/>
      <c r="Q653">
        <f t="shared" si="12"/>
        <v>46136</v>
      </c>
      <c r="R653">
        <f>_xlfn.XLOOKUP(E653,'Data Additive'!E:E,'Data Additive'!E:E,0)</f>
        <v>0</v>
      </c>
    </row>
    <row r="654" spans="4:18" x14ac:dyDescent="0.25">
      <c r="D654" s="34"/>
      <c r="F654" s="30"/>
      <c r="K654" s="30"/>
      <c r="Q654">
        <f t="shared" si="12"/>
        <v>46136</v>
      </c>
      <c r="R654">
        <f>_xlfn.XLOOKUP(E654,'Data Additive'!E:E,'Data Additive'!E:E,0)</f>
        <v>0</v>
      </c>
    </row>
    <row r="655" spans="4:18" x14ac:dyDescent="0.25">
      <c r="D655" s="34"/>
      <c r="F655" s="30"/>
      <c r="K655" s="30"/>
      <c r="Q655">
        <f t="shared" si="12"/>
        <v>46136</v>
      </c>
      <c r="R655">
        <f>_xlfn.XLOOKUP(E655,'Data Additive'!E:E,'Data Additive'!E:E,0)</f>
        <v>0</v>
      </c>
    </row>
    <row r="656" spans="4:18" x14ac:dyDescent="0.25">
      <c r="D656" s="34"/>
      <c r="F656" s="30"/>
      <c r="K656" s="30"/>
      <c r="Q656">
        <f t="shared" si="12"/>
        <v>46136</v>
      </c>
      <c r="R656">
        <f>_xlfn.XLOOKUP(E656,'Data Additive'!E:E,'Data Additive'!E:E,0)</f>
        <v>0</v>
      </c>
    </row>
    <row r="657" spans="4:18" x14ac:dyDescent="0.25">
      <c r="D657" s="34"/>
      <c r="F657" s="30"/>
      <c r="K657" s="30"/>
      <c r="Q657">
        <f t="shared" si="12"/>
        <v>46136</v>
      </c>
      <c r="R657">
        <f>_xlfn.XLOOKUP(E657,'Data Additive'!E:E,'Data Additive'!E:E,0)</f>
        <v>0</v>
      </c>
    </row>
    <row r="658" spans="4:18" x14ac:dyDescent="0.25">
      <c r="D658" s="34"/>
      <c r="F658" s="30"/>
      <c r="K658" s="30"/>
      <c r="Q658">
        <f t="shared" si="12"/>
        <v>46136</v>
      </c>
      <c r="R658">
        <f>_xlfn.XLOOKUP(E658,'Data Additive'!E:E,'Data Additive'!E:E,0)</f>
        <v>0</v>
      </c>
    </row>
    <row r="659" spans="4:18" x14ac:dyDescent="0.25">
      <c r="D659" s="34"/>
      <c r="F659" s="30"/>
      <c r="K659" s="30"/>
      <c r="Q659">
        <f t="shared" si="12"/>
        <v>46136</v>
      </c>
      <c r="R659">
        <f>_xlfn.XLOOKUP(E659,'Data Additive'!E:E,'Data Additive'!E:E,0)</f>
        <v>0</v>
      </c>
    </row>
    <row r="660" spans="4:18" x14ac:dyDescent="0.25">
      <c r="D660" s="34"/>
      <c r="F660" s="30"/>
      <c r="K660" s="30"/>
      <c r="Q660">
        <f t="shared" si="12"/>
        <v>46136</v>
      </c>
      <c r="R660">
        <f>_xlfn.XLOOKUP(E660,'Data Additive'!E:E,'Data Additive'!E:E,0)</f>
        <v>0</v>
      </c>
    </row>
    <row r="661" spans="4:18" x14ac:dyDescent="0.25">
      <c r="D661" s="34"/>
      <c r="F661" s="30"/>
      <c r="K661" s="30"/>
      <c r="Q661">
        <f t="shared" si="12"/>
        <v>46136</v>
      </c>
      <c r="R661">
        <f>_xlfn.XLOOKUP(E661,'Data Additive'!E:E,'Data Additive'!E:E,0)</f>
        <v>0</v>
      </c>
    </row>
    <row r="662" spans="4:18" x14ac:dyDescent="0.25">
      <c r="D662" s="34"/>
      <c r="F662" s="30"/>
      <c r="K662" s="30"/>
      <c r="Q662">
        <f t="shared" si="12"/>
        <v>46136</v>
      </c>
      <c r="R662">
        <f>_xlfn.XLOOKUP(E662,'Data Additive'!E:E,'Data Additive'!E:E,0)</f>
        <v>0</v>
      </c>
    </row>
    <row r="663" spans="4:18" x14ac:dyDescent="0.25">
      <c r="D663" s="34"/>
      <c r="F663" s="30"/>
      <c r="K663" s="30"/>
      <c r="Q663">
        <f t="shared" si="12"/>
        <v>46136</v>
      </c>
      <c r="R663">
        <f>_xlfn.XLOOKUP(E663,'Data Additive'!E:E,'Data Additive'!E:E,0)</f>
        <v>0</v>
      </c>
    </row>
    <row r="664" spans="4:18" x14ac:dyDescent="0.25">
      <c r="D664" s="34"/>
      <c r="F664" s="30"/>
      <c r="K664" s="30"/>
      <c r="Q664">
        <f t="shared" si="12"/>
        <v>46136</v>
      </c>
      <c r="R664">
        <f>_xlfn.XLOOKUP(E664,'Data Additive'!E:E,'Data Additive'!E:E,0)</f>
        <v>0</v>
      </c>
    </row>
    <row r="665" spans="4:18" x14ac:dyDescent="0.25">
      <c r="D665" s="34"/>
      <c r="F665" s="30"/>
      <c r="K665" s="30"/>
      <c r="Q665">
        <f t="shared" si="12"/>
        <v>46136</v>
      </c>
      <c r="R665">
        <f>_xlfn.XLOOKUP(E665,'Data Additive'!E:E,'Data Additive'!E:E,0)</f>
        <v>0</v>
      </c>
    </row>
    <row r="666" spans="4:18" x14ac:dyDescent="0.25">
      <c r="D666" s="34"/>
      <c r="F666" s="30"/>
      <c r="K666" s="30"/>
      <c r="Q666">
        <f t="shared" si="12"/>
        <v>46136</v>
      </c>
      <c r="R666">
        <f>_xlfn.XLOOKUP(E666,'Data Additive'!E:E,'Data Additive'!E:E,0)</f>
        <v>0</v>
      </c>
    </row>
    <row r="667" spans="4:18" x14ac:dyDescent="0.25">
      <c r="D667" s="34"/>
      <c r="F667" s="30"/>
      <c r="K667" s="30"/>
      <c r="Q667">
        <f t="shared" si="12"/>
        <v>46136</v>
      </c>
      <c r="R667">
        <f>_xlfn.XLOOKUP(E667,'Data Additive'!E:E,'Data Additive'!E:E,0)</f>
        <v>0</v>
      </c>
    </row>
    <row r="668" spans="4:18" x14ac:dyDescent="0.25">
      <c r="D668" s="34"/>
      <c r="F668" s="30"/>
      <c r="K668" s="30"/>
      <c r="Q668">
        <f t="shared" si="12"/>
        <v>46136</v>
      </c>
      <c r="R668">
        <f>_xlfn.XLOOKUP(E668,'Data Additive'!E:E,'Data Additive'!E:E,0)</f>
        <v>0</v>
      </c>
    </row>
    <row r="669" spans="4:18" x14ac:dyDescent="0.25">
      <c r="D669" s="34"/>
      <c r="F669" s="30"/>
      <c r="K669" s="30"/>
      <c r="Q669">
        <f t="shared" si="12"/>
        <v>46136</v>
      </c>
      <c r="R669">
        <f>_xlfn.XLOOKUP(E669,'Data Additive'!E:E,'Data Additive'!E:E,0)</f>
        <v>0</v>
      </c>
    </row>
    <row r="670" spans="4:18" x14ac:dyDescent="0.25">
      <c r="D670" s="34"/>
      <c r="F670" s="30"/>
      <c r="K670" s="30"/>
      <c r="Q670">
        <f t="shared" si="12"/>
        <v>46136</v>
      </c>
      <c r="R670">
        <f>_xlfn.XLOOKUP(E670,'Data Additive'!E:E,'Data Additive'!E:E,0)</f>
        <v>0</v>
      </c>
    </row>
    <row r="671" spans="4:18" x14ac:dyDescent="0.25">
      <c r="D671" s="34"/>
      <c r="F671" s="30"/>
      <c r="K671" s="30"/>
      <c r="Q671">
        <f t="shared" si="12"/>
        <v>46136</v>
      </c>
      <c r="R671">
        <f>_xlfn.XLOOKUP(E671,'Data Additive'!E:E,'Data Additive'!E:E,0)</f>
        <v>0</v>
      </c>
    </row>
    <row r="672" spans="4:18" x14ac:dyDescent="0.25">
      <c r="D672" s="34"/>
      <c r="F672" s="30"/>
      <c r="K672" s="30"/>
      <c r="Q672">
        <f t="shared" ref="Q672:Q731" si="13">$R$1-F672</f>
        <v>46136</v>
      </c>
      <c r="R672">
        <f>_xlfn.XLOOKUP(E672,'Data Additive'!E:E,'Data Additive'!E:E,0)</f>
        <v>0</v>
      </c>
    </row>
    <row r="673" spans="4:18" x14ac:dyDescent="0.25">
      <c r="D673" s="34"/>
      <c r="F673" s="30"/>
      <c r="K673" s="30"/>
      <c r="Q673">
        <f t="shared" si="13"/>
        <v>46136</v>
      </c>
      <c r="R673">
        <f>_xlfn.XLOOKUP(E673,'Data Additive'!E:E,'Data Additive'!E:E,0)</f>
        <v>0</v>
      </c>
    </row>
    <row r="674" spans="4:18" x14ac:dyDescent="0.25">
      <c r="D674" s="34"/>
      <c r="F674" s="30"/>
      <c r="K674" s="30"/>
      <c r="Q674">
        <f t="shared" si="13"/>
        <v>46136</v>
      </c>
      <c r="R674">
        <f>_xlfn.XLOOKUP(E674,'Data Additive'!E:E,'Data Additive'!E:E,0)</f>
        <v>0</v>
      </c>
    </row>
    <row r="675" spans="4:18" x14ac:dyDescent="0.25">
      <c r="D675" s="34"/>
      <c r="F675" s="30"/>
      <c r="K675" s="30"/>
      <c r="Q675">
        <f t="shared" si="13"/>
        <v>46136</v>
      </c>
      <c r="R675">
        <f>_xlfn.XLOOKUP(E675,'Data Additive'!E:E,'Data Additive'!E:E,0)</f>
        <v>0</v>
      </c>
    </row>
    <row r="676" spans="4:18" x14ac:dyDescent="0.25">
      <c r="D676" s="34"/>
      <c r="F676" s="30"/>
      <c r="K676" s="30"/>
      <c r="Q676">
        <f t="shared" si="13"/>
        <v>46136</v>
      </c>
      <c r="R676">
        <f>_xlfn.XLOOKUP(E676,'Data Additive'!E:E,'Data Additive'!E:E,0)</f>
        <v>0</v>
      </c>
    </row>
    <row r="677" spans="4:18" x14ac:dyDescent="0.25">
      <c r="D677" s="34"/>
      <c r="F677" s="30"/>
      <c r="K677" s="30"/>
      <c r="Q677">
        <f t="shared" si="13"/>
        <v>46136</v>
      </c>
      <c r="R677">
        <f>_xlfn.XLOOKUP(E677,'Data Additive'!E:E,'Data Additive'!E:E,0)</f>
        <v>0</v>
      </c>
    </row>
    <row r="678" spans="4:18" x14ac:dyDescent="0.25">
      <c r="D678" s="34"/>
      <c r="F678" s="30"/>
      <c r="K678" s="30"/>
      <c r="Q678">
        <f t="shared" si="13"/>
        <v>46136</v>
      </c>
      <c r="R678">
        <f>_xlfn.XLOOKUP(E678,'Data Additive'!E:E,'Data Additive'!E:E,0)</f>
        <v>0</v>
      </c>
    </row>
    <row r="679" spans="4:18" x14ac:dyDescent="0.25">
      <c r="D679" s="34"/>
      <c r="F679" s="30"/>
      <c r="K679" s="30"/>
      <c r="Q679">
        <f t="shared" si="13"/>
        <v>46136</v>
      </c>
      <c r="R679">
        <f>_xlfn.XLOOKUP(E679,'Data Additive'!E:E,'Data Additive'!E:E,0)</f>
        <v>0</v>
      </c>
    </row>
    <row r="680" spans="4:18" x14ac:dyDescent="0.25">
      <c r="D680" s="34"/>
      <c r="F680" s="30"/>
      <c r="K680" s="30"/>
      <c r="Q680">
        <f t="shared" si="13"/>
        <v>46136</v>
      </c>
      <c r="R680">
        <f>_xlfn.XLOOKUP(E680,'Data Additive'!E:E,'Data Additive'!E:E,0)</f>
        <v>0</v>
      </c>
    </row>
    <row r="681" spans="4:18" x14ac:dyDescent="0.25">
      <c r="D681" s="34"/>
      <c r="F681" s="30"/>
      <c r="K681" s="30"/>
      <c r="Q681">
        <f t="shared" si="13"/>
        <v>46136</v>
      </c>
      <c r="R681">
        <f>_xlfn.XLOOKUP(E681,'Data Additive'!E:E,'Data Additive'!E:E,0)</f>
        <v>0</v>
      </c>
    </row>
    <row r="682" spans="4:18" x14ac:dyDescent="0.25">
      <c r="D682" s="34"/>
      <c r="F682" s="30"/>
      <c r="K682" s="30"/>
      <c r="Q682">
        <f t="shared" si="13"/>
        <v>46136</v>
      </c>
      <c r="R682">
        <f>_xlfn.XLOOKUP(E682,'Data Additive'!E:E,'Data Additive'!E:E,0)</f>
        <v>0</v>
      </c>
    </row>
    <row r="683" spans="4:18" x14ac:dyDescent="0.25">
      <c r="D683" s="34"/>
      <c r="F683" s="30"/>
      <c r="K683" s="30"/>
      <c r="Q683">
        <f t="shared" si="13"/>
        <v>46136</v>
      </c>
      <c r="R683">
        <f>_xlfn.XLOOKUP(E683,'Data Additive'!E:E,'Data Additive'!E:E,0)</f>
        <v>0</v>
      </c>
    </row>
    <row r="684" spans="4:18" x14ac:dyDescent="0.25">
      <c r="D684" s="34"/>
      <c r="F684" s="30"/>
      <c r="K684" s="30"/>
      <c r="Q684">
        <f t="shared" si="13"/>
        <v>46136</v>
      </c>
      <c r="R684">
        <f>_xlfn.XLOOKUP(E684,'Data Additive'!E:E,'Data Additive'!E:E,0)</f>
        <v>0</v>
      </c>
    </row>
    <row r="685" spans="4:18" x14ac:dyDescent="0.25">
      <c r="D685" s="34"/>
      <c r="F685" s="30"/>
      <c r="K685" s="30"/>
      <c r="Q685">
        <f t="shared" si="13"/>
        <v>46136</v>
      </c>
      <c r="R685">
        <f>_xlfn.XLOOKUP(E685,'Data Additive'!E:E,'Data Additive'!E:E,0)</f>
        <v>0</v>
      </c>
    </row>
    <row r="686" spans="4:18" x14ac:dyDescent="0.25">
      <c r="D686" s="34"/>
      <c r="F686" s="30"/>
      <c r="K686" s="30"/>
      <c r="Q686">
        <f t="shared" si="13"/>
        <v>46136</v>
      </c>
      <c r="R686">
        <f>_xlfn.XLOOKUP(E686,'Data Additive'!E:E,'Data Additive'!E:E,0)</f>
        <v>0</v>
      </c>
    </row>
    <row r="687" spans="4:18" x14ac:dyDescent="0.25">
      <c r="D687" s="34"/>
      <c r="F687" s="30"/>
      <c r="K687" s="30"/>
      <c r="Q687">
        <f t="shared" si="13"/>
        <v>46136</v>
      </c>
      <c r="R687">
        <f>_xlfn.XLOOKUP(E687,'Data Additive'!E:E,'Data Additive'!E:E,0)</f>
        <v>0</v>
      </c>
    </row>
    <row r="688" spans="4:18" x14ac:dyDescent="0.25">
      <c r="D688" s="34"/>
      <c r="F688" s="30"/>
      <c r="K688" s="30"/>
      <c r="Q688">
        <f t="shared" si="13"/>
        <v>46136</v>
      </c>
      <c r="R688">
        <f>_xlfn.XLOOKUP(E688,'Data Additive'!E:E,'Data Additive'!E:E,0)</f>
        <v>0</v>
      </c>
    </row>
    <row r="689" spans="4:18" x14ac:dyDescent="0.25">
      <c r="D689" s="34"/>
      <c r="F689" s="30"/>
      <c r="K689" s="30"/>
      <c r="Q689">
        <f t="shared" si="13"/>
        <v>46136</v>
      </c>
      <c r="R689">
        <f>_xlfn.XLOOKUP(E689,'Data Additive'!E:E,'Data Additive'!E:E,0)</f>
        <v>0</v>
      </c>
    </row>
    <row r="690" spans="4:18" x14ac:dyDescent="0.25">
      <c r="D690" s="34"/>
      <c r="F690" s="30"/>
      <c r="K690" s="30"/>
      <c r="Q690">
        <f t="shared" si="13"/>
        <v>46136</v>
      </c>
      <c r="R690">
        <f>_xlfn.XLOOKUP(E690,'Data Additive'!E:E,'Data Additive'!E:E,0)</f>
        <v>0</v>
      </c>
    </row>
    <row r="691" spans="4:18" x14ac:dyDescent="0.25">
      <c r="D691" s="34"/>
      <c r="F691" s="30"/>
      <c r="K691" s="30"/>
      <c r="Q691">
        <f t="shared" si="13"/>
        <v>46136</v>
      </c>
      <c r="R691">
        <f>_xlfn.XLOOKUP(E691,'Data Additive'!E:E,'Data Additive'!E:E,0)</f>
        <v>0</v>
      </c>
    </row>
    <row r="692" spans="4:18" x14ac:dyDescent="0.25">
      <c r="D692" s="34"/>
      <c r="F692" s="30"/>
      <c r="K692" s="30"/>
      <c r="Q692">
        <f t="shared" si="13"/>
        <v>46136</v>
      </c>
      <c r="R692">
        <f>_xlfn.XLOOKUP(E692,'Data Additive'!E:E,'Data Additive'!E:E,0)</f>
        <v>0</v>
      </c>
    </row>
    <row r="693" spans="4:18" x14ac:dyDescent="0.25">
      <c r="D693" s="34"/>
      <c r="F693" s="30"/>
      <c r="K693" s="30"/>
      <c r="Q693">
        <f t="shared" si="13"/>
        <v>46136</v>
      </c>
      <c r="R693">
        <f>_xlfn.XLOOKUP(E693,'Data Additive'!E:E,'Data Additive'!E:E,0)</f>
        <v>0</v>
      </c>
    </row>
    <row r="694" spans="4:18" x14ac:dyDescent="0.25">
      <c r="D694" s="34"/>
      <c r="F694" s="30"/>
      <c r="K694" s="30"/>
      <c r="Q694">
        <f t="shared" si="13"/>
        <v>46136</v>
      </c>
      <c r="R694">
        <f>_xlfn.XLOOKUP(E694,'Data Additive'!E:E,'Data Additive'!E:E,0)</f>
        <v>0</v>
      </c>
    </row>
    <row r="695" spans="4:18" x14ac:dyDescent="0.25">
      <c r="D695" s="34"/>
      <c r="F695" s="30"/>
      <c r="K695" s="30"/>
      <c r="Q695">
        <f t="shared" si="13"/>
        <v>46136</v>
      </c>
      <c r="R695">
        <f>_xlfn.XLOOKUP(E695,'Data Additive'!E:E,'Data Additive'!E:E,0)</f>
        <v>0</v>
      </c>
    </row>
    <row r="696" spans="4:18" x14ac:dyDescent="0.25">
      <c r="D696" s="34"/>
      <c r="F696" s="30"/>
      <c r="K696" s="30"/>
      <c r="Q696">
        <f t="shared" si="13"/>
        <v>46136</v>
      </c>
      <c r="R696">
        <f>_xlfn.XLOOKUP(E696,'Data Additive'!E:E,'Data Additive'!E:E,0)</f>
        <v>0</v>
      </c>
    </row>
    <row r="697" spans="4:18" x14ac:dyDescent="0.25">
      <c r="D697" s="34"/>
      <c r="F697" s="30"/>
      <c r="K697" s="30"/>
      <c r="Q697">
        <f t="shared" si="13"/>
        <v>46136</v>
      </c>
      <c r="R697">
        <f>_xlfn.XLOOKUP(E697,'Data Additive'!E:E,'Data Additive'!E:E,0)</f>
        <v>0</v>
      </c>
    </row>
    <row r="698" spans="4:18" x14ac:dyDescent="0.25">
      <c r="D698" s="34"/>
      <c r="F698" s="30"/>
      <c r="K698" s="30"/>
      <c r="Q698">
        <f t="shared" si="13"/>
        <v>46136</v>
      </c>
      <c r="R698">
        <f>_xlfn.XLOOKUP(E698,'Data Additive'!E:E,'Data Additive'!E:E,0)</f>
        <v>0</v>
      </c>
    </row>
    <row r="699" spans="4:18" x14ac:dyDescent="0.25">
      <c r="D699" s="34"/>
      <c r="F699" s="30"/>
      <c r="K699" s="30"/>
      <c r="Q699">
        <f t="shared" si="13"/>
        <v>46136</v>
      </c>
      <c r="R699">
        <f>_xlfn.XLOOKUP(E699,'Data Additive'!E:E,'Data Additive'!E:E,0)</f>
        <v>0</v>
      </c>
    </row>
    <row r="700" spans="4:18" x14ac:dyDescent="0.25">
      <c r="D700" s="34"/>
      <c r="F700" s="30"/>
      <c r="K700" s="30"/>
      <c r="Q700">
        <f t="shared" si="13"/>
        <v>46136</v>
      </c>
      <c r="R700">
        <f>_xlfn.XLOOKUP(E700,'Data Additive'!E:E,'Data Additive'!E:E,0)</f>
        <v>0</v>
      </c>
    </row>
    <row r="701" spans="4:18" x14ac:dyDescent="0.25">
      <c r="D701" s="34"/>
      <c r="F701" s="30"/>
      <c r="K701" s="30"/>
      <c r="Q701">
        <f t="shared" si="13"/>
        <v>46136</v>
      </c>
      <c r="R701">
        <f>_xlfn.XLOOKUP(E701,'Data Additive'!E:E,'Data Additive'!E:E,0)</f>
        <v>0</v>
      </c>
    </row>
    <row r="702" spans="4:18" x14ac:dyDescent="0.25">
      <c r="D702" s="34"/>
      <c r="F702" s="30"/>
      <c r="K702" s="30"/>
      <c r="Q702">
        <f t="shared" si="13"/>
        <v>46136</v>
      </c>
      <c r="R702">
        <f>_xlfn.XLOOKUP(E702,'Data Additive'!E:E,'Data Additive'!E:E,0)</f>
        <v>0</v>
      </c>
    </row>
    <row r="703" spans="4:18" x14ac:dyDescent="0.25">
      <c r="D703" s="34"/>
      <c r="F703" s="30"/>
      <c r="K703" s="30"/>
      <c r="Q703">
        <f t="shared" si="13"/>
        <v>46136</v>
      </c>
      <c r="R703">
        <f>_xlfn.XLOOKUP(E703,'Data Additive'!E:E,'Data Additive'!E:E,0)</f>
        <v>0</v>
      </c>
    </row>
    <row r="704" spans="4:18" x14ac:dyDescent="0.25">
      <c r="D704" s="34"/>
      <c r="F704" s="30"/>
      <c r="K704" s="30"/>
      <c r="Q704">
        <f t="shared" si="13"/>
        <v>46136</v>
      </c>
      <c r="R704">
        <f>_xlfn.XLOOKUP(E704,'Data Additive'!E:E,'Data Additive'!E:E,0)</f>
        <v>0</v>
      </c>
    </row>
    <row r="705" spans="4:18" x14ac:dyDescent="0.25">
      <c r="D705" s="34"/>
      <c r="F705" s="30"/>
      <c r="K705" s="30"/>
      <c r="Q705">
        <f t="shared" si="13"/>
        <v>46136</v>
      </c>
      <c r="R705">
        <f>_xlfn.XLOOKUP(E705,'Data Additive'!E:E,'Data Additive'!E:E,0)</f>
        <v>0</v>
      </c>
    </row>
    <row r="706" spans="4:18" x14ac:dyDescent="0.25">
      <c r="D706" s="34"/>
      <c r="F706" s="30"/>
      <c r="K706" s="30"/>
      <c r="Q706">
        <f t="shared" si="13"/>
        <v>46136</v>
      </c>
      <c r="R706">
        <f>_xlfn.XLOOKUP(E706,'Data Additive'!E:E,'Data Additive'!E:E,0)</f>
        <v>0</v>
      </c>
    </row>
    <row r="707" spans="4:18" x14ac:dyDescent="0.25">
      <c r="D707" s="34"/>
      <c r="F707" s="30"/>
      <c r="K707" s="30"/>
      <c r="Q707">
        <f t="shared" si="13"/>
        <v>46136</v>
      </c>
      <c r="R707">
        <f>_xlfn.XLOOKUP(E707,'Data Additive'!E:E,'Data Additive'!E:E,0)</f>
        <v>0</v>
      </c>
    </row>
    <row r="708" spans="4:18" x14ac:dyDescent="0.25">
      <c r="D708" s="34"/>
      <c r="F708" s="30"/>
      <c r="K708" s="30"/>
      <c r="Q708">
        <f t="shared" si="13"/>
        <v>46136</v>
      </c>
      <c r="R708">
        <f>_xlfn.XLOOKUP(E708,'Data Additive'!E:E,'Data Additive'!E:E,0)</f>
        <v>0</v>
      </c>
    </row>
    <row r="709" spans="4:18" x14ac:dyDescent="0.25">
      <c r="D709" s="34"/>
      <c r="F709" s="30"/>
      <c r="K709" s="30"/>
      <c r="Q709">
        <f t="shared" si="13"/>
        <v>46136</v>
      </c>
      <c r="R709">
        <f>_xlfn.XLOOKUP(E709,'Data Additive'!E:E,'Data Additive'!E:E,0)</f>
        <v>0</v>
      </c>
    </row>
    <row r="710" spans="4:18" x14ac:dyDescent="0.25">
      <c r="D710" s="34"/>
      <c r="F710" s="30"/>
      <c r="K710" s="30"/>
      <c r="Q710">
        <f t="shared" si="13"/>
        <v>46136</v>
      </c>
      <c r="R710">
        <f>_xlfn.XLOOKUP(E710,'Data Additive'!E:E,'Data Additive'!E:E,0)</f>
        <v>0</v>
      </c>
    </row>
    <row r="711" spans="4:18" x14ac:dyDescent="0.25">
      <c r="D711" s="34"/>
      <c r="F711" s="30"/>
      <c r="K711" s="30"/>
      <c r="Q711">
        <f t="shared" si="13"/>
        <v>46136</v>
      </c>
      <c r="R711">
        <f>_xlfn.XLOOKUP(E711,'Data Additive'!E:E,'Data Additive'!E:E,0)</f>
        <v>0</v>
      </c>
    </row>
    <row r="712" spans="4:18" x14ac:dyDescent="0.25">
      <c r="D712" s="34"/>
      <c r="F712" s="30"/>
      <c r="K712" s="30"/>
      <c r="Q712">
        <f t="shared" si="13"/>
        <v>46136</v>
      </c>
      <c r="R712">
        <f>_xlfn.XLOOKUP(E712,'Data Additive'!E:E,'Data Additive'!E:E,0)</f>
        <v>0</v>
      </c>
    </row>
    <row r="713" spans="4:18" x14ac:dyDescent="0.25">
      <c r="D713" s="34"/>
      <c r="F713" s="30"/>
      <c r="K713" s="30"/>
      <c r="Q713">
        <f t="shared" si="13"/>
        <v>46136</v>
      </c>
      <c r="R713">
        <f>_xlfn.XLOOKUP(E713,'Data Additive'!E:E,'Data Additive'!E:E,0)</f>
        <v>0</v>
      </c>
    </row>
    <row r="714" spans="4:18" x14ac:dyDescent="0.25">
      <c r="D714" s="34"/>
      <c r="F714" s="30"/>
      <c r="K714" s="30"/>
      <c r="Q714">
        <f t="shared" si="13"/>
        <v>46136</v>
      </c>
      <c r="R714">
        <f>_xlfn.XLOOKUP(E714,'Data Additive'!E:E,'Data Additive'!E:E,0)</f>
        <v>0</v>
      </c>
    </row>
    <row r="715" spans="4:18" x14ac:dyDescent="0.25">
      <c r="D715" s="34"/>
      <c r="F715" s="30"/>
      <c r="K715" s="30"/>
      <c r="Q715">
        <f t="shared" si="13"/>
        <v>46136</v>
      </c>
      <c r="R715">
        <f>_xlfn.XLOOKUP(E715,'Data Additive'!E:E,'Data Additive'!E:E,0)</f>
        <v>0</v>
      </c>
    </row>
    <row r="716" spans="4:18" x14ac:dyDescent="0.25">
      <c r="D716" s="34"/>
      <c r="F716" s="30"/>
      <c r="K716" s="30"/>
      <c r="Q716">
        <f t="shared" si="13"/>
        <v>46136</v>
      </c>
      <c r="R716">
        <f>_xlfn.XLOOKUP(E716,'Data Additive'!E:E,'Data Additive'!E:E,0)</f>
        <v>0</v>
      </c>
    </row>
    <row r="717" spans="4:18" x14ac:dyDescent="0.25">
      <c r="D717" s="34"/>
      <c r="F717" s="30"/>
      <c r="K717" s="30"/>
      <c r="Q717">
        <f t="shared" si="13"/>
        <v>46136</v>
      </c>
      <c r="R717">
        <f>_xlfn.XLOOKUP(E717,'Data Additive'!E:E,'Data Additive'!E:E,0)</f>
        <v>0</v>
      </c>
    </row>
    <row r="718" spans="4:18" x14ac:dyDescent="0.25">
      <c r="D718" s="34"/>
      <c r="F718" s="30"/>
      <c r="K718" s="30"/>
      <c r="Q718">
        <f t="shared" si="13"/>
        <v>46136</v>
      </c>
      <c r="R718">
        <f>_xlfn.XLOOKUP(E718,'Data Additive'!E:E,'Data Additive'!E:E,0)</f>
        <v>0</v>
      </c>
    </row>
    <row r="719" spans="4:18" x14ac:dyDescent="0.25">
      <c r="D719" s="34"/>
      <c r="F719" s="30"/>
      <c r="K719" s="30"/>
      <c r="Q719">
        <f t="shared" si="13"/>
        <v>46136</v>
      </c>
      <c r="R719">
        <f>_xlfn.XLOOKUP(E719,'Data Additive'!E:E,'Data Additive'!E:E,0)</f>
        <v>0</v>
      </c>
    </row>
    <row r="720" spans="4:18" x14ac:dyDescent="0.25">
      <c r="D720" s="34"/>
      <c r="F720" s="30"/>
      <c r="K720" s="30"/>
      <c r="Q720">
        <f t="shared" si="13"/>
        <v>46136</v>
      </c>
      <c r="R720">
        <f>_xlfn.XLOOKUP(E720,'Data Additive'!E:E,'Data Additive'!E:E,0)</f>
        <v>0</v>
      </c>
    </row>
    <row r="721" spans="4:18" x14ac:dyDescent="0.25">
      <c r="D721" s="34"/>
      <c r="F721" s="30"/>
      <c r="K721" s="30"/>
      <c r="Q721">
        <f t="shared" si="13"/>
        <v>46136</v>
      </c>
      <c r="R721">
        <f>_xlfn.XLOOKUP(E721,'Data Additive'!E:E,'Data Additive'!E:E,0)</f>
        <v>0</v>
      </c>
    </row>
    <row r="722" spans="4:18" x14ac:dyDescent="0.25">
      <c r="D722" s="34"/>
      <c r="F722" s="30"/>
      <c r="K722" s="30"/>
      <c r="Q722">
        <f t="shared" si="13"/>
        <v>46136</v>
      </c>
      <c r="R722">
        <f>_xlfn.XLOOKUP(E722,'Data Additive'!E:E,'Data Additive'!E:E,0)</f>
        <v>0</v>
      </c>
    </row>
    <row r="723" spans="4:18" x14ac:dyDescent="0.25">
      <c r="D723" s="34"/>
      <c r="F723" s="30"/>
      <c r="K723" s="30"/>
      <c r="Q723">
        <f t="shared" si="13"/>
        <v>46136</v>
      </c>
      <c r="R723">
        <f>_xlfn.XLOOKUP(E723,'Data Additive'!E:E,'Data Additive'!E:E,0)</f>
        <v>0</v>
      </c>
    </row>
    <row r="724" spans="4:18" x14ac:dyDescent="0.25">
      <c r="D724" s="34"/>
      <c r="F724" s="30"/>
      <c r="K724" s="30"/>
      <c r="Q724">
        <f t="shared" si="13"/>
        <v>46136</v>
      </c>
      <c r="R724">
        <f>_xlfn.XLOOKUP(E724,'Data Additive'!E:E,'Data Additive'!E:E,0)</f>
        <v>0</v>
      </c>
    </row>
    <row r="725" spans="4:18" x14ac:dyDescent="0.25">
      <c r="D725" s="34"/>
      <c r="F725" s="30"/>
      <c r="K725" s="30"/>
      <c r="Q725">
        <f t="shared" si="13"/>
        <v>46136</v>
      </c>
      <c r="R725">
        <f>_xlfn.XLOOKUP(E725,'Data Additive'!E:E,'Data Additive'!E:E,0)</f>
        <v>0</v>
      </c>
    </row>
    <row r="726" spans="4:18" x14ac:dyDescent="0.25">
      <c r="D726" s="34"/>
      <c r="F726" s="30"/>
      <c r="K726" s="30"/>
      <c r="Q726">
        <f t="shared" si="13"/>
        <v>46136</v>
      </c>
      <c r="R726">
        <f>_xlfn.XLOOKUP(E726,'Data Additive'!E:E,'Data Additive'!E:E,0)</f>
        <v>0</v>
      </c>
    </row>
    <row r="727" spans="4:18" x14ac:dyDescent="0.25">
      <c r="D727" s="34"/>
      <c r="F727" s="30"/>
      <c r="K727" s="30"/>
      <c r="Q727">
        <f t="shared" si="13"/>
        <v>46136</v>
      </c>
      <c r="R727">
        <f>_xlfn.XLOOKUP(E727,'Data Additive'!E:E,'Data Additive'!E:E,0)</f>
        <v>0</v>
      </c>
    </row>
    <row r="728" spans="4:18" x14ac:dyDescent="0.25">
      <c r="D728" s="34"/>
      <c r="F728" s="30"/>
      <c r="K728" s="30"/>
      <c r="Q728">
        <f t="shared" si="13"/>
        <v>46136</v>
      </c>
      <c r="R728">
        <f>_xlfn.XLOOKUP(E728,'Data Additive'!E:E,'Data Additive'!E:E,0)</f>
        <v>0</v>
      </c>
    </row>
    <row r="729" spans="4:18" x14ac:dyDescent="0.25">
      <c r="D729" s="34"/>
      <c r="F729" s="30"/>
      <c r="K729" s="30"/>
      <c r="Q729">
        <f t="shared" si="13"/>
        <v>46136</v>
      </c>
      <c r="R729">
        <f>_xlfn.XLOOKUP(E729,'Data Additive'!E:E,'Data Additive'!E:E,0)</f>
        <v>0</v>
      </c>
    </row>
    <row r="730" spans="4:18" x14ac:dyDescent="0.25">
      <c r="D730" s="34"/>
      <c r="F730" s="30"/>
      <c r="K730" s="30"/>
      <c r="Q730">
        <f t="shared" si="13"/>
        <v>46136</v>
      </c>
      <c r="R730">
        <f>_xlfn.XLOOKUP(E730,'Data Additive'!E:E,'Data Additive'!E:E,0)</f>
        <v>0</v>
      </c>
    </row>
    <row r="731" spans="4:18" x14ac:dyDescent="0.25">
      <c r="D731" s="34"/>
      <c r="F731" s="30"/>
      <c r="K731" s="30"/>
      <c r="Q731">
        <f t="shared" si="13"/>
        <v>46136</v>
      </c>
      <c r="R731">
        <f>_xlfn.XLOOKUP(E731,'Data Additive'!E:E,'Data Additive'!E:E,0)</f>
        <v>0</v>
      </c>
    </row>
    <row r="732" spans="4:18" x14ac:dyDescent="0.25">
      <c r="D732" s="34"/>
      <c r="F732" s="30"/>
      <c r="K732" s="30"/>
      <c r="Q732">
        <f t="shared" ref="Q732:Q780" si="14">$R$1-F732</f>
        <v>46136</v>
      </c>
      <c r="R732">
        <f>_xlfn.XLOOKUP(E732,'Data Additive'!E:E,'Data Additive'!E:E,0)</f>
        <v>0</v>
      </c>
    </row>
    <row r="733" spans="4:18" x14ac:dyDescent="0.25">
      <c r="D733" s="34"/>
      <c r="F733" s="30"/>
      <c r="K733" s="30"/>
      <c r="Q733">
        <f t="shared" si="14"/>
        <v>46136</v>
      </c>
      <c r="R733">
        <f>_xlfn.XLOOKUP(E733,'Data Additive'!E:E,'Data Additive'!E:E,0)</f>
        <v>0</v>
      </c>
    </row>
    <row r="734" spans="4:18" x14ac:dyDescent="0.25">
      <c r="D734" s="34"/>
      <c r="F734" s="30"/>
      <c r="K734" s="30"/>
      <c r="Q734">
        <f t="shared" si="14"/>
        <v>46136</v>
      </c>
      <c r="R734">
        <f>_xlfn.XLOOKUP(E734,'Data Additive'!E:E,'Data Additive'!E:E,0)</f>
        <v>0</v>
      </c>
    </row>
    <row r="735" spans="4:18" x14ac:dyDescent="0.25">
      <c r="D735" s="34"/>
      <c r="F735" s="30"/>
      <c r="K735" s="30"/>
      <c r="Q735">
        <f t="shared" si="14"/>
        <v>46136</v>
      </c>
      <c r="R735">
        <f>_xlfn.XLOOKUP(E735,'Data Additive'!E:E,'Data Additive'!E:E,0)</f>
        <v>0</v>
      </c>
    </row>
    <row r="736" spans="4:18" x14ac:dyDescent="0.25">
      <c r="D736" s="34"/>
      <c r="F736" s="30"/>
      <c r="K736" s="30"/>
      <c r="Q736">
        <f t="shared" si="14"/>
        <v>46136</v>
      </c>
      <c r="R736">
        <f>_xlfn.XLOOKUP(E736,'Data Additive'!E:E,'Data Additive'!E:E,0)</f>
        <v>0</v>
      </c>
    </row>
    <row r="737" spans="4:18" x14ac:dyDescent="0.25">
      <c r="D737" s="34"/>
      <c r="F737" s="30"/>
      <c r="K737" s="30"/>
      <c r="Q737">
        <f t="shared" si="14"/>
        <v>46136</v>
      </c>
      <c r="R737">
        <f>_xlfn.XLOOKUP(E737,'Data Additive'!E:E,'Data Additive'!E:E,0)</f>
        <v>0</v>
      </c>
    </row>
    <row r="738" spans="4:18" x14ac:dyDescent="0.25">
      <c r="D738" s="34"/>
      <c r="F738" s="30"/>
      <c r="K738" s="30"/>
      <c r="Q738">
        <f t="shared" si="14"/>
        <v>46136</v>
      </c>
      <c r="R738">
        <f>_xlfn.XLOOKUP(E738,'Data Additive'!E:E,'Data Additive'!E:E,0)</f>
        <v>0</v>
      </c>
    </row>
    <row r="739" spans="4:18" x14ac:dyDescent="0.25">
      <c r="D739" s="34"/>
      <c r="F739" s="30"/>
      <c r="K739" s="30"/>
      <c r="Q739">
        <f t="shared" si="14"/>
        <v>46136</v>
      </c>
      <c r="R739">
        <f>_xlfn.XLOOKUP(E739,'Data Additive'!E:E,'Data Additive'!E:E,0)</f>
        <v>0</v>
      </c>
    </row>
    <row r="740" spans="4:18" x14ac:dyDescent="0.25">
      <c r="D740" s="34"/>
      <c r="F740" s="30"/>
      <c r="K740" s="30"/>
      <c r="Q740">
        <f t="shared" si="14"/>
        <v>46136</v>
      </c>
      <c r="R740">
        <f>_xlfn.XLOOKUP(E740,'Data Additive'!E:E,'Data Additive'!E:E,0)</f>
        <v>0</v>
      </c>
    </row>
    <row r="741" spans="4:18" x14ac:dyDescent="0.25">
      <c r="D741" s="34"/>
      <c r="F741" s="30"/>
      <c r="K741" s="30"/>
      <c r="Q741">
        <f t="shared" si="14"/>
        <v>46136</v>
      </c>
      <c r="R741">
        <f>_xlfn.XLOOKUP(E741,'Data Additive'!E:E,'Data Additive'!E:E,0)</f>
        <v>0</v>
      </c>
    </row>
    <row r="742" spans="4:18" x14ac:dyDescent="0.25">
      <c r="D742" s="34"/>
      <c r="F742" s="30"/>
      <c r="K742" s="30"/>
      <c r="Q742">
        <f t="shared" si="14"/>
        <v>46136</v>
      </c>
      <c r="R742">
        <f>_xlfn.XLOOKUP(E742,'Data Additive'!E:E,'Data Additive'!E:E,0)</f>
        <v>0</v>
      </c>
    </row>
    <row r="743" spans="4:18" x14ac:dyDescent="0.25">
      <c r="D743" s="34"/>
      <c r="F743" s="30"/>
      <c r="K743" s="30"/>
      <c r="Q743">
        <f t="shared" si="14"/>
        <v>46136</v>
      </c>
      <c r="R743">
        <f>_xlfn.XLOOKUP(E743,'Data Additive'!E:E,'Data Additive'!E:E,0)</f>
        <v>0</v>
      </c>
    </row>
    <row r="744" spans="4:18" x14ac:dyDescent="0.25">
      <c r="D744" s="34"/>
      <c r="F744" s="30"/>
      <c r="K744" s="30"/>
      <c r="Q744">
        <f t="shared" si="14"/>
        <v>46136</v>
      </c>
      <c r="R744">
        <f>_xlfn.XLOOKUP(E744,'Data Additive'!E:E,'Data Additive'!E:E,0)</f>
        <v>0</v>
      </c>
    </row>
    <row r="745" spans="4:18" x14ac:dyDescent="0.25">
      <c r="D745" s="34"/>
      <c r="F745" s="30"/>
      <c r="K745" s="30"/>
      <c r="Q745">
        <f t="shared" si="14"/>
        <v>46136</v>
      </c>
      <c r="R745">
        <f>_xlfn.XLOOKUP(E745,'Data Additive'!E:E,'Data Additive'!E:E,0)</f>
        <v>0</v>
      </c>
    </row>
    <row r="746" spans="4:18" x14ac:dyDescent="0.25">
      <c r="D746" s="34"/>
      <c r="F746" s="30"/>
      <c r="K746" s="30"/>
      <c r="Q746">
        <f t="shared" si="14"/>
        <v>46136</v>
      </c>
      <c r="R746">
        <f>_xlfn.XLOOKUP(E746,'Data Additive'!E:E,'Data Additive'!E:E,0)</f>
        <v>0</v>
      </c>
    </row>
    <row r="747" spans="4:18" x14ac:dyDescent="0.25">
      <c r="D747" s="34"/>
      <c r="F747" s="30"/>
      <c r="K747" s="30"/>
      <c r="Q747">
        <f t="shared" si="14"/>
        <v>46136</v>
      </c>
      <c r="R747">
        <f>_xlfn.XLOOKUP(E747,'Data Additive'!E:E,'Data Additive'!E:E,0)</f>
        <v>0</v>
      </c>
    </row>
    <row r="748" spans="4:18" x14ac:dyDescent="0.25">
      <c r="D748" s="34"/>
      <c r="F748" s="30"/>
      <c r="K748" s="30"/>
      <c r="Q748">
        <f t="shared" si="14"/>
        <v>46136</v>
      </c>
      <c r="R748">
        <f>_xlfn.XLOOKUP(E748,'Data Additive'!E:E,'Data Additive'!E:E,0)</f>
        <v>0</v>
      </c>
    </row>
    <row r="749" spans="4:18" x14ac:dyDescent="0.25">
      <c r="D749" s="34"/>
      <c r="F749" s="30"/>
      <c r="K749" s="30"/>
      <c r="Q749">
        <f t="shared" si="14"/>
        <v>46136</v>
      </c>
      <c r="R749">
        <f>_xlfn.XLOOKUP(E749,'Data Additive'!E:E,'Data Additive'!E:E,0)</f>
        <v>0</v>
      </c>
    </row>
    <row r="750" spans="4:18" x14ac:dyDescent="0.25">
      <c r="D750" s="34"/>
      <c r="F750" s="30"/>
      <c r="K750" s="30"/>
      <c r="Q750">
        <f t="shared" si="14"/>
        <v>46136</v>
      </c>
      <c r="R750">
        <f>_xlfn.XLOOKUP(E750,'Data Additive'!E:E,'Data Additive'!E:E,0)</f>
        <v>0</v>
      </c>
    </row>
    <row r="751" spans="4:18" x14ac:dyDescent="0.25">
      <c r="D751" s="34"/>
      <c r="F751" s="30"/>
      <c r="K751" s="30"/>
      <c r="Q751">
        <f t="shared" si="14"/>
        <v>46136</v>
      </c>
      <c r="R751">
        <f>_xlfn.XLOOKUP(E751,'Data Additive'!E:E,'Data Additive'!E:E,0)</f>
        <v>0</v>
      </c>
    </row>
    <row r="752" spans="4:18" x14ac:dyDescent="0.25">
      <c r="D752" s="34"/>
      <c r="F752" s="30"/>
      <c r="K752" s="30"/>
      <c r="Q752">
        <f t="shared" si="14"/>
        <v>46136</v>
      </c>
      <c r="R752">
        <f>_xlfn.XLOOKUP(E752,'Data Additive'!E:E,'Data Additive'!E:E,0)</f>
        <v>0</v>
      </c>
    </row>
    <row r="753" spans="4:18" x14ac:dyDescent="0.25">
      <c r="D753" s="34"/>
      <c r="F753" s="30"/>
      <c r="K753" s="30"/>
      <c r="Q753">
        <f t="shared" si="14"/>
        <v>46136</v>
      </c>
      <c r="R753">
        <f>_xlfn.XLOOKUP(E753,'Data Additive'!E:E,'Data Additive'!E:E,0)</f>
        <v>0</v>
      </c>
    </row>
    <row r="754" spans="4:18" x14ac:dyDescent="0.25">
      <c r="D754" s="34"/>
      <c r="F754" s="30"/>
      <c r="K754" s="30"/>
      <c r="Q754">
        <f t="shared" si="14"/>
        <v>46136</v>
      </c>
      <c r="R754">
        <f>_xlfn.XLOOKUP(E754,'Data Additive'!E:E,'Data Additive'!E:E,0)</f>
        <v>0</v>
      </c>
    </row>
    <row r="755" spans="4:18" x14ac:dyDescent="0.25">
      <c r="D755" s="34"/>
      <c r="F755" s="30"/>
      <c r="K755" s="30"/>
      <c r="Q755">
        <f t="shared" si="14"/>
        <v>46136</v>
      </c>
      <c r="R755">
        <f>_xlfn.XLOOKUP(E755,'Data Additive'!E:E,'Data Additive'!E:E,0)</f>
        <v>0</v>
      </c>
    </row>
    <row r="756" spans="4:18" x14ac:dyDescent="0.25">
      <c r="D756" s="34"/>
      <c r="F756" s="30"/>
      <c r="K756" s="30"/>
      <c r="Q756">
        <f t="shared" si="14"/>
        <v>46136</v>
      </c>
      <c r="R756">
        <f>_xlfn.XLOOKUP(E756,'Data Additive'!E:E,'Data Additive'!E:E,0)</f>
        <v>0</v>
      </c>
    </row>
    <row r="757" spans="4:18" x14ac:dyDescent="0.25">
      <c r="D757" s="34"/>
      <c r="F757" s="30"/>
      <c r="K757" s="30"/>
      <c r="Q757">
        <f t="shared" si="14"/>
        <v>46136</v>
      </c>
      <c r="R757">
        <f>_xlfn.XLOOKUP(E757,'Data Additive'!E:E,'Data Additive'!E:E,0)</f>
        <v>0</v>
      </c>
    </row>
    <row r="758" spans="4:18" x14ac:dyDescent="0.25">
      <c r="D758" s="34"/>
      <c r="F758" s="30"/>
      <c r="K758" s="30"/>
      <c r="Q758">
        <f t="shared" si="14"/>
        <v>46136</v>
      </c>
      <c r="R758">
        <f>_xlfn.XLOOKUP(E758,'Data Additive'!E:E,'Data Additive'!E:E,0)</f>
        <v>0</v>
      </c>
    </row>
    <row r="759" spans="4:18" x14ac:dyDescent="0.25">
      <c r="D759" s="34"/>
      <c r="F759" s="30"/>
      <c r="K759" s="30"/>
      <c r="Q759">
        <f t="shared" si="14"/>
        <v>46136</v>
      </c>
      <c r="R759">
        <f>_xlfn.XLOOKUP(E759,'Data Additive'!E:E,'Data Additive'!E:E,0)</f>
        <v>0</v>
      </c>
    </row>
    <row r="760" spans="4:18" x14ac:dyDescent="0.25">
      <c r="D760" s="34"/>
      <c r="F760" s="30"/>
      <c r="K760" s="30"/>
      <c r="Q760">
        <f t="shared" si="14"/>
        <v>46136</v>
      </c>
      <c r="R760">
        <f>_xlfn.XLOOKUP(E760,'Data Additive'!E:E,'Data Additive'!E:E,0)</f>
        <v>0</v>
      </c>
    </row>
    <row r="761" spans="4:18" x14ac:dyDescent="0.25">
      <c r="D761" s="34"/>
      <c r="F761" s="30"/>
      <c r="K761" s="30"/>
      <c r="Q761">
        <f t="shared" si="14"/>
        <v>46136</v>
      </c>
      <c r="R761">
        <f>_xlfn.XLOOKUP(E761,'Data Additive'!E:E,'Data Additive'!E:E,0)</f>
        <v>0</v>
      </c>
    </row>
    <row r="762" spans="4:18" x14ac:dyDescent="0.25">
      <c r="D762" s="34"/>
      <c r="F762" s="30"/>
      <c r="K762" s="30"/>
      <c r="Q762">
        <f t="shared" si="14"/>
        <v>46136</v>
      </c>
      <c r="R762">
        <f>_xlfn.XLOOKUP(E762,'Data Additive'!E:E,'Data Additive'!E:E,0)</f>
        <v>0</v>
      </c>
    </row>
    <row r="763" spans="4:18" x14ac:dyDescent="0.25">
      <c r="D763" s="34"/>
      <c r="F763" s="30"/>
      <c r="K763" s="30"/>
      <c r="Q763">
        <f t="shared" si="14"/>
        <v>46136</v>
      </c>
      <c r="R763">
        <f>_xlfn.XLOOKUP(E763,'Data Additive'!E:E,'Data Additive'!E:E,0)</f>
        <v>0</v>
      </c>
    </row>
    <row r="764" spans="4:18" x14ac:dyDescent="0.25">
      <c r="D764" s="34"/>
      <c r="F764" s="30"/>
      <c r="K764" s="30"/>
      <c r="Q764">
        <f t="shared" si="14"/>
        <v>46136</v>
      </c>
      <c r="R764">
        <f>_xlfn.XLOOKUP(E764,'Data Additive'!E:E,'Data Additive'!E:E,0)</f>
        <v>0</v>
      </c>
    </row>
    <row r="765" spans="4:18" x14ac:dyDescent="0.25">
      <c r="D765" s="34"/>
      <c r="F765" s="30"/>
      <c r="K765" s="30"/>
      <c r="Q765">
        <f t="shared" si="14"/>
        <v>46136</v>
      </c>
      <c r="R765">
        <f>_xlfn.XLOOKUP(E765,'Data Additive'!E:E,'Data Additive'!E:E,0)</f>
        <v>0</v>
      </c>
    </row>
    <row r="766" spans="4:18" x14ac:dyDescent="0.25">
      <c r="D766" s="34"/>
      <c r="F766" s="30"/>
      <c r="K766" s="30"/>
      <c r="Q766">
        <f t="shared" si="14"/>
        <v>46136</v>
      </c>
      <c r="R766">
        <f>_xlfn.XLOOKUP(E766,'Data Additive'!E:E,'Data Additive'!E:E,0)</f>
        <v>0</v>
      </c>
    </row>
    <row r="767" spans="4:18" x14ac:dyDescent="0.25">
      <c r="D767" s="34"/>
      <c r="F767" s="30"/>
      <c r="K767" s="30"/>
      <c r="Q767">
        <f t="shared" si="14"/>
        <v>46136</v>
      </c>
      <c r="R767">
        <f>_xlfn.XLOOKUP(E767,'Data Additive'!E:E,'Data Additive'!E:E,0)</f>
        <v>0</v>
      </c>
    </row>
    <row r="768" spans="4:18" x14ac:dyDescent="0.25">
      <c r="D768" s="34"/>
      <c r="F768" s="30"/>
      <c r="K768" s="30"/>
      <c r="Q768">
        <f t="shared" si="14"/>
        <v>46136</v>
      </c>
      <c r="R768">
        <f>_xlfn.XLOOKUP(E768,'Data Additive'!E:E,'Data Additive'!E:E,0)</f>
        <v>0</v>
      </c>
    </row>
    <row r="769" spans="4:18" x14ac:dyDescent="0.25">
      <c r="D769" s="34"/>
      <c r="F769" s="30"/>
      <c r="K769" s="30"/>
      <c r="Q769">
        <f t="shared" si="14"/>
        <v>46136</v>
      </c>
      <c r="R769">
        <f>_xlfn.XLOOKUP(E769,'Data Additive'!E:E,'Data Additive'!E:E,0)</f>
        <v>0</v>
      </c>
    </row>
    <row r="770" spans="4:18" x14ac:dyDescent="0.25">
      <c r="D770" s="34"/>
      <c r="F770" s="30"/>
      <c r="K770" s="30"/>
      <c r="Q770">
        <f t="shared" si="14"/>
        <v>46136</v>
      </c>
      <c r="R770">
        <f>_xlfn.XLOOKUP(E770,'Data Additive'!E:E,'Data Additive'!E:E,0)</f>
        <v>0</v>
      </c>
    </row>
    <row r="771" spans="4:18" x14ac:dyDescent="0.25">
      <c r="D771" s="34"/>
      <c r="F771" s="30"/>
      <c r="K771" s="30"/>
      <c r="Q771">
        <f t="shared" si="14"/>
        <v>46136</v>
      </c>
      <c r="R771">
        <f>_xlfn.XLOOKUP(E771,'Data Additive'!E:E,'Data Additive'!E:E,0)</f>
        <v>0</v>
      </c>
    </row>
    <row r="772" spans="4:18" x14ac:dyDescent="0.25">
      <c r="D772" s="34"/>
      <c r="F772" s="30"/>
      <c r="K772" s="30"/>
      <c r="Q772">
        <f t="shared" si="14"/>
        <v>46136</v>
      </c>
      <c r="R772">
        <f>_xlfn.XLOOKUP(E772,'Data Additive'!E:E,'Data Additive'!E:E,0)</f>
        <v>0</v>
      </c>
    </row>
    <row r="773" spans="4:18" x14ac:dyDescent="0.25">
      <c r="D773" s="34"/>
      <c r="F773" s="30"/>
      <c r="K773" s="30"/>
      <c r="Q773">
        <f t="shared" si="14"/>
        <v>46136</v>
      </c>
      <c r="R773">
        <f>_xlfn.XLOOKUP(E773,'Data Additive'!E:E,'Data Additive'!E:E,0)</f>
        <v>0</v>
      </c>
    </row>
    <row r="774" spans="4:18" x14ac:dyDescent="0.25">
      <c r="D774" s="34"/>
      <c r="F774" s="30"/>
      <c r="K774" s="30"/>
      <c r="Q774">
        <f t="shared" si="14"/>
        <v>46136</v>
      </c>
      <c r="R774">
        <f>_xlfn.XLOOKUP(E774,'Data Additive'!E:E,'Data Additive'!E:E,0)</f>
        <v>0</v>
      </c>
    </row>
    <row r="775" spans="4:18" x14ac:dyDescent="0.25">
      <c r="D775" s="34"/>
      <c r="F775" s="30"/>
      <c r="K775" s="30"/>
      <c r="Q775">
        <f t="shared" si="14"/>
        <v>46136</v>
      </c>
      <c r="R775">
        <f>_xlfn.XLOOKUP(E775,'Data Additive'!E:E,'Data Additive'!E:E,0)</f>
        <v>0</v>
      </c>
    </row>
    <row r="776" spans="4:18" x14ac:dyDescent="0.25">
      <c r="D776" s="34"/>
      <c r="F776" s="30"/>
      <c r="K776" s="30"/>
      <c r="Q776">
        <f t="shared" si="14"/>
        <v>46136</v>
      </c>
      <c r="R776">
        <f>_xlfn.XLOOKUP(E776,'Data Additive'!E:E,'Data Additive'!E:E,0)</f>
        <v>0</v>
      </c>
    </row>
    <row r="777" spans="4:18" x14ac:dyDescent="0.25">
      <c r="D777" s="34"/>
      <c r="F777" s="30"/>
      <c r="K777" s="30"/>
      <c r="Q777">
        <f t="shared" si="14"/>
        <v>46136</v>
      </c>
      <c r="R777">
        <f>_xlfn.XLOOKUP(E777,'Data Additive'!E:E,'Data Additive'!E:E,0)</f>
        <v>0</v>
      </c>
    </row>
    <row r="778" spans="4:18" x14ac:dyDescent="0.25">
      <c r="D778" s="34"/>
      <c r="F778" s="30"/>
      <c r="K778" s="30"/>
      <c r="Q778">
        <f t="shared" si="14"/>
        <v>46136</v>
      </c>
      <c r="R778">
        <f>_xlfn.XLOOKUP(E778,'Data Additive'!E:E,'Data Additive'!E:E,0)</f>
        <v>0</v>
      </c>
    </row>
    <row r="779" spans="4:18" x14ac:dyDescent="0.25">
      <c r="D779" s="34"/>
      <c r="F779" s="30"/>
      <c r="K779" s="30"/>
      <c r="Q779">
        <f t="shared" si="14"/>
        <v>46136</v>
      </c>
      <c r="R779">
        <f>_xlfn.XLOOKUP(E779,'Data Additive'!E:E,'Data Additive'!E:E,0)</f>
        <v>0</v>
      </c>
    </row>
    <row r="780" spans="4:18" x14ac:dyDescent="0.25">
      <c r="D780" s="34"/>
      <c r="F780" s="30"/>
      <c r="K780" s="30"/>
      <c r="Q780">
        <f t="shared" si="14"/>
        <v>46136</v>
      </c>
      <c r="R780">
        <f>_xlfn.XLOOKUP(E780,'Data Additive'!E:E,'Data Additive'!E:E,0)</f>
        <v>0</v>
      </c>
    </row>
    <row r="781" spans="4:18" x14ac:dyDescent="0.25">
      <c r="D781" s="34"/>
      <c r="F781" s="30"/>
      <c r="K781" s="30"/>
      <c r="Q781">
        <f t="shared" ref="Q781:Q782" si="15">$R$1-F781</f>
        <v>46136</v>
      </c>
      <c r="R781">
        <f>_xlfn.XLOOKUP(E781,'Data Additive'!E:E,'Data Additive'!E:E,0)</f>
        <v>0</v>
      </c>
    </row>
    <row r="782" spans="4:18" x14ac:dyDescent="0.25">
      <c r="D782" s="34"/>
      <c r="F782" s="30"/>
      <c r="K782" s="30"/>
      <c r="Q782">
        <f t="shared" si="15"/>
        <v>46136</v>
      </c>
      <c r="R782">
        <f>_xlfn.XLOOKUP(E782,'Data Additive'!E:E,'Data Additive'!E:E,0)</f>
        <v>0</v>
      </c>
    </row>
    <row r="783" spans="4:18" x14ac:dyDescent="0.25">
      <c r="D783" s="34"/>
      <c r="F783" s="30"/>
      <c r="K783" s="30"/>
      <c r="Q783">
        <f t="shared" ref="Q783:Q800" si="16">$R$1-F783</f>
        <v>46136</v>
      </c>
      <c r="R783">
        <f>_xlfn.XLOOKUP(E783,'Data Additive'!E:E,'Data Additive'!E:E,0)</f>
        <v>0</v>
      </c>
    </row>
    <row r="784" spans="4:18" x14ac:dyDescent="0.25">
      <c r="D784" s="34"/>
      <c r="F784" s="30"/>
      <c r="K784" s="30"/>
      <c r="Q784">
        <f t="shared" si="16"/>
        <v>46136</v>
      </c>
      <c r="R784">
        <f>_xlfn.XLOOKUP(E784,'Data Additive'!E:E,'Data Additive'!E:E,0)</f>
        <v>0</v>
      </c>
    </row>
    <row r="785" spans="4:18" x14ac:dyDescent="0.25">
      <c r="D785" s="34"/>
      <c r="F785" s="30"/>
      <c r="K785" s="30"/>
      <c r="Q785">
        <f t="shared" si="16"/>
        <v>46136</v>
      </c>
      <c r="R785">
        <f>_xlfn.XLOOKUP(E785,'Data Additive'!E:E,'Data Additive'!E:E,0)</f>
        <v>0</v>
      </c>
    </row>
    <row r="786" spans="4:18" x14ac:dyDescent="0.25">
      <c r="D786" s="34"/>
      <c r="F786" s="30"/>
      <c r="K786" s="30"/>
      <c r="Q786">
        <f t="shared" si="16"/>
        <v>46136</v>
      </c>
      <c r="R786">
        <f>_xlfn.XLOOKUP(E786,'Data Additive'!E:E,'Data Additive'!E:E,0)</f>
        <v>0</v>
      </c>
    </row>
    <row r="787" spans="4:18" x14ac:dyDescent="0.25">
      <c r="D787" s="34"/>
      <c r="F787" s="30"/>
      <c r="K787" s="30"/>
      <c r="Q787">
        <f t="shared" si="16"/>
        <v>46136</v>
      </c>
      <c r="R787">
        <f>_xlfn.XLOOKUP(E787,'Data Additive'!E:E,'Data Additive'!E:E,0)</f>
        <v>0</v>
      </c>
    </row>
    <row r="788" spans="4:18" x14ac:dyDescent="0.25">
      <c r="D788" s="34"/>
      <c r="F788" s="30"/>
      <c r="K788" s="30"/>
      <c r="Q788">
        <f t="shared" si="16"/>
        <v>46136</v>
      </c>
      <c r="R788">
        <f>_xlfn.XLOOKUP(E788,'Data Additive'!E:E,'Data Additive'!E:E,0)</f>
        <v>0</v>
      </c>
    </row>
    <row r="789" spans="4:18" x14ac:dyDescent="0.25">
      <c r="D789" s="34"/>
      <c r="F789" s="30"/>
      <c r="K789" s="30"/>
      <c r="Q789">
        <f t="shared" si="16"/>
        <v>46136</v>
      </c>
      <c r="R789">
        <f>_xlfn.XLOOKUP(E789,'Data Additive'!E:E,'Data Additive'!E:E,0)</f>
        <v>0</v>
      </c>
    </row>
    <row r="790" spans="4:18" x14ac:dyDescent="0.25">
      <c r="D790" s="34"/>
      <c r="F790" s="30"/>
      <c r="K790" s="30"/>
      <c r="Q790">
        <f t="shared" si="16"/>
        <v>46136</v>
      </c>
      <c r="R790">
        <f>_xlfn.XLOOKUP(E790,'Data Additive'!E:E,'Data Additive'!E:E,0)</f>
        <v>0</v>
      </c>
    </row>
    <row r="791" spans="4:18" x14ac:dyDescent="0.25">
      <c r="D791" s="34"/>
      <c r="F791" s="30"/>
      <c r="K791" s="30"/>
      <c r="Q791">
        <f t="shared" si="16"/>
        <v>46136</v>
      </c>
      <c r="R791">
        <f>_xlfn.XLOOKUP(E791,'Data Additive'!E:E,'Data Additive'!E:E,0)</f>
        <v>0</v>
      </c>
    </row>
    <row r="792" spans="4:18" x14ac:dyDescent="0.25">
      <c r="D792" s="34"/>
      <c r="F792" s="30"/>
      <c r="K792" s="30"/>
      <c r="Q792">
        <f t="shared" si="16"/>
        <v>46136</v>
      </c>
      <c r="R792">
        <f>_xlfn.XLOOKUP(E792,'Data Additive'!E:E,'Data Additive'!E:E,0)</f>
        <v>0</v>
      </c>
    </row>
    <row r="793" spans="4:18" x14ac:dyDescent="0.25">
      <c r="D793" s="34"/>
      <c r="F793" s="30"/>
      <c r="K793" s="30"/>
      <c r="Q793">
        <f t="shared" si="16"/>
        <v>46136</v>
      </c>
      <c r="R793">
        <f>_xlfn.XLOOKUP(E793,'Data Additive'!E:E,'Data Additive'!E:E,0)</f>
        <v>0</v>
      </c>
    </row>
    <row r="794" spans="4:18" x14ac:dyDescent="0.25">
      <c r="D794" s="34"/>
      <c r="F794" s="30"/>
      <c r="K794" s="30"/>
      <c r="Q794">
        <f t="shared" si="16"/>
        <v>46136</v>
      </c>
      <c r="R794">
        <f>_xlfn.XLOOKUP(E794,'Data Additive'!E:E,'Data Additive'!E:E,0)</f>
        <v>0</v>
      </c>
    </row>
    <row r="795" spans="4:18" x14ac:dyDescent="0.25">
      <c r="D795" s="34"/>
      <c r="F795" s="30"/>
      <c r="K795" s="30"/>
      <c r="Q795">
        <f t="shared" si="16"/>
        <v>46136</v>
      </c>
      <c r="R795">
        <f>_xlfn.XLOOKUP(E795,'Data Additive'!E:E,'Data Additive'!E:E,0)</f>
        <v>0</v>
      </c>
    </row>
    <row r="796" spans="4:18" x14ac:dyDescent="0.25">
      <c r="D796" s="34"/>
      <c r="F796" s="30"/>
      <c r="K796" s="30"/>
      <c r="Q796">
        <f t="shared" si="16"/>
        <v>46136</v>
      </c>
      <c r="R796">
        <f>_xlfn.XLOOKUP(E796,'Data Additive'!E:E,'Data Additive'!E:E,0)</f>
        <v>0</v>
      </c>
    </row>
    <row r="797" spans="4:18" x14ac:dyDescent="0.25">
      <c r="D797" s="34"/>
      <c r="F797" s="30"/>
      <c r="K797" s="30"/>
      <c r="Q797">
        <f t="shared" si="16"/>
        <v>46136</v>
      </c>
      <c r="R797">
        <f>_xlfn.XLOOKUP(E797,'Data Additive'!E:E,'Data Additive'!E:E,0)</f>
        <v>0</v>
      </c>
    </row>
    <row r="798" spans="4:18" x14ac:dyDescent="0.25">
      <c r="D798" s="34"/>
      <c r="F798" s="30"/>
      <c r="K798" s="30"/>
      <c r="Q798">
        <f t="shared" si="16"/>
        <v>46136</v>
      </c>
      <c r="R798">
        <f>_xlfn.XLOOKUP(E798,'Data Additive'!E:E,'Data Additive'!E:E,0)</f>
        <v>0</v>
      </c>
    </row>
    <row r="799" spans="4:18" x14ac:dyDescent="0.25">
      <c r="D799" s="34"/>
      <c r="F799" s="30"/>
      <c r="K799" s="30"/>
      <c r="Q799">
        <f t="shared" si="16"/>
        <v>46136</v>
      </c>
      <c r="R799">
        <f>_xlfn.XLOOKUP(E799,'Data Additive'!E:E,'Data Additive'!E:E,0)</f>
        <v>0</v>
      </c>
    </row>
    <row r="800" spans="4:18" x14ac:dyDescent="0.25">
      <c r="D800" s="34"/>
      <c r="F800" s="30"/>
      <c r="K800" s="30"/>
      <c r="Q800">
        <f t="shared" si="16"/>
        <v>46136</v>
      </c>
      <c r="R800">
        <f>_xlfn.XLOOKUP(E800,'Data Additive'!E:E,'Data Additive'!E:E,0)</f>
        <v>0</v>
      </c>
    </row>
    <row r="801" spans="4:11" x14ac:dyDescent="0.25">
      <c r="D801" s="34"/>
      <c r="F801" s="30"/>
      <c r="K801" s="30"/>
    </row>
    <row r="802" spans="4:11" x14ac:dyDescent="0.25">
      <c r="D802" s="34"/>
      <c r="F802" s="30"/>
      <c r="K802" s="30"/>
    </row>
    <row r="803" spans="4:11" x14ac:dyDescent="0.25">
      <c r="D803" s="34"/>
      <c r="F803" s="30"/>
      <c r="K803" s="30"/>
    </row>
    <row r="804" spans="4:11" x14ac:dyDescent="0.25">
      <c r="D804" s="34"/>
      <c r="F804" s="30"/>
      <c r="K804" s="30"/>
    </row>
    <row r="805" spans="4:11" x14ac:dyDescent="0.25">
      <c r="D805" s="34"/>
      <c r="F805" s="30"/>
      <c r="K805" s="30"/>
    </row>
    <row r="806" spans="4:11" x14ac:dyDescent="0.25">
      <c r="D806" s="34"/>
      <c r="F806" s="30"/>
      <c r="K806" s="30"/>
    </row>
    <row r="807" spans="4:11" x14ac:dyDescent="0.25">
      <c r="D807" s="34"/>
      <c r="F807" s="30"/>
      <c r="K807" s="30"/>
    </row>
    <row r="808" spans="4:11" x14ac:dyDescent="0.25">
      <c r="D808" s="34"/>
      <c r="F808" s="30"/>
      <c r="K808" s="30"/>
    </row>
    <row r="809" spans="4:11" x14ac:dyDescent="0.25">
      <c r="D809" s="34"/>
      <c r="F809" s="30"/>
      <c r="K809" s="30"/>
    </row>
    <row r="810" spans="4:11" x14ac:dyDescent="0.25">
      <c r="D810" s="34"/>
      <c r="F810" s="30"/>
      <c r="K810" s="30"/>
    </row>
    <row r="811" spans="4:11" x14ac:dyDescent="0.25">
      <c r="D811" s="34"/>
      <c r="F811" s="30"/>
      <c r="K811" s="30"/>
    </row>
    <row r="812" spans="4:11" x14ac:dyDescent="0.25">
      <c r="D812" s="34"/>
      <c r="F812" s="30"/>
      <c r="K812" s="30"/>
    </row>
    <row r="813" spans="4:11" x14ac:dyDescent="0.25">
      <c r="D813" s="34"/>
      <c r="F813" s="30"/>
      <c r="K813" s="30"/>
    </row>
    <row r="814" spans="4:11" x14ac:dyDescent="0.25">
      <c r="D814" s="34"/>
      <c r="F814" s="30"/>
      <c r="K814" s="30"/>
    </row>
    <row r="815" spans="4:11" x14ac:dyDescent="0.25">
      <c r="D815" s="34"/>
      <c r="F815" s="30"/>
      <c r="K815" s="30"/>
    </row>
    <row r="816" spans="4:11" x14ac:dyDescent="0.25">
      <c r="D816" s="34"/>
      <c r="F816" s="30"/>
      <c r="K816" s="30"/>
    </row>
    <row r="817" spans="4:11" x14ac:dyDescent="0.25">
      <c r="D817" s="34"/>
      <c r="F817" s="30"/>
      <c r="K817" s="30"/>
    </row>
    <row r="818" spans="4:11" x14ac:dyDescent="0.25">
      <c r="D818" s="34"/>
      <c r="F818" s="30"/>
      <c r="K818" s="30"/>
    </row>
    <row r="819" spans="4:11" x14ac:dyDescent="0.25">
      <c r="D819" s="34"/>
      <c r="F819" s="30"/>
      <c r="K819" s="30"/>
    </row>
    <row r="820" spans="4:11" x14ac:dyDescent="0.25">
      <c r="D820" s="34"/>
      <c r="F820" s="30"/>
      <c r="K820" s="30"/>
    </row>
    <row r="821" spans="4:11" x14ac:dyDescent="0.25">
      <c r="D821" s="34"/>
      <c r="F821" s="30"/>
      <c r="K821" s="30"/>
    </row>
    <row r="822" spans="4:11" x14ac:dyDescent="0.25">
      <c r="D822" s="34"/>
      <c r="F822" s="30"/>
      <c r="K822" s="30"/>
    </row>
    <row r="823" spans="4:11" x14ac:dyDescent="0.25">
      <c r="D823" s="34"/>
      <c r="F823" s="30"/>
      <c r="K823" s="30"/>
    </row>
    <row r="824" spans="4:11" x14ac:dyDescent="0.25">
      <c r="D824" s="34"/>
      <c r="F824" s="30"/>
      <c r="K824" s="30"/>
    </row>
    <row r="825" spans="4:11" x14ac:dyDescent="0.25">
      <c r="D825" s="34"/>
      <c r="F825" s="30"/>
      <c r="K825" s="30"/>
    </row>
    <row r="826" spans="4:11" x14ac:dyDescent="0.25">
      <c r="D826" s="34"/>
      <c r="F826" s="30"/>
      <c r="K826" s="30"/>
    </row>
    <row r="827" spans="4:11" x14ac:dyDescent="0.25">
      <c r="D827" s="34"/>
      <c r="F827" s="30"/>
      <c r="K827" s="30"/>
    </row>
    <row r="828" spans="4:11" x14ac:dyDescent="0.25">
      <c r="D828" s="34"/>
      <c r="F828" s="30"/>
      <c r="K828" s="30"/>
    </row>
    <row r="829" spans="4:11" x14ac:dyDescent="0.25">
      <c r="D829" s="34"/>
      <c r="F829" s="30"/>
      <c r="K829" s="30"/>
    </row>
    <row r="830" spans="4:11" x14ac:dyDescent="0.25">
      <c r="D830" s="34"/>
      <c r="F830" s="30"/>
      <c r="K830" s="30"/>
    </row>
    <row r="831" spans="4:11" x14ac:dyDescent="0.25">
      <c r="D831" s="34"/>
      <c r="F831" s="30"/>
      <c r="K831" s="30"/>
    </row>
    <row r="832" spans="4:11" x14ac:dyDescent="0.25">
      <c r="D832" s="34"/>
      <c r="F832" s="30"/>
      <c r="K832" s="30"/>
    </row>
    <row r="833" spans="4:11" x14ac:dyDescent="0.25">
      <c r="D833" s="34"/>
      <c r="F833" s="30"/>
      <c r="K833" s="30"/>
    </row>
    <row r="834" spans="4:11" x14ac:dyDescent="0.25">
      <c r="D834" s="34"/>
      <c r="F834" s="30"/>
      <c r="K834" s="30"/>
    </row>
    <row r="835" spans="4:11" x14ac:dyDescent="0.25">
      <c r="D835" s="34"/>
      <c r="F835" s="30"/>
      <c r="K835" s="30"/>
    </row>
    <row r="836" spans="4:11" x14ac:dyDescent="0.25">
      <c r="D836" s="34"/>
      <c r="F836" s="30"/>
      <c r="K836" s="30"/>
    </row>
    <row r="837" spans="4:11" x14ac:dyDescent="0.25">
      <c r="D837" s="34"/>
      <c r="F837" s="30"/>
      <c r="K837" s="30"/>
    </row>
    <row r="838" spans="4:11" x14ac:dyDescent="0.25">
      <c r="D838" s="34"/>
      <c r="F838" s="30"/>
      <c r="K838" s="30"/>
    </row>
    <row r="839" spans="4:11" x14ac:dyDescent="0.25">
      <c r="D839" s="34"/>
      <c r="F839" s="30"/>
      <c r="K839" s="30"/>
    </row>
    <row r="840" spans="4:11" x14ac:dyDescent="0.25">
      <c r="D840" s="34"/>
      <c r="F840" s="30"/>
      <c r="K840" s="30"/>
    </row>
    <row r="841" spans="4:11" x14ac:dyDescent="0.25">
      <c r="D841" s="34"/>
      <c r="F841" s="30"/>
      <c r="K841" s="30"/>
    </row>
    <row r="842" spans="4:11" x14ac:dyDescent="0.25">
      <c r="D842" s="34"/>
      <c r="F842" s="30"/>
      <c r="K842" s="30"/>
    </row>
    <row r="843" spans="4:11" x14ac:dyDescent="0.25">
      <c r="D843" s="34"/>
      <c r="F843" s="30"/>
      <c r="K843" s="30"/>
    </row>
    <row r="844" spans="4:11" x14ac:dyDescent="0.25">
      <c r="D844" s="34"/>
      <c r="F844" s="30"/>
      <c r="K844" s="30"/>
    </row>
    <row r="845" spans="4:11" x14ac:dyDescent="0.25">
      <c r="D845" s="34"/>
      <c r="F845" s="30"/>
      <c r="K845" s="30"/>
    </row>
    <row r="846" spans="4:11" x14ac:dyDescent="0.25">
      <c r="D846" s="34"/>
      <c r="F846" s="30"/>
      <c r="K846" s="30"/>
    </row>
    <row r="847" spans="4:11" x14ac:dyDescent="0.25">
      <c r="D847" s="34"/>
      <c r="F847" s="30"/>
      <c r="K847" s="30"/>
    </row>
    <row r="848" spans="4:11" x14ac:dyDescent="0.25">
      <c r="D848" s="34"/>
      <c r="F848" s="30"/>
      <c r="K848" s="30"/>
    </row>
    <row r="849" spans="4:11" x14ac:dyDescent="0.25">
      <c r="D849" s="34"/>
      <c r="F849" s="30"/>
      <c r="K849" s="30"/>
    </row>
    <row r="850" spans="4:11" x14ac:dyDescent="0.25">
      <c r="D850" s="34"/>
      <c r="F850" s="30"/>
      <c r="K850" s="30"/>
    </row>
    <row r="851" spans="4:11" x14ac:dyDescent="0.25">
      <c r="D851" s="34"/>
      <c r="F851" s="30"/>
      <c r="K851" s="30"/>
    </row>
    <row r="852" spans="4:11" x14ac:dyDescent="0.25">
      <c r="D852" s="34"/>
      <c r="F852" s="30"/>
      <c r="K852" s="30"/>
    </row>
    <row r="853" spans="4:11" x14ac:dyDescent="0.25">
      <c r="D853" s="34"/>
      <c r="F853" s="30"/>
      <c r="K853" s="30"/>
    </row>
    <row r="854" spans="4:11" x14ac:dyDescent="0.25">
      <c r="D854" s="34"/>
      <c r="F854" s="30"/>
      <c r="K854" s="30"/>
    </row>
    <row r="855" spans="4:11" x14ac:dyDescent="0.25">
      <c r="D855" s="34"/>
      <c r="F855" s="30"/>
      <c r="K855" s="30"/>
    </row>
    <row r="856" spans="4:11" x14ac:dyDescent="0.25">
      <c r="D856" s="34"/>
      <c r="F856" s="30"/>
      <c r="K856" s="30"/>
    </row>
    <row r="857" spans="4:11" x14ac:dyDescent="0.25">
      <c r="D857" s="34"/>
      <c r="F857" s="30"/>
      <c r="K857" s="30"/>
    </row>
    <row r="858" spans="4:11" x14ac:dyDescent="0.25">
      <c r="D858" s="34"/>
      <c r="F858" s="30"/>
      <c r="K858" s="30"/>
    </row>
    <row r="859" spans="4:11" x14ac:dyDescent="0.25">
      <c r="D859" s="34"/>
      <c r="F859" s="30"/>
      <c r="K859" s="30"/>
    </row>
    <row r="860" spans="4:11" x14ac:dyDescent="0.25">
      <c r="D860" s="34"/>
      <c r="F860" s="30"/>
      <c r="K860" s="30"/>
    </row>
    <row r="861" spans="4:11" x14ac:dyDescent="0.25">
      <c r="D861" s="34"/>
      <c r="F861" s="30"/>
      <c r="K861" s="30"/>
    </row>
    <row r="862" spans="4:11" x14ac:dyDescent="0.25">
      <c r="D862" s="34"/>
      <c r="F862" s="30"/>
      <c r="K862" s="30"/>
    </row>
    <row r="863" spans="4:11" x14ac:dyDescent="0.25">
      <c r="D863" s="34"/>
      <c r="F863" s="30"/>
      <c r="K863" s="30"/>
    </row>
    <row r="864" spans="4:11" x14ac:dyDescent="0.25">
      <c r="D864" s="34"/>
      <c r="F864" s="30"/>
      <c r="K864" s="30"/>
    </row>
    <row r="865" spans="4:11" x14ac:dyDescent="0.25">
      <c r="D865" s="34"/>
      <c r="F865" s="30"/>
      <c r="K865" s="30"/>
    </row>
    <row r="866" spans="4:11" x14ac:dyDescent="0.25">
      <c r="D866" s="34"/>
      <c r="F866" s="30"/>
      <c r="K866" s="30"/>
    </row>
    <row r="867" spans="4:11" x14ac:dyDescent="0.25">
      <c r="D867" s="34"/>
      <c r="F867" s="30"/>
      <c r="K867" s="30"/>
    </row>
    <row r="868" spans="4:11" x14ac:dyDescent="0.25">
      <c r="D868" s="34"/>
      <c r="F868" s="30"/>
      <c r="K868" s="30"/>
    </row>
    <row r="869" spans="4:11" x14ac:dyDescent="0.25">
      <c r="D869" s="34"/>
      <c r="F869" s="30"/>
      <c r="K869" s="30"/>
    </row>
    <row r="870" spans="4:11" x14ac:dyDescent="0.25">
      <c r="D870" s="34"/>
      <c r="F870" s="30"/>
      <c r="K870" s="30"/>
    </row>
    <row r="871" spans="4:11" x14ac:dyDescent="0.25">
      <c r="D871" s="34"/>
      <c r="F871" s="30"/>
      <c r="K871" s="30"/>
    </row>
    <row r="872" spans="4:11" x14ac:dyDescent="0.25">
      <c r="D872" s="34"/>
      <c r="F872" s="30"/>
      <c r="K872" s="30"/>
    </row>
    <row r="873" spans="4:11" x14ac:dyDescent="0.25">
      <c r="D873" s="34"/>
      <c r="F873" s="30"/>
      <c r="K873" s="30"/>
    </row>
    <row r="874" spans="4:11" x14ac:dyDescent="0.25">
      <c r="D874" s="34"/>
      <c r="F874" s="30"/>
      <c r="K874" s="30"/>
    </row>
    <row r="875" spans="4:11" x14ac:dyDescent="0.25">
      <c r="D875" s="34"/>
      <c r="F875" s="30"/>
      <c r="K875" s="30"/>
    </row>
    <row r="876" spans="4:11" x14ac:dyDescent="0.25">
      <c r="D876" s="34"/>
      <c r="F876" s="30"/>
      <c r="K876" s="30"/>
    </row>
    <row r="877" spans="4:11" x14ac:dyDescent="0.25">
      <c r="D877" s="34"/>
      <c r="F877" s="30"/>
      <c r="K877" s="30"/>
    </row>
    <row r="878" spans="4:11" x14ac:dyDescent="0.25">
      <c r="D878" s="34"/>
      <c r="F878" s="30"/>
      <c r="K878" s="30"/>
    </row>
    <row r="879" spans="4:11" x14ac:dyDescent="0.25">
      <c r="D879" s="34"/>
      <c r="F879" s="30"/>
      <c r="K879" s="30"/>
    </row>
    <row r="880" spans="4:11" x14ac:dyDescent="0.25">
      <c r="D880" s="34"/>
      <c r="F880" s="30"/>
      <c r="K880" s="30"/>
    </row>
    <row r="881" spans="4:11" x14ac:dyDescent="0.25">
      <c r="D881" s="34"/>
      <c r="F881" s="30"/>
      <c r="K881" s="30"/>
    </row>
    <row r="882" spans="4:11" x14ac:dyDescent="0.25">
      <c r="D882" s="34"/>
      <c r="F882" s="30"/>
      <c r="K882" s="30"/>
    </row>
    <row r="883" spans="4:11" x14ac:dyDescent="0.25">
      <c r="D883" s="34"/>
      <c r="F883" s="30"/>
      <c r="K883" s="30"/>
    </row>
    <row r="884" spans="4:11" x14ac:dyDescent="0.25">
      <c r="D884" s="34"/>
      <c r="F884" s="30"/>
      <c r="K884" s="30"/>
    </row>
    <row r="885" spans="4:11" x14ac:dyDescent="0.25">
      <c r="D885" s="34"/>
      <c r="F885" s="30"/>
      <c r="K885" s="30"/>
    </row>
    <row r="886" spans="4:11" x14ac:dyDescent="0.25">
      <c r="D886" s="34"/>
      <c r="F886" s="30"/>
      <c r="K886" s="30"/>
    </row>
    <row r="887" spans="4:11" x14ac:dyDescent="0.25">
      <c r="D887" s="34"/>
      <c r="F887" s="30"/>
      <c r="K887" s="30"/>
    </row>
    <row r="888" spans="4:11" x14ac:dyDescent="0.25">
      <c r="D888" s="34"/>
      <c r="F888" s="30"/>
      <c r="K888" s="30"/>
    </row>
    <row r="889" spans="4:11" x14ac:dyDescent="0.25">
      <c r="D889" s="34"/>
      <c r="F889" s="30"/>
      <c r="K889" s="30"/>
    </row>
    <row r="890" spans="4:11" x14ac:dyDescent="0.25">
      <c r="D890" s="34"/>
      <c r="F890" s="30"/>
      <c r="K890" s="30"/>
    </row>
    <row r="891" spans="4:11" x14ac:dyDescent="0.25">
      <c r="D891" s="34"/>
      <c r="F891" s="30"/>
      <c r="K891" s="30"/>
    </row>
    <row r="892" spans="4:11" x14ac:dyDescent="0.25">
      <c r="D892" s="34"/>
      <c r="F892" s="30"/>
      <c r="K892" s="30"/>
    </row>
    <row r="893" spans="4:11" x14ac:dyDescent="0.25">
      <c r="D893" s="34"/>
      <c r="F893" s="30"/>
      <c r="K893" s="30"/>
    </row>
    <row r="894" spans="4:11" x14ac:dyDescent="0.25">
      <c r="D894" s="34"/>
      <c r="F894" s="30"/>
      <c r="K894" s="30"/>
    </row>
    <row r="895" spans="4:11" x14ac:dyDescent="0.25">
      <c r="D895" s="34"/>
      <c r="F895" s="30"/>
      <c r="K895" s="30"/>
    </row>
    <row r="896" spans="4:11" x14ac:dyDescent="0.25">
      <c r="D896" s="34"/>
      <c r="F896" s="30"/>
      <c r="K896" s="30"/>
    </row>
    <row r="897" spans="4:11" x14ac:dyDescent="0.25">
      <c r="D897" s="34"/>
      <c r="F897" s="30"/>
      <c r="K897" s="30"/>
    </row>
    <row r="898" spans="4:11" x14ac:dyDescent="0.25">
      <c r="D898" s="34"/>
      <c r="F898" s="30"/>
      <c r="K898" s="30"/>
    </row>
    <row r="899" spans="4:11" x14ac:dyDescent="0.25">
      <c r="D899" s="34"/>
      <c r="F899" s="30"/>
      <c r="K899" s="30"/>
    </row>
    <row r="900" spans="4:11" x14ac:dyDescent="0.25">
      <c r="D900" s="34"/>
      <c r="F900" s="30"/>
      <c r="K900" s="30"/>
    </row>
    <row r="901" spans="4:11" x14ac:dyDescent="0.25">
      <c r="D901" s="34"/>
      <c r="F901" s="30"/>
      <c r="K901" s="30"/>
    </row>
    <row r="902" spans="4:11" x14ac:dyDescent="0.25">
      <c r="D902" s="34"/>
      <c r="F902" s="30"/>
      <c r="K902" s="30"/>
    </row>
    <row r="903" spans="4:11" x14ac:dyDescent="0.25">
      <c r="D903" s="34"/>
      <c r="F903" s="30"/>
      <c r="K903" s="30"/>
    </row>
    <row r="904" spans="4:11" x14ac:dyDescent="0.25">
      <c r="D904" s="34"/>
      <c r="F904" s="30"/>
      <c r="K904" s="30"/>
    </row>
    <row r="905" spans="4:11" x14ac:dyDescent="0.25">
      <c r="D905" s="34"/>
      <c r="F905" s="30"/>
      <c r="K905" s="30"/>
    </row>
    <row r="906" spans="4:11" x14ac:dyDescent="0.25">
      <c r="D906" s="34"/>
      <c r="F906" s="30"/>
      <c r="K906" s="30"/>
    </row>
    <row r="907" spans="4:11" x14ac:dyDescent="0.25">
      <c r="D907" s="34"/>
      <c r="F907" s="30"/>
      <c r="K907" s="30"/>
    </row>
    <row r="908" spans="4:11" x14ac:dyDescent="0.25">
      <c r="D908" s="34"/>
      <c r="F908" s="30"/>
      <c r="K908" s="30"/>
    </row>
    <row r="909" spans="4:11" x14ac:dyDescent="0.25">
      <c r="D909" s="34"/>
      <c r="F909" s="30"/>
      <c r="K909" s="30"/>
    </row>
    <row r="910" spans="4:11" x14ac:dyDescent="0.25">
      <c r="D910" s="34"/>
      <c r="F910" s="30"/>
      <c r="K910" s="30"/>
    </row>
    <row r="911" spans="4:11" x14ac:dyDescent="0.25">
      <c r="D911" s="34"/>
      <c r="F911" s="30"/>
      <c r="K911" s="30"/>
    </row>
    <row r="912" spans="4:11" x14ac:dyDescent="0.25">
      <c r="D912" s="34"/>
      <c r="F912" s="30"/>
      <c r="K912" s="30"/>
    </row>
    <row r="913" spans="4:11" x14ac:dyDescent="0.25">
      <c r="D913" s="34"/>
      <c r="F913" s="30"/>
      <c r="K913" s="30"/>
    </row>
    <row r="914" spans="4:11" x14ac:dyDescent="0.25">
      <c r="D914" s="34"/>
      <c r="F914" s="30"/>
      <c r="K914" s="30"/>
    </row>
    <row r="915" spans="4:11" x14ac:dyDescent="0.25">
      <c r="D915" s="34"/>
      <c r="F915" s="30"/>
      <c r="K915" s="30"/>
    </row>
    <row r="916" spans="4:11" x14ac:dyDescent="0.25">
      <c r="D916" s="34"/>
      <c r="F916" s="30"/>
      <c r="K916" s="30"/>
    </row>
    <row r="917" spans="4:11" x14ac:dyDescent="0.25">
      <c r="D917" s="34"/>
      <c r="F917" s="30"/>
      <c r="K917" s="30"/>
    </row>
    <row r="918" spans="4:11" x14ac:dyDescent="0.25">
      <c r="D918" s="34"/>
      <c r="F918" s="30"/>
      <c r="K918" s="30"/>
    </row>
    <row r="919" spans="4:11" x14ac:dyDescent="0.25">
      <c r="D919" s="34"/>
      <c r="F919" s="30"/>
      <c r="K919" s="30"/>
    </row>
    <row r="920" spans="4:11" x14ac:dyDescent="0.25">
      <c r="D920" s="34"/>
      <c r="F920" s="30"/>
      <c r="K920" s="30"/>
    </row>
    <row r="921" spans="4:11" x14ac:dyDescent="0.25">
      <c r="D921" s="34"/>
      <c r="F921" s="30"/>
      <c r="K921" s="30"/>
    </row>
    <row r="922" spans="4:11" x14ac:dyDescent="0.25">
      <c r="D922" s="34"/>
      <c r="F922" s="30"/>
      <c r="K922" s="30"/>
    </row>
    <row r="923" spans="4:11" x14ac:dyDescent="0.25">
      <c r="D923" s="34"/>
      <c r="F923" s="30"/>
      <c r="K923" s="30"/>
    </row>
    <row r="924" spans="4:11" x14ac:dyDescent="0.25">
      <c r="D924" s="34"/>
      <c r="F924" s="30"/>
      <c r="K924" s="30"/>
    </row>
    <row r="925" spans="4:11" x14ac:dyDescent="0.25">
      <c r="D925" s="34"/>
      <c r="F925" s="30"/>
      <c r="K925" s="30"/>
    </row>
    <row r="926" spans="4:11" x14ac:dyDescent="0.25">
      <c r="D926" s="34"/>
      <c r="F926" s="30"/>
      <c r="K926" s="30"/>
    </row>
    <row r="927" spans="4:11" x14ac:dyDescent="0.25">
      <c r="D927" s="34"/>
      <c r="F927" s="30"/>
      <c r="K927" s="30"/>
    </row>
    <row r="928" spans="4:11" x14ac:dyDescent="0.25">
      <c r="D928" s="34"/>
      <c r="F928" s="30"/>
      <c r="K928" s="30"/>
    </row>
    <row r="929" spans="4:11" x14ac:dyDescent="0.25">
      <c r="D929" s="34"/>
      <c r="F929" s="30"/>
      <c r="K929" s="30"/>
    </row>
    <row r="930" spans="4:11" x14ac:dyDescent="0.25">
      <c r="D930" s="34"/>
      <c r="F930" s="30"/>
      <c r="K930" s="30"/>
    </row>
    <row r="931" spans="4:11" x14ac:dyDescent="0.25">
      <c r="D931" s="34"/>
      <c r="F931" s="30"/>
      <c r="K931" s="30"/>
    </row>
    <row r="932" spans="4:11" x14ac:dyDescent="0.25">
      <c r="D932" s="34"/>
      <c r="F932" s="30"/>
      <c r="K932" s="30"/>
    </row>
    <row r="933" spans="4:11" x14ac:dyDescent="0.25">
      <c r="D933" s="34"/>
      <c r="F933" s="30"/>
      <c r="K933" s="30"/>
    </row>
    <row r="934" spans="4:11" x14ac:dyDescent="0.25">
      <c r="D934" s="34"/>
      <c r="F934" s="30"/>
      <c r="K934" s="30"/>
    </row>
    <row r="935" spans="4:11" x14ac:dyDescent="0.25">
      <c r="D935" s="34"/>
      <c r="F935" s="30"/>
      <c r="K935" s="30"/>
    </row>
    <row r="936" spans="4:11" x14ac:dyDescent="0.25">
      <c r="D936" s="34"/>
      <c r="F936" s="30"/>
      <c r="K936" s="30"/>
    </row>
    <row r="937" spans="4:11" x14ac:dyDescent="0.25">
      <c r="D937" s="34"/>
      <c r="F937" s="30"/>
      <c r="K937" s="30"/>
    </row>
    <row r="938" spans="4:11" x14ac:dyDescent="0.25">
      <c r="D938" s="34"/>
      <c r="F938" s="30"/>
      <c r="K938" s="30"/>
    </row>
    <row r="939" spans="4:11" x14ac:dyDescent="0.25">
      <c r="D939" s="34"/>
      <c r="F939" s="30"/>
      <c r="K939" s="30"/>
    </row>
    <row r="940" spans="4:11" x14ac:dyDescent="0.25">
      <c r="D940" s="34"/>
      <c r="F940" s="30"/>
      <c r="K940" s="30"/>
    </row>
    <row r="941" spans="4:11" x14ac:dyDescent="0.25">
      <c r="D941" s="34"/>
      <c r="F941" s="30"/>
      <c r="K941" s="30"/>
    </row>
    <row r="942" spans="4:11" x14ac:dyDescent="0.25">
      <c r="D942" s="34"/>
      <c r="F942" s="30"/>
      <c r="K942" s="30"/>
    </row>
    <row r="943" spans="4:11" x14ac:dyDescent="0.25">
      <c r="D943" s="34"/>
      <c r="F943" s="30"/>
      <c r="K943" s="30"/>
    </row>
    <row r="944" spans="4:11" x14ac:dyDescent="0.25">
      <c r="D944" s="34"/>
      <c r="F944" s="30"/>
      <c r="K944" s="30"/>
    </row>
    <row r="945" spans="4:11" x14ac:dyDescent="0.25">
      <c r="D945" s="34"/>
      <c r="F945" s="30"/>
      <c r="K945" s="30"/>
    </row>
    <row r="946" spans="4:11" x14ac:dyDescent="0.25">
      <c r="D946" s="34"/>
      <c r="F946" s="30"/>
      <c r="K946" s="30"/>
    </row>
    <row r="947" spans="4:11" x14ac:dyDescent="0.25">
      <c r="D947" s="34"/>
      <c r="F947" s="30"/>
      <c r="K947" s="30"/>
    </row>
    <row r="948" spans="4:11" x14ac:dyDescent="0.25">
      <c r="D948" s="34"/>
      <c r="F948" s="30"/>
      <c r="K948" s="30"/>
    </row>
    <row r="949" spans="4:11" x14ac:dyDescent="0.25">
      <c r="D949" s="34"/>
      <c r="F949" s="30"/>
      <c r="K949" s="30"/>
    </row>
    <row r="950" spans="4:11" x14ac:dyDescent="0.25">
      <c r="D950" s="34"/>
      <c r="F950" s="30"/>
      <c r="K950" s="30"/>
    </row>
    <row r="951" spans="4:11" x14ac:dyDescent="0.25">
      <c r="D951" s="34"/>
      <c r="F951" s="30"/>
      <c r="K951" s="30"/>
    </row>
    <row r="952" spans="4:11" x14ac:dyDescent="0.25">
      <c r="D952" s="34"/>
      <c r="F952" s="30"/>
      <c r="K952" s="30"/>
    </row>
    <row r="953" spans="4:11" x14ac:dyDescent="0.25">
      <c r="D953" s="34"/>
      <c r="F953" s="30"/>
      <c r="K953" s="30"/>
    </row>
    <row r="954" spans="4:11" x14ac:dyDescent="0.25">
      <c r="D954" s="34"/>
      <c r="F954" s="30"/>
      <c r="K954" s="30"/>
    </row>
    <row r="955" spans="4:11" x14ac:dyDescent="0.25">
      <c r="D955" s="34"/>
      <c r="F955" s="30"/>
      <c r="K955" s="30"/>
    </row>
    <row r="956" spans="4:11" x14ac:dyDescent="0.25">
      <c r="D956" s="34"/>
      <c r="F956" s="30"/>
      <c r="K956" s="30"/>
    </row>
    <row r="957" spans="4:11" x14ac:dyDescent="0.25">
      <c r="D957" s="34"/>
      <c r="F957" s="30"/>
      <c r="K957" s="30"/>
    </row>
    <row r="958" spans="4:11" x14ac:dyDescent="0.25">
      <c r="D958" s="34"/>
      <c r="F958" s="30"/>
      <c r="K958" s="30"/>
    </row>
    <row r="959" spans="4:11" x14ac:dyDescent="0.25">
      <c r="D959" s="34"/>
      <c r="F959" s="30"/>
      <c r="K959" s="30"/>
    </row>
    <row r="960" spans="4:11" x14ac:dyDescent="0.25">
      <c r="D960" s="34"/>
      <c r="F960" s="30"/>
      <c r="K960" s="30"/>
    </row>
    <row r="961" spans="4:11" x14ac:dyDescent="0.25">
      <c r="D961" s="34"/>
      <c r="F961" s="30"/>
      <c r="K961" s="30"/>
    </row>
    <row r="962" spans="4:11" x14ac:dyDescent="0.25">
      <c r="D962" s="34"/>
      <c r="F962" s="30"/>
      <c r="K962" s="30"/>
    </row>
    <row r="963" spans="4:11" x14ac:dyDescent="0.25">
      <c r="D963" s="34"/>
      <c r="F963" s="30"/>
      <c r="K963" s="30"/>
    </row>
    <row r="964" spans="4:11" x14ac:dyDescent="0.25">
      <c r="D964" s="34"/>
      <c r="F964" s="30"/>
      <c r="K964" s="30"/>
    </row>
    <row r="965" spans="4:11" x14ac:dyDescent="0.25">
      <c r="D965" s="34"/>
      <c r="F965" s="30"/>
      <c r="K965" s="30"/>
    </row>
    <row r="966" spans="4:11" x14ac:dyDescent="0.25">
      <c r="D966" s="34"/>
      <c r="F966" s="30"/>
      <c r="K966" s="30"/>
    </row>
    <row r="967" spans="4:11" x14ac:dyDescent="0.25">
      <c r="D967" s="34"/>
      <c r="F967" s="30"/>
      <c r="K967" s="30"/>
    </row>
    <row r="968" spans="4:11" x14ac:dyDescent="0.25">
      <c r="D968" s="34"/>
      <c r="F968" s="30"/>
      <c r="K968" s="30"/>
    </row>
    <row r="969" spans="4:11" x14ac:dyDescent="0.25">
      <c r="D969" s="34"/>
      <c r="F969" s="30"/>
      <c r="K969" s="30"/>
    </row>
    <row r="970" spans="4:11" x14ac:dyDescent="0.25">
      <c r="D970" s="34"/>
      <c r="F970" s="30"/>
      <c r="K970" s="30"/>
    </row>
    <row r="971" spans="4:11" x14ac:dyDescent="0.25">
      <c r="D971" s="34"/>
      <c r="F971" s="30"/>
      <c r="K971" s="30"/>
    </row>
    <row r="972" spans="4:11" x14ac:dyDescent="0.25">
      <c r="D972" s="34"/>
      <c r="F972" s="30"/>
      <c r="K972" s="30"/>
    </row>
    <row r="973" spans="4:11" x14ac:dyDescent="0.25">
      <c r="D973" s="34"/>
      <c r="F973" s="30"/>
      <c r="K973" s="30"/>
    </row>
    <row r="974" spans="4:11" x14ac:dyDescent="0.25">
      <c r="D974" s="34"/>
      <c r="F974" s="30"/>
      <c r="K974" s="30"/>
    </row>
    <row r="975" spans="4:11" x14ac:dyDescent="0.25">
      <c r="D975" s="34"/>
      <c r="F975" s="30"/>
      <c r="K975" s="30"/>
    </row>
    <row r="976" spans="4:11" x14ac:dyDescent="0.25">
      <c r="D976" s="34"/>
      <c r="F976" s="30"/>
      <c r="K976" s="30"/>
    </row>
    <row r="977" spans="4:11" x14ac:dyDescent="0.25">
      <c r="D977" s="34"/>
      <c r="F977" s="30"/>
      <c r="K977" s="30"/>
    </row>
    <row r="978" spans="4:11" x14ac:dyDescent="0.25">
      <c r="D978" s="34"/>
      <c r="F978" s="30"/>
      <c r="K978" s="30"/>
    </row>
    <row r="979" spans="4:11" x14ac:dyDescent="0.25">
      <c r="D979" s="34"/>
      <c r="F979" s="30"/>
      <c r="K979" s="30"/>
    </row>
    <row r="980" spans="4:11" x14ac:dyDescent="0.25">
      <c r="D980" s="34"/>
      <c r="F980" s="30"/>
      <c r="K980" s="30"/>
    </row>
    <row r="981" spans="4:11" x14ac:dyDescent="0.25">
      <c r="D981" s="34"/>
      <c r="F981" s="30"/>
      <c r="K981" s="30"/>
    </row>
    <row r="982" spans="4:11" x14ac:dyDescent="0.25">
      <c r="D982" s="34"/>
      <c r="F982" s="30"/>
      <c r="K982" s="30"/>
    </row>
    <row r="983" spans="4:11" x14ac:dyDescent="0.25">
      <c r="D983" s="34"/>
      <c r="F983" s="30"/>
      <c r="K983" s="30"/>
    </row>
    <row r="984" spans="4:11" x14ac:dyDescent="0.25">
      <c r="D984" s="34"/>
      <c r="F984" s="30"/>
      <c r="K984" s="30"/>
    </row>
    <row r="985" spans="4:11" x14ac:dyDescent="0.25">
      <c r="D985" s="34"/>
      <c r="F985" s="30"/>
      <c r="K985" s="30"/>
    </row>
    <row r="986" spans="4:11" x14ac:dyDescent="0.25">
      <c r="D986" s="34"/>
      <c r="F986" s="30"/>
      <c r="K986" s="30"/>
    </row>
    <row r="987" spans="4:11" x14ac:dyDescent="0.25">
      <c r="D987" s="34"/>
      <c r="F987" s="30"/>
      <c r="K987" s="30"/>
    </row>
    <row r="988" spans="4:11" x14ac:dyDescent="0.25">
      <c r="D988" s="34"/>
      <c r="F988" s="30"/>
      <c r="K988" s="30"/>
    </row>
    <row r="989" spans="4:11" x14ac:dyDescent="0.25">
      <c r="D989" s="34"/>
      <c r="F989" s="30"/>
      <c r="K989" s="30"/>
    </row>
    <row r="990" spans="4:11" x14ac:dyDescent="0.25">
      <c r="D990" s="34"/>
      <c r="F990" s="30"/>
      <c r="K990" s="30"/>
    </row>
    <row r="991" spans="4:11" x14ac:dyDescent="0.25">
      <c r="D991" s="34"/>
      <c r="F991" s="30"/>
      <c r="K991" s="30"/>
    </row>
    <row r="992" spans="4:11" x14ac:dyDescent="0.25">
      <c r="D992" s="34"/>
      <c r="F992" s="30"/>
      <c r="K992" s="30"/>
    </row>
    <row r="993" spans="4:11" x14ac:dyDescent="0.25">
      <c r="D993" s="34"/>
      <c r="F993" s="30"/>
      <c r="K993" s="30"/>
    </row>
    <row r="994" spans="4:11" x14ac:dyDescent="0.25">
      <c r="D994" s="34"/>
      <c r="F994" s="30"/>
      <c r="K994" s="30"/>
    </row>
    <row r="995" spans="4:11" x14ac:dyDescent="0.25">
      <c r="D995" s="34"/>
      <c r="F995" s="30"/>
      <c r="K995" s="30"/>
    </row>
    <row r="996" spans="4:11" x14ac:dyDescent="0.25">
      <c r="D996" s="34"/>
      <c r="F996" s="30"/>
      <c r="K996" s="30"/>
    </row>
    <row r="997" spans="4:11" x14ac:dyDescent="0.25">
      <c r="D997" s="34"/>
      <c r="F997" s="30"/>
      <c r="K997" s="30"/>
    </row>
    <row r="998" spans="4:11" x14ac:dyDescent="0.25">
      <c r="D998" s="34"/>
      <c r="F998" s="30"/>
      <c r="K998" s="30"/>
    </row>
    <row r="999" spans="4:11" x14ac:dyDescent="0.25">
      <c r="D999" s="34"/>
      <c r="F999" s="30"/>
      <c r="K999" s="30"/>
    </row>
    <row r="1000" spans="4:11" x14ac:dyDescent="0.25">
      <c r="D1000" s="34"/>
      <c r="F1000" s="30"/>
      <c r="K1000" s="30"/>
    </row>
    <row r="1001" spans="4:11" x14ac:dyDescent="0.25">
      <c r="D1001" s="34"/>
      <c r="F1001" s="30"/>
      <c r="K1001" s="30"/>
    </row>
    <row r="1002" spans="4:11" x14ac:dyDescent="0.25">
      <c r="D1002" s="34"/>
      <c r="F1002" s="30"/>
      <c r="K1002" s="30"/>
    </row>
    <row r="1003" spans="4:11" x14ac:dyDescent="0.25">
      <c r="D1003" s="34"/>
      <c r="F1003" s="30"/>
      <c r="K1003" s="30"/>
    </row>
    <row r="1004" spans="4:11" x14ac:dyDescent="0.25">
      <c r="D1004" s="34"/>
      <c r="F1004" s="30"/>
      <c r="K1004" s="30"/>
    </row>
    <row r="1005" spans="4:11" x14ac:dyDescent="0.25">
      <c r="D1005" s="34"/>
      <c r="F1005" s="30"/>
      <c r="K1005" s="30"/>
    </row>
    <row r="1006" spans="4:11" x14ac:dyDescent="0.25">
      <c r="D1006" s="34"/>
      <c r="F1006" s="30"/>
      <c r="K1006" s="30"/>
    </row>
    <row r="1007" spans="4:11" x14ac:dyDescent="0.25">
      <c r="D1007" s="34"/>
      <c r="F1007" s="30"/>
      <c r="K1007" s="30"/>
    </row>
    <row r="1008" spans="4:11" x14ac:dyDescent="0.25">
      <c r="D1008" s="34"/>
      <c r="F1008" s="30"/>
      <c r="K1008" s="30"/>
    </row>
    <row r="1009" spans="4:11" x14ac:dyDescent="0.25">
      <c r="D1009" s="34"/>
      <c r="F1009" s="30"/>
      <c r="K1009" s="30"/>
    </row>
    <row r="1010" spans="4:11" x14ac:dyDescent="0.25">
      <c r="D1010" s="34"/>
      <c r="F1010" s="30"/>
      <c r="K1010" s="30"/>
    </row>
    <row r="1011" spans="4:11" x14ac:dyDescent="0.25">
      <c r="D1011" s="34"/>
      <c r="F1011" s="30"/>
      <c r="K1011" s="30"/>
    </row>
    <row r="1012" spans="4:11" x14ac:dyDescent="0.25">
      <c r="D1012" s="34"/>
      <c r="F1012" s="30"/>
      <c r="K1012" s="30"/>
    </row>
    <row r="1013" spans="4:11" x14ac:dyDescent="0.25">
      <c r="D1013" s="34"/>
      <c r="F1013" s="30"/>
      <c r="K1013" s="30"/>
    </row>
    <row r="1014" spans="4:11" x14ac:dyDescent="0.25">
      <c r="D1014" s="34"/>
      <c r="F1014" s="30"/>
      <c r="K1014" s="30"/>
    </row>
    <row r="1015" spans="4:11" x14ac:dyDescent="0.25">
      <c r="D1015" s="34"/>
      <c r="F1015" s="30"/>
      <c r="K1015" s="30"/>
    </row>
    <row r="1016" spans="4:11" x14ac:dyDescent="0.25">
      <c r="D1016" s="34"/>
      <c r="F1016" s="30"/>
      <c r="K1016" s="30"/>
    </row>
    <row r="1017" spans="4:11" x14ac:dyDescent="0.25">
      <c r="D1017" s="34"/>
      <c r="F1017" s="30"/>
      <c r="K1017" s="30"/>
    </row>
    <row r="1018" spans="4:11" x14ac:dyDescent="0.25">
      <c r="D1018" s="34"/>
      <c r="F1018" s="30"/>
      <c r="K1018" s="30"/>
    </row>
    <row r="1019" spans="4:11" x14ac:dyDescent="0.25">
      <c r="D1019" s="34"/>
      <c r="F1019" s="30"/>
      <c r="K1019" s="30"/>
    </row>
    <row r="1020" spans="4:11" x14ac:dyDescent="0.25">
      <c r="D1020" s="34"/>
      <c r="F1020" s="30"/>
      <c r="K1020" s="30"/>
    </row>
    <row r="1021" spans="4:11" x14ac:dyDescent="0.25">
      <c r="D1021" s="34"/>
      <c r="F1021" s="30"/>
      <c r="K1021" s="30"/>
    </row>
    <row r="1022" spans="4:11" x14ac:dyDescent="0.25">
      <c r="D1022" s="34"/>
      <c r="F1022" s="30"/>
      <c r="K1022" s="30"/>
    </row>
    <row r="1023" spans="4:11" x14ac:dyDescent="0.25">
      <c r="D1023" s="34"/>
      <c r="F1023" s="30"/>
      <c r="K1023" s="30"/>
    </row>
    <row r="1024" spans="4:11" x14ac:dyDescent="0.25">
      <c r="D1024" s="34"/>
      <c r="F1024" s="30"/>
      <c r="K1024" s="30"/>
    </row>
    <row r="1025" spans="4:11" x14ac:dyDescent="0.25">
      <c r="D1025" s="34"/>
      <c r="F1025" s="30"/>
      <c r="K1025" s="30"/>
    </row>
    <row r="1026" spans="4:11" x14ac:dyDescent="0.25">
      <c r="D1026" s="34"/>
      <c r="F1026" s="30"/>
      <c r="K1026" s="30"/>
    </row>
    <row r="1027" spans="4:11" x14ac:dyDescent="0.25">
      <c r="D1027" s="34"/>
      <c r="F1027" s="30"/>
      <c r="K1027" s="30"/>
    </row>
    <row r="1028" spans="4:11" x14ac:dyDescent="0.25">
      <c r="D1028" s="34"/>
      <c r="F1028" s="30"/>
      <c r="K1028" s="30"/>
    </row>
    <row r="1029" spans="4:11" x14ac:dyDescent="0.25">
      <c r="D1029" s="34"/>
      <c r="F1029" s="30"/>
      <c r="K1029" s="30"/>
    </row>
    <row r="1030" spans="4:11" x14ac:dyDescent="0.25">
      <c r="D1030" s="34"/>
      <c r="F1030" s="30"/>
      <c r="K1030" s="30"/>
    </row>
    <row r="1031" spans="4:11" x14ac:dyDescent="0.25">
      <c r="D1031" s="34"/>
      <c r="F1031" s="30"/>
      <c r="K1031" s="30"/>
    </row>
    <row r="1032" spans="4:11" x14ac:dyDescent="0.25">
      <c r="D1032" s="34"/>
      <c r="F1032" s="30"/>
      <c r="K1032" s="30"/>
    </row>
    <row r="1033" spans="4:11" x14ac:dyDescent="0.25">
      <c r="D1033" s="34"/>
      <c r="F1033" s="30"/>
      <c r="K1033" s="30"/>
    </row>
    <row r="1034" spans="4:11" x14ac:dyDescent="0.25">
      <c r="D1034" s="34"/>
      <c r="F1034" s="30"/>
      <c r="K1034" s="30"/>
    </row>
    <row r="1035" spans="4:11" x14ac:dyDescent="0.25">
      <c r="D1035" s="34"/>
      <c r="F1035" s="30"/>
      <c r="K1035" s="30"/>
    </row>
    <row r="1036" spans="4:11" x14ac:dyDescent="0.25">
      <c r="D1036" s="34"/>
      <c r="F1036" s="30"/>
      <c r="K1036" s="30"/>
    </row>
    <row r="1037" spans="4:11" x14ac:dyDescent="0.25">
      <c r="D1037" s="34"/>
      <c r="F1037" s="30"/>
      <c r="K1037" s="30"/>
    </row>
    <row r="1038" spans="4:11" x14ac:dyDescent="0.25">
      <c r="D1038" s="34"/>
      <c r="F1038" s="30"/>
      <c r="K1038" s="30"/>
    </row>
    <row r="1039" spans="4:11" x14ac:dyDescent="0.25">
      <c r="D1039" s="34"/>
      <c r="F1039" s="30"/>
      <c r="K1039" s="30"/>
    </row>
    <row r="1040" spans="4:11" x14ac:dyDescent="0.25">
      <c r="D1040" s="34"/>
      <c r="F1040" s="30"/>
      <c r="K1040" s="30"/>
    </row>
    <row r="1041" spans="4:11" x14ac:dyDescent="0.25">
      <c r="D1041" s="34"/>
      <c r="F1041" s="30"/>
      <c r="K1041" s="30"/>
    </row>
    <row r="1042" spans="4:11" x14ac:dyDescent="0.25">
      <c r="D1042" s="34"/>
      <c r="F1042" s="30"/>
      <c r="K1042" s="30"/>
    </row>
    <row r="1043" spans="4:11" x14ac:dyDescent="0.25">
      <c r="D1043" s="34"/>
      <c r="F1043" s="30"/>
      <c r="K1043" s="30"/>
    </row>
    <row r="1044" spans="4:11" x14ac:dyDescent="0.25">
      <c r="D1044" s="34"/>
      <c r="F1044" s="30"/>
      <c r="K1044" s="30"/>
    </row>
    <row r="1045" spans="4:11" x14ac:dyDescent="0.25">
      <c r="D1045" s="34"/>
      <c r="F1045" s="30"/>
      <c r="K1045" s="30"/>
    </row>
    <row r="1046" spans="4:11" x14ac:dyDescent="0.25">
      <c r="D1046" s="34"/>
      <c r="F1046" s="30"/>
      <c r="K1046" s="30"/>
    </row>
    <row r="1047" spans="4:11" x14ac:dyDescent="0.25">
      <c r="D1047" s="34"/>
      <c r="F1047" s="30"/>
      <c r="K1047" s="30"/>
    </row>
    <row r="1048" spans="4:11" x14ac:dyDescent="0.25">
      <c r="D1048" s="34"/>
      <c r="F1048" s="30"/>
      <c r="K1048" s="30"/>
    </row>
    <row r="1049" spans="4:11" x14ac:dyDescent="0.25">
      <c r="D1049" s="34"/>
      <c r="F1049" s="30"/>
      <c r="K1049" s="30"/>
    </row>
    <row r="1050" spans="4:11" x14ac:dyDescent="0.25">
      <c r="D1050" s="34"/>
      <c r="F1050" s="30"/>
      <c r="K1050" s="30"/>
    </row>
    <row r="1051" spans="4:11" x14ac:dyDescent="0.25">
      <c r="D1051" s="34"/>
      <c r="F1051" s="30"/>
      <c r="K1051" s="30"/>
    </row>
    <row r="1052" spans="4:11" x14ac:dyDescent="0.25">
      <c r="D1052" s="34"/>
      <c r="F1052" s="30"/>
      <c r="K1052" s="30"/>
    </row>
    <row r="1053" spans="4:11" x14ac:dyDescent="0.25">
      <c r="D1053" s="34"/>
      <c r="F1053" s="30"/>
      <c r="K1053" s="30"/>
    </row>
    <row r="1054" spans="4:11" x14ac:dyDescent="0.25">
      <c r="D1054" s="34"/>
      <c r="F1054" s="30"/>
      <c r="K1054" s="30"/>
    </row>
    <row r="1055" spans="4:11" x14ac:dyDescent="0.25">
      <c r="D1055" s="34"/>
      <c r="F1055" s="30"/>
      <c r="K1055" s="30"/>
    </row>
    <row r="1056" spans="4:11" x14ac:dyDescent="0.25">
      <c r="D1056" s="34"/>
      <c r="F1056" s="30"/>
      <c r="K1056" s="30"/>
    </row>
    <row r="1057" spans="4:11" x14ac:dyDescent="0.25">
      <c r="D1057" s="34"/>
      <c r="F1057" s="30"/>
      <c r="K1057" s="30"/>
    </row>
    <row r="1058" spans="4:11" x14ac:dyDescent="0.25">
      <c r="D1058" s="34"/>
      <c r="F1058" s="30"/>
      <c r="K1058" s="30"/>
    </row>
    <row r="1059" spans="4:11" x14ac:dyDescent="0.25">
      <c r="D1059" s="34"/>
      <c r="F1059" s="30"/>
      <c r="K1059" s="30"/>
    </row>
    <row r="1060" spans="4:11" x14ac:dyDescent="0.25">
      <c r="D1060" s="34"/>
      <c r="F1060" s="30"/>
      <c r="K1060" s="30"/>
    </row>
    <row r="1061" spans="4:11" x14ac:dyDescent="0.25">
      <c r="D1061" s="34"/>
      <c r="F1061" s="30"/>
      <c r="K1061" s="30"/>
    </row>
    <row r="1062" spans="4:11" x14ac:dyDescent="0.25">
      <c r="D1062" s="34"/>
      <c r="F1062" s="30"/>
      <c r="K1062" s="30"/>
    </row>
    <row r="1063" spans="4:11" x14ac:dyDescent="0.25">
      <c r="D1063" s="34"/>
      <c r="F1063" s="30"/>
      <c r="K1063" s="30"/>
    </row>
    <row r="1064" spans="4:11" x14ac:dyDescent="0.25">
      <c r="D1064" s="34"/>
      <c r="F1064" s="30"/>
      <c r="K1064" s="30"/>
    </row>
    <row r="1065" spans="4:11" x14ac:dyDescent="0.25">
      <c r="D1065" s="34"/>
      <c r="F1065" s="30"/>
      <c r="K1065" s="30"/>
    </row>
    <row r="1066" spans="4:11" x14ac:dyDescent="0.25">
      <c r="D1066" s="34"/>
      <c r="F1066" s="30"/>
      <c r="K1066" s="30"/>
    </row>
    <row r="1067" spans="4:11" x14ac:dyDescent="0.25">
      <c r="D1067" s="34"/>
      <c r="F1067" s="30"/>
      <c r="K1067" s="30"/>
    </row>
    <row r="1068" spans="4:11" x14ac:dyDescent="0.25">
      <c r="D1068" s="34"/>
      <c r="F1068" s="30"/>
      <c r="K1068" s="30"/>
    </row>
    <row r="1069" spans="4:11" x14ac:dyDescent="0.25">
      <c r="D1069" s="34"/>
      <c r="F1069" s="30"/>
      <c r="K1069" s="30"/>
    </row>
    <row r="1070" spans="4:11" x14ac:dyDescent="0.25">
      <c r="D1070" s="34"/>
      <c r="F1070" s="30"/>
      <c r="K1070" s="30"/>
    </row>
    <row r="1071" spans="4:11" x14ac:dyDescent="0.25">
      <c r="D1071" s="34"/>
      <c r="F1071" s="30"/>
      <c r="K1071" s="30"/>
    </row>
    <row r="1072" spans="4:11" x14ac:dyDescent="0.25">
      <c r="D1072" s="34"/>
      <c r="F1072" s="30"/>
      <c r="K1072" s="30"/>
    </row>
    <row r="1073" spans="4:11" x14ac:dyDescent="0.25">
      <c r="D1073" s="34"/>
      <c r="F1073" s="30"/>
      <c r="K1073" s="30"/>
    </row>
    <row r="1074" spans="4:11" x14ac:dyDescent="0.25">
      <c r="D1074" s="34"/>
      <c r="F1074" s="30"/>
      <c r="K1074" s="30"/>
    </row>
    <row r="1075" spans="4:11" x14ac:dyDescent="0.25">
      <c r="D1075" s="34"/>
      <c r="F1075" s="30"/>
      <c r="K1075" s="30"/>
    </row>
    <row r="1076" spans="4:11" x14ac:dyDescent="0.25">
      <c r="D1076" s="34"/>
      <c r="F1076" s="30"/>
      <c r="K1076" s="30"/>
    </row>
    <row r="1077" spans="4:11" x14ac:dyDescent="0.25">
      <c r="D1077" s="34"/>
      <c r="F1077" s="30"/>
      <c r="K1077" s="30"/>
    </row>
    <row r="1078" spans="4:11" x14ac:dyDescent="0.25">
      <c r="D1078" s="34"/>
      <c r="F1078" s="30"/>
      <c r="K1078" s="30"/>
    </row>
    <row r="1079" spans="4:11" x14ac:dyDescent="0.25">
      <c r="D1079" s="34"/>
      <c r="F1079" s="30"/>
      <c r="K1079" s="30"/>
    </row>
    <row r="1080" spans="4:11" x14ac:dyDescent="0.25">
      <c r="D1080" s="34"/>
      <c r="F1080" s="30"/>
      <c r="K1080" s="30"/>
    </row>
    <row r="1081" spans="4:11" x14ac:dyDescent="0.25">
      <c r="D1081" s="34"/>
      <c r="F1081" s="30"/>
      <c r="K1081" s="30"/>
    </row>
    <row r="1082" spans="4:11" x14ac:dyDescent="0.25">
      <c r="D1082" s="34"/>
      <c r="F1082" s="30"/>
      <c r="K1082" s="30"/>
    </row>
    <row r="1083" spans="4:11" x14ac:dyDescent="0.25">
      <c r="D1083" s="34"/>
      <c r="F1083" s="30"/>
      <c r="K1083" s="30"/>
    </row>
    <row r="1084" spans="4:11" x14ac:dyDescent="0.25">
      <c r="D1084" s="34"/>
      <c r="F1084" s="30"/>
      <c r="K1084" s="30"/>
    </row>
    <row r="1085" spans="4:11" x14ac:dyDescent="0.25">
      <c r="D1085" s="34"/>
      <c r="F1085" s="30"/>
      <c r="K1085" s="30"/>
    </row>
    <row r="1086" spans="4:11" x14ac:dyDescent="0.25">
      <c r="D1086" s="34"/>
      <c r="F1086" s="30"/>
      <c r="K1086" s="30"/>
    </row>
    <row r="1087" spans="4:11" x14ac:dyDescent="0.25">
      <c r="D1087" s="34"/>
      <c r="F1087" s="30"/>
      <c r="K1087" s="30"/>
    </row>
    <row r="1088" spans="4:11" x14ac:dyDescent="0.25">
      <c r="D1088" s="34"/>
      <c r="F1088" s="30"/>
      <c r="K1088" s="30"/>
    </row>
    <row r="1089" spans="4:11" x14ac:dyDescent="0.25">
      <c r="D1089" s="34"/>
      <c r="F1089" s="30"/>
      <c r="K1089" s="30"/>
    </row>
    <row r="1090" spans="4:11" x14ac:dyDescent="0.25">
      <c r="D1090" s="34"/>
      <c r="F1090" s="30"/>
      <c r="K1090" s="30"/>
    </row>
    <row r="1091" spans="4:11" x14ac:dyDescent="0.25">
      <c r="D1091" s="34"/>
      <c r="F1091" s="30"/>
      <c r="K1091" s="30"/>
    </row>
    <row r="1092" spans="4:11" x14ac:dyDescent="0.25">
      <c r="D1092" s="34"/>
      <c r="F1092" s="30"/>
      <c r="K1092" s="30"/>
    </row>
    <row r="1093" spans="4:11" x14ac:dyDescent="0.25">
      <c r="D1093" s="34"/>
      <c r="F1093" s="30"/>
      <c r="K1093" s="30"/>
    </row>
    <row r="1094" spans="4:11" x14ac:dyDescent="0.25">
      <c r="D1094" s="34"/>
      <c r="F1094" s="30"/>
      <c r="K1094" s="30"/>
    </row>
    <row r="1095" spans="4:11" x14ac:dyDescent="0.25">
      <c r="D1095" s="34"/>
      <c r="F1095" s="30"/>
      <c r="K1095" s="30"/>
    </row>
    <row r="1096" spans="4:11" x14ac:dyDescent="0.25">
      <c r="D1096" s="34"/>
      <c r="F1096" s="30"/>
      <c r="K1096" s="30"/>
    </row>
    <row r="1097" spans="4:11" x14ac:dyDescent="0.25">
      <c r="D1097" s="34"/>
      <c r="F1097" s="30"/>
      <c r="K1097" s="30"/>
    </row>
    <row r="1098" spans="4:11" x14ac:dyDescent="0.25">
      <c r="D1098" s="34"/>
      <c r="F1098" s="30"/>
      <c r="K1098" s="30"/>
    </row>
    <row r="1099" spans="4:11" x14ac:dyDescent="0.25">
      <c r="D1099" s="34"/>
      <c r="F1099" s="30"/>
      <c r="K1099" s="30"/>
    </row>
    <row r="1100" spans="4:11" x14ac:dyDescent="0.25">
      <c r="D1100" s="34"/>
      <c r="F1100" s="30"/>
      <c r="K1100" s="30"/>
    </row>
    <row r="1101" spans="4:11" x14ac:dyDescent="0.25">
      <c r="D1101" s="34"/>
      <c r="F1101" s="30"/>
      <c r="K1101" s="30"/>
    </row>
    <row r="1102" spans="4:11" x14ac:dyDescent="0.25">
      <c r="D1102" s="34"/>
      <c r="F1102" s="30"/>
      <c r="K1102" s="30"/>
    </row>
    <row r="1103" spans="4:11" x14ac:dyDescent="0.25">
      <c r="D1103" s="34"/>
      <c r="F1103" s="30"/>
      <c r="K1103" s="30"/>
    </row>
    <row r="1104" spans="4:11" x14ac:dyDescent="0.25">
      <c r="D1104" s="34"/>
      <c r="F1104" s="30"/>
      <c r="K1104" s="30"/>
    </row>
    <row r="1105" spans="4:11" x14ac:dyDescent="0.25">
      <c r="D1105" s="34"/>
      <c r="F1105" s="30"/>
      <c r="K1105" s="30"/>
    </row>
    <row r="1106" spans="4:11" x14ac:dyDescent="0.25">
      <c r="D1106" s="34"/>
      <c r="F1106" s="30"/>
      <c r="K1106" s="30"/>
    </row>
    <row r="1107" spans="4:11" x14ac:dyDescent="0.25">
      <c r="D1107" s="34"/>
      <c r="F1107" s="30"/>
      <c r="K1107" s="30"/>
    </row>
    <row r="1108" spans="4:11" x14ac:dyDescent="0.25">
      <c r="D1108" s="34"/>
      <c r="F1108" s="30"/>
      <c r="K1108" s="30"/>
    </row>
    <row r="1109" spans="4:11" x14ac:dyDescent="0.25">
      <c r="D1109" s="34"/>
      <c r="F1109" s="30"/>
      <c r="K1109" s="30"/>
    </row>
    <row r="1110" spans="4:11" x14ac:dyDescent="0.25">
      <c r="D1110" s="34"/>
      <c r="F1110" s="30"/>
      <c r="K1110" s="30"/>
    </row>
    <row r="1111" spans="4:11" x14ac:dyDescent="0.25">
      <c r="D1111" s="34"/>
      <c r="F1111" s="30"/>
      <c r="K1111" s="30"/>
    </row>
    <row r="1112" spans="4:11" x14ac:dyDescent="0.25">
      <c r="D1112" s="34"/>
      <c r="F1112" s="30"/>
      <c r="K1112" s="30"/>
    </row>
    <row r="1113" spans="4:11" x14ac:dyDescent="0.25">
      <c r="D1113" s="34"/>
      <c r="F1113" s="30"/>
      <c r="K1113" s="30"/>
    </row>
    <row r="1114" spans="4:11" x14ac:dyDescent="0.25">
      <c r="D1114" s="34"/>
      <c r="F1114" s="30"/>
      <c r="K1114" s="30"/>
    </row>
    <row r="1115" spans="4:11" x14ac:dyDescent="0.25">
      <c r="D1115" s="34"/>
      <c r="F1115" s="30"/>
      <c r="K1115" s="30"/>
    </row>
    <row r="1116" spans="4:11" x14ac:dyDescent="0.25">
      <c r="D1116" s="34"/>
      <c r="F1116" s="30"/>
      <c r="K1116" s="30"/>
    </row>
    <row r="1117" spans="4:11" x14ac:dyDescent="0.25">
      <c r="D1117" s="34"/>
      <c r="F1117" s="30"/>
      <c r="K1117" s="30"/>
    </row>
    <row r="1118" spans="4:11" x14ac:dyDescent="0.25">
      <c r="D1118" s="34"/>
      <c r="F1118" s="30"/>
      <c r="K1118" s="30"/>
    </row>
    <row r="1119" spans="4:11" x14ac:dyDescent="0.25">
      <c r="D1119" s="34"/>
      <c r="F1119" s="30"/>
      <c r="K1119" s="30"/>
    </row>
    <row r="1120" spans="4:11" x14ac:dyDescent="0.25">
      <c r="D1120" s="34"/>
      <c r="F1120" s="30"/>
      <c r="K1120" s="30"/>
    </row>
    <row r="1121" spans="4:11" x14ac:dyDescent="0.25">
      <c r="D1121" s="34"/>
      <c r="F1121" s="30"/>
      <c r="K1121" s="30"/>
    </row>
    <row r="1122" spans="4:11" x14ac:dyDescent="0.25">
      <c r="D1122" s="34"/>
      <c r="F1122" s="30"/>
      <c r="K1122" s="30"/>
    </row>
    <row r="1123" spans="4:11" x14ac:dyDescent="0.25">
      <c r="D1123" s="34"/>
      <c r="F1123" s="30"/>
      <c r="K1123" s="30"/>
    </row>
    <row r="1124" spans="4:11" x14ac:dyDescent="0.25">
      <c r="D1124" s="34"/>
      <c r="F1124" s="30"/>
      <c r="K1124" s="30"/>
    </row>
    <row r="1125" spans="4:11" x14ac:dyDescent="0.25">
      <c r="D1125" s="34"/>
      <c r="F1125" s="30"/>
      <c r="K1125" s="30"/>
    </row>
    <row r="1126" spans="4:11" x14ac:dyDescent="0.25">
      <c r="D1126" s="34"/>
      <c r="F1126" s="30"/>
      <c r="K1126" s="30"/>
    </row>
    <row r="1127" spans="4:11" x14ac:dyDescent="0.25">
      <c r="D1127" s="34"/>
      <c r="F1127" s="30"/>
      <c r="K1127" s="30"/>
    </row>
    <row r="1128" spans="4:11" x14ac:dyDescent="0.25">
      <c r="D1128" s="34"/>
      <c r="F1128" s="30"/>
      <c r="K1128" s="30"/>
    </row>
    <row r="1129" spans="4:11" x14ac:dyDescent="0.25">
      <c r="D1129" s="34"/>
      <c r="F1129" s="30"/>
      <c r="K1129" s="30"/>
    </row>
    <row r="1130" spans="4:11" x14ac:dyDescent="0.25">
      <c r="D1130" s="34"/>
      <c r="F1130" s="30"/>
      <c r="K1130" s="30"/>
    </row>
    <row r="1131" spans="4:11" x14ac:dyDescent="0.25">
      <c r="D1131" s="34"/>
      <c r="F1131" s="30"/>
      <c r="K1131" s="30"/>
    </row>
    <row r="1132" spans="4:11" x14ac:dyDescent="0.25">
      <c r="D1132" s="34"/>
      <c r="F1132" s="30"/>
      <c r="K1132" s="30"/>
    </row>
    <row r="1133" spans="4:11" x14ac:dyDescent="0.25">
      <c r="D1133" s="34"/>
      <c r="F1133" s="30"/>
      <c r="K1133" s="30"/>
    </row>
    <row r="1134" spans="4:11" x14ac:dyDescent="0.25">
      <c r="D1134" s="34"/>
      <c r="F1134" s="30"/>
      <c r="K1134" s="30"/>
    </row>
    <row r="1135" spans="4:11" x14ac:dyDescent="0.25">
      <c r="D1135" s="34"/>
      <c r="F1135" s="30"/>
      <c r="K1135" s="30"/>
    </row>
    <row r="1136" spans="4:11" x14ac:dyDescent="0.25">
      <c r="D1136" s="34"/>
      <c r="F1136" s="30"/>
      <c r="K1136" s="30"/>
    </row>
    <row r="1137" spans="4:11" x14ac:dyDescent="0.25">
      <c r="D1137" s="34"/>
      <c r="F1137" s="30"/>
      <c r="K1137" s="30"/>
    </row>
    <row r="1138" spans="4:11" x14ac:dyDescent="0.25">
      <c r="D1138" s="34"/>
      <c r="F1138" s="30"/>
      <c r="K1138" s="30"/>
    </row>
    <row r="1139" spans="4:11" x14ac:dyDescent="0.25">
      <c r="D1139" s="34"/>
      <c r="F1139" s="30"/>
      <c r="K1139" s="30"/>
    </row>
    <row r="1140" spans="4:11" x14ac:dyDescent="0.25">
      <c r="D1140" s="34"/>
      <c r="F1140" s="30"/>
      <c r="K1140" s="30"/>
    </row>
    <row r="1141" spans="4:11" x14ac:dyDescent="0.25">
      <c r="D1141" s="34"/>
      <c r="F1141" s="30"/>
      <c r="K1141" s="30"/>
    </row>
    <row r="1142" spans="4:11" x14ac:dyDescent="0.25">
      <c r="D1142" s="34"/>
      <c r="F1142" s="30"/>
      <c r="K1142" s="30"/>
    </row>
    <row r="1143" spans="4:11" x14ac:dyDescent="0.25">
      <c r="D1143" s="34"/>
      <c r="F1143" s="30"/>
      <c r="K1143" s="30"/>
    </row>
    <row r="1144" spans="4:11" x14ac:dyDescent="0.25">
      <c r="D1144" s="34"/>
      <c r="F1144" s="30"/>
      <c r="K1144" s="30"/>
    </row>
    <row r="1145" spans="4:11" x14ac:dyDescent="0.25">
      <c r="D1145" s="34"/>
      <c r="F1145" s="30"/>
      <c r="K1145" s="30"/>
    </row>
    <row r="1146" spans="4:11" x14ac:dyDescent="0.25">
      <c r="D1146" s="34"/>
      <c r="F1146" s="30"/>
      <c r="K1146" s="30"/>
    </row>
    <row r="1147" spans="4:11" x14ac:dyDescent="0.25">
      <c r="D1147" s="34"/>
      <c r="F1147" s="30"/>
      <c r="K1147" s="30"/>
    </row>
    <row r="1148" spans="4:11" x14ac:dyDescent="0.25">
      <c r="D1148" s="34"/>
      <c r="F1148" s="30"/>
      <c r="K1148" s="30"/>
    </row>
    <row r="1149" spans="4:11" x14ac:dyDescent="0.25">
      <c r="D1149" s="34"/>
      <c r="F1149" s="30"/>
      <c r="K1149" s="30"/>
    </row>
    <row r="1150" spans="4:11" x14ac:dyDescent="0.25">
      <c r="D1150" s="34"/>
      <c r="F1150" s="30"/>
      <c r="K1150" s="30"/>
    </row>
    <row r="1151" spans="4:11" x14ac:dyDescent="0.25">
      <c r="D1151" s="34"/>
      <c r="F1151" s="30"/>
      <c r="K1151" s="30"/>
    </row>
    <row r="1152" spans="4:11" x14ac:dyDescent="0.25">
      <c r="D1152" s="34"/>
      <c r="F1152" s="30"/>
      <c r="K1152" s="30"/>
    </row>
    <row r="1153" spans="4:11" x14ac:dyDescent="0.25">
      <c r="D1153" s="34"/>
      <c r="F1153" s="30"/>
      <c r="K1153" s="30"/>
    </row>
    <row r="1154" spans="4:11" x14ac:dyDescent="0.25">
      <c r="D1154" s="34"/>
      <c r="F1154" s="30"/>
      <c r="K1154" s="30"/>
    </row>
    <row r="1155" spans="4:11" x14ac:dyDescent="0.25">
      <c r="D1155" s="34"/>
      <c r="F1155" s="30"/>
      <c r="K1155" s="30"/>
    </row>
    <row r="1156" spans="4:11" x14ac:dyDescent="0.25">
      <c r="D1156" s="34"/>
      <c r="F1156" s="30"/>
      <c r="K1156" s="30"/>
    </row>
    <row r="1157" spans="4:11" x14ac:dyDescent="0.25">
      <c r="D1157" s="34"/>
      <c r="F1157" s="30"/>
      <c r="K1157" s="30"/>
    </row>
    <row r="1158" spans="4:11" x14ac:dyDescent="0.25">
      <c r="D1158" s="34"/>
      <c r="F1158" s="30"/>
      <c r="K1158" s="30"/>
    </row>
    <row r="1159" spans="4:11" x14ac:dyDescent="0.25">
      <c r="D1159" s="34"/>
      <c r="F1159" s="30"/>
      <c r="K1159" s="30"/>
    </row>
    <row r="1160" spans="4:11" x14ac:dyDescent="0.25">
      <c r="D1160" s="34"/>
      <c r="F1160" s="30"/>
      <c r="K1160" s="30"/>
    </row>
    <row r="1161" spans="4:11" x14ac:dyDescent="0.25">
      <c r="D1161" s="34"/>
      <c r="F1161" s="30"/>
      <c r="K1161" s="30"/>
    </row>
    <row r="1162" spans="4:11" x14ac:dyDescent="0.25">
      <c r="D1162" s="34"/>
      <c r="F1162" s="30"/>
      <c r="K1162" s="30"/>
    </row>
    <row r="1163" spans="4:11" x14ac:dyDescent="0.25">
      <c r="D1163" s="34"/>
      <c r="F1163" s="30"/>
      <c r="K1163" s="30"/>
    </row>
    <row r="1164" spans="4:11" x14ac:dyDescent="0.25">
      <c r="D1164" s="34"/>
      <c r="F1164" s="30"/>
      <c r="K1164" s="30"/>
    </row>
    <row r="1165" spans="4:11" x14ac:dyDescent="0.25">
      <c r="D1165" s="34"/>
      <c r="F1165" s="30"/>
      <c r="K1165" s="30"/>
    </row>
    <row r="1166" spans="4:11" x14ac:dyDescent="0.25">
      <c r="D1166" s="34"/>
      <c r="F1166" s="30"/>
      <c r="K1166" s="30"/>
    </row>
    <row r="1167" spans="4:11" x14ac:dyDescent="0.25">
      <c r="D1167" s="34"/>
      <c r="F1167" s="30"/>
      <c r="K1167" s="30"/>
    </row>
    <row r="1168" spans="4:11" x14ac:dyDescent="0.25">
      <c r="D1168" s="34"/>
      <c r="F1168" s="30"/>
      <c r="K1168" s="30"/>
    </row>
    <row r="1169" spans="4:11" x14ac:dyDescent="0.25">
      <c r="D1169" s="34"/>
      <c r="F1169" s="30"/>
      <c r="K1169" s="30"/>
    </row>
    <row r="1170" spans="4:11" x14ac:dyDescent="0.25">
      <c r="D1170" s="34"/>
      <c r="F1170" s="30"/>
      <c r="K1170" s="30"/>
    </row>
    <row r="1171" spans="4:11" x14ac:dyDescent="0.25">
      <c r="D1171" s="34"/>
      <c r="F1171" s="30"/>
      <c r="K1171" s="30"/>
    </row>
    <row r="1172" spans="4:11" x14ac:dyDescent="0.25">
      <c r="D1172" s="34"/>
      <c r="F1172" s="30"/>
      <c r="K1172" s="30"/>
    </row>
    <row r="1173" spans="4:11" x14ac:dyDescent="0.25">
      <c r="D1173" s="34"/>
      <c r="F1173" s="30"/>
      <c r="K1173" s="30"/>
    </row>
    <row r="1174" spans="4:11" x14ac:dyDescent="0.25">
      <c r="D1174" s="34"/>
      <c r="F1174" s="30"/>
      <c r="K1174" s="30"/>
    </row>
    <row r="1175" spans="4:11" x14ac:dyDescent="0.25">
      <c r="D1175" s="34"/>
      <c r="F1175" s="30"/>
      <c r="K1175" s="30"/>
    </row>
    <row r="1176" spans="4:11" x14ac:dyDescent="0.25">
      <c r="D1176" s="34"/>
      <c r="F1176" s="30"/>
      <c r="K1176" s="30"/>
    </row>
    <row r="1177" spans="4:11" x14ac:dyDescent="0.25">
      <c r="D1177" s="34"/>
      <c r="F1177" s="30"/>
      <c r="K1177" s="30"/>
    </row>
    <row r="1178" spans="4:11" x14ac:dyDescent="0.25">
      <c r="D1178" s="34"/>
      <c r="F1178" s="30"/>
      <c r="K1178" s="30"/>
    </row>
    <row r="1179" spans="4:11" x14ac:dyDescent="0.25">
      <c r="D1179" s="34"/>
      <c r="F1179" s="30"/>
      <c r="K1179" s="30"/>
    </row>
    <row r="1180" spans="4:11" x14ac:dyDescent="0.25">
      <c r="D1180" s="34"/>
      <c r="F1180" s="30"/>
      <c r="K1180" s="30"/>
    </row>
    <row r="1181" spans="4:11" x14ac:dyDescent="0.25">
      <c r="D1181" s="34"/>
      <c r="F1181" s="30"/>
      <c r="K1181" s="30"/>
    </row>
    <row r="1182" spans="4:11" x14ac:dyDescent="0.25">
      <c r="D1182" s="34"/>
      <c r="F1182" s="30"/>
      <c r="K1182" s="30"/>
    </row>
    <row r="1183" spans="4:11" x14ac:dyDescent="0.25">
      <c r="D1183" s="34"/>
      <c r="F1183" s="30"/>
      <c r="K1183" s="30"/>
    </row>
    <row r="1184" spans="4:11" x14ac:dyDescent="0.25">
      <c r="D1184" s="34"/>
      <c r="F1184" s="30"/>
      <c r="K1184" s="30"/>
    </row>
    <row r="1185" spans="4:11" x14ac:dyDescent="0.25">
      <c r="D1185" s="34"/>
      <c r="F1185" s="30"/>
      <c r="K1185" s="30"/>
    </row>
    <row r="1186" spans="4:11" x14ac:dyDescent="0.25">
      <c r="D1186" s="34"/>
      <c r="F1186" s="30"/>
      <c r="K1186" s="30"/>
    </row>
    <row r="1187" spans="4:11" x14ac:dyDescent="0.25">
      <c r="D1187" s="34"/>
      <c r="F1187" s="30"/>
      <c r="K1187" s="30"/>
    </row>
    <row r="1188" spans="4:11" x14ac:dyDescent="0.25">
      <c r="D1188" s="34"/>
      <c r="F1188" s="30"/>
      <c r="K1188" s="30"/>
    </row>
    <row r="1189" spans="4:11" x14ac:dyDescent="0.25">
      <c r="D1189" s="34"/>
      <c r="F1189" s="30"/>
      <c r="K1189" s="30"/>
    </row>
    <row r="1190" spans="4:11" x14ac:dyDescent="0.25">
      <c r="D1190" s="34"/>
      <c r="F1190" s="30"/>
      <c r="K1190" s="30"/>
    </row>
    <row r="1191" spans="4:11" x14ac:dyDescent="0.25">
      <c r="D1191" s="34"/>
      <c r="F1191" s="30"/>
      <c r="K1191" s="30"/>
    </row>
    <row r="1192" spans="4:11" x14ac:dyDescent="0.25">
      <c r="D1192" s="34"/>
      <c r="F1192" s="30"/>
      <c r="K1192" s="30"/>
    </row>
    <row r="1193" spans="4:11" x14ac:dyDescent="0.25">
      <c r="D1193" s="34"/>
      <c r="F1193" s="30"/>
      <c r="K1193" s="30"/>
    </row>
    <row r="1194" spans="4:11" x14ac:dyDescent="0.25">
      <c r="D1194" s="34"/>
      <c r="F1194" s="30"/>
      <c r="K1194" s="30"/>
    </row>
    <row r="1195" spans="4:11" x14ac:dyDescent="0.25">
      <c r="D1195" s="34"/>
      <c r="F1195" s="30"/>
      <c r="K1195" s="30"/>
    </row>
    <row r="1196" spans="4:11" x14ac:dyDescent="0.25">
      <c r="D1196" s="34"/>
      <c r="F1196" s="30"/>
      <c r="K1196" s="30"/>
    </row>
    <row r="1197" spans="4:11" x14ac:dyDescent="0.25">
      <c r="D1197" s="34"/>
      <c r="F1197" s="30"/>
      <c r="K1197" s="30"/>
    </row>
    <row r="1198" spans="4:11" x14ac:dyDescent="0.25">
      <c r="D1198" s="34"/>
      <c r="F1198" s="30"/>
      <c r="K1198" s="30"/>
    </row>
    <row r="1199" spans="4:11" x14ac:dyDescent="0.25">
      <c r="D1199" s="34"/>
      <c r="F1199" s="30"/>
      <c r="K1199" s="30"/>
    </row>
    <row r="1200" spans="4:11" x14ac:dyDescent="0.25">
      <c r="D1200" s="34"/>
      <c r="F1200" s="30"/>
      <c r="K1200" s="30"/>
    </row>
    <row r="1201" spans="4:11" x14ac:dyDescent="0.25">
      <c r="D1201" s="34"/>
      <c r="F1201" s="30"/>
      <c r="K1201" s="30"/>
    </row>
    <row r="1202" spans="4:11" x14ac:dyDescent="0.25">
      <c r="D1202" s="34"/>
      <c r="F1202" s="30"/>
      <c r="K1202" s="30"/>
    </row>
    <row r="1203" spans="4:11" x14ac:dyDescent="0.25">
      <c r="D1203" s="34"/>
      <c r="F1203" s="30"/>
      <c r="K1203" s="30"/>
    </row>
    <row r="1204" spans="4:11" x14ac:dyDescent="0.25">
      <c r="D1204" s="34"/>
      <c r="F1204" s="30"/>
      <c r="K1204" s="30"/>
    </row>
    <row r="1205" spans="4:11" x14ac:dyDescent="0.25">
      <c r="D1205" s="34"/>
      <c r="F1205" s="30"/>
      <c r="K1205" s="30"/>
    </row>
    <row r="1206" spans="4:11" x14ac:dyDescent="0.25">
      <c r="D1206" s="34"/>
      <c r="F1206" s="30"/>
      <c r="K1206" s="30"/>
    </row>
    <row r="1207" spans="4:11" x14ac:dyDescent="0.25">
      <c r="D1207" s="34"/>
      <c r="F1207" s="30"/>
      <c r="K1207" s="30"/>
    </row>
    <row r="1208" spans="4:11" x14ac:dyDescent="0.25">
      <c r="D1208" s="34"/>
      <c r="F1208" s="30"/>
      <c r="K1208" s="30"/>
    </row>
    <row r="1209" spans="4:11" x14ac:dyDescent="0.25">
      <c r="D1209" s="34"/>
      <c r="F1209" s="30"/>
      <c r="K1209" s="30"/>
    </row>
    <row r="1210" spans="4:11" x14ac:dyDescent="0.25">
      <c r="D1210" s="34"/>
      <c r="F1210" s="30"/>
      <c r="K1210" s="30"/>
    </row>
    <row r="1211" spans="4:11" x14ac:dyDescent="0.25">
      <c r="D1211" s="34"/>
      <c r="F1211" s="30"/>
      <c r="K1211" s="30"/>
    </row>
    <row r="1212" spans="4:11" x14ac:dyDescent="0.25">
      <c r="D1212" s="34"/>
      <c r="F1212" s="30"/>
      <c r="K1212" s="30"/>
    </row>
    <row r="1213" spans="4:11" x14ac:dyDescent="0.25">
      <c r="D1213" s="34"/>
      <c r="F1213" s="30"/>
      <c r="K1213" s="30"/>
    </row>
    <row r="1214" spans="4:11" x14ac:dyDescent="0.25">
      <c r="D1214" s="34"/>
      <c r="F1214" s="30"/>
      <c r="K1214" s="30"/>
    </row>
    <row r="1215" spans="4:11" x14ac:dyDescent="0.25">
      <c r="D1215" s="34"/>
      <c r="F1215" s="30"/>
      <c r="K1215" s="30"/>
    </row>
    <row r="1216" spans="4:11" x14ac:dyDescent="0.25">
      <c r="D1216" s="34"/>
      <c r="F1216" s="30"/>
      <c r="K1216" s="30"/>
    </row>
    <row r="1217" spans="4:11" x14ac:dyDescent="0.25">
      <c r="D1217" s="34"/>
      <c r="F1217" s="30"/>
      <c r="K1217" s="30"/>
    </row>
    <row r="1218" spans="4:11" x14ac:dyDescent="0.25">
      <c r="D1218" s="34"/>
      <c r="F1218" s="30"/>
      <c r="K1218" s="30"/>
    </row>
    <row r="1219" spans="4:11" x14ac:dyDescent="0.25">
      <c r="D1219" s="34"/>
      <c r="F1219" s="30"/>
      <c r="K1219" s="30"/>
    </row>
    <row r="1220" spans="4:11" x14ac:dyDescent="0.25">
      <c r="D1220" s="34"/>
      <c r="F1220" s="30"/>
      <c r="K1220" s="30"/>
    </row>
    <row r="1221" spans="4:11" x14ac:dyDescent="0.25">
      <c r="D1221" s="34"/>
      <c r="F1221" s="30"/>
      <c r="K1221" s="30"/>
    </row>
    <row r="1222" spans="4:11" x14ac:dyDescent="0.25">
      <c r="D1222" s="34"/>
      <c r="F1222" s="30"/>
      <c r="K1222" s="30"/>
    </row>
    <row r="1223" spans="4:11" x14ac:dyDescent="0.25">
      <c r="D1223" s="34"/>
      <c r="F1223" s="30"/>
      <c r="K1223" s="30"/>
    </row>
    <row r="1224" spans="4:11" x14ac:dyDescent="0.25">
      <c r="D1224" s="34"/>
      <c r="F1224" s="30"/>
      <c r="K1224" s="30"/>
    </row>
    <row r="1225" spans="4:11" x14ac:dyDescent="0.25">
      <c r="D1225" s="34"/>
      <c r="F1225" s="30"/>
      <c r="K1225" s="30"/>
    </row>
    <row r="1226" spans="4:11" x14ac:dyDescent="0.25">
      <c r="D1226" s="34"/>
      <c r="F1226" s="30"/>
      <c r="K1226" s="30"/>
    </row>
    <row r="1227" spans="4:11" x14ac:dyDescent="0.25">
      <c r="D1227" s="34"/>
      <c r="F1227" s="30"/>
      <c r="G1227" s="30"/>
      <c r="K1227" s="30"/>
    </row>
    <row r="1228" spans="4:11" x14ac:dyDescent="0.25">
      <c r="D1228" s="34"/>
      <c r="F1228" s="30"/>
      <c r="G1228" s="30"/>
      <c r="K1228" s="30"/>
    </row>
    <row r="1229" spans="4:11" x14ac:dyDescent="0.25">
      <c r="D1229" s="34"/>
      <c r="F1229" s="30"/>
      <c r="G1229" s="30"/>
      <c r="K1229" s="30"/>
    </row>
    <row r="1230" spans="4:11" x14ac:dyDescent="0.25">
      <c r="D1230" s="34"/>
      <c r="F1230" s="30"/>
      <c r="G1230" s="30"/>
      <c r="K1230" s="30"/>
    </row>
    <row r="1231" spans="4:11" x14ac:dyDescent="0.25">
      <c r="D1231" s="34"/>
      <c r="F1231" s="30"/>
      <c r="G1231" s="30"/>
      <c r="K1231" s="30"/>
    </row>
    <row r="1232" spans="4:11" x14ac:dyDescent="0.25">
      <c r="D1232" s="34"/>
      <c r="F1232" s="30"/>
      <c r="G1232" s="30"/>
      <c r="K1232" s="30"/>
    </row>
    <row r="1233" spans="4:11" x14ac:dyDescent="0.25">
      <c r="D1233" s="34"/>
      <c r="F1233" s="30"/>
      <c r="G1233" s="30"/>
      <c r="K1233" s="30"/>
    </row>
    <row r="1234" spans="4:11" x14ac:dyDescent="0.25">
      <c r="D1234" s="34"/>
      <c r="F1234" s="30"/>
      <c r="G1234" s="30"/>
      <c r="K1234" s="30"/>
    </row>
    <row r="1235" spans="4:11" x14ac:dyDescent="0.25">
      <c r="D1235" s="34"/>
      <c r="F1235" s="30"/>
      <c r="G1235" s="30"/>
      <c r="K1235" s="30"/>
    </row>
    <row r="1236" spans="4:11" x14ac:dyDescent="0.25">
      <c r="D1236" s="34"/>
      <c r="F1236" s="30"/>
      <c r="G1236" s="30"/>
      <c r="K1236" s="30"/>
    </row>
    <row r="1237" spans="4:11" x14ac:dyDescent="0.25">
      <c r="D1237" s="34"/>
      <c r="F1237" s="30"/>
      <c r="G1237" s="30"/>
      <c r="K1237" s="30"/>
    </row>
    <row r="1238" spans="4:11" x14ac:dyDescent="0.25">
      <c r="D1238" s="34"/>
      <c r="F1238" s="30"/>
      <c r="G1238" s="30"/>
      <c r="K1238" s="30"/>
    </row>
    <row r="1239" spans="4:11" x14ac:dyDescent="0.25">
      <c r="D1239" s="34"/>
      <c r="F1239" s="30"/>
      <c r="G1239" s="30"/>
      <c r="K1239" s="30"/>
    </row>
    <row r="1240" spans="4:11" x14ac:dyDescent="0.25">
      <c r="D1240" s="34"/>
      <c r="F1240" s="30"/>
      <c r="G1240" s="30"/>
      <c r="K1240" s="30"/>
    </row>
    <row r="1241" spans="4:11" x14ac:dyDescent="0.25">
      <c r="D1241" s="34"/>
      <c r="F1241" s="30"/>
      <c r="G1241" s="30"/>
      <c r="K1241" s="30"/>
    </row>
    <row r="1242" spans="4:11" x14ac:dyDescent="0.25">
      <c r="D1242" s="34"/>
      <c r="F1242" s="30"/>
      <c r="G1242" s="30"/>
      <c r="K1242" s="30"/>
    </row>
    <row r="1243" spans="4:11" x14ac:dyDescent="0.25">
      <c r="D1243" s="34"/>
      <c r="F1243" s="30"/>
      <c r="G1243" s="30"/>
      <c r="K1243" s="30"/>
    </row>
    <row r="1244" spans="4:11" x14ac:dyDescent="0.25">
      <c r="D1244" s="34"/>
      <c r="F1244" s="30"/>
      <c r="G1244" s="30"/>
      <c r="K1244" s="30"/>
    </row>
    <row r="1245" spans="4:11" x14ac:dyDescent="0.25">
      <c r="D1245" s="34"/>
      <c r="F1245" s="30"/>
      <c r="G1245" s="30"/>
      <c r="K1245" s="30"/>
    </row>
    <row r="1246" spans="4:11" x14ac:dyDescent="0.25">
      <c r="D1246" s="34"/>
      <c r="F1246" s="30"/>
      <c r="G1246" s="30"/>
      <c r="K1246" s="30"/>
    </row>
    <row r="1247" spans="4:11" x14ac:dyDescent="0.25">
      <c r="D1247" s="34"/>
      <c r="F1247" s="30"/>
      <c r="G1247" s="30"/>
      <c r="K1247" s="30"/>
    </row>
    <row r="1248" spans="4:11" x14ac:dyDescent="0.25">
      <c r="D1248" s="34"/>
      <c r="F1248" s="30"/>
      <c r="G1248" s="30"/>
      <c r="K1248" s="30"/>
    </row>
    <row r="1249" spans="4:11" x14ac:dyDescent="0.25">
      <c r="D1249" s="34"/>
      <c r="F1249" s="30"/>
      <c r="G1249" s="30"/>
      <c r="K1249" s="30"/>
    </row>
    <row r="1250" spans="4:11" x14ac:dyDescent="0.25">
      <c r="D1250" s="34"/>
      <c r="F1250" s="30"/>
      <c r="G1250" s="30"/>
      <c r="K1250" s="30"/>
    </row>
    <row r="1251" spans="4:11" x14ac:dyDescent="0.25">
      <c r="D1251" s="34"/>
      <c r="F1251" s="30"/>
      <c r="G1251" s="30"/>
      <c r="K1251" s="30"/>
    </row>
    <row r="1252" spans="4:11" x14ac:dyDescent="0.25">
      <c r="D1252" s="34"/>
      <c r="F1252" s="30"/>
      <c r="G1252" s="30"/>
      <c r="K1252" s="30"/>
    </row>
    <row r="1253" spans="4:11" x14ac:dyDescent="0.25">
      <c r="D1253" s="34"/>
      <c r="F1253" s="30"/>
      <c r="G1253" s="30"/>
      <c r="K1253" s="30"/>
    </row>
    <row r="1254" spans="4:11" x14ac:dyDescent="0.25">
      <c r="D1254" s="34"/>
      <c r="F1254" s="30"/>
      <c r="G1254" s="30"/>
      <c r="K1254" s="30"/>
    </row>
    <row r="1255" spans="4:11" x14ac:dyDescent="0.25">
      <c r="D1255" s="34"/>
      <c r="F1255" s="30"/>
      <c r="G1255" s="30"/>
      <c r="K1255" s="30"/>
    </row>
    <row r="1256" spans="4:11" x14ac:dyDescent="0.25">
      <c r="D1256" s="34"/>
      <c r="F1256" s="30"/>
      <c r="G1256" s="30"/>
      <c r="K1256" s="30"/>
    </row>
    <row r="1257" spans="4:11" x14ac:dyDescent="0.25">
      <c r="D1257" s="34"/>
      <c r="F1257" s="30"/>
      <c r="G1257" s="30"/>
      <c r="K1257" s="30"/>
    </row>
    <row r="1258" spans="4:11" x14ac:dyDescent="0.25">
      <c r="D1258" s="34"/>
      <c r="F1258" s="30"/>
      <c r="G1258" s="30"/>
      <c r="K1258" s="30"/>
    </row>
    <row r="1259" spans="4:11" x14ac:dyDescent="0.25">
      <c r="D1259" s="34"/>
      <c r="F1259" s="30"/>
      <c r="G1259" s="30"/>
      <c r="K1259" s="30"/>
    </row>
    <row r="1260" spans="4:11" x14ac:dyDescent="0.25">
      <c r="D1260" s="34"/>
      <c r="F1260" s="30"/>
      <c r="G1260" s="30"/>
      <c r="K1260" s="30"/>
    </row>
    <row r="1261" spans="4:11" x14ac:dyDescent="0.25">
      <c r="D1261" s="34"/>
      <c r="F1261" s="30"/>
      <c r="G1261" s="30"/>
      <c r="K1261" s="30"/>
    </row>
    <row r="1262" spans="4:11" x14ac:dyDescent="0.25">
      <c r="D1262" s="34"/>
      <c r="F1262" s="30"/>
      <c r="G1262" s="30"/>
      <c r="K1262" s="30"/>
    </row>
    <row r="1263" spans="4:11" x14ac:dyDescent="0.25">
      <c r="D1263" s="34"/>
      <c r="F1263" s="30"/>
      <c r="G1263" s="30"/>
      <c r="K1263" s="30"/>
    </row>
    <row r="1264" spans="4:11" x14ac:dyDescent="0.25">
      <c r="D1264" s="34"/>
      <c r="F1264" s="30"/>
      <c r="G1264" s="30"/>
      <c r="K1264" s="30"/>
    </row>
    <row r="1265" spans="4:11" x14ac:dyDescent="0.25">
      <c r="D1265" s="34"/>
      <c r="F1265" s="30"/>
      <c r="G1265" s="30"/>
      <c r="K1265" s="30"/>
    </row>
    <row r="1266" spans="4:11" x14ac:dyDescent="0.25">
      <c r="D1266" s="34"/>
      <c r="F1266" s="30"/>
      <c r="G1266" s="30"/>
      <c r="K1266" s="30"/>
    </row>
    <row r="1267" spans="4:11" x14ac:dyDescent="0.25">
      <c r="D1267" s="34"/>
      <c r="F1267" s="30"/>
      <c r="G1267" s="30"/>
      <c r="K1267" s="30"/>
    </row>
    <row r="1268" spans="4:11" x14ac:dyDescent="0.25">
      <c r="D1268" s="34"/>
      <c r="F1268" s="30"/>
      <c r="G1268" s="30"/>
      <c r="K1268" s="30"/>
    </row>
    <row r="1269" spans="4:11" x14ac:dyDescent="0.25">
      <c r="D1269" s="34"/>
      <c r="F1269" s="30"/>
      <c r="G1269" s="30"/>
      <c r="K1269" s="30"/>
    </row>
    <row r="1270" spans="4:11" x14ac:dyDescent="0.25">
      <c r="D1270" s="34"/>
      <c r="F1270" s="30"/>
      <c r="G1270" s="30"/>
      <c r="K1270" s="30"/>
    </row>
    <row r="1271" spans="4:11" x14ac:dyDescent="0.25">
      <c r="D1271" s="34"/>
      <c r="F1271" s="30"/>
      <c r="G1271" s="30"/>
      <c r="K1271" s="30"/>
    </row>
    <row r="1272" spans="4:11" x14ac:dyDescent="0.25">
      <c r="D1272" s="34"/>
      <c r="F1272" s="30"/>
      <c r="G1272" s="30"/>
      <c r="K1272" s="30"/>
    </row>
    <row r="1273" spans="4:11" x14ac:dyDescent="0.25">
      <c r="D1273" s="34"/>
      <c r="F1273" s="30"/>
      <c r="G1273" s="30"/>
      <c r="K1273" s="30"/>
    </row>
    <row r="1274" spans="4:11" x14ac:dyDescent="0.25">
      <c r="D1274" s="34"/>
      <c r="F1274" s="30"/>
      <c r="G1274" s="30"/>
      <c r="K1274" s="30"/>
    </row>
    <row r="1275" spans="4:11" x14ac:dyDescent="0.25">
      <c r="D1275" s="34"/>
      <c r="F1275" s="30"/>
      <c r="G1275" s="30"/>
      <c r="K1275" s="30"/>
    </row>
    <row r="1276" spans="4:11" x14ac:dyDescent="0.25">
      <c r="D1276" s="34"/>
      <c r="F1276" s="30"/>
      <c r="G1276" s="30"/>
      <c r="K1276" s="30"/>
    </row>
    <row r="1277" spans="4:11" x14ac:dyDescent="0.25">
      <c r="D1277" s="34"/>
      <c r="F1277" s="30"/>
      <c r="G1277" s="30"/>
      <c r="K1277" s="30"/>
    </row>
    <row r="1278" spans="4:11" x14ac:dyDescent="0.25">
      <c r="D1278" s="34"/>
      <c r="F1278" s="30"/>
      <c r="G1278" s="30"/>
      <c r="K1278" s="30"/>
    </row>
    <row r="1279" spans="4:11" x14ac:dyDescent="0.25">
      <c r="D1279" s="34"/>
      <c r="F1279" s="30"/>
      <c r="G1279" s="30"/>
      <c r="K1279" s="30"/>
    </row>
    <row r="1280" spans="4:11" x14ac:dyDescent="0.25">
      <c r="D1280" s="34"/>
      <c r="F1280" s="30"/>
      <c r="G1280" s="30"/>
      <c r="K1280" s="30"/>
    </row>
    <row r="1281" spans="4:11" x14ac:dyDescent="0.25">
      <c r="D1281" s="34"/>
      <c r="F1281" s="30"/>
      <c r="G1281" s="30"/>
      <c r="K1281" s="30"/>
    </row>
    <row r="1282" spans="4:11" x14ac:dyDescent="0.25">
      <c r="D1282" s="34"/>
      <c r="F1282" s="30"/>
      <c r="G1282" s="30"/>
      <c r="K1282" s="30"/>
    </row>
    <row r="1283" spans="4:11" x14ac:dyDescent="0.25">
      <c r="D1283" s="34"/>
      <c r="F1283" s="30"/>
      <c r="G1283" s="30"/>
      <c r="K1283" s="30"/>
    </row>
    <row r="1284" spans="4:11" x14ac:dyDescent="0.25">
      <c r="D1284" s="34"/>
      <c r="F1284" s="30"/>
      <c r="G1284" s="30"/>
      <c r="K1284" s="30"/>
    </row>
    <row r="1285" spans="4:11" x14ac:dyDescent="0.25">
      <c r="D1285" s="34"/>
      <c r="F1285" s="30"/>
      <c r="G1285" s="30"/>
      <c r="K1285" s="30"/>
    </row>
    <row r="1286" spans="4:11" x14ac:dyDescent="0.25">
      <c r="D1286" s="34"/>
      <c r="F1286" s="30"/>
      <c r="G1286" s="30"/>
      <c r="K1286" s="30"/>
    </row>
    <row r="1287" spans="4:11" x14ac:dyDescent="0.25">
      <c r="D1287" s="34"/>
      <c r="F1287" s="30"/>
      <c r="G1287" s="30"/>
      <c r="K1287" s="30"/>
    </row>
    <row r="1288" spans="4:11" x14ac:dyDescent="0.25">
      <c r="D1288" s="34"/>
      <c r="F1288" s="30"/>
      <c r="G1288" s="30"/>
      <c r="K1288" s="30"/>
    </row>
    <row r="1289" spans="4:11" x14ac:dyDescent="0.25">
      <c r="D1289" s="34"/>
      <c r="F1289" s="30"/>
      <c r="G1289" s="30"/>
      <c r="K1289" s="30"/>
    </row>
    <row r="1290" spans="4:11" x14ac:dyDescent="0.25">
      <c r="D1290" s="34"/>
      <c r="F1290" s="30"/>
      <c r="G1290" s="30"/>
      <c r="K1290" s="30"/>
    </row>
    <row r="1291" spans="4:11" x14ac:dyDescent="0.25">
      <c r="D1291" s="34"/>
      <c r="F1291" s="30"/>
      <c r="G1291" s="30"/>
      <c r="K1291" s="30"/>
    </row>
    <row r="1292" spans="4:11" x14ac:dyDescent="0.25">
      <c r="D1292" s="34"/>
      <c r="F1292" s="30"/>
      <c r="G1292" s="30"/>
      <c r="K1292" s="30"/>
    </row>
    <row r="1293" spans="4:11" x14ac:dyDescent="0.25">
      <c r="D1293" s="34"/>
      <c r="F1293" s="30"/>
      <c r="G1293" s="30"/>
      <c r="K1293" s="30"/>
    </row>
    <row r="1294" spans="4:11" x14ac:dyDescent="0.25">
      <c r="D1294" s="34"/>
      <c r="F1294" s="30"/>
      <c r="G1294" s="30"/>
      <c r="K1294" s="30"/>
    </row>
    <row r="1295" spans="4:11" x14ac:dyDescent="0.25">
      <c r="D1295" s="34"/>
      <c r="F1295" s="30"/>
      <c r="G1295" s="30"/>
      <c r="K1295" s="30"/>
    </row>
    <row r="1296" spans="4:11" x14ac:dyDescent="0.25">
      <c r="D1296" s="34"/>
      <c r="F1296" s="30"/>
      <c r="G1296" s="30"/>
      <c r="K1296" s="30"/>
    </row>
    <row r="1297" spans="4:11" x14ac:dyDescent="0.25">
      <c r="D1297" s="34"/>
      <c r="F1297" s="30"/>
      <c r="G1297" s="30"/>
      <c r="K1297" s="30"/>
    </row>
    <row r="1298" spans="4:11" x14ac:dyDescent="0.25">
      <c r="D1298" s="34"/>
      <c r="F1298" s="30"/>
      <c r="G1298" s="30"/>
      <c r="K1298" s="30"/>
    </row>
    <row r="1299" spans="4:11" x14ac:dyDescent="0.25">
      <c r="D1299" s="34"/>
      <c r="F1299" s="30"/>
      <c r="G1299" s="30"/>
      <c r="K1299" s="30"/>
    </row>
    <row r="1300" spans="4:11" x14ac:dyDescent="0.25">
      <c r="D1300" s="34"/>
      <c r="F1300" s="30"/>
      <c r="G1300" s="30"/>
      <c r="K1300" s="30"/>
    </row>
    <row r="1301" spans="4:11" x14ac:dyDescent="0.25">
      <c r="D1301" s="34"/>
      <c r="F1301" s="30"/>
      <c r="G1301" s="30"/>
      <c r="K1301" s="30"/>
    </row>
    <row r="1302" spans="4:11" x14ac:dyDescent="0.25">
      <c r="D1302" s="34"/>
      <c r="F1302" s="30"/>
      <c r="G1302" s="30"/>
      <c r="K1302" s="30"/>
    </row>
    <row r="1303" spans="4:11" x14ac:dyDescent="0.25">
      <c r="D1303" s="34"/>
      <c r="F1303" s="30"/>
      <c r="G1303" s="30"/>
      <c r="K1303" s="30"/>
    </row>
    <row r="1304" spans="4:11" x14ac:dyDescent="0.25">
      <c r="D1304" s="34"/>
      <c r="F1304" s="30"/>
      <c r="G1304" s="30"/>
      <c r="K1304" s="30"/>
    </row>
    <row r="1305" spans="4:11" x14ac:dyDescent="0.25">
      <c r="D1305" s="34"/>
      <c r="F1305" s="30"/>
      <c r="G1305" s="30"/>
      <c r="K1305" s="30"/>
    </row>
    <row r="1306" spans="4:11" x14ac:dyDescent="0.25">
      <c r="D1306" s="34"/>
      <c r="F1306" s="30"/>
      <c r="G1306" s="30"/>
      <c r="K1306" s="30"/>
    </row>
    <row r="1307" spans="4:11" x14ac:dyDescent="0.25">
      <c r="D1307" s="34"/>
      <c r="F1307" s="30"/>
      <c r="G1307" s="30"/>
      <c r="K1307" s="30"/>
    </row>
    <row r="1308" spans="4:11" x14ac:dyDescent="0.25">
      <c r="D1308" s="34"/>
      <c r="F1308" s="30"/>
      <c r="G1308" s="30"/>
      <c r="K1308" s="30"/>
    </row>
    <row r="1309" spans="4:11" x14ac:dyDescent="0.25">
      <c r="D1309" s="34"/>
      <c r="F1309" s="30"/>
      <c r="G1309" s="30"/>
      <c r="K1309" s="30"/>
    </row>
    <row r="1310" spans="4:11" x14ac:dyDescent="0.25">
      <c r="D1310" s="34"/>
      <c r="F1310" s="30"/>
      <c r="G1310" s="30"/>
      <c r="K1310" s="30"/>
    </row>
    <row r="1311" spans="4:11" x14ac:dyDescent="0.25">
      <c r="D1311" s="34"/>
      <c r="F1311" s="30"/>
      <c r="G1311" s="30"/>
      <c r="K1311" s="30"/>
    </row>
    <row r="1312" spans="4:11" x14ac:dyDescent="0.25">
      <c r="D1312" s="34"/>
      <c r="F1312" s="30"/>
      <c r="G1312" s="30"/>
      <c r="K1312" s="30"/>
    </row>
    <row r="1313" spans="4:11" x14ac:dyDescent="0.25">
      <c r="D1313" s="34"/>
      <c r="F1313" s="30"/>
      <c r="G1313" s="30"/>
      <c r="K1313" s="30"/>
    </row>
    <row r="1314" spans="4:11" x14ac:dyDescent="0.25">
      <c r="D1314" s="34"/>
      <c r="F1314" s="30"/>
      <c r="G1314" s="30"/>
      <c r="K1314" s="30"/>
    </row>
    <row r="1315" spans="4:11" x14ac:dyDescent="0.25">
      <c r="D1315" s="34"/>
      <c r="F1315" s="30"/>
      <c r="G1315" s="30"/>
      <c r="K1315" s="30"/>
    </row>
    <row r="1316" spans="4:11" x14ac:dyDescent="0.25">
      <c r="D1316" s="34"/>
      <c r="F1316" s="30"/>
      <c r="G1316" s="30"/>
      <c r="K1316" s="30"/>
    </row>
    <row r="1317" spans="4:11" x14ac:dyDescent="0.25">
      <c r="D1317" s="34"/>
      <c r="F1317" s="30"/>
      <c r="G1317" s="30"/>
      <c r="K1317" s="30"/>
    </row>
    <row r="1318" spans="4:11" x14ac:dyDescent="0.25">
      <c r="D1318" s="34"/>
      <c r="F1318" s="30"/>
      <c r="G1318" s="30"/>
      <c r="K1318" s="30"/>
    </row>
    <row r="1319" spans="4:11" x14ac:dyDescent="0.25">
      <c r="D1319" s="34"/>
      <c r="F1319" s="30"/>
      <c r="G1319" s="30"/>
      <c r="K1319" s="30"/>
    </row>
    <row r="1320" spans="4:11" x14ac:dyDescent="0.25">
      <c r="D1320" s="34"/>
      <c r="F1320" s="30"/>
      <c r="G1320" s="30"/>
      <c r="K1320" s="30"/>
    </row>
    <row r="1321" spans="4:11" x14ac:dyDescent="0.25">
      <c r="D1321" s="34"/>
      <c r="F1321" s="30"/>
      <c r="G1321" s="30"/>
      <c r="K1321" s="30"/>
    </row>
    <row r="1322" spans="4:11" x14ac:dyDescent="0.25">
      <c r="D1322" s="34"/>
      <c r="F1322" s="30"/>
      <c r="G1322" s="30"/>
      <c r="K1322" s="30"/>
    </row>
    <row r="1323" spans="4:11" x14ac:dyDescent="0.25">
      <c r="D1323" s="34"/>
      <c r="F1323" s="30"/>
      <c r="G1323" s="30"/>
      <c r="K1323" s="30"/>
    </row>
    <row r="1324" spans="4:11" x14ac:dyDescent="0.25">
      <c r="D1324" s="34"/>
      <c r="F1324" s="30"/>
      <c r="G1324" s="30"/>
      <c r="K1324" s="30"/>
    </row>
    <row r="1325" spans="4:11" x14ac:dyDescent="0.25">
      <c r="D1325" s="34"/>
      <c r="F1325" s="30"/>
      <c r="G1325" s="30"/>
      <c r="K1325" s="30"/>
    </row>
    <row r="1326" spans="4:11" x14ac:dyDescent="0.25">
      <c r="D1326" s="34"/>
      <c r="F1326" s="30"/>
      <c r="G1326" s="30"/>
      <c r="K1326" s="30"/>
    </row>
    <row r="1327" spans="4:11" x14ac:dyDescent="0.25">
      <c r="D1327" s="34"/>
      <c r="F1327" s="30"/>
      <c r="G1327" s="30"/>
      <c r="K1327" s="30"/>
    </row>
    <row r="1328" spans="4:11" x14ac:dyDescent="0.25">
      <c r="D1328" s="34"/>
      <c r="F1328" s="30"/>
      <c r="G1328" s="30"/>
      <c r="K1328" s="30"/>
    </row>
    <row r="1329" spans="4:11" x14ac:dyDescent="0.25">
      <c r="D1329" s="34"/>
      <c r="F1329" s="30"/>
      <c r="G1329" s="30"/>
      <c r="K1329" s="30"/>
    </row>
    <row r="1330" spans="4:11" x14ac:dyDescent="0.25">
      <c r="D1330" s="34"/>
      <c r="F1330" s="30"/>
      <c r="G1330" s="30"/>
      <c r="K1330" s="30"/>
    </row>
    <row r="1331" spans="4:11" x14ac:dyDescent="0.25">
      <c r="D1331" s="34"/>
      <c r="F1331" s="30"/>
      <c r="G1331" s="30"/>
      <c r="K1331" s="30"/>
    </row>
    <row r="1332" spans="4:11" x14ac:dyDescent="0.25">
      <c r="D1332" s="34"/>
      <c r="F1332" s="30"/>
      <c r="G1332" s="30"/>
      <c r="K1332" s="30"/>
    </row>
    <row r="1333" spans="4:11" x14ac:dyDescent="0.25">
      <c r="D1333" s="34"/>
      <c r="F1333" s="30"/>
      <c r="G1333" s="30"/>
      <c r="K1333" s="30"/>
    </row>
    <row r="1334" spans="4:11" x14ac:dyDescent="0.25">
      <c r="D1334" s="34"/>
      <c r="F1334" s="30"/>
      <c r="G1334" s="30"/>
      <c r="K1334" s="30"/>
    </row>
    <row r="1335" spans="4:11" x14ac:dyDescent="0.25">
      <c r="D1335" s="34"/>
      <c r="F1335" s="30"/>
      <c r="G1335" s="30"/>
      <c r="K1335" s="30"/>
    </row>
    <row r="1336" spans="4:11" x14ac:dyDescent="0.25">
      <c r="D1336" s="34"/>
      <c r="F1336" s="30"/>
      <c r="G1336" s="30"/>
      <c r="K1336" s="30"/>
    </row>
    <row r="1337" spans="4:11" x14ac:dyDescent="0.25">
      <c r="D1337" s="34"/>
      <c r="F1337" s="30"/>
      <c r="G1337" s="30"/>
      <c r="K1337" s="30"/>
    </row>
    <row r="1338" spans="4:11" x14ac:dyDescent="0.25">
      <c r="D1338" s="34"/>
      <c r="F1338" s="30"/>
      <c r="G1338" s="30"/>
      <c r="K1338" s="30"/>
    </row>
    <row r="1339" spans="4:11" x14ac:dyDescent="0.25">
      <c r="D1339" s="34"/>
      <c r="F1339" s="30"/>
      <c r="G1339" s="30"/>
      <c r="K1339" s="30"/>
    </row>
    <row r="1340" spans="4:11" x14ac:dyDescent="0.25">
      <c r="D1340" s="34"/>
      <c r="F1340" s="30"/>
      <c r="G1340" s="30"/>
      <c r="K1340" s="30"/>
    </row>
    <row r="1341" spans="4:11" x14ac:dyDescent="0.25">
      <c r="D1341" s="34"/>
      <c r="F1341" s="30"/>
      <c r="G1341" s="30"/>
      <c r="K1341" s="30"/>
    </row>
    <row r="1342" spans="4:11" x14ac:dyDescent="0.25">
      <c r="D1342" s="34"/>
      <c r="F1342" s="30"/>
      <c r="G1342" s="30"/>
      <c r="K1342" s="30"/>
    </row>
    <row r="1343" spans="4:11" x14ac:dyDescent="0.25">
      <c r="D1343" s="34"/>
      <c r="F1343" s="30"/>
      <c r="G1343" s="30"/>
      <c r="K1343" s="30"/>
    </row>
    <row r="1344" spans="4:11" x14ac:dyDescent="0.25">
      <c r="D1344" s="34"/>
      <c r="F1344" s="30"/>
      <c r="G1344" s="30"/>
      <c r="K1344" s="30"/>
    </row>
    <row r="1345" spans="4:11" x14ac:dyDescent="0.25">
      <c r="D1345" s="34"/>
      <c r="F1345" s="30"/>
      <c r="G1345" s="30"/>
      <c r="K1345" s="30"/>
    </row>
    <row r="1346" spans="4:11" x14ac:dyDescent="0.25">
      <c r="D1346" s="34"/>
      <c r="F1346" s="30"/>
      <c r="G1346" s="30"/>
      <c r="K1346" s="30"/>
    </row>
    <row r="1347" spans="4:11" x14ac:dyDescent="0.25">
      <c r="D1347" s="34"/>
      <c r="F1347" s="30"/>
      <c r="G1347" s="30"/>
      <c r="K1347" s="30"/>
    </row>
    <row r="1348" spans="4:11" x14ac:dyDescent="0.25">
      <c r="D1348" s="34"/>
      <c r="F1348" s="30"/>
      <c r="G1348" s="30"/>
      <c r="K1348" s="30"/>
    </row>
    <row r="1349" spans="4:11" x14ac:dyDescent="0.25">
      <c r="D1349" s="34"/>
      <c r="F1349" s="30"/>
      <c r="G1349" s="30"/>
      <c r="K1349" s="30"/>
    </row>
    <row r="1350" spans="4:11" x14ac:dyDescent="0.25">
      <c r="D1350" s="34"/>
      <c r="F1350" s="30"/>
      <c r="G1350" s="30"/>
      <c r="K1350" s="30"/>
    </row>
    <row r="1351" spans="4:11" x14ac:dyDescent="0.25">
      <c r="D1351" s="34"/>
      <c r="F1351" s="30"/>
      <c r="G1351" s="30"/>
      <c r="K1351" s="30"/>
    </row>
    <row r="1352" spans="4:11" x14ac:dyDescent="0.25">
      <c r="D1352" s="34"/>
      <c r="F1352" s="30"/>
      <c r="G1352" s="30"/>
      <c r="K1352" s="30"/>
    </row>
    <row r="1353" spans="4:11" x14ac:dyDescent="0.25">
      <c r="D1353" s="34"/>
      <c r="F1353" s="30"/>
      <c r="G1353" s="30"/>
      <c r="K1353" s="30"/>
    </row>
    <row r="1354" spans="4:11" x14ac:dyDescent="0.25">
      <c r="D1354" s="34"/>
      <c r="F1354" s="30"/>
      <c r="G1354" s="30"/>
      <c r="K1354" s="30"/>
    </row>
    <row r="1355" spans="4:11" x14ac:dyDescent="0.25">
      <c r="D1355" s="34"/>
      <c r="F1355" s="30"/>
      <c r="G1355" s="30"/>
      <c r="K1355" s="30"/>
    </row>
    <row r="1356" spans="4:11" x14ac:dyDescent="0.25">
      <c r="D1356" s="34"/>
      <c r="F1356" s="30"/>
      <c r="G1356" s="30"/>
      <c r="K1356" s="30"/>
    </row>
    <row r="1357" spans="4:11" x14ac:dyDescent="0.25">
      <c r="D1357" s="34"/>
      <c r="F1357" s="30"/>
      <c r="G1357" s="30"/>
      <c r="K1357" s="30"/>
    </row>
    <row r="1358" spans="4:11" x14ac:dyDescent="0.25">
      <c r="D1358" s="34"/>
      <c r="F1358" s="30"/>
      <c r="G1358" s="30"/>
      <c r="K1358" s="30"/>
    </row>
    <row r="1359" spans="4:11" x14ac:dyDescent="0.25">
      <c r="D1359" s="34"/>
      <c r="F1359" s="30"/>
      <c r="G1359" s="30"/>
      <c r="K1359" s="30"/>
    </row>
    <row r="1360" spans="4:11" x14ac:dyDescent="0.25">
      <c r="D1360" s="34"/>
      <c r="F1360" s="30"/>
      <c r="G1360" s="30"/>
      <c r="K1360" s="30"/>
    </row>
    <row r="1361" spans="4:11" x14ac:dyDescent="0.25">
      <c r="D1361" s="34"/>
      <c r="F1361" s="30"/>
      <c r="G1361" s="30"/>
      <c r="K1361" s="30"/>
    </row>
    <row r="1362" spans="4:11" x14ac:dyDescent="0.25">
      <c r="D1362" s="34"/>
      <c r="F1362" s="30"/>
      <c r="G1362" s="30"/>
      <c r="K1362" s="30"/>
    </row>
    <row r="1363" spans="4:11" x14ac:dyDescent="0.25">
      <c r="D1363" s="34"/>
      <c r="F1363" s="30"/>
      <c r="G1363" s="30"/>
      <c r="K1363" s="30"/>
    </row>
    <row r="1364" spans="4:11" x14ac:dyDescent="0.25">
      <c r="D1364" s="34"/>
      <c r="F1364" s="30"/>
      <c r="G1364" s="30"/>
      <c r="K1364" s="30"/>
    </row>
    <row r="1365" spans="4:11" x14ac:dyDescent="0.25">
      <c r="D1365" s="34"/>
      <c r="F1365" s="30"/>
      <c r="G1365" s="30"/>
      <c r="K1365" s="30"/>
    </row>
    <row r="1366" spans="4:11" x14ac:dyDescent="0.25">
      <c r="D1366" s="34"/>
      <c r="F1366" s="30"/>
      <c r="G1366" s="30"/>
      <c r="K1366" s="30"/>
    </row>
    <row r="1367" spans="4:11" x14ac:dyDescent="0.25">
      <c r="D1367" s="34"/>
      <c r="F1367" s="30"/>
      <c r="G1367" s="30"/>
      <c r="K1367" s="30"/>
    </row>
    <row r="1368" spans="4:11" x14ac:dyDescent="0.25">
      <c r="D1368" s="34"/>
      <c r="F1368" s="30"/>
      <c r="G1368" s="30"/>
      <c r="K1368" s="30"/>
    </row>
    <row r="1369" spans="4:11" x14ac:dyDescent="0.25">
      <c r="D1369" s="34"/>
      <c r="F1369" s="30"/>
      <c r="G1369" s="30"/>
      <c r="K1369" s="30"/>
    </row>
    <row r="1370" spans="4:11" x14ac:dyDescent="0.25">
      <c r="D1370" s="34"/>
      <c r="F1370" s="30"/>
      <c r="G1370" s="30"/>
      <c r="K1370" s="30"/>
    </row>
    <row r="1371" spans="4:11" x14ac:dyDescent="0.25">
      <c r="D1371" s="34"/>
      <c r="F1371" s="30"/>
      <c r="G1371" s="30"/>
      <c r="K1371" s="30"/>
    </row>
    <row r="1372" spans="4:11" x14ac:dyDescent="0.25">
      <c r="D1372" s="34"/>
      <c r="F1372" s="30"/>
      <c r="G1372" s="30"/>
      <c r="K1372" s="30"/>
    </row>
    <row r="1373" spans="4:11" x14ac:dyDescent="0.25">
      <c r="D1373" s="34"/>
      <c r="F1373" s="30"/>
      <c r="G1373" s="30"/>
      <c r="K1373" s="30"/>
    </row>
    <row r="1374" spans="4:11" x14ac:dyDescent="0.25">
      <c r="D1374" s="34"/>
      <c r="F1374" s="30"/>
      <c r="G1374" s="30"/>
      <c r="K1374" s="30"/>
    </row>
    <row r="1375" spans="4:11" x14ac:dyDescent="0.25">
      <c r="D1375" s="34"/>
      <c r="F1375" s="30"/>
      <c r="G1375" s="30"/>
      <c r="K1375" s="30"/>
    </row>
    <row r="1376" spans="4:11" x14ac:dyDescent="0.25">
      <c r="D1376" s="34"/>
      <c r="F1376" s="30"/>
      <c r="G1376" s="30"/>
      <c r="K1376" s="30"/>
    </row>
    <row r="1377" spans="4:11" x14ac:dyDescent="0.25">
      <c r="D1377" s="34"/>
      <c r="F1377" s="30"/>
      <c r="G1377" s="30"/>
      <c r="K1377" s="30"/>
    </row>
    <row r="1378" spans="4:11" x14ac:dyDescent="0.25">
      <c r="D1378" s="34"/>
      <c r="F1378" s="30"/>
      <c r="G1378" s="30"/>
      <c r="K1378" s="30"/>
    </row>
    <row r="1379" spans="4:11" x14ac:dyDescent="0.25">
      <c r="D1379" s="34"/>
      <c r="F1379" s="30"/>
      <c r="G1379" s="30"/>
      <c r="K1379" s="30"/>
    </row>
    <row r="1380" spans="4:11" x14ac:dyDescent="0.25">
      <c r="D1380" s="34"/>
      <c r="F1380" s="30"/>
      <c r="G1380" s="30"/>
      <c r="K1380" s="30"/>
    </row>
    <row r="1381" spans="4:11" x14ac:dyDescent="0.25">
      <c r="D1381" s="34"/>
      <c r="F1381" s="30"/>
      <c r="G1381" s="30"/>
      <c r="K1381" s="30"/>
    </row>
    <row r="1382" spans="4:11" x14ac:dyDescent="0.25">
      <c r="D1382" s="34"/>
      <c r="F1382" s="30"/>
      <c r="G1382" s="30"/>
      <c r="K1382" s="30"/>
    </row>
    <row r="1383" spans="4:11" x14ac:dyDescent="0.25">
      <c r="D1383" s="34"/>
      <c r="F1383" s="30"/>
      <c r="G1383" s="30"/>
      <c r="K1383" s="30"/>
    </row>
    <row r="1384" spans="4:11" x14ac:dyDescent="0.25">
      <c r="D1384" s="34"/>
      <c r="F1384" s="30"/>
      <c r="G1384" s="30"/>
      <c r="K1384" s="30"/>
    </row>
    <row r="1385" spans="4:11" x14ac:dyDescent="0.25">
      <c r="D1385" s="34"/>
      <c r="F1385" s="30"/>
      <c r="G1385" s="30"/>
      <c r="K1385" s="30"/>
    </row>
    <row r="1386" spans="4:11" x14ac:dyDescent="0.25">
      <c r="D1386" s="34"/>
      <c r="F1386" s="30"/>
      <c r="G1386" s="30"/>
      <c r="K1386" s="30"/>
    </row>
    <row r="1387" spans="4:11" x14ac:dyDescent="0.25">
      <c r="D1387" s="34"/>
      <c r="F1387" s="30"/>
      <c r="G1387" s="30"/>
      <c r="K1387" s="30"/>
    </row>
    <row r="1388" spans="4:11" x14ac:dyDescent="0.25">
      <c r="D1388" s="34"/>
      <c r="F1388" s="30"/>
      <c r="G1388" s="30"/>
      <c r="K1388" s="30"/>
    </row>
    <row r="1389" spans="4:11" x14ac:dyDescent="0.25">
      <c r="D1389" s="34"/>
      <c r="F1389" s="30"/>
      <c r="G1389" s="30"/>
      <c r="K1389" s="30"/>
    </row>
    <row r="1390" spans="4:11" x14ac:dyDescent="0.25">
      <c r="D1390" s="34"/>
      <c r="F1390" s="30"/>
      <c r="G1390" s="30"/>
      <c r="K1390" s="30"/>
    </row>
    <row r="1391" spans="4:11" x14ac:dyDescent="0.25">
      <c r="D1391" s="34"/>
      <c r="F1391" s="30"/>
      <c r="G1391" s="30"/>
      <c r="K1391" s="30"/>
    </row>
    <row r="1392" spans="4:11" x14ac:dyDescent="0.25">
      <c r="D1392" s="34"/>
      <c r="F1392" s="30"/>
      <c r="G1392" s="30"/>
      <c r="K1392" s="30"/>
    </row>
    <row r="1393" spans="4:11" x14ac:dyDescent="0.25">
      <c r="D1393" s="34"/>
      <c r="F1393" s="30"/>
      <c r="G1393" s="30"/>
      <c r="K1393" s="30"/>
    </row>
    <row r="1394" spans="4:11" x14ac:dyDescent="0.25">
      <c r="D1394" s="34"/>
      <c r="F1394" s="30"/>
      <c r="G1394" s="30"/>
      <c r="K1394" s="30"/>
    </row>
    <row r="1395" spans="4:11" x14ac:dyDescent="0.25">
      <c r="D1395" s="34"/>
      <c r="F1395" s="30"/>
      <c r="G1395" s="30"/>
      <c r="K1395" s="30"/>
    </row>
    <row r="1396" spans="4:11" x14ac:dyDescent="0.25">
      <c r="D1396" s="34"/>
      <c r="F1396" s="30"/>
      <c r="G1396" s="30"/>
      <c r="K1396" s="30"/>
    </row>
    <row r="1397" spans="4:11" x14ac:dyDescent="0.25">
      <c r="D1397" s="34"/>
      <c r="F1397" s="30"/>
      <c r="G1397" s="30"/>
      <c r="K1397" s="30"/>
    </row>
    <row r="1398" spans="4:11" x14ac:dyDescent="0.25">
      <c r="D1398" s="34"/>
      <c r="F1398" s="30"/>
      <c r="G1398" s="30"/>
      <c r="K1398" s="30"/>
    </row>
    <row r="1399" spans="4:11" x14ac:dyDescent="0.25">
      <c r="D1399" s="34"/>
      <c r="F1399" s="30"/>
      <c r="G1399" s="30"/>
      <c r="K1399" s="30"/>
    </row>
    <row r="1400" spans="4:11" x14ac:dyDescent="0.25">
      <c r="D1400" s="34"/>
      <c r="F1400" s="30"/>
      <c r="G1400" s="30"/>
      <c r="K1400" s="30"/>
    </row>
    <row r="1401" spans="4:11" x14ac:dyDescent="0.25">
      <c r="D1401" s="34"/>
      <c r="F1401" s="30"/>
      <c r="G1401" s="30"/>
      <c r="K1401" s="30"/>
    </row>
    <row r="1402" spans="4:11" x14ac:dyDescent="0.25">
      <c r="D1402" s="34"/>
      <c r="F1402" s="30"/>
      <c r="G1402" s="30"/>
      <c r="K1402" s="30"/>
    </row>
    <row r="1403" spans="4:11" x14ac:dyDescent="0.25">
      <c r="D1403" s="34"/>
      <c r="F1403" s="30"/>
      <c r="G1403" s="30"/>
      <c r="K1403" s="30"/>
    </row>
    <row r="1404" spans="4:11" x14ac:dyDescent="0.25">
      <c r="D1404" s="34"/>
      <c r="F1404" s="30"/>
      <c r="G1404" s="30"/>
      <c r="K1404" s="30"/>
    </row>
    <row r="1405" spans="4:11" x14ac:dyDescent="0.25">
      <c r="D1405" s="34"/>
      <c r="F1405" s="30"/>
      <c r="G1405" s="30"/>
      <c r="K1405" s="30"/>
    </row>
    <row r="1406" spans="4:11" x14ac:dyDescent="0.25">
      <c r="D1406" s="34"/>
      <c r="F1406" s="30"/>
      <c r="G1406" s="30"/>
      <c r="K1406" s="30"/>
    </row>
    <row r="1407" spans="4:11" x14ac:dyDescent="0.25">
      <c r="D1407" s="34"/>
      <c r="F1407" s="30"/>
      <c r="G1407" s="30"/>
      <c r="K1407" s="30"/>
    </row>
    <row r="1408" spans="4:11" x14ac:dyDescent="0.25">
      <c r="D1408" s="34"/>
      <c r="F1408" s="30"/>
      <c r="G1408" s="30"/>
      <c r="K1408" s="30"/>
    </row>
    <row r="1409" spans="4:11" x14ac:dyDescent="0.25">
      <c r="D1409" s="34"/>
      <c r="F1409" s="30"/>
      <c r="G1409" s="30"/>
      <c r="K1409" s="30"/>
    </row>
    <row r="1410" spans="4:11" x14ac:dyDescent="0.25">
      <c r="D1410" s="34"/>
      <c r="F1410" s="30"/>
      <c r="G1410" s="30"/>
      <c r="K1410" s="30"/>
    </row>
    <row r="1411" spans="4:11" x14ac:dyDescent="0.25">
      <c r="D1411" s="34"/>
      <c r="F1411" s="30"/>
      <c r="G1411" s="30"/>
      <c r="K1411" s="30"/>
    </row>
    <row r="1412" spans="4:11" x14ac:dyDescent="0.25">
      <c r="D1412" s="34"/>
      <c r="F1412" s="30"/>
      <c r="G1412" s="30"/>
      <c r="K1412" s="30"/>
    </row>
    <row r="1413" spans="4:11" x14ac:dyDescent="0.25">
      <c r="D1413" s="34"/>
      <c r="F1413" s="30"/>
      <c r="G1413" s="30"/>
      <c r="K1413" s="30"/>
    </row>
    <row r="1414" spans="4:11" x14ac:dyDescent="0.25">
      <c r="D1414" s="34"/>
      <c r="F1414" s="30"/>
      <c r="G1414" s="30"/>
      <c r="K1414" s="30"/>
    </row>
    <row r="1415" spans="4:11" x14ac:dyDescent="0.25">
      <c r="D1415" s="34"/>
      <c r="F1415" s="30"/>
      <c r="G1415" s="30"/>
      <c r="K1415" s="30"/>
    </row>
    <row r="1416" spans="4:11" x14ac:dyDescent="0.25">
      <c r="D1416" s="34"/>
      <c r="F1416" s="30"/>
      <c r="G1416" s="30"/>
      <c r="K1416" s="30"/>
    </row>
    <row r="1417" spans="4:11" x14ac:dyDescent="0.25">
      <c r="D1417" s="34"/>
      <c r="F1417" s="30"/>
      <c r="G1417" s="30"/>
      <c r="K1417" s="30"/>
    </row>
    <row r="1418" spans="4:11" x14ac:dyDescent="0.25">
      <c r="D1418" s="34"/>
      <c r="F1418" s="30"/>
      <c r="G1418" s="30"/>
      <c r="K1418" s="30"/>
    </row>
    <row r="1419" spans="4:11" x14ac:dyDescent="0.25">
      <c r="D1419" s="34"/>
      <c r="F1419" s="30"/>
      <c r="G1419" s="30"/>
      <c r="K1419" s="30"/>
    </row>
    <row r="1420" spans="4:11" x14ac:dyDescent="0.25">
      <c r="D1420" s="34"/>
      <c r="F1420" s="30"/>
      <c r="G1420" s="30"/>
      <c r="K1420" s="30"/>
    </row>
    <row r="1421" spans="4:11" x14ac:dyDescent="0.25">
      <c r="D1421" s="34"/>
      <c r="F1421" s="30"/>
      <c r="G1421" s="30"/>
      <c r="K1421" s="30"/>
    </row>
    <row r="1422" spans="4:11" x14ac:dyDescent="0.25">
      <c r="D1422" s="34"/>
      <c r="F1422" s="30"/>
      <c r="G1422" s="30"/>
      <c r="K1422" s="30"/>
    </row>
    <row r="1423" spans="4:11" x14ac:dyDescent="0.25">
      <c r="D1423" s="34"/>
      <c r="F1423" s="30"/>
      <c r="G1423" s="30"/>
      <c r="K1423" s="30"/>
    </row>
    <row r="1424" spans="4:11" x14ac:dyDescent="0.25">
      <c r="D1424" s="34"/>
      <c r="F1424" s="30"/>
      <c r="G1424" s="30"/>
      <c r="K1424" s="30"/>
    </row>
    <row r="1425" spans="4:11" x14ac:dyDescent="0.25">
      <c r="D1425" s="34"/>
      <c r="F1425" s="30"/>
      <c r="G1425" s="30"/>
      <c r="K1425" s="30"/>
    </row>
    <row r="1426" spans="4:11" x14ac:dyDescent="0.25">
      <c r="D1426" s="34"/>
      <c r="F1426" s="30"/>
      <c r="G1426" s="30"/>
      <c r="K1426" s="30"/>
    </row>
    <row r="1427" spans="4:11" x14ac:dyDescent="0.25">
      <c r="D1427" s="34"/>
      <c r="F1427" s="30"/>
      <c r="G1427" s="30"/>
      <c r="K1427" s="30"/>
    </row>
    <row r="1428" spans="4:11" x14ac:dyDescent="0.25">
      <c r="D1428" s="34"/>
      <c r="F1428" s="30"/>
      <c r="G1428" s="30"/>
      <c r="K1428" s="30"/>
    </row>
    <row r="1429" spans="4:11" x14ac:dyDescent="0.25">
      <c r="D1429" s="34"/>
      <c r="F1429" s="30"/>
      <c r="G1429" s="30"/>
      <c r="K1429" s="30"/>
    </row>
    <row r="1430" spans="4:11" x14ac:dyDescent="0.25">
      <c r="D1430" s="34"/>
      <c r="F1430" s="30"/>
      <c r="G1430" s="30"/>
      <c r="K1430" s="30"/>
    </row>
    <row r="1431" spans="4:11" x14ac:dyDescent="0.25">
      <c r="D1431" s="34"/>
      <c r="F1431" s="30"/>
      <c r="G1431" s="30"/>
      <c r="K1431" s="30"/>
    </row>
    <row r="1432" spans="4:11" x14ac:dyDescent="0.25">
      <c r="D1432" s="34"/>
      <c r="F1432" s="30"/>
      <c r="G1432" s="30"/>
      <c r="K1432" s="30"/>
    </row>
    <row r="1433" spans="4:11" x14ac:dyDescent="0.25">
      <c r="D1433" s="34"/>
      <c r="F1433" s="30"/>
      <c r="G1433" s="30"/>
      <c r="K1433" s="30"/>
    </row>
    <row r="1434" spans="4:11" x14ac:dyDescent="0.25">
      <c r="D1434" s="34"/>
      <c r="F1434" s="30"/>
      <c r="G1434" s="30"/>
      <c r="K1434" s="30"/>
    </row>
    <row r="1435" spans="4:11" x14ac:dyDescent="0.25">
      <c r="D1435" s="34"/>
      <c r="F1435" s="30"/>
      <c r="G1435" s="30"/>
      <c r="K1435" s="30"/>
    </row>
    <row r="1436" spans="4:11" x14ac:dyDescent="0.25">
      <c r="D1436" s="34"/>
      <c r="F1436" s="30"/>
      <c r="G1436" s="30"/>
      <c r="K1436" s="30"/>
    </row>
    <row r="1437" spans="4:11" x14ac:dyDescent="0.25">
      <c r="D1437" s="34"/>
      <c r="F1437" s="30"/>
      <c r="G1437" s="30"/>
      <c r="K1437" s="30"/>
    </row>
    <row r="1438" spans="4:11" x14ac:dyDescent="0.25">
      <c r="D1438" s="34"/>
      <c r="F1438" s="30"/>
      <c r="G1438" s="30"/>
      <c r="K1438" s="30"/>
    </row>
    <row r="1439" spans="4:11" x14ac:dyDescent="0.25">
      <c r="D1439" s="34"/>
      <c r="F1439" s="30"/>
      <c r="G1439" s="30"/>
      <c r="K1439" s="30"/>
    </row>
    <row r="1440" spans="4:11" x14ac:dyDescent="0.25">
      <c r="D1440" s="34"/>
      <c r="F1440" s="30"/>
      <c r="G1440" s="30"/>
      <c r="K1440" s="30"/>
    </row>
    <row r="1441" spans="4:11" x14ac:dyDescent="0.25">
      <c r="D1441" s="34"/>
      <c r="F1441" s="30"/>
      <c r="G1441" s="30"/>
      <c r="K1441" s="30"/>
    </row>
    <row r="1442" spans="4:11" x14ac:dyDescent="0.25">
      <c r="D1442" s="34"/>
      <c r="F1442" s="30"/>
      <c r="G1442" s="30"/>
      <c r="K1442" s="30"/>
    </row>
    <row r="1443" spans="4:11" x14ac:dyDescent="0.25">
      <c r="D1443" s="34"/>
      <c r="F1443" s="30"/>
      <c r="G1443" s="30"/>
      <c r="K1443" s="30"/>
    </row>
    <row r="1444" spans="4:11" x14ac:dyDescent="0.25">
      <c r="D1444" s="34"/>
      <c r="F1444" s="30"/>
      <c r="G1444" s="30"/>
      <c r="K1444" s="30"/>
    </row>
    <row r="1445" spans="4:11" x14ac:dyDescent="0.25">
      <c r="D1445" s="34"/>
      <c r="F1445" s="30"/>
      <c r="G1445" s="30"/>
      <c r="K1445" s="30"/>
    </row>
    <row r="1446" spans="4:11" x14ac:dyDescent="0.25">
      <c r="D1446" s="34"/>
      <c r="F1446" s="30"/>
      <c r="G1446" s="30"/>
      <c r="K1446" s="30"/>
    </row>
    <row r="1447" spans="4:11" x14ac:dyDescent="0.25">
      <c r="D1447" s="34"/>
      <c r="F1447" s="30"/>
      <c r="G1447" s="30"/>
      <c r="K1447" s="30"/>
    </row>
    <row r="1448" spans="4:11" x14ac:dyDescent="0.25">
      <c r="D1448" s="34"/>
      <c r="F1448" s="30"/>
      <c r="G1448" s="30"/>
      <c r="K1448" s="30"/>
    </row>
    <row r="1449" spans="4:11" x14ac:dyDescent="0.25">
      <c r="D1449" s="34"/>
      <c r="F1449" s="30"/>
      <c r="G1449" s="30"/>
      <c r="K1449" s="30"/>
    </row>
    <row r="1450" spans="4:11" x14ac:dyDescent="0.25">
      <c r="D1450" s="34"/>
      <c r="F1450" s="30"/>
      <c r="G1450" s="30"/>
      <c r="K1450" s="30"/>
    </row>
    <row r="1451" spans="4:11" x14ac:dyDescent="0.25">
      <c r="D1451" s="34"/>
      <c r="F1451" s="30"/>
      <c r="G1451" s="30"/>
      <c r="K1451" s="30"/>
    </row>
    <row r="1452" spans="4:11" x14ac:dyDescent="0.25">
      <c r="D1452" s="34"/>
      <c r="F1452" s="30"/>
      <c r="G1452" s="30"/>
      <c r="K1452" s="30"/>
    </row>
    <row r="1453" spans="4:11" x14ac:dyDescent="0.25">
      <c r="D1453" s="34"/>
      <c r="F1453" s="30"/>
      <c r="G1453" s="30"/>
      <c r="K1453" s="30"/>
    </row>
    <row r="1454" spans="4:11" x14ac:dyDescent="0.25">
      <c r="D1454" s="34"/>
      <c r="F1454" s="30"/>
      <c r="G1454" s="30"/>
      <c r="K1454" s="30"/>
    </row>
    <row r="1455" spans="4:11" x14ac:dyDescent="0.25">
      <c r="D1455" s="34"/>
      <c r="F1455" s="30"/>
      <c r="G1455" s="30"/>
      <c r="K1455" s="30"/>
    </row>
    <row r="1456" spans="4:11" x14ac:dyDescent="0.25">
      <c r="D1456" s="34"/>
      <c r="F1456" s="30"/>
      <c r="G1456" s="30"/>
      <c r="K1456" s="30"/>
    </row>
    <row r="1457" spans="4:11" x14ac:dyDescent="0.25">
      <c r="D1457" s="34"/>
      <c r="F1457" s="30"/>
      <c r="G1457" s="30"/>
      <c r="K1457" s="30"/>
    </row>
    <row r="1458" spans="4:11" x14ac:dyDescent="0.25">
      <c r="D1458" s="34"/>
      <c r="F1458" s="30"/>
      <c r="G1458" s="30"/>
      <c r="K1458" s="30"/>
    </row>
    <row r="1459" spans="4:11" x14ac:dyDescent="0.25">
      <c r="D1459" s="34"/>
      <c r="F1459" s="30"/>
      <c r="G1459" s="30"/>
      <c r="K1459" s="30"/>
    </row>
    <row r="1460" spans="4:11" x14ac:dyDescent="0.25">
      <c r="D1460" s="34"/>
      <c r="F1460" s="30"/>
      <c r="G1460" s="30"/>
      <c r="K1460" s="30"/>
    </row>
    <row r="1461" spans="4:11" x14ac:dyDescent="0.25">
      <c r="D1461" s="34"/>
      <c r="F1461" s="30"/>
      <c r="G1461" s="30"/>
      <c r="K1461" s="30"/>
    </row>
    <row r="1462" spans="4:11" x14ac:dyDescent="0.25">
      <c r="D1462" s="34"/>
      <c r="F1462" s="30"/>
      <c r="G1462" s="30"/>
      <c r="K1462" s="30"/>
    </row>
    <row r="1463" spans="4:11" x14ac:dyDescent="0.25">
      <c r="D1463" s="34"/>
      <c r="F1463" s="30"/>
      <c r="G1463" s="30"/>
      <c r="K1463" s="30"/>
    </row>
    <row r="1464" spans="4:11" x14ac:dyDescent="0.25">
      <c r="D1464" s="34"/>
      <c r="F1464" s="30"/>
      <c r="G1464" s="30"/>
      <c r="K1464" s="30"/>
    </row>
    <row r="1465" spans="4:11" x14ac:dyDescent="0.25">
      <c r="D1465" s="34"/>
      <c r="F1465" s="30"/>
      <c r="G1465" s="30"/>
      <c r="K1465" s="30"/>
    </row>
    <row r="1466" spans="4:11" x14ac:dyDescent="0.25">
      <c r="D1466" s="34"/>
      <c r="F1466" s="30"/>
      <c r="G1466" s="30"/>
      <c r="K1466" s="30"/>
    </row>
    <row r="1467" spans="4:11" x14ac:dyDescent="0.25">
      <c r="D1467" s="34"/>
      <c r="F1467" s="30"/>
      <c r="G1467" s="30"/>
      <c r="K1467" s="30"/>
    </row>
    <row r="1468" spans="4:11" x14ac:dyDescent="0.25">
      <c r="D1468" s="34"/>
      <c r="F1468" s="30"/>
      <c r="G1468" s="30"/>
      <c r="K1468" s="30"/>
    </row>
    <row r="1469" spans="4:11" x14ac:dyDescent="0.25">
      <c r="D1469" s="34"/>
      <c r="F1469" s="30"/>
      <c r="G1469" s="30"/>
      <c r="K1469" s="30"/>
    </row>
    <row r="1470" spans="4:11" x14ac:dyDescent="0.25">
      <c r="D1470" s="34"/>
      <c r="F1470" s="30"/>
      <c r="G1470" s="30"/>
      <c r="K1470" s="30"/>
    </row>
    <row r="1471" spans="4:11" x14ac:dyDescent="0.25">
      <c r="D1471" s="34"/>
      <c r="F1471" s="30"/>
      <c r="G1471" s="30"/>
      <c r="K1471" s="30"/>
    </row>
    <row r="1472" spans="4:11" x14ac:dyDescent="0.25">
      <c r="D1472" s="34"/>
      <c r="F1472" s="30"/>
      <c r="G1472" s="30"/>
      <c r="K1472" s="30"/>
    </row>
    <row r="1473" spans="4:11" x14ac:dyDescent="0.25">
      <c r="D1473" s="34"/>
      <c r="F1473" s="30"/>
      <c r="G1473" s="30"/>
      <c r="K1473" s="30"/>
    </row>
    <row r="1474" spans="4:11" x14ac:dyDescent="0.25">
      <c r="D1474" s="34"/>
      <c r="F1474" s="30"/>
      <c r="G1474" s="30"/>
      <c r="K1474" s="30"/>
    </row>
    <row r="1475" spans="4:11" x14ac:dyDescent="0.25">
      <c r="D1475" s="34"/>
      <c r="F1475" s="30"/>
      <c r="G1475" s="30"/>
      <c r="K1475" s="30"/>
    </row>
    <row r="1476" spans="4:11" x14ac:dyDescent="0.25">
      <c r="D1476" s="34"/>
      <c r="F1476" s="30"/>
      <c r="G1476" s="30"/>
      <c r="K1476" s="30"/>
    </row>
    <row r="1477" spans="4:11" x14ac:dyDescent="0.25">
      <c r="D1477" s="34"/>
      <c r="F1477" s="30"/>
      <c r="G1477" s="30"/>
      <c r="K1477" s="30"/>
    </row>
    <row r="1478" spans="4:11" x14ac:dyDescent="0.25">
      <c r="D1478" s="34"/>
      <c r="F1478" s="30"/>
      <c r="G1478" s="30"/>
      <c r="K1478" s="30"/>
    </row>
    <row r="1479" spans="4:11" x14ac:dyDescent="0.25">
      <c r="D1479" s="34"/>
      <c r="F1479" s="30"/>
      <c r="G1479" s="30"/>
      <c r="K1479" s="30"/>
    </row>
    <row r="1480" spans="4:11" x14ac:dyDescent="0.25">
      <c r="D1480" s="34"/>
      <c r="F1480" s="30"/>
      <c r="G1480" s="30"/>
      <c r="K1480" s="30"/>
    </row>
    <row r="1481" spans="4:11" x14ac:dyDescent="0.25">
      <c r="D1481" s="34"/>
      <c r="F1481" s="30"/>
      <c r="G1481" s="30"/>
      <c r="K1481" s="30"/>
    </row>
    <row r="1482" spans="4:11" x14ac:dyDescent="0.25">
      <c r="D1482" s="34"/>
      <c r="F1482" s="30"/>
      <c r="G1482" s="30"/>
      <c r="K1482" s="30"/>
    </row>
    <row r="1483" spans="4:11" x14ac:dyDescent="0.25">
      <c r="D1483" s="34"/>
      <c r="F1483" s="30"/>
      <c r="G1483" s="30"/>
      <c r="K1483" s="30"/>
    </row>
    <row r="1484" spans="4:11" x14ac:dyDescent="0.25">
      <c r="D1484" s="34"/>
      <c r="F1484" s="30"/>
      <c r="G1484" s="30"/>
      <c r="K1484" s="30"/>
    </row>
    <row r="1485" spans="4:11" x14ac:dyDescent="0.25">
      <c r="D1485" s="34"/>
      <c r="F1485" s="30"/>
      <c r="G1485" s="30"/>
      <c r="K1485" s="30"/>
    </row>
    <row r="1486" spans="4:11" x14ac:dyDescent="0.25">
      <c r="D1486" s="34"/>
      <c r="F1486" s="30"/>
      <c r="G1486" s="30"/>
      <c r="K1486" s="30"/>
    </row>
    <row r="1487" spans="4:11" x14ac:dyDescent="0.25">
      <c r="D1487" s="34"/>
      <c r="F1487" s="30"/>
      <c r="G1487" s="30"/>
      <c r="K1487" s="30"/>
    </row>
    <row r="1488" spans="4:11" x14ac:dyDescent="0.25">
      <c r="D1488" s="34"/>
      <c r="F1488" s="30"/>
      <c r="G1488" s="30"/>
      <c r="K1488" s="30"/>
    </row>
    <row r="1489" spans="4:11" x14ac:dyDescent="0.25">
      <c r="D1489" s="34"/>
      <c r="F1489" s="30"/>
      <c r="G1489" s="30"/>
      <c r="K1489" s="30"/>
    </row>
    <row r="1490" spans="4:11" x14ac:dyDescent="0.25">
      <c r="D1490" s="34"/>
      <c r="F1490" s="30"/>
      <c r="G1490" s="30"/>
      <c r="K1490" s="30"/>
    </row>
    <row r="1491" spans="4:11" x14ac:dyDescent="0.25">
      <c r="D1491" s="34"/>
      <c r="F1491" s="30"/>
      <c r="G1491" s="30"/>
      <c r="K1491" s="30"/>
    </row>
    <row r="1492" spans="4:11" x14ac:dyDescent="0.25">
      <c r="D1492" s="34"/>
      <c r="F1492" s="30"/>
      <c r="G1492" s="30"/>
      <c r="K1492" s="30"/>
    </row>
    <row r="1493" spans="4:11" x14ac:dyDescent="0.25">
      <c r="D1493" s="34"/>
      <c r="F1493" s="30"/>
      <c r="G1493" s="30"/>
      <c r="K1493" s="30"/>
    </row>
    <row r="1494" spans="4:11" x14ac:dyDescent="0.25">
      <c r="D1494" s="34"/>
      <c r="F1494" s="30"/>
      <c r="G1494" s="30"/>
      <c r="K1494" s="30"/>
    </row>
    <row r="1495" spans="4:11" x14ac:dyDescent="0.25">
      <c r="D1495" s="34"/>
      <c r="F1495" s="30"/>
      <c r="G1495" s="30"/>
      <c r="K1495" s="30"/>
    </row>
    <row r="1496" spans="4:11" x14ac:dyDescent="0.25">
      <c r="D1496" s="34"/>
      <c r="F1496" s="30"/>
      <c r="G1496" s="30"/>
      <c r="K1496" s="30"/>
    </row>
    <row r="1497" spans="4:11" x14ac:dyDescent="0.25">
      <c r="D1497" s="34"/>
      <c r="F1497" s="30"/>
      <c r="G1497" s="30"/>
      <c r="K1497" s="30"/>
    </row>
    <row r="1498" spans="4:11" x14ac:dyDescent="0.25">
      <c r="D1498" s="34"/>
      <c r="F1498" s="30"/>
      <c r="G1498" s="30"/>
      <c r="K1498" s="30"/>
    </row>
    <row r="1499" spans="4:11" x14ac:dyDescent="0.25">
      <c r="D1499" s="34"/>
      <c r="F1499" s="30"/>
      <c r="G1499" s="30"/>
      <c r="K1499" s="30"/>
    </row>
    <row r="1500" spans="4:11" x14ac:dyDescent="0.25">
      <c r="D1500" s="34"/>
      <c r="F1500" s="30"/>
      <c r="G1500" s="30"/>
      <c r="K1500" s="30"/>
    </row>
    <row r="1501" spans="4:11" x14ac:dyDescent="0.25">
      <c r="D1501" s="34"/>
      <c r="F1501" s="30"/>
      <c r="G1501" s="30"/>
      <c r="K1501" s="30"/>
    </row>
    <row r="1502" spans="4:11" x14ac:dyDescent="0.25">
      <c r="D1502" s="34"/>
      <c r="F1502" s="30"/>
      <c r="G1502" s="30"/>
      <c r="K1502" s="30"/>
    </row>
    <row r="1503" spans="4:11" x14ac:dyDescent="0.25">
      <c r="D1503" s="34"/>
      <c r="F1503" s="30"/>
      <c r="G1503" s="30"/>
      <c r="K1503" s="30"/>
    </row>
    <row r="1504" spans="4:11" x14ac:dyDescent="0.25">
      <c r="D1504" s="34"/>
      <c r="F1504" s="30"/>
      <c r="G1504" s="30"/>
      <c r="K1504" s="30"/>
    </row>
    <row r="1505" spans="4:11" x14ac:dyDescent="0.25">
      <c r="D1505" s="34"/>
      <c r="F1505" s="30"/>
      <c r="G1505" s="30"/>
      <c r="K1505" s="30"/>
    </row>
    <row r="1506" spans="4:11" x14ac:dyDescent="0.25">
      <c r="D1506" s="34"/>
      <c r="F1506" s="30"/>
      <c r="G1506" s="30"/>
      <c r="K1506" s="30"/>
    </row>
    <row r="1507" spans="4:11" x14ac:dyDescent="0.25">
      <c r="D1507" s="34"/>
      <c r="F1507" s="30"/>
      <c r="G1507" s="30"/>
      <c r="K1507" s="30"/>
    </row>
    <row r="1508" spans="4:11" x14ac:dyDescent="0.25">
      <c r="D1508" s="34"/>
      <c r="F1508" s="30"/>
      <c r="G1508" s="30"/>
      <c r="K1508" s="30"/>
    </row>
    <row r="1509" spans="4:11" x14ac:dyDescent="0.25">
      <c r="D1509" s="34"/>
      <c r="F1509" s="30"/>
      <c r="G1509" s="30"/>
      <c r="K1509" s="30"/>
    </row>
    <row r="1510" spans="4:11" x14ac:dyDescent="0.25">
      <c r="D1510" s="34"/>
      <c r="F1510" s="30"/>
      <c r="G1510" s="30"/>
      <c r="K1510" s="30"/>
    </row>
    <row r="1511" spans="4:11" x14ac:dyDescent="0.25">
      <c r="D1511" s="34"/>
      <c r="F1511" s="30"/>
      <c r="G1511" s="30"/>
      <c r="K1511" s="30"/>
    </row>
    <row r="1512" spans="4:11" x14ac:dyDescent="0.25">
      <c r="D1512" s="34"/>
      <c r="F1512" s="30"/>
      <c r="G1512" s="30"/>
      <c r="K1512" s="30"/>
    </row>
    <row r="1513" spans="4:11" x14ac:dyDescent="0.25">
      <c r="D1513" s="34"/>
      <c r="F1513" s="30"/>
      <c r="G1513" s="30"/>
      <c r="K1513" s="30"/>
    </row>
    <row r="1514" spans="4:11" x14ac:dyDescent="0.25">
      <c r="D1514" s="34"/>
      <c r="F1514" s="30"/>
      <c r="G1514" s="30"/>
      <c r="K1514" s="30"/>
    </row>
    <row r="1515" spans="4:11" x14ac:dyDescent="0.25">
      <c r="D1515" s="34"/>
      <c r="F1515" s="30"/>
      <c r="G1515" s="30"/>
      <c r="K1515" s="30"/>
    </row>
    <row r="1516" spans="4:11" x14ac:dyDescent="0.25">
      <c r="D1516" s="34"/>
      <c r="F1516" s="30"/>
      <c r="G1516" s="30"/>
      <c r="K1516" s="30"/>
    </row>
    <row r="1517" spans="4:11" x14ac:dyDescent="0.25">
      <c r="D1517" s="34"/>
      <c r="F1517" s="30"/>
      <c r="G1517" s="30"/>
      <c r="K1517" s="30"/>
    </row>
    <row r="1518" spans="4:11" x14ac:dyDescent="0.25">
      <c r="D1518" s="34"/>
      <c r="F1518" s="30"/>
      <c r="G1518" s="30"/>
      <c r="K1518" s="30"/>
    </row>
    <row r="1519" spans="4:11" x14ac:dyDescent="0.25">
      <c r="D1519" s="34"/>
      <c r="F1519" s="30"/>
      <c r="G1519" s="30"/>
      <c r="K1519" s="30"/>
    </row>
    <row r="1520" spans="4:11" x14ac:dyDescent="0.25">
      <c r="D1520" s="34"/>
      <c r="F1520" s="30"/>
      <c r="G1520" s="30"/>
      <c r="K1520" s="30"/>
    </row>
    <row r="1521" spans="4:11" x14ac:dyDescent="0.25">
      <c r="D1521" s="34"/>
      <c r="F1521" s="30"/>
      <c r="G1521" s="30"/>
      <c r="K1521" s="30"/>
    </row>
    <row r="1522" spans="4:11" x14ac:dyDescent="0.25">
      <c r="D1522" s="34"/>
      <c r="F1522" s="30"/>
      <c r="G1522" s="30"/>
      <c r="K1522" s="30"/>
    </row>
    <row r="1523" spans="4:11" x14ac:dyDescent="0.25">
      <c r="D1523" s="34"/>
      <c r="F1523" s="30"/>
      <c r="G1523" s="30"/>
      <c r="K1523" s="30"/>
    </row>
    <row r="1524" spans="4:11" x14ac:dyDescent="0.25">
      <c r="D1524" s="34"/>
      <c r="F1524" s="30"/>
      <c r="G1524" s="30"/>
      <c r="K1524" s="30"/>
    </row>
    <row r="1525" spans="4:11" x14ac:dyDescent="0.25">
      <c r="D1525" s="34"/>
      <c r="F1525" s="30"/>
      <c r="G1525" s="30"/>
      <c r="K1525" s="30"/>
    </row>
    <row r="1526" spans="4:11" x14ac:dyDescent="0.25">
      <c r="D1526" s="34"/>
      <c r="F1526" s="30"/>
      <c r="G1526" s="30"/>
      <c r="K1526" s="30"/>
    </row>
    <row r="1527" spans="4:11" x14ac:dyDescent="0.25">
      <c r="D1527" s="34"/>
      <c r="F1527" s="30"/>
      <c r="G1527" s="30"/>
      <c r="K1527" s="30"/>
    </row>
    <row r="1528" spans="4:11" x14ac:dyDescent="0.25">
      <c r="D1528" s="34"/>
      <c r="F1528" s="30"/>
      <c r="G1528" s="30"/>
      <c r="K1528" s="30"/>
    </row>
    <row r="1529" spans="4:11" x14ac:dyDescent="0.25">
      <c r="D1529" s="34"/>
      <c r="F1529" s="30"/>
      <c r="G1529" s="30"/>
      <c r="K1529" s="30"/>
    </row>
    <row r="1530" spans="4:11" x14ac:dyDescent="0.25">
      <c r="D1530" s="34"/>
      <c r="F1530" s="30"/>
      <c r="G1530" s="30"/>
      <c r="K1530" s="30"/>
    </row>
    <row r="1531" spans="4:11" x14ac:dyDescent="0.25">
      <c r="D1531" s="34"/>
      <c r="F1531" s="30"/>
      <c r="G1531" s="30"/>
      <c r="K1531" s="30"/>
    </row>
    <row r="1532" spans="4:11" x14ac:dyDescent="0.25">
      <c r="D1532" s="34"/>
      <c r="F1532" s="30"/>
      <c r="G1532" s="30"/>
      <c r="K1532" s="30"/>
    </row>
  </sheetData>
  <autoFilter ref="A2:R780" xr:uid="{75FD4D84-AD5B-4C84-B52D-A79E2A24F32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3"/>
  <sheetViews>
    <sheetView zoomScale="80" zoomScaleNormal="80" workbookViewId="0">
      <pane xSplit="2" ySplit="2" topLeftCell="C3" activePane="bottomRight" state="frozen"/>
      <selection activeCell="A3" sqref="A3:P690"/>
      <selection pane="topRight" activeCell="A3" sqref="A3:P690"/>
      <selection pane="bottomLeft" activeCell="A3" sqref="A3:P690"/>
      <selection pane="bottomRight" activeCell="R1" sqref="R1"/>
    </sheetView>
  </sheetViews>
  <sheetFormatPr defaultRowHeight="13.2" x14ac:dyDescent="0.25"/>
  <cols>
    <col min="1" max="1" width="12.6640625" bestFit="1" customWidth="1"/>
    <col min="2" max="2" width="43" bestFit="1" customWidth="1"/>
    <col min="3" max="3" width="17.5546875" bestFit="1" customWidth="1"/>
    <col min="4" max="4" width="14.66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2"/>
      <c r="D1" s="1">
        <f>SUBTOTAL(9,$D$3:$D$868)</f>
        <v>27655915.809999999</v>
      </c>
      <c r="E1" s="1"/>
      <c r="R1" s="3">
        <v>46136</v>
      </c>
    </row>
    <row r="2" spans="1:19"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9" x14ac:dyDescent="0.25">
      <c r="A3" s="410">
        <v>205</v>
      </c>
      <c r="B3" s="410" t="s">
        <v>43</v>
      </c>
      <c r="C3" s="410" t="s">
        <v>548</v>
      </c>
      <c r="D3" s="411">
        <v>80589.600000000006</v>
      </c>
      <c r="E3" s="410">
        <v>1246271690</v>
      </c>
      <c r="F3" s="412">
        <v>46157</v>
      </c>
      <c r="G3" s="410"/>
      <c r="H3" s="410" t="s">
        <v>28</v>
      </c>
      <c r="I3" s="410" t="s">
        <v>29</v>
      </c>
      <c r="J3" s="410">
        <v>11158</v>
      </c>
      <c r="K3" s="412">
        <v>46129</v>
      </c>
      <c r="L3" s="410">
        <v>1010100</v>
      </c>
      <c r="M3" s="410" t="s">
        <v>35</v>
      </c>
      <c r="N3" s="410">
        <v>161</v>
      </c>
      <c r="O3" s="410" t="s">
        <v>161</v>
      </c>
      <c r="P3" s="410" t="s">
        <v>576</v>
      </c>
      <c r="Q3">
        <f t="shared" ref="Q3:Q66" si="0">$R$1-F3</f>
        <v>-21</v>
      </c>
      <c r="R3" t="str">
        <f>_xlfn.XLOOKUP(P3,'Painel Additive'!$B:$B,'Painel Additive'!$B:$B,0)</f>
        <v>GRUPO FERTIPAR FERTILIZANTES MATO GROSSO</v>
      </c>
      <c r="S3">
        <f t="shared" ref="S3:S66" si="1">F3-K3</f>
        <v>28</v>
      </c>
    </row>
    <row r="4" spans="1:19" x14ac:dyDescent="0.25">
      <c r="A4" s="410">
        <v>205</v>
      </c>
      <c r="B4" s="410" t="s">
        <v>43</v>
      </c>
      <c r="C4" s="410" t="s">
        <v>548</v>
      </c>
      <c r="D4" s="411">
        <v>75474</v>
      </c>
      <c r="E4" s="410">
        <v>1246269597</v>
      </c>
      <c r="F4" s="412">
        <v>46139</v>
      </c>
      <c r="G4" s="410"/>
      <c r="H4" s="410" t="s">
        <v>28</v>
      </c>
      <c r="I4" s="410" t="s">
        <v>29</v>
      </c>
      <c r="J4" s="410">
        <v>11003</v>
      </c>
      <c r="K4" s="412">
        <v>46111</v>
      </c>
      <c r="L4" s="410">
        <v>1010100</v>
      </c>
      <c r="M4" s="410" t="s">
        <v>35</v>
      </c>
      <c r="N4" s="410">
        <v>161</v>
      </c>
      <c r="O4" s="410" t="s">
        <v>161</v>
      </c>
      <c r="P4" s="410" t="s">
        <v>576</v>
      </c>
      <c r="Q4">
        <f t="shared" si="0"/>
        <v>-3</v>
      </c>
      <c r="R4" t="str">
        <f>_xlfn.XLOOKUP(P4,'Painel Additive'!$B:$B,'Painel Additive'!$B:$B,0)</f>
        <v>GRUPO FERTIPAR FERTILIZANTES MATO GROSSO</v>
      </c>
      <c r="S4">
        <f t="shared" si="1"/>
        <v>28</v>
      </c>
    </row>
    <row r="5" spans="1:19" x14ac:dyDescent="0.25">
      <c r="A5" s="410">
        <v>1257</v>
      </c>
      <c r="B5" s="410" t="s">
        <v>62</v>
      </c>
      <c r="C5" s="410" t="s">
        <v>63</v>
      </c>
      <c r="D5" s="411">
        <v>1980.8</v>
      </c>
      <c r="E5" s="410">
        <v>1246032946</v>
      </c>
      <c r="F5" s="412">
        <v>44774</v>
      </c>
      <c r="G5" s="410"/>
      <c r="H5" s="410" t="s">
        <v>28</v>
      </c>
      <c r="I5" s="410" t="s">
        <v>29</v>
      </c>
      <c r="J5" s="410">
        <v>17935</v>
      </c>
      <c r="K5" s="412">
        <v>44714</v>
      </c>
      <c r="L5" s="410">
        <v>1010100</v>
      </c>
      <c r="M5" s="410" t="s">
        <v>35</v>
      </c>
      <c r="N5" s="410">
        <v>56</v>
      </c>
      <c r="O5" s="410" t="s">
        <v>162</v>
      </c>
      <c r="P5" s="410" t="s">
        <v>500</v>
      </c>
      <c r="Q5">
        <f t="shared" si="0"/>
        <v>1362</v>
      </c>
      <c r="R5" t="str">
        <f>_xlfn.XLOOKUP(P5,'Painel Additive'!$B:$B,'Painel Additive'!$B:$B,0)</f>
        <v>GRUPO MOSAIC FERTILIZANTES DO BRASIL</v>
      </c>
      <c r="S5">
        <f t="shared" si="1"/>
        <v>60</v>
      </c>
    </row>
    <row r="6" spans="1:19" x14ac:dyDescent="0.25">
      <c r="A6" s="410">
        <v>1953</v>
      </c>
      <c r="B6" s="410" t="s">
        <v>76</v>
      </c>
      <c r="C6" s="410" t="s">
        <v>882</v>
      </c>
      <c r="D6" s="411">
        <v>58917.8</v>
      </c>
      <c r="E6" s="410">
        <v>1246267986</v>
      </c>
      <c r="F6" s="412">
        <v>46158</v>
      </c>
      <c r="G6" s="410"/>
      <c r="H6" s="410" t="s">
        <v>28</v>
      </c>
      <c r="I6" s="410" t="s">
        <v>29</v>
      </c>
      <c r="J6" s="410">
        <v>10907</v>
      </c>
      <c r="K6" s="412">
        <v>46098</v>
      </c>
      <c r="L6" s="410">
        <v>1010100</v>
      </c>
      <c r="M6" s="410" t="s">
        <v>35</v>
      </c>
      <c r="N6" s="410">
        <v>161</v>
      </c>
      <c r="O6" s="410" t="s">
        <v>161</v>
      </c>
      <c r="P6" s="410" t="s">
        <v>414</v>
      </c>
      <c r="Q6">
        <f t="shared" si="0"/>
        <v>-22</v>
      </c>
      <c r="R6" t="str">
        <f>_xlfn.XLOOKUP(P6,'Painel Additive'!$B:$B,'Painel Additive'!$B:$B,0)</f>
        <v>GRUPO AMAGGI</v>
      </c>
      <c r="S6">
        <f t="shared" si="1"/>
        <v>60</v>
      </c>
    </row>
    <row r="7" spans="1:19" x14ac:dyDescent="0.25">
      <c r="A7" s="410">
        <v>1787</v>
      </c>
      <c r="B7" s="410" t="s">
        <v>67</v>
      </c>
      <c r="C7" s="410" t="s">
        <v>68</v>
      </c>
      <c r="D7" s="411">
        <v>109862.39999999999</v>
      </c>
      <c r="E7" s="410">
        <v>1246271310</v>
      </c>
      <c r="F7" s="412">
        <v>46216</v>
      </c>
      <c r="G7" s="410"/>
      <c r="H7" s="410" t="s">
        <v>28</v>
      </c>
      <c r="I7" s="410" t="s">
        <v>29</v>
      </c>
      <c r="J7" s="410">
        <v>11116</v>
      </c>
      <c r="K7" s="412">
        <v>46126</v>
      </c>
      <c r="L7" s="410">
        <v>1010100</v>
      </c>
      <c r="M7" s="410" t="s">
        <v>35</v>
      </c>
      <c r="N7" s="410">
        <v>161</v>
      </c>
      <c r="O7" s="410" t="s">
        <v>161</v>
      </c>
      <c r="P7" s="410" t="s">
        <v>531</v>
      </c>
      <c r="Q7">
        <f t="shared" si="0"/>
        <v>-80</v>
      </c>
      <c r="R7" t="str">
        <f>_xlfn.XLOOKUP(P7,'Painel Additive'!$B:$B,'Painel Additive'!$B:$B,0)</f>
        <v>GRUPO MOSAIC FERTILIZANTES P K LTDA</v>
      </c>
      <c r="S7">
        <f t="shared" si="1"/>
        <v>90</v>
      </c>
    </row>
    <row r="8" spans="1:19" x14ac:dyDescent="0.25">
      <c r="A8" s="410">
        <v>1787</v>
      </c>
      <c r="B8" s="410" t="s">
        <v>67</v>
      </c>
      <c r="C8" s="410" t="s">
        <v>68</v>
      </c>
      <c r="D8" s="411">
        <v>116928</v>
      </c>
      <c r="E8" s="410">
        <v>1246267948</v>
      </c>
      <c r="F8" s="412">
        <v>46187</v>
      </c>
      <c r="G8" s="410"/>
      <c r="H8" s="410" t="s">
        <v>28</v>
      </c>
      <c r="I8" s="410" t="s">
        <v>29</v>
      </c>
      <c r="J8" s="410">
        <v>10899</v>
      </c>
      <c r="K8" s="412">
        <v>46097</v>
      </c>
      <c r="L8" s="410">
        <v>1010100</v>
      </c>
      <c r="M8" s="410" t="s">
        <v>35</v>
      </c>
      <c r="N8" s="410">
        <v>161</v>
      </c>
      <c r="O8" s="410" t="s">
        <v>161</v>
      </c>
      <c r="P8" s="410" t="s">
        <v>531</v>
      </c>
      <c r="Q8">
        <f t="shared" si="0"/>
        <v>-51</v>
      </c>
      <c r="R8" t="str">
        <f>_xlfn.XLOOKUP(P8,'Painel Additive'!$B:$B,'Painel Additive'!$B:$B,0)</f>
        <v>GRUPO MOSAIC FERTILIZANTES P K LTDA</v>
      </c>
      <c r="S8">
        <f t="shared" si="1"/>
        <v>90</v>
      </c>
    </row>
    <row r="9" spans="1:19" x14ac:dyDescent="0.25">
      <c r="A9" s="410">
        <v>1787</v>
      </c>
      <c r="B9" s="410" t="s">
        <v>67</v>
      </c>
      <c r="C9" s="410" t="s">
        <v>68</v>
      </c>
      <c r="D9" s="411">
        <v>115891.2</v>
      </c>
      <c r="E9" s="410">
        <v>1246262540</v>
      </c>
      <c r="F9" s="412">
        <v>46149</v>
      </c>
      <c r="G9" s="410"/>
      <c r="H9" s="410" t="s">
        <v>28</v>
      </c>
      <c r="I9" s="410" t="s">
        <v>29</v>
      </c>
      <c r="J9" s="410">
        <v>10652</v>
      </c>
      <c r="K9" s="412">
        <v>46059</v>
      </c>
      <c r="L9" s="410">
        <v>1010100</v>
      </c>
      <c r="M9" s="410" t="s">
        <v>35</v>
      </c>
      <c r="N9" s="410">
        <v>161</v>
      </c>
      <c r="O9" s="410" t="s">
        <v>161</v>
      </c>
      <c r="P9" s="410" t="s">
        <v>531</v>
      </c>
      <c r="Q9">
        <f t="shared" si="0"/>
        <v>-13</v>
      </c>
      <c r="R9" t="str">
        <f>_xlfn.XLOOKUP(P9,'Painel Additive'!$B:$B,'Painel Additive'!$B:$B,0)</f>
        <v>GRUPO MOSAIC FERTILIZANTES P K LTDA</v>
      </c>
      <c r="S9">
        <f t="shared" si="1"/>
        <v>90</v>
      </c>
    </row>
    <row r="10" spans="1:19" x14ac:dyDescent="0.25">
      <c r="A10" s="410">
        <v>1787</v>
      </c>
      <c r="B10" s="410" t="s">
        <v>67</v>
      </c>
      <c r="C10" s="410" t="s">
        <v>68</v>
      </c>
      <c r="D10" s="411">
        <v>103795.2</v>
      </c>
      <c r="E10" s="410">
        <v>1246268633</v>
      </c>
      <c r="F10" s="412">
        <v>46194</v>
      </c>
      <c r="G10" s="410"/>
      <c r="H10" s="410" t="s">
        <v>28</v>
      </c>
      <c r="I10" s="410" t="s">
        <v>29</v>
      </c>
      <c r="J10" s="410">
        <v>10957</v>
      </c>
      <c r="K10" s="412">
        <v>46104</v>
      </c>
      <c r="L10" s="410">
        <v>1010100</v>
      </c>
      <c r="M10" s="410" t="s">
        <v>35</v>
      </c>
      <c r="N10" s="410">
        <v>161</v>
      </c>
      <c r="O10" s="410" t="s">
        <v>161</v>
      </c>
      <c r="P10" s="410" t="s">
        <v>531</v>
      </c>
      <c r="Q10">
        <f t="shared" si="0"/>
        <v>-58</v>
      </c>
      <c r="R10" t="str">
        <f>_xlfn.XLOOKUP(P10,'Painel Additive'!$B:$B,'Painel Additive'!$B:$B,0)</f>
        <v>GRUPO MOSAIC FERTILIZANTES P K LTDA</v>
      </c>
      <c r="S10">
        <f t="shared" si="1"/>
        <v>90</v>
      </c>
    </row>
    <row r="11" spans="1:19" x14ac:dyDescent="0.25">
      <c r="A11" s="410">
        <v>1787</v>
      </c>
      <c r="B11" s="410" t="s">
        <v>67</v>
      </c>
      <c r="C11" s="410" t="s">
        <v>68</v>
      </c>
      <c r="D11" s="411">
        <v>111360</v>
      </c>
      <c r="E11" s="410">
        <v>1246268748</v>
      </c>
      <c r="F11" s="412">
        <v>46195</v>
      </c>
      <c r="G11" s="410"/>
      <c r="H11" s="410" t="s">
        <v>28</v>
      </c>
      <c r="I11" s="410" t="s">
        <v>29</v>
      </c>
      <c r="J11" s="410">
        <v>10965</v>
      </c>
      <c r="K11" s="412">
        <v>46105</v>
      </c>
      <c r="L11" s="410">
        <v>1010100</v>
      </c>
      <c r="M11" s="410" t="s">
        <v>35</v>
      </c>
      <c r="N11" s="410">
        <v>161</v>
      </c>
      <c r="O11" s="410" t="s">
        <v>161</v>
      </c>
      <c r="P11" s="410" t="s">
        <v>531</v>
      </c>
      <c r="Q11">
        <f t="shared" si="0"/>
        <v>-59</v>
      </c>
      <c r="R11" t="str">
        <f>_xlfn.XLOOKUP(P11,'Painel Additive'!$B:$B,'Painel Additive'!$B:$B,0)</f>
        <v>GRUPO MOSAIC FERTILIZANTES P K LTDA</v>
      </c>
      <c r="S11">
        <f t="shared" si="1"/>
        <v>90</v>
      </c>
    </row>
    <row r="12" spans="1:19" x14ac:dyDescent="0.25">
      <c r="A12" s="410">
        <v>1787</v>
      </c>
      <c r="B12" s="410" t="s">
        <v>67</v>
      </c>
      <c r="C12" s="410" t="s">
        <v>68</v>
      </c>
      <c r="D12" s="411">
        <v>114662.39999999999</v>
      </c>
      <c r="E12" s="410">
        <v>1246268585</v>
      </c>
      <c r="F12" s="412">
        <v>46161</v>
      </c>
      <c r="G12" s="410"/>
      <c r="H12" s="410" t="s">
        <v>28</v>
      </c>
      <c r="I12" s="410" t="s">
        <v>29</v>
      </c>
      <c r="J12" s="410">
        <v>10953</v>
      </c>
      <c r="K12" s="412">
        <v>46101</v>
      </c>
      <c r="L12" s="410">
        <v>1010100</v>
      </c>
      <c r="M12" s="410" t="s">
        <v>35</v>
      </c>
      <c r="N12" s="410">
        <v>161</v>
      </c>
      <c r="O12" s="410" t="s">
        <v>161</v>
      </c>
      <c r="P12" s="410" t="s">
        <v>531</v>
      </c>
      <c r="Q12">
        <f t="shared" si="0"/>
        <v>-25</v>
      </c>
      <c r="R12" t="str">
        <f>_xlfn.XLOOKUP(P12,'Painel Additive'!$B:$B,'Painel Additive'!$B:$B,0)</f>
        <v>GRUPO MOSAIC FERTILIZANTES P K LTDA</v>
      </c>
      <c r="S12">
        <f t="shared" si="1"/>
        <v>60</v>
      </c>
    </row>
    <row r="13" spans="1:19" x14ac:dyDescent="0.25">
      <c r="A13" s="410">
        <v>1787</v>
      </c>
      <c r="B13" s="410" t="s">
        <v>67</v>
      </c>
      <c r="C13" s="410" t="s">
        <v>68</v>
      </c>
      <c r="D13" s="411">
        <v>115852.8</v>
      </c>
      <c r="E13" s="410">
        <v>1246270635</v>
      </c>
      <c r="F13" s="412">
        <v>46210</v>
      </c>
      <c r="G13" s="410"/>
      <c r="H13" s="410" t="s">
        <v>28</v>
      </c>
      <c r="I13" s="410" t="s">
        <v>29</v>
      </c>
      <c r="J13" s="410">
        <v>11072</v>
      </c>
      <c r="K13" s="412">
        <v>46120</v>
      </c>
      <c r="L13" s="410">
        <v>1010100</v>
      </c>
      <c r="M13" s="410" t="s">
        <v>35</v>
      </c>
      <c r="N13" s="410">
        <v>161</v>
      </c>
      <c r="O13" s="410" t="s">
        <v>161</v>
      </c>
      <c r="P13" s="410" t="s">
        <v>531</v>
      </c>
      <c r="Q13">
        <f t="shared" si="0"/>
        <v>-74</v>
      </c>
      <c r="R13" t="str">
        <f>_xlfn.XLOOKUP(P13,'Painel Additive'!$B:$B,'Painel Additive'!$B:$B,0)</f>
        <v>GRUPO MOSAIC FERTILIZANTES P K LTDA</v>
      </c>
      <c r="S13">
        <f t="shared" si="1"/>
        <v>90</v>
      </c>
    </row>
    <row r="14" spans="1:19" x14ac:dyDescent="0.25">
      <c r="A14" s="410">
        <v>1787</v>
      </c>
      <c r="B14" s="410" t="s">
        <v>67</v>
      </c>
      <c r="C14" s="410" t="s">
        <v>68</v>
      </c>
      <c r="D14" s="411">
        <v>114739.2</v>
      </c>
      <c r="E14" s="410">
        <v>1246271165</v>
      </c>
      <c r="F14" s="412">
        <v>46215</v>
      </c>
      <c r="G14" s="410"/>
      <c r="H14" s="410" t="s">
        <v>28</v>
      </c>
      <c r="I14" s="410" t="s">
        <v>29</v>
      </c>
      <c r="J14" s="410">
        <v>11105</v>
      </c>
      <c r="K14" s="412">
        <v>46125</v>
      </c>
      <c r="L14" s="410">
        <v>1010100</v>
      </c>
      <c r="M14" s="410" t="s">
        <v>35</v>
      </c>
      <c r="N14" s="410">
        <v>161</v>
      </c>
      <c r="O14" s="410" t="s">
        <v>161</v>
      </c>
      <c r="P14" s="410" t="s">
        <v>531</v>
      </c>
      <c r="Q14">
        <f t="shared" si="0"/>
        <v>-79</v>
      </c>
      <c r="R14" t="str">
        <f>_xlfn.XLOOKUP(P14,'Painel Additive'!$B:$B,'Painel Additive'!$B:$B,0)</f>
        <v>GRUPO MOSAIC FERTILIZANTES P K LTDA</v>
      </c>
      <c r="S14">
        <f t="shared" si="1"/>
        <v>90</v>
      </c>
    </row>
    <row r="15" spans="1:19" x14ac:dyDescent="0.25">
      <c r="A15" s="410">
        <v>1787</v>
      </c>
      <c r="B15" s="410" t="s">
        <v>67</v>
      </c>
      <c r="C15" s="410" t="s">
        <v>68</v>
      </c>
      <c r="D15" s="411">
        <v>114969.60000000001</v>
      </c>
      <c r="E15" s="410">
        <v>1246264543</v>
      </c>
      <c r="F15" s="412">
        <v>46166</v>
      </c>
      <c r="G15" s="410"/>
      <c r="H15" s="410" t="s">
        <v>28</v>
      </c>
      <c r="I15" s="410" t="s">
        <v>29</v>
      </c>
      <c r="J15" s="410">
        <v>10746</v>
      </c>
      <c r="K15" s="412">
        <v>46076</v>
      </c>
      <c r="L15" s="410">
        <v>1010100</v>
      </c>
      <c r="M15" s="410" t="s">
        <v>35</v>
      </c>
      <c r="N15" s="410">
        <v>161</v>
      </c>
      <c r="O15" s="410" t="s">
        <v>161</v>
      </c>
      <c r="P15" s="410" t="s">
        <v>531</v>
      </c>
      <c r="Q15">
        <f t="shared" si="0"/>
        <v>-30</v>
      </c>
      <c r="R15" t="str">
        <f>_xlfn.XLOOKUP(P15,'Painel Additive'!$B:$B,'Painel Additive'!$B:$B,0)</f>
        <v>GRUPO MOSAIC FERTILIZANTES P K LTDA</v>
      </c>
      <c r="S15">
        <f t="shared" si="1"/>
        <v>90</v>
      </c>
    </row>
    <row r="16" spans="1:19" x14ac:dyDescent="0.25">
      <c r="A16" s="410">
        <v>1787</v>
      </c>
      <c r="B16" s="410" t="s">
        <v>67</v>
      </c>
      <c r="C16" s="410" t="s">
        <v>68</v>
      </c>
      <c r="D16" s="411">
        <v>114470.39999999999</v>
      </c>
      <c r="E16" s="410">
        <v>1246261586</v>
      </c>
      <c r="F16" s="412">
        <v>46141</v>
      </c>
      <c r="G16" s="410"/>
      <c r="H16" s="410" t="s">
        <v>28</v>
      </c>
      <c r="I16" s="410" t="s">
        <v>29</v>
      </c>
      <c r="J16" s="410">
        <v>10604</v>
      </c>
      <c r="K16" s="412">
        <v>46051</v>
      </c>
      <c r="L16" s="410">
        <v>1010100</v>
      </c>
      <c r="M16" s="410" t="s">
        <v>35</v>
      </c>
      <c r="N16" s="410">
        <v>161</v>
      </c>
      <c r="O16" s="410" t="s">
        <v>161</v>
      </c>
      <c r="P16" s="410" t="s">
        <v>531</v>
      </c>
      <c r="Q16">
        <f t="shared" si="0"/>
        <v>-5</v>
      </c>
      <c r="R16" t="str">
        <f>_xlfn.XLOOKUP(P16,'Painel Additive'!$B:$B,'Painel Additive'!$B:$B,0)</f>
        <v>GRUPO MOSAIC FERTILIZANTES P K LTDA</v>
      </c>
      <c r="S16">
        <f t="shared" si="1"/>
        <v>90</v>
      </c>
    </row>
    <row r="17" spans="1:19" x14ac:dyDescent="0.25">
      <c r="A17" s="410">
        <v>1787</v>
      </c>
      <c r="B17" s="410" t="s">
        <v>67</v>
      </c>
      <c r="C17" s="410" t="s">
        <v>68</v>
      </c>
      <c r="D17" s="411">
        <v>110476.8</v>
      </c>
      <c r="E17" s="410">
        <v>1246261043</v>
      </c>
      <c r="F17" s="412">
        <v>46138</v>
      </c>
      <c r="G17" s="410"/>
      <c r="H17" s="410" t="s">
        <v>28</v>
      </c>
      <c r="I17" s="410" t="s">
        <v>29</v>
      </c>
      <c r="J17" s="410">
        <v>10573</v>
      </c>
      <c r="K17" s="412">
        <v>46048</v>
      </c>
      <c r="L17" s="410">
        <v>1010100</v>
      </c>
      <c r="M17" s="410" t="s">
        <v>35</v>
      </c>
      <c r="N17" s="410">
        <v>161</v>
      </c>
      <c r="O17" s="410" t="s">
        <v>161</v>
      </c>
      <c r="P17" s="410" t="s">
        <v>531</v>
      </c>
      <c r="Q17">
        <f t="shared" si="0"/>
        <v>-2</v>
      </c>
      <c r="R17" t="str">
        <f>_xlfn.XLOOKUP(P17,'Painel Additive'!$B:$B,'Painel Additive'!$B:$B,0)</f>
        <v>GRUPO MOSAIC FERTILIZANTES P K LTDA</v>
      </c>
      <c r="S17">
        <f t="shared" si="1"/>
        <v>90</v>
      </c>
    </row>
    <row r="18" spans="1:19" x14ac:dyDescent="0.25">
      <c r="A18" s="410">
        <v>1787</v>
      </c>
      <c r="B18" s="410" t="s">
        <v>67</v>
      </c>
      <c r="C18" s="410" t="s">
        <v>68</v>
      </c>
      <c r="D18" s="411">
        <v>113356.8</v>
      </c>
      <c r="E18" s="410">
        <v>1246269731</v>
      </c>
      <c r="F18" s="412">
        <v>46202</v>
      </c>
      <c r="G18" s="410"/>
      <c r="H18" s="410" t="s">
        <v>28</v>
      </c>
      <c r="I18" s="410" t="s">
        <v>29</v>
      </c>
      <c r="J18" s="410">
        <v>11014</v>
      </c>
      <c r="K18" s="412">
        <v>46112</v>
      </c>
      <c r="L18" s="410">
        <v>1010100</v>
      </c>
      <c r="M18" s="410" t="s">
        <v>35</v>
      </c>
      <c r="N18" s="410">
        <v>161</v>
      </c>
      <c r="O18" s="410" t="s">
        <v>161</v>
      </c>
      <c r="P18" s="410" t="s">
        <v>531</v>
      </c>
      <c r="Q18">
        <f t="shared" si="0"/>
        <v>-66</v>
      </c>
      <c r="R18" t="str">
        <f>_xlfn.XLOOKUP(P18,'Painel Additive'!$B:$B,'Painel Additive'!$B:$B,0)</f>
        <v>GRUPO MOSAIC FERTILIZANTES P K LTDA</v>
      </c>
      <c r="S18">
        <f t="shared" si="1"/>
        <v>90</v>
      </c>
    </row>
    <row r="19" spans="1:19" x14ac:dyDescent="0.25">
      <c r="A19" s="410">
        <v>1787</v>
      </c>
      <c r="B19" s="410" t="s">
        <v>67</v>
      </c>
      <c r="C19" s="410" t="s">
        <v>68</v>
      </c>
      <c r="D19" s="411">
        <v>110246.39999999999</v>
      </c>
      <c r="E19" s="410">
        <v>1246272757</v>
      </c>
      <c r="F19" s="412">
        <v>46229</v>
      </c>
      <c r="G19" s="410"/>
      <c r="H19" s="410" t="s">
        <v>28</v>
      </c>
      <c r="I19" s="410" t="s">
        <v>29</v>
      </c>
      <c r="J19" s="410">
        <v>11229</v>
      </c>
      <c r="K19" s="412">
        <v>46139</v>
      </c>
      <c r="L19" s="410">
        <v>1010100</v>
      </c>
      <c r="M19" s="410" t="s">
        <v>35</v>
      </c>
      <c r="N19" s="410">
        <v>161</v>
      </c>
      <c r="O19" s="410" t="s">
        <v>161</v>
      </c>
      <c r="P19" s="410" t="s">
        <v>531</v>
      </c>
      <c r="Q19">
        <f t="shared" si="0"/>
        <v>-93</v>
      </c>
      <c r="R19" t="str">
        <f>_xlfn.XLOOKUP(P19,'Painel Additive'!$B:$B,'Painel Additive'!$B:$B,0)</f>
        <v>GRUPO MOSAIC FERTILIZANTES P K LTDA</v>
      </c>
      <c r="S19">
        <f t="shared" si="1"/>
        <v>90</v>
      </c>
    </row>
    <row r="20" spans="1:19" x14ac:dyDescent="0.25">
      <c r="A20" s="410">
        <v>1787</v>
      </c>
      <c r="B20" s="410" t="s">
        <v>67</v>
      </c>
      <c r="C20" s="410" t="s">
        <v>68</v>
      </c>
      <c r="D20" s="411">
        <v>115392</v>
      </c>
      <c r="E20" s="410">
        <v>1246265885</v>
      </c>
      <c r="F20" s="412">
        <v>46173</v>
      </c>
      <c r="G20" s="410"/>
      <c r="H20" s="410" t="s">
        <v>28</v>
      </c>
      <c r="I20" s="410" t="s">
        <v>29</v>
      </c>
      <c r="J20" s="410">
        <v>10791</v>
      </c>
      <c r="K20" s="412">
        <v>46083</v>
      </c>
      <c r="L20" s="410">
        <v>1010100</v>
      </c>
      <c r="M20" s="410" t="s">
        <v>35</v>
      </c>
      <c r="N20" s="410">
        <v>161</v>
      </c>
      <c r="O20" s="410" t="s">
        <v>161</v>
      </c>
      <c r="P20" s="410" t="s">
        <v>531</v>
      </c>
      <c r="Q20">
        <f t="shared" si="0"/>
        <v>-37</v>
      </c>
      <c r="R20" t="str">
        <f>_xlfn.XLOOKUP(P20,'Painel Additive'!$B:$B,'Painel Additive'!$B:$B,0)</f>
        <v>GRUPO MOSAIC FERTILIZANTES P K LTDA</v>
      </c>
      <c r="S20">
        <f t="shared" si="1"/>
        <v>90</v>
      </c>
    </row>
    <row r="21" spans="1:19" x14ac:dyDescent="0.25">
      <c r="A21" s="410">
        <v>1787</v>
      </c>
      <c r="B21" s="410" t="s">
        <v>67</v>
      </c>
      <c r="C21" s="410" t="s">
        <v>68</v>
      </c>
      <c r="D21" s="411">
        <v>115046.39999999999</v>
      </c>
      <c r="E21" s="410">
        <v>1246267207</v>
      </c>
      <c r="F21" s="412">
        <v>46181</v>
      </c>
      <c r="G21" s="410"/>
      <c r="H21" s="410" t="s">
        <v>28</v>
      </c>
      <c r="I21" s="410" t="s">
        <v>29</v>
      </c>
      <c r="J21" s="410">
        <v>10856</v>
      </c>
      <c r="K21" s="412">
        <v>46091</v>
      </c>
      <c r="L21" s="410">
        <v>1010100</v>
      </c>
      <c r="M21" s="410" t="s">
        <v>35</v>
      </c>
      <c r="N21" s="410">
        <v>161</v>
      </c>
      <c r="O21" s="410" t="s">
        <v>161</v>
      </c>
      <c r="P21" s="410" t="s">
        <v>531</v>
      </c>
      <c r="Q21">
        <f t="shared" si="0"/>
        <v>-45</v>
      </c>
      <c r="R21" t="str">
        <f>_xlfn.XLOOKUP(P21,'Painel Additive'!$B:$B,'Painel Additive'!$B:$B,0)</f>
        <v>GRUPO MOSAIC FERTILIZANTES P K LTDA</v>
      </c>
      <c r="S21">
        <f t="shared" si="1"/>
        <v>90</v>
      </c>
    </row>
    <row r="22" spans="1:19" x14ac:dyDescent="0.25">
      <c r="A22" s="410">
        <v>1787</v>
      </c>
      <c r="B22" s="410" t="s">
        <v>67</v>
      </c>
      <c r="C22" s="410" t="s">
        <v>68</v>
      </c>
      <c r="D22" s="411">
        <v>115968</v>
      </c>
      <c r="E22" s="410">
        <v>1246270152</v>
      </c>
      <c r="F22" s="412">
        <v>46204</v>
      </c>
      <c r="G22" s="410"/>
      <c r="H22" s="410" t="s">
        <v>28</v>
      </c>
      <c r="I22" s="410" t="s">
        <v>29</v>
      </c>
      <c r="J22" s="410">
        <v>11043</v>
      </c>
      <c r="K22" s="412">
        <v>46114</v>
      </c>
      <c r="L22" s="410">
        <v>1010100</v>
      </c>
      <c r="M22" s="410" t="s">
        <v>35</v>
      </c>
      <c r="N22" s="410">
        <v>161</v>
      </c>
      <c r="O22" s="410" t="s">
        <v>161</v>
      </c>
      <c r="P22" s="410" t="s">
        <v>531</v>
      </c>
      <c r="Q22">
        <f t="shared" si="0"/>
        <v>-68</v>
      </c>
      <c r="R22" t="str">
        <f>_xlfn.XLOOKUP(P22,'Painel Additive'!$B:$B,'Painel Additive'!$B:$B,0)</f>
        <v>GRUPO MOSAIC FERTILIZANTES P K LTDA</v>
      </c>
      <c r="S22">
        <f t="shared" si="1"/>
        <v>90</v>
      </c>
    </row>
    <row r="23" spans="1:19" x14ac:dyDescent="0.25">
      <c r="A23" s="410">
        <v>1787</v>
      </c>
      <c r="B23" s="410" t="s">
        <v>67</v>
      </c>
      <c r="C23" s="410" t="s">
        <v>68</v>
      </c>
      <c r="D23" s="411">
        <v>116889.60000000001</v>
      </c>
      <c r="E23" s="410">
        <v>1246271830</v>
      </c>
      <c r="F23" s="412">
        <v>46222</v>
      </c>
      <c r="G23" s="410"/>
      <c r="H23" s="410" t="s">
        <v>28</v>
      </c>
      <c r="I23" s="410" t="s">
        <v>29</v>
      </c>
      <c r="J23" s="410">
        <v>11172</v>
      </c>
      <c r="K23" s="412">
        <v>46132</v>
      </c>
      <c r="L23" s="410">
        <v>1010100</v>
      </c>
      <c r="M23" s="410" t="s">
        <v>35</v>
      </c>
      <c r="N23" s="410">
        <v>161</v>
      </c>
      <c r="O23" s="410" t="s">
        <v>161</v>
      </c>
      <c r="P23" s="410" t="s">
        <v>531</v>
      </c>
      <c r="Q23">
        <f t="shared" si="0"/>
        <v>-86</v>
      </c>
      <c r="R23" t="str">
        <f>_xlfn.XLOOKUP(P23,'Painel Additive'!$B:$B,'Painel Additive'!$B:$B,0)</f>
        <v>GRUPO MOSAIC FERTILIZANTES P K LTDA</v>
      </c>
      <c r="S23">
        <f t="shared" si="1"/>
        <v>90</v>
      </c>
    </row>
    <row r="24" spans="1:19" x14ac:dyDescent="0.25">
      <c r="A24" s="410">
        <v>1787</v>
      </c>
      <c r="B24" s="410" t="s">
        <v>67</v>
      </c>
      <c r="C24" s="410" t="s">
        <v>68</v>
      </c>
      <c r="D24" s="411">
        <v>114201.60000000001</v>
      </c>
      <c r="E24" s="410">
        <v>1246262790</v>
      </c>
      <c r="F24" s="412">
        <v>46152</v>
      </c>
      <c r="G24" s="410"/>
      <c r="H24" s="410" t="s">
        <v>28</v>
      </c>
      <c r="I24" s="410" t="s">
        <v>29</v>
      </c>
      <c r="J24" s="410">
        <v>10666</v>
      </c>
      <c r="K24" s="412">
        <v>46062</v>
      </c>
      <c r="L24" s="410">
        <v>1010100</v>
      </c>
      <c r="M24" s="410" t="s">
        <v>35</v>
      </c>
      <c r="N24" s="410">
        <v>161</v>
      </c>
      <c r="O24" s="410" t="s">
        <v>161</v>
      </c>
      <c r="P24" s="410" t="s">
        <v>531</v>
      </c>
      <c r="Q24">
        <f t="shared" si="0"/>
        <v>-16</v>
      </c>
      <c r="R24" t="str">
        <f>_xlfn.XLOOKUP(P24,'Painel Additive'!$B:$B,'Painel Additive'!$B:$B,0)</f>
        <v>GRUPO MOSAIC FERTILIZANTES P K LTDA</v>
      </c>
      <c r="S24">
        <f t="shared" si="1"/>
        <v>90</v>
      </c>
    </row>
    <row r="25" spans="1:19" x14ac:dyDescent="0.25">
      <c r="A25" s="410">
        <v>1787</v>
      </c>
      <c r="B25" s="410" t="s">
        <v>67</v>
      </c>
      <c r="C25" s="410" t="s">
        <v>68</v>
      </c>
      <c r="D25" s="411">
        <v>108864</v>
      </c>
      <c r="E25" s="410">
        <v>1246263600</v>
      </c>
      <c r="F25" s="412">
        <v>46156</v>
      </c>
      <c r="G25" s="410"/>
      <c r="H25" s="410" t="s">
        <v>28</v>
      </c>
      <c r="I25" s="410" t="s">
        <v>29</v>
      </c>
      <c r="J25" s="410">
        <v>10688</v>
      </c>
      <c r="K25" s="412">
        <v>46066</v>
      </c>
      <c r="L25" s="410">
        <v>1010100</v>
      </c>
      <c r="M25" s="410" t="s">
        <v>35</v>
      </c>
      <c r="N25" s="410">
        <v>161</v>
      </c>
      <c r="O25" s="410" t="s">
        <v>161</v>
      </c>
      <c r="P25" s="410" t="s">
        <v>531</v>
      </c>
      <c r="Q25">
        <f t="shared" si="0"/>
        <v>-20</v>
      </c>
      <c r="R25" t="str">
        <f>_xlfn.XLOOKUP(P25,'Painel Additive'!$B:$B,'Painel Additive'!$B:$B,0)</f>
        <v>GRUPO MOSAIC FERTILIZANTES P K LTDA</v>
      </c>
      <c r="S25">
        <f t="shared" si="1"/>
        <v>90</v>
      </c>
    </row>
    <row r="26" spans="1:19" x14ac:dyDescent="0.25">
      <c r="A26" s="410">
        <v>1787</v>
      </c>
      <c r="B26" s="410" t="s">
        <v>67</v>
      </c>
      <c r="C26" s="410" t="s">
        <v>68</v>
      </c>
      <c r="D26" s="411">
        <v>110937.60000000001</v>
      </c>
      <c r="E26" s="410">
        <v>1246268467</v>
      </c>
      <c r="F26" s="412">
        <v>46190</v>
      </c>
      <c r="G26" s="410"/>
      <c r="H26" s="410" t="s">
        <v>28</v>
      </c>
      <c r="I26" s="410" t="s">
        <v>29</v>
      </c>
      <c r="J26" s="410">
        <v>10936</v>
      </c>
      <c r="K26" s="412">
        <v>46100</v>
      </c>
      <c r="L26" s="410">
        <v>1010100</v>
      </c>
      <c r="M26" s="410" t="s">
        <v>35</v>
      </c>
      <c r="N26" s="410">
        <v>161</v>
      </c>
      <c r="O26" s="410" t="s">
        <v>161</v>
      </c>
      <c r="P26" s="410" t="s">
        <v>531</v>
      </c>
      <c r="Q26">
        <f t="shared" si="0"/>
        <v>-54</v>
      </c>
      <c r="R26" t="str">
        <f>_xlfn.XLOOKUP(P26,'Painel Additive'!$B:$B,'Painel Additive'!$B:$B,0)</f>
        <v>GRUPO MOSAIC FERTILIZANTES P K LTDA</v>
      </c>
      <c r="S26">
        <f t="shared" si="1"/>
        <v>90</v>
      </c>
    </row>
    <row r="27" spans="1:19" x14ac:dyDescent="0.25">
      <c r="A27" s="410">
        <v>1787</v>
      </c>
      <c r="B27" s="410" t="s">
        <v>67</v>
      </c>
      <c r="C27" s="410" t="s">
        <v>68</v>
      </c>
      <c r="D27" s="411">
        <v>116889.60000000001</v>
      </c>
      <c r="E27" s="410">
        <v>1246271678</v>
      </c>
      <c r="F27" s="412">
        <v>46219</v>
      </c>
      <c r="G27" s="410"/>
      <c r="H27" s="410" t="s">
        <v>28</v>
      </c>
      <c r="I27" s="410" t="s">
        <v>29</v>
      </c>
      <c r="J27" s="410">
        <v>11157</v>
      </c>
      <c r="K27" s="412">
        <v>46129</v>
      </c>
      <c r="L27" s="410">
        <v>1010100</v>
      </c>
      <c r="M27" s="410" t="s">
        <v>35</v>
      </c>
      <c r="N27" s="410">
        <v>161</v>
      </c>
      <c r="O27" s="410" t="s">
        <v>161</v>
      </c>
      <c r="P27" s="410" t="s">
        <v>531</v>
      </c>
      <c r="Q27">
        <f t="shared" si="0"/>
        <v>-83</v>
      </c>
      <c r="R27" t="str">
        <f>_xlfn.XLOOKUP(P27,'Painel Additive'!$B:$B,'Painel Additive'!$B:$B,0)</f>
        <v>GRUPO MOSAIC FERTILIZANTES P K LTDA</v>
      </c>
      <c r="S27">
        <f t="shared" si="1"/>
        <v>90</v>
      </c>
    </row>
    <row r="28" spans="1:19" x14ac:dyDescent="0.25">
      <c r="A28" s="410">
        <v>1787</v>
      </c>
      <c r="B28" s="410" t="s">
        <v>67</v>
      </c>
      <c r="C28" s="410" t="s">
        <v>68</v>
      </c>
      <c r="D28" s="411">
        <v>110131.2</v>
      </c>
      <c r="E28" s="410">
        <v>1246272134</v>
      </c>
      <c r="F28" s="412">
        <v>46224</v>
      </c>
      <c r="G28" s="410"/>
      <c r="H28" s="410" t="s">
        <v>28</v>
      </c>
      <c r="I28" s="410" t="s">
        <v>29</v>
      </c>
      <c r="J28" s="410">
        <v>11192</v>
      </c>
      <c r="K28" s="412">
        <v>46134</v>
      </c>
      <c r="L28" s="410">
        <v>1010100</v>
      </c>
      <c r="M28" s="410" t="s">
        <v>35</v>
      </c>
      <c r="N28" s="410">
        <v>161</v>
      </c>
      <c r="O28" s="410" t="s">
        <v>161</v>
      </c>
      <c r="P28" s="410" t="s">
        <v>531</v>
      </c>
      <c r="Q28">
        <f t="shared" si="0"/>
        <v>-88</v>
      </c>
      <c r="R28" t="str">
        <f>_xlfn.XLOOKUP(P28,'Painel Additive'!$B:$B,'Painel Additive'!$B:$B,0)</f>
        <v>GRUPO MOSAIC FERTILIZANTES P K LTDA</v>
      </c>
      <c r="S28">
        <f t="shared" si="1"/>
        <v>90</v>
      </c>
    </row>
    <row r="29" spans="1:19" x14ac:dyDescent="0.25">
      <c r="A29" s="410">
        <v>1787</v>
      </c>
      <c r="B29" s="410" t="s">
        <v>67</v>
      </c>
      <c r="C29" s="410" t="s">
        <v>68</v>
      </c>
      <c r="D29" s="411">
        <v>112358.39999999999</v>
      </c>
      <c r="E29" s="410">
        <v>1246272202</v>
      </c>
      <c r="F29" s="412">
        <v>46225</v>
      </c>
      <c r="G29" s="410"/>
      <c r="H29" s="410" t="s">
        <v>28</v>
      </c>
      <c r="I29" s="410" t="s">
        <v>29</v>
      </c>
      <c r="J29" s="410">
        <v>11197</v>
      </c>
      <c r="K29" s="412">
        <v>46135</v>
      </c>
      <c r="L29" s="410">
        <v>1010100</v>
      </c>
      <c r="M29" s="410" t="s">
        <v>35</v>
      </c>
      <c r="N29" s="410">
        <v>161</v>
      </c>
      <c r="O29" s="410" t="s">
        <v>161</v>
      </c>
      <c r="P29" s="410" t="s">
        <v>531</v>
      </c>
      <c r="Q29">
        <f t="shared" si="0"/>
        <v>-89</v>
      </c>
      <c r="R29" t="str">
        <f>_xlfn.XLOOKUP(P29,'Painel Additive'!$B:$B,'Painel Additive'!$B:$B,0)</f>
        <v>GRUPO MOSAIC FERTILIZANTES P K LTDA</v>
      </c>
      <c r="S29">
        <f t="shared" si="1"/>
        <v>90</v>
      </c>
    </row>
    <row r="30" spans="1:19" x14ac:dyDescent="0.25">
      <c r="A30" s="410">
        <v>1787</v>
      </c>
      <c r="B30" s="410" t="s">
        <v>67</v>
      </c>
      <c r="C30" s="410" t="s">
        <v>68</v>
      </c>
      <c r="D30" s="411">
        <v>110592</v>
      </c>
      <c r="E30" s="410">
        <v>1246269420</v>
      </c>
      <c r="F30" s="412">
        <v>46198</v>
      </c>
      <c r="G30" s="410"/>
      <c r="H30" s="410" t="s">
        <v>28</v>
      </c>
      <c r="I30" s="410" t="s">
        <v>29</v>
      </c>
      <c r="J30" s="410">
        <v>10989</v>
      </c>
      <c r="K30" s="412">
        <v>46108</v>
      </c>
      <c r="L30" s="410">
        <v>1010100</v>
      </c>
      <c r="M30" s="410" t="s">
        <v>35</v>
      </c>
      <c r="N30" s="410">
        <v>161</v>
      </c>
      <c r="O30" s="410" t="s">
        <v>161</v>
      </c>
      <c r="P30" s="410" t="s">
        <v>531</v>
      </c>
      <c r="Q30">
        <f t="shared" si="0"/>
        <v>-62</v>
      </c>
      <c r="R30" t="str">
        <f>_xlfn.XLOOKUP(P30,'Painel Additive'!$B:$B,'Painel Additive'!$B:$B,0)</f>
        <v>GRUPO MOSAIC FERTILIZANTES P K LTDA</v>
      </c>
      <c r="S30">
        <f t="shared" si="1"/>
        <v>90</v>
      </c>
    </row>
    <row r="31" spans="1:19" x14ac:dyDescent="0.25">
      <c r="A31" s="410">
        <v>1787</v>
      </c>
      <c r="B31" s="410" t="s">
        <v>67</v>
      </c>
      <c r="C31" s="410" t="s">
        <v>68</v>
      </c>
      <c r="D31" s="411">
        <v>114393.60000000001</v>
      </c>
      <c r="E31" s="410">
        <v>1246263371</v>
      </c>
      <c r="F31" s="412">
        <v>46154</v>
      </c>
      <c r="G31" s="410"/>
      <c r="H31" s="410" t="s">
        <v>28</v>
      </c>
      <c r="I31" s="410" t="s">
        <v>29</v>
      </c>
      <c r="J31" s="410">
        <v>10678</v>
      </c>
      <c r="K31" s="412">
        <v>46064</v>
      </c>
      <c r="L31" s="410">
        <v>1010100</v>
      </c>
      <c r="M31" s="410" t="s">
        <v>35</v>
      </c>
      <c r="N31" s="410">
        <v>161</v>
      </c>
      <c r="O31" s="410" t="s">
        <v>161</v>
      </c>
      <c r="P31" s="410" t="s">
        <v>531</v>
      </c>
      <c r="Q31">
        <f t="shared" si="0"/>
        <v>-18</v>
      </c>
      <c r="R31" t="str">
        <f>_xlfn.XLOOKUP(P31,'Painel Additive'!$B:$B,'Painel Additive'!$B:$B,0)</f>
        <v>GRUPO MOSAIC FERTILIZANTES P K LTDA</v>
      </c>
      <c r="S31">
        <f t="shared" si="1"/>
        <v>90</v>
      </c>
    </row>
    <row r="32" spans="1:19" x14ac:dyDescent="0.25">
      <c r="A32" s="410">
        <v>1787</v>
      </c>
      <c r="B32" s="410" t="s">
        <v>67</v>
      </c>
      <c r="C32" s="410" t="s">
        <v>68</v>
      </c>
      <c r="D32" s="411">
        <v>116006.39999999999</v>
      </c>
      <c r="E32" s="410">
        <v>1246267015</v>
      </c>
      <c r="F32" s="412">
        <v>46180</v>
      </c>
      <c r="G32" s="410"/>
      <c r="H32" s="410" t="s">
        <v>28</v>
      </c>
      <c r="I32" s="410" t="s">
        <v>29</v>
      </c>
      <c r="J32" s="410">
        <v>10844</v>
      </c>
      <c r="K32" s="412">
        <v>46090</v>
      </c>
      <c r="L32" s="410">
        <v>1010100</v>
      </c>
      <c r="M32" s="410" t="s">
        <v>35</v>
      </c>
      <c r="N32" s="410">
        <v>161</v>
      </c>
      <c r="O32" s="410" t="s">
        <v>161</v>
      </c>
      <c r="P32" s="410" t="s">
        <v>531</v>
      </c>
      <c r="Q32">
        <f t="shared" si="0"/>
        <v>-44</v>
      </c>
      <c r="R32" t="str">
        <f>_xlfn.XLOOKUP(P32,'Painel Additive'!$B:$B,'Painel Additive'!$B:$B,0)</f>
        <v>GRUPO MOSAIC FERTILIZANTES P K LTDA</v>
      </c>
      <c r="S32">
        <f t="shared" si="1"/>
        <v>90</v>
      </c>
    </row>
    <row r="33" spans="1:19" x14ac:dyDescent="0.25">
      <c r="A33" s="410">
        <v>1787</v>
      </c>
      <c r="B33" s="410" t="s">
        <v>67</v>
      </c>
      <c r="C33" s="410" t="s">
        <v>68</v>
      </c>
      <c r="D33" s="411">
        <v>107059.2</v>
      </c>
      <c r="E33" s="410">
        <v>1246262114</v>
      </c>
      <c r="F33" s="412">
        <v>46146</v>
      </c>
      <c r="G33" s="410"/>
      <c r="H33" s="410" t="s">
        <v>28</v>
      </c>
      <c r="I33" s="410" t="s">
        <v>29</v>
      </c>
      <c r="J33" s="410">
        <v>10629</v>
      </c>
      <c r="K33" s="412">
        <v>46056</v>
      </c>
      <c r="L33" s="410">
        <v>1010100</v>
      </c>
      <c r="M33" s="410" t="s">
        <v>35</v>
      </c>
      <c r="N33" s="410">
        <v>161</v>
      </c>
      <c r="O33" s="410" t="s">
        <v>161</v>
      </c>
      <c r="P33" s="410" t="s">
        <v>531</v>
      </c>
      <c r="Q33">
        <f t="shared" si="0"/>
        <v>-10</v>
      </c>
      <c r="R33" t="str">
        <f>_xlfn.XLOOKUP(P33,'Painel Additive'!$B:$B,'Painel Additive'!$B:$B,0)</f>
        <v>GRUPO MOSAIC FERTILIZANTES P K LTDA</v>
      </c>
      <c r="S33">
        <f t="shared" si="1"/>
        <v>90</v>
      </c>
    </row>
    <row r="34" spans="1:19" x14ac:dyDescent="0.25">
      <c r="A34" s="410">
        <v>1787</v>
      </c>
      <c r="B34" s="410" t="s">
        <v>67</v>
      </c>
      <c r="C34" s="410" t="s">
        <v>68</v>
      </c>
      <c r="D34" s="411">
        <v>111552</v>
      </c>
      <c r="E34" s="410">
        <v>1246269890</v>
      </c>
      <c r="F34" s="412">
        <v>46203</v>
      </c>
      <c r="G34" s="410"/>
      <c r="H34" s="410" t="s">
        <v>28</v>
      </c>
      <c r="I34" s="410" t="s">
        <v>29</v>
      </c>
      <c r="J34" s="410">
        <v>11025</v>
      </c>
      <c r="K34" s="412">
        <v>46113</v>
      </c>
      <c r="L34" s="410">
        <v>1010100</v>
      </c>
      <c r="M34" s="410" t="s">
        <v>35</v>
      </c>
      <c r="N34" s="410">
        <v>161</v>
      </c>
      <c r="O34" s="410" t="s">
        <v>161</v>
      </c>
      <c r="P34" s="410" t="s">
        <v>531</v>
      </c>
      <c r="Q34">
        <f t="shared" si="0"/>
        <v>-67</v>
      </c>
      <c r="R34" t="str">
        <f>_xlfn.XLOOKUP(P34,'Painel Additive'!$B:$B,'Painel Additive'!$B:$B,0)</f>
        <v>GRUPO MOSAIC FERTILIZANTES P K LTDA</v>
      </c>
      <c r="S34">
        <f t="shared" si="1"/>
        <v>90</v>
      </c>
    </row>
    <row r="35" spans="1:19" x14ac:dyDescent="0.25">
      <c r="A35" s="410">
        <v>1787</v>
      </c>
      <c r="B35" s="410" t="s">
        <v>67</v>
      </c>
      <c r="C35" s="410" t="s">
        <v>68</v>
      </c>
      <c r="D35" s="411">
        <v>112204.8</v>
      </c>
      <c r="E35" s="410">
        <v>1246269591</v>
      </c>
      <c r="F35" s="412">
        <v>46201</v>
      </c>
      <c r="G35" s="410"/>
      <c r="H35" s="410" t="s">
        <v>28</v>
      </c>
      <c r="I35" s="410" t="s">
        <v>29</v>
      </c>
      <c r="J35" s="410">
        <v>11002</v>
      </c>
      <c r="K35" s="412">
        <v>46111</v>
      </c>
      <c r="L35" s="410">
        <v>1010100</v>
      </c>
      <c r="M35" s="410" t="s">
        <v>35</v>
      </c>
      <c r="N35" s="410">
        <v>161</v>
      </c>
      <c r="O35" s="410" t="s">
        <v>161</v>
      </c>
      <c r="P35" s="410" t="s">
        <v>531</v>
      </c>
      <c r="Q35">
        <f t="shared" si="0"/>
        <v>-65</v>
      </c>
      <c r="R35" t="str">
        <f>_xlfn.XLOOKUP(P35,'Painel Additive'!$B:$B,'Painel Additive'!$B:$B,0)</f>
        <v>GRUPO MOSAIC FERTILIZANTES P K LTDA</v>
      </c>
      <c r="S35">
        <f t="shared" si="1"/>
        <v>90</v>
      </c>
    </row>
    <row r="36" spans="1:19" x14ac:dyDescent="0.25">
      <c r="A36" s="410">
        <v>1787</v>
      </c>
      <c r="B36" s="410" t="s">
        <v>67</v>
      </c>
      <c r="C36" s="410" t="s">
        <v>68</v>
      </c>
      <c r="D36" s="411">
        <v>112588.8</v>
      </c>
      <c r="E36" s="410">
        <v>1246263994</v>
      </c>
      <c r="F36" s="412">
        <v>46161</v>
      </c>
      <c r="G36" s="410"/>
      <c r="H36" s="410" t="s">
        <v>28</v>
      </c>
      <c r="I36" s="410" t="s">
        <v>29</v>
      </c>
      <c r="J36" s="410">
        <v>10714</v>
      </c>
      <c r="K36" s="412">
        <v>46071</v>
      </c>
      <c r="L36" s="410">
        <v>1010100</v>
      </c>
      <c r="M36" s="410" t="s">
        <v>35</v>
      </c>
      <c r="N36" s="410">
        <v>161</v>
      </c>
      <c r="O36" s="410" t="s">
        <v>161</v>
      </c>
      <c r="P36" s="410" t="s">
        <v>531</v>
      </c>
      <c r="Q36">
        <f t="shared" si="0"/>
        <v>-25</v>
      </c>
      <c r="R36" t="str">
        <f>_xlfn.XLOOKUP(P36,'Painel Additive'!$B:$B,'Painel Additive'!$B:$B,0)</f>
        <v>GRUPO MOSAIC FERTILIZANTES P K LTDA</v>
      </c>
      <c r="S36">
        <f t="shared" si="1"/>
        <v>90</v>
      </c>
    </row>
    <row r="37" spans="1:19" x14ac:dyDescent="0.25">
      <c r="A37" s="410">
        <v>1787</v>
      </c>
      <c r="B37" s="410" t="s">
        <v>67</v>
      </c>
      <c r="C37" s="410" t="s">
        <v>68</v>
      </c>
      <c r="D37" s="411">
        <v>116121.60000000001</v>
      </c>
      <c r="E37" s="410">
        <v>1246270879</v>
      </c>
      <c r="F37" s="412">
        <v>46211</v>
      </c>
      <c r="G37" s="410"/>
      <c r="H37" s="410" t="s">
        <v>28</v>
      </c>
      <c r="I37" s="410" t="s">
        <v>29</v>
      </c>
      <c r="J37" s="410">
        <v>11080</v>
      </c>
      <c r="K37" s="412">
        <v>46121</v>
      </c>
      <c r="L37" s="410">
        <v>1010100</v>
      </c>
      <c r="M37" s="410" t="s">
        <v>35</v>
      </c>
      <c r="N37" s="410">
        <v>161</v>
      </c>
      <c r="O37" s="410" t="s">
        <v>161</v>
      </c>
      <c r="P37" s="410" t="s">
        <v>531</v>
      </c>
      <c r="Q37">
        <f t="shared" si="0"/>
        <v>-75</v>
      </c>
      <c r="R37" t="str">
        <f>_xlfn.XLOOKUP(P37,'Painel Additive'!$B:$B,'Painel Additive'!$B:$B,0)</f>
        <v>GRUPO MOSAIC FERTILIZANTES P K LTDA</v>
      </c>
      <c r="S37">
        <f t="shared" si="1"/>
        <v>90</v>
      </c>
    </row>
    <row r="38" spans="1:19" x14ac:dyDescent="0.25">
      <c r="A38" s="410">
        <v>1787</v>
      </c>
      <c r="B38" s="410" t="s">
        <v>67</v>
      </c>
      <c r="C38" s="410" t="s">
        <v>68</v>
      </c>
      <c r="D38" s="411">
        <v>115315.2</v>
      </c>
      <c r="E38" s="410">
        <v>1246265189</v>
      </c>
      <c r="F38" s="412">
        <v>46168</v>
      </c>
      <c r="G38" s="410"/>
      <c r="H38" s="410" t="s">
        <v>28</v>
      </c>
      <c r="I38" s="410" t="s">
        <v>29</v>
      </c>
      <c r="J38" s="410">
        <v>10768</v>
      </c>
      <c r="K38" s="412">
        <v>46078</v>
      </c>
      <c r="L38" s="410">
        <v>1010100</v>
      </c>
      <c r="M38" s="410" t="s">
        <v>35</v>
      </c>
      <c r="N38" s="410">
        <v>161</v>
      </c>
      <c r="O38" s="410" t="s">
        <v>161</v>
      </c>
      <c r="P38" s="410" t="s">
        <v>531</v>
      </c>
      <c r="Q38">
        <f t="shared" si="0"/>
        <v>-32</v>
      </c>
      <c r="R38" t="str">
        <f>_xlfn.XLOOKUP(P38,'Painel Additive'!$B:$B,'Painel Additive'!$B:$B,0)</f>
        <v>GRUPO MOSAIC FERTILIZANTES P K LTDA</v>
      </c>
      <c r="S38">
        <f t="shared" si="1"/>
        <v>90</v>
      </c>
    </row>
    <row r="39" spans="1:19" x14ac:dyDescent="0.25">
      <c r="A39" s="410">
        <v>1787</v>
      </c>
      <c r="B39" s="410" t="s">
        <v>67</v>
      </c>
      <c r="C39" s="410" t="s">
        <v>68</v>
      </c>
      <c r="D39" s="411">
        <v>115468.8</v>
      </c>
      <c r="E39" s="410">
        <v>1246266348</v>
      </c>
      <c r="F39" s="412">
        <v>46175</v>
      </c>
      <c r="G39" s="410"/>
      <c r="H39" s="410" t="s">
        <v>28</v>
      </c>
      <c r="I39" s="410" t="s">
        <v>29</v>
      </c>
      <c r="J39" s="410">
        <v>10811</v>
      </c>
      <c r="K39" s="412">
        <v>46085</v>
      </c>
      <c r="L39" s="410">
        <v>1010100</v>
      </c>
      <c r="M39" s="410" t="s">
        <v>35</v>
      </c>
      <c r="N39" s="410">
        <v>161</v>
      </c>
      <c r="O39" s="410" t="s">
        <v>161</v>
      </c>
      <c r="P39" s="410" t="s">
        <v>531</v>
      </c>
      <c r="Q39">
        <f t="shared" si="0"/>
        <v>-39</v>
      </c>
      <c r="R39" t="str">
        <f>_xlfn.XLOOKUP(P39,'Painel Additive'!$B:$B,'Painel Additive'!$B:$B,0)</f>
        <v>GRUPO MOSAIC FERTILIZANTES P K LTDA</v>
      </c>
      <c r="S39">
        <f t="shared" si="1"/>
        <v>90</v>
      </c>
    </row>
    <row r="40" spans="1:19" x14ac:dyDescent="0.25">
      <c r="A40" s="410">
        <v>1787</v>
      </c>
      <c r="B40" s="410" t="s">
        <v>67</v>
      </c>
      <c r="C40" s="410" t="s">
        <v>68</v>
      </c>
      <c r="D40" s="411">
        <v>114086.39999999999</v>
      </c>
      <c r="E40" s="410">
        <v>1246267743</v>
      </c>
      <c r="F40" s="412">
        <v>46184</v>
      </c>
      <c r="G40" s="410"/>
      <c r="H40" s="410" t="s">
        <v>28</v>
      </c>
      <c r="I40" s="410" t="s">
        <v>29</v>
      </c>
      <c r="J40" s="410">
        <v>10882</v>
      </c>
      <c r="K40" s="412">
        <v>46094</v>
      </c>
      <c r="L40" s="410">
        <v>1010100</v>
      </c>
      <c r="M40" s="410" t="s">
        <v>35</v>
      </c>
      <c r="N40" s="410">
        <v>161</v>
      </c>
      <c r="O40" s="410" t="s">
        <v>161</v>
      </c>
      <c r="P40" s="410" t="s">
        <v>531</v>
      </c>
      <c r="Q40">
        <f t="shared" si="0"/>
        <v>-48</v>
      </c>
      <c r="R40" t="str">
        <f>_xlfn.XLOOKUP(P40,'Painel Additive'!$B:$B,'Painel Additive'!$B:$B,0)</f>
        <v>GRUPO MOSAIC FERTILIZANTES P K LTDA</v>
      </c>
      <c r="S40">
        <f t="shared" si="1"/>
        <v>90</v>
      </c>
    </row>
    <row r="41" spans="1:19" x14ac:dyDescent="0.25">
      <c r="A41" s="410">
        <v>1788</v>
      </c>
      <c r="B41" s="410" t="s">
        <v>69</v>
      </c>
      <c r="C41" s="410" t="s">
        <v>70</v>
      </c>
      <c r="D41" s="411">
        <v>116928</v>
      </c>
      <c r="E41" s="410">
        <v>1246267567</v>
      </c>
      <c r="F41" s="412">
        <v>46183</v>
      </c>
      <c r="G41" s="410"/>
      <c r="H41" s="410" t="s">
        <v>28</v>
      </c>
      <c r="I41" s="410" t="s">
        <v>29</v>
      </c>
      <c r="J41" s="410">
        <v>10870</v>
      </c>
      <c r="K41" s="412">
        <v>46093</v>
      </c>
      <c r="L41" s="410">
        <v>1010100</v>
      </c>
      <c r="M41" s="410" t="s">
        <v>35</v>
      </c>
      <c r="N41" s="410">
        <v>161</v>
      </c>
      <c r="O41" s="410" t="s">
        <v>161</v>
      </c>
      <c r="P41" s="410" t="s">
        <v>531</v>
      </c>
      <c r="Q41">
        <f t="shared" si="0"/>
        <v>-47</v>
      </c>
      <c r="R41" t="str">
        <f>_xlfn.XLOOKUP(P41,'Painel Additive'!$B:$B,'Painel Additive'!$B:$B,0)</f>
        <v>GRUPO MOSAIC FERTILIZANTES P K LTDA</v>
      </c>
      <c r="S41">
        <f t="shared" si="1"/>
        <v>90</v>
      </c>
    </row>
    <row r="42" spans="1:19" x14ac:dyDescent="0.25">
      <c r="A42" s="410">
        <v>1788</v>
      </c>
      <c r="B42" s="410" t="s">
        <v>69</v>
      </c>
      <c r="C42" s="410" t="s">
        <v>70</v>
      </c>
      <c r="D42" s="411">
        <v>117120</v>
      </c>
      <c r="E42" s="410">
        <v>1246270425</v>
      </c>
      <c r="F42" s="412">
        <v>46208</v>
      </c>
      <c r="G42" s="410"/>
      <c r="H42" s="410" t="s">
        <v>28</v>
      </c>
      <c r="I42" s="410" t="s">
        <v>29</v>
      </c>
      <c r="J42" s="410">
        <v>11060</v>
      </c>
      <c r="K42" s="412">
        <v>46118</v>
      </c>
      <c r="L42" s="410">
        <v>1010100</v>
      </c>
      <c r="M42" s="410" t="s">
        <v>35</v>
      </c>
      <c r="N42" s="410">
        <v>161</v>
      </c>
      <c r="O42" s="410" t="s">
        <v>161</v>
      </c>
      <c r="P42" s="410" t="s">
        <v>531</v>
      </c>
      <c r="Q42">
        <f t="shared" si="0"/>
        <v>-72</v>
      </c>
      <c r="R42" t="str">
        <f>_xlfn.XLOOKUP(P42,'Painel Additive'!$B:$B,'Painel Additive'!$B:$B,0)</f>
        <v>GRUPO MOSAIC FERTILIZANTES P K LTDA</v>
      </c>
      <c r="S42">
        <f t="shared" si="1"/>
        <v>90</v>
      </c>
    </row>
    <row r="43" spans="1:19" x14ac:dyDescent="0.25">
      <c r="A43" s="410">
        <v>1789</v>
      </c>
      <c r="B43" s="410" t="s">
        <v>71</v>
      </c>
      <c r="C43" s="410" t="s">
        <v>72</v>
      </c>
      <c r="D43" s="411">
        <v>116044.8</v>
      </c>
      <c r="E43" s="410">
        <v>1246267816</v>
      </c>
      <c r="F43" s="412">
        <v>46187</v>
      </c>
      <c r="G43" s="410"/>
      <c r="H43" s="410" t="s">
        <v>28</v>
      </c>
      <c r="I43" s="410" t="s">
        <v>29</v>
      </c>
      <c r="J43" s="410">
        <v>10889</v>
      </c>
      <c r="K43" s="412">
        <v>46097</v>
      </c>
      <c r="L43" s="410">
        <v>1010100</v>
      </c>
      <c r="M43" s="410" t="s">
        <v>35</v>
      </c>
      <c r="N43" s="410">
        <v>161</v>
      </c>
      <c r="O43" s="410" t="s">
        <v>161</v>
      </c>
      <c r="P43" s="410" t="s">
        <v>531</v>
      </c>
      <c r="Q43">
        <f t="shared" si="0"/>
        <v>-51</v>
      </c>
      <c r="R43" t="str">
        <f>_xlfn.XLOOKUP(P43,'Painel Additive'!$B:$B,'Painel Additive'!$B:$B,0)</f>
        <v>GRUPO MOSAIC FERTILIZANTES P K LTDA</v>
      </c>
      <c r="S43">
        <f t="shared" si="1"/>
        <v>90</v>
      </c>
    </row>
    <row r="44" spans="1:19" x14ac:dyDescent="0.25">
      <c r="A44" s="410">
        <v>1789</v>
      </c>
      <c r="B44" s="410" t="s">
        <v>71</v>
      </c>
      <c r="C44" s="410" t="s">
        <v>72</v>
      </c>
      <c r="D44" s="411">
        <v>115507.2</v>
      </c>
      <c r="E44" s="410">
        <v>1246269759</v>
      </c>
      <c r="F44" s="412">
        <v>46202</v>
      </c>
      <c r="G44" s="410"/>
      <c r="H44" s="410" t="s">
        <v>28</v>
      </c>
      <c r="I44" s="410" t="s">
        <v>29</v>
      </c>
      <c r="J44" s="410">
        <v>11017</v>
      </c>
      <c r="K44" s="412">
        <v>46112</v>
      </c>
      <c r="L44" s="410">
        <v>1010100</v>
      </c>
      <c r="M44" s="410" t="s">
        <v>35</v>
      </c>
      <c r="N44" s="410">
        <v>161</v>
      </c>
      <c r="O44" s="410" t="s">
        <v>161</v>
      </c>
      <c r="P44" s="410" t="s">
        <v>531</v>
      </c>
      <c r="Q44">
        <f t="shared" si="0"/>
        <v>-66</v>
      </c>
      <c r="R44" t="str">
        <f>_xlfn.XLOOKUP(P44,'Painel Additive'!$B:$B,'Painel Additive'!$B:$B,0)</f>
        <v>GRUPO MOSAIC FERTILIZANTES P K LTDA</v>
      </c>
      <c r="S44">
        <f t="shared" si="1"/>
        <v>90</v>
      </c>
    </row>
    <row r="45" spans="1:19" x14ac:dyDescent="0.25">
      <c r="A45" s="410">
        <v>1789</v>
      </c>
      <c r="B45" s="410" t="s">
        <v>71</v>
      </c>
      <c r="C45" s="410" t="s">
        <v>72</v>
      </c>
      <c r="D45" s="411">
        <v>114432</v>
      </c>
      <c r="E45" s="410">
        <v>1246270845</v>
      </c>
      <c r="F45" s="412">
        <v>46181</v>
      </c>
      <c r="G45" s="410"/>
      <c r="H45" s="410" t="s">
        <v>28</v>
      </c>
      <c r="I45" s="410" t="s">
        <v>29</v>
      </c>
      <c r="J45" s="410">
        <v>11079</v>
      </c>
      <c r="K45" s="412">
        <v>46121</v>
      </c>
      <c r="L45" s="410">
        <v>1010100</v>
      </c>
      <c r="M45" s="410" t="s">
        <v>35</v>
      </c>
      <c r="N45" s="410">
        <v>161</v>
      </c>
      <c r="O45" s="410" t="s">
        <v>161</v>
      </c>
      <c r="P45" s="410" t="s">
        <v>531</v>
      </c>
      <c r="Q45">
        <f t="shared" si="0"/>
        <v>-45</v>
      </c>
      <c r="R45" t="str">
        <f>_xlfn.XLOOKUP(P45,'Painel Additive'!$B:$B,'Painel Additive'!$B:$B,0)</f>
        <v>GRUPO MOSAIC FERTILIZANTES P K LTDA</v>
      </c>
      <c r="S45">
        <f t="shared" si="1"/>
        <v>60</v>
      </c>
    </row>
    <row r="46" spans="1:19" x14ac:dyDescent="0.25">
      <c r="A46" s="410">
        <v>1789</v>
      </c>
      <c r="B46" s="410" t="s">
        <v>71</v>
      </c>
      <c r="C46" s="410" t="s">
        <v>72</v>
      </c>
      <c r="D46" s="411">
        <v>114470.39999999999</v>
      </c>
      <c r="E46" s="410">
        <v>1246268819</v>
      </c>
      <c r="F46" s="412">
        <v>46195</v>
      </c>
      <c r="G46" s="410"/>
      <c r="H46" s="410" t="s">
        <v>28</v>
      </c>
      <c r="I46" s="410" t="s">
        <v>29</v>
      </c>
      <c r="J46" s="410">
        <v>10967</v>
      </c>
      <c r="K46" s="412">
        <v>46105</v>
      </c>
      <c r="L46" s="410">
        <v>1010100</v>
      </c>
      <c r="M46" s="410" t="s">
        <v>35</v>
      </c>
      <c r="N46" s="410">
        <v>161</v>
      </c>
      <c r="O46" s="410" t="s">
        <v>161</v>
      </c>
      <c r="P46" s="410" t="s">
        <v>531</v>
      </c>
      <c r="Q46">
        <f t="shared" si="0"/>
        <v>-59</v>
      </c>
      <c r="R46" t="str">
        <f>_xlfn.XLOOKUP(P46,'Painel Additive'!$B:$B,'Painel Additive'!$B:$B,0)</f>
        <v>GRUPO MOSAIC FERTILIZANTES P K LTDA</v>
      </c>
      <c r="S46">
        <f t="shared" si="1"/>
        <v>90</v>
      </c>
    </row>
    <row r="47" spans="1:19" x14ac:dyDescent="0.25">
      <c r="A47" s="410">
        <v>1789</v>
      </c>
      <c r="B47" s="410" t="s">
        <v>71</v>
      </c>
      <c r="C47" s="410" t="s">
        <v>72</v>
      </c>
      <c r="D47" s="411">
        <v>114662.39999999999</v>
      </c>
      <c r="E47" s="410">
        <v>1246271452</v>
      </c>
      <c r="F47" s="412">
        <v>46187</v>
      </c>
      <c r="G47" s="410"/>
      <c r="H47" s="410" t="s">
        <v>28</v>
      </c>
      <c r="I47" s="410" t="s">
        <v>29</v>
      </c>
      <c r="J47" s="410">
        <v>11126</v>
      </c>
      <c r="K47" s="412">
        <v>46127</v>
      </c>
      <c r="L47" s="410">
        <v>1010100</v>
      </c>
      <c r="M47" s="410" t="s">
        <v>35</v>
      </c>
      <c r="N47" s="410">
        <v>161</v>
      </c>
      <c r="O47" s="410" t="s">
        <v>161</v>
      </c>
      <c r="P47" s="410" t="s">
        <v>531</v>
      </c>
      <c r="Q47">
        <f t="shared" si="0"/>
        <v>-51</v>
      </c>
      <c r="R47" t="str">
        <f>_xlfn.XLOOKUP(P47,'Painel Additive'!$B:$B,'Painel Additive'!$B:$B,0)</f>
        <v>GRUPO MOSAIC FERTILIZANTES P K LTDA</v>
      </c>
      <c r="S47">
        <f t="shared" si="1"/>
        <v>60</v>
      </c>
    </row>
    <row r="48" spans="1:19" x14ac:dyDescent="0.25">
      <c r="A48" s="410">
        <v>1789</v>
      </c>
      <c r="B48" s="410" t="s">
        <v>71</v>
      </c>
      <c r="C48" s="410" t="s">
        <v>72</v>
      </c>
      <c r="D48" s="411">
        <v>115123.2</v>
      </c>
      <c r="E48" s="410">
        <v>1246269430</v>
      </c>
      <c r="F48" s="412">
        <v>46198</v>
      </c>
      <c r="G48" s="410"/>
      <c r="H48" s="410" t="s">
        <v>28</v>
      </c>
      <c r="I48" s="410" t="s">
        <v>29</v>
      </c>
      <c r="J48" s="410">
        <v>10992</v>
      </c>
      <c r="K48" s="412">
        <v>46108</v>
      </c>
      <c r="L48" s="410">
        <v>1010100</v>
      </c>
      <c r="M48" s="410" t="s">
        <v>35</v>
      </c>
      <c r="N48" s="410">
        <v>161</v>
      </c>
      <c r="O48" s="410" t="s">
        <v>161</v>
      </c>
      <c r="P48" s="410" t="s">
        <v>531</v>
      </c>
      <c r="Q48">
        <f t="shared" si="0"/>
        <v>-62</v>
      </c>
      <c r="R48" t="str">
        <f>_xlfn.XLOOKUP(P48,'Painel Additive'!$B:$B,'Painel Additive'!$B:$B,0)</f>
        <v>GRUPO MOSAIC FERTILIZANTES P K LTDA</v>
      </c>
      <c r="S48">
        <f t="shared" si="1"/>
        <v>90</v>
      </c>
    </row>
    <row r="49" spans="1:19" x14ac:dyDescent="0.25">
      <c r="A49" s="410">
        <v>1789</v>
      </c>
      <c r="B49" s="410" t="s">
        <v>71</v>
      </c>
      <c r="C49" s="410" t="s">
        <v>72</v>
      </c>
      <c r="D49" s="411">
        <v>115584</v>
      </c>
      <c r="E49" s="410">
        <v>1246272745</v>
      </c>
      <c r="F49" s="412">
        <v>46229</v>
      </c>
      <c r="G49" s="410"/>
      <c r="H49" s="410" t="s">
        <v>28</v>
      </c>
      <c r="I49" s="410" t="s">
        <v>29</v>
      </c>
      <c r="J49" s="410">
        <v>11224</v>
      </c>
      <c r="K49" s="412">
        <v>46139</v>
      </c>
      <c r="L49" s="410">
        <v>1010100</v>
      </c>
      <c r="M49" s="410" t="s">
        <v>35</v>
      </c>
      <c r="N49" s="410">
        <v>161</v>
      </c>
      <c r="O49" s="410" t="s">
        <v>161</v>
      </c>
      <c r="P49" s="410" t="s">
        <v>531</v>
      </c>
      <c r="Q49">
        <f t="shared" si="0"/>
        <v>-93</v>
      </c>
      <c r="R49" t="str">
        <f>_xlfn.XLOOKUP(P49,'Painel Additive'!$B:$B,'Painel Additive'!$B:$B,0)</f>
        <v>GRUPO MOSAIC FERTILIZANTES P K LTDA</v>
      </c>
      <c r="S49">
        <f t="shared" si="1"/>
        <v>90</v>
      </c>
    </row>
    <row r="50" spans="1:19" x14ac:dyDescent="0.25">
      <c r="A50" s="410">
        <v>1789</v>
      </c>
      <c r="B50" s="410" t="s">
        <v>71</v>
      </c>
      <c r="C50" s="410" t="s">
        <v>72</v>
      </c>
      <c r="D50" s="411">
        <v>116044.8</v>
      </c>
      <c r="E50" s="410">
        <v>1246268551</v>
      </c>
      <c r="F50" s="412">
        <v>46191</v>
      </c>
      <c r="G50" s="410"/>
      <c r="H50" s="410" t="s">
        <v>28</v>
      </c>
      <c r="I50" s="410" t="s">
        <v>29</v>
      </c>
      <c r="J50" s="410">
        <v>10945</v>
      </c>
      <c r="K50" s="412">
        <v>46101</v>
      </c>
      <c r="L50" s="410">
        <v>1010100</v>
      </c>
      <c r="M50" s="410" t="s">
        <v>35</v>
      </c>
      <c r="N50" s="410">
        <v>161</v>
      </c>
      <c r="O50" s="410" t="s">
        <v>161</v>
      </c>
      <c r="P50" s="410" t="s">
        <v>531</v>
      </c>
      <c r="Q50">
        <f t="shared" si="0"/>
        <v>-55</v>
      </c>
      <c r="R50" t="str">
        <f>_xlfn.XLOOKUP(P50,'Painel Additive'!$B:$B,'Painel Additive'!$B:$B,0)</f>
        <v>GRUPO MOSAIC FERTILIZANTES P K LTDA</v>
      </c>
      <c r="S50">
        <f t="shared" si="1"/>
        <v>90</v>
      </c>
    </row>
    <row r="51" spans="1:19" x14ac:dyDescent="0.25">
      <c r="A51" s="410">
        <v>1789</v>
      </c>
      <c r="B51" s="410" t="s">
        <v>71</v>
      </c>
      <c r="C51" s="410" t="s">
        <v>72</v>
      </c>
      <c r="D51" s="411">
        <v>115814.39999999999</v>
      </c>
      <c r="E51" s="410">
        <v>1246270360</v>
      </c>
      <c r="F51" s="412">
        <v>46178</v>
      </c>
      <c r="G51" s="410"/>
      <c r="H51" s="410" t="s">
        <v>28</v>
      </c>
      <c r="I51" s="410" t="s">
        <v>29</v>
      </c>
      <c r="J51" s="410">
        <v>11053</v>
      </c>
      <c r="K51" s="412">
        <v>46118</v>
      </c>
      <c r="L51" s="410">
        <v>1010100</v>
      </c>
      <c r="M51" s="410" t="s">
        <v>35</v>
      </c>
      <c r="N51" s="410">
        <v>161</v>
      </c>
      <c r="O51" s="410" t="s">
        <v>161</v>
      </c>
      <c r="P51" s="410" t="s">
        <v>531</v>
      </c>
      <c r="Q51">
        <f t="shared" si="0"/>
        <v>-42</v>
      </c>
      <c r="R51" t="str">
        <f>_xlfn.XLOOKUP(P51,'Painel Additive'!$B:$B,'Painel Additive'!$B:$B,0)</f>
        <v>GRUPO MOSAIC FERTILIZANTES P K LTDA</v>
      </c>
      <c r="S51">
        <f t="shared" si="1"/>
        <v>60</v>
      </c>
    </row>
    <row r="52" spans="1:19" x14ac:dyDescent="0.25">
      <c r="A52" s="410">
        <v>1789</v>
      </c>
      <c r="B52" s="410" t="s">
        <v>71</v>
      </c>
      <c r="C52" s="410" t="s">
        <v>72</v>
      </c>
      <c r="D52" s="411">
        <v>115353.60000000001</v>
      </c>
      <c r="E52" s="410">
        <v>1246266246</v>
      </c>
      <c r="F52" s="412">
        <v>46174</v>
      </c>
      <c r="G52" s="410"/>
      <c r="H52" s="410" t="s">
        <v>28</v>
      </c>
      <c r="I52" s="410" t="s">
        <v>29</v>
      </c>
      <c r="J52" s="410">
        <v>10804</v>
      </c>
      <c r="K52" s="412">
        <v>46084</v>
      </c>
      <c r="L52" s="410">
        <v>1010100</v>
      </c>
      <c r="M52" s="410" t="s">
        <v>35</v>
      </c>
      <c r="N52" s="410">
        <v>161</v>
      </c>
      <c r="O52" s="410" t="s">
        <v>161</v>
      </c>
      <c r="P52" s="410" t="s">
        <v>531</v>
      </c>
      <c r="Q52">
        <f t="shared" si="0"/>
        <v>-38</v>
      </c>
      <c r="R52" t="str">
        <f>_xlfn.XLOOKUP(P52,'Painel Additive'!$B:$B,'Painel Additive'!$B:$B,0)</f>
        <v>GRUPO MOSAIC FERTILIZANTES P K LTDA</v>
      </c>
      <c r="S52">
        <f t="shared" si="1"/>
        <v>90</v>
      </c>
    </row>
    <row r="53" spans="1:19" x14ac:dyDescent="0.25">
      <c r="A53" s="410">
        <v>1789</v>
      </c>
      <c r="B53" s="410" t="s">
        <v>71</v>
      </c>
      <c r="C53" s="410" t="s">
        <v>72</v>
      </c>
      <c r="D53" s="411">
        <v>114048</v>
      </c>
      <c r="E53" s="410">
        <v>1246268138</v>
      </c>
      <c r="F53" s="412">
        <v>46188</v>
      </c>
      <c r="G53" s="410"/>
      <c r="H53" s="410" t="s">
        <v>28</v>
      </c>
      <c r="I53" s="410" t="s">
        <v>29</v>
      </c>
      <c r="J53" s="410">
        <v>10914</v>
      </c>
      <c r="K53" s="412">
        <v>46098</v>
      </c>
      <c r="L53" s="410">
        <v>1010100</v>
      </c>
      <c r="M53" s="410" t="s">
        <v>35</v>
      </c>
      <c r="N53" s="410">
        <v>161</v>
      </c>
      <c r="O53" s="410" t="s">
        <v>161</v>
      </c>
      <c r="P53" s="410" t="s">
        <v>531</v>
      </c>
      <c r="Q53">
        <f t="shared" si="0"/>
        <v>-52</v>
      </c>
      <c r="R53" t="str">
        <f>_xlfn.XLOOKUP(P53,'Painel Additive'!$B:$B,'Painel Additive'!$B:$B,0)</f>
        <v>GRUPO MOSAIC FERTILIZANTES P K LTDA</v>
      </c>
      <c r="S53">
        <f t="shared" si="1"/>
        <v>90</v>
      </c>
    </row>
    <row r="54" spans="1:19" x14ac:dyDescent="0.25">
      <c r="A54" s="410">
        <v>1789</v>
      </c>
      <c r="B54" s="410" t="s">
        <v>71</v>
      </c>
      <c r="C54" s="410" t="s">
        <v>72</v>
      </c>
      <c r="D54" s="411">
        <v>115468.8</v>
      </c>
      <c r="E54" s="410">
        <v>1246267594</v>
      </c>
      <c r="F54" s="412">
        <v>46183</v>
      </c>
      <c r="G54" s="410"/>
      <c r="H54" s="410" t="s">
        <v>28</v>
      </c>
      <c r="I54" s="410" t="s">
        <v>29</v>
      </c>
      <c r="J54" s="410">
        <v>10873</v>
      </c>
      <c r="K54" s="412">
        <v>46093</v>
      </c>
      <c r="L54" s="410">
        <v>1010100</v>
      </c>
      <c r="M54" s="410" t="s">
        <v>35</v>
      </c>
      <c r="N54" s="410">
        <v>161</v>
      </c>
      <c r="O54" s="410" t="s">
        <v>161</v>
      </c>
      <c r="P54" s="410" t="s">
        <v>531</v>
      </c>
      <c r="Q54">
        <f t="shared" si="0"/>
        <v>-47</v>
      </c>
      <c r="R54" t="str">
        <f>_xlfn.XLOOKUP(P54,'Painel Additive'!$B:$B,'Painel Additive'!$B:$B,0)</f>
        <v>GRUPO MOSAIC FERTILIZANTES P K LTDA</v>
      </c>
      <c r="S54">
        <f t="shared" si="1"/>
        <v>90</v>
      </c>
    </row>
    <row r="55" spans="1:19" x14ac:dyDescent="0.25">
      <c r="A55" s="410">
        <v>97</v>
      </c>
      <c r="B55" s="410" t="s">
        <v>334</v>
      </c>
      <c r="C55" s="410" t="s">
        <v>871</v>
      </c>
      <c r="D55" s="411">
        <v>432176.83</v>
      </c>
      <c r="E55" s="410">
        <v>1246269781</v>
      </c>
      <c r="F55" s="412">
        <v>46140</v>
      </c>
      <c r="G55" s="410"/>
      <c r="H55" s="410" t="s">
        <v>28</v>
      </c>
      <c r="I55" s="410" t="s">
        <v>29</v>
      </c>
      <c r="J55" s="410">
        <v>2859</v>
      </c>
      <c r="K55" s="412">
        <v>46112</v>
      </c>
      <c r="L55" s="410">
        <v>1010100</v>
      </c>
      <c r="M55" s="410" t="s">
        <v>35</v>
      </c>
      <c r="N55" s="410">
        <v>161</v>
      </c>
      <c r="O55" s="410" t="s">
        <v>161</v>
      </c>
      <c r="P55" s="410" t="s">
        <v>577</v>
      </c>
      <c r="Q55">
        <f t="shared" si="0"/>
        <v>-4</v>
      </c>
      <c r="R55" t="str">
        <f>_xlfn.XLOOKUP(P55,'Painel Additive'!$B:$B,'Painel Additive'!$B:$B,0)</f>
        <v>FECOAGRO FEDERACAO DAS COOPERATIVAS</v>
      </c>
      <c r="S55">
        <f t="shared" si="1"/>
        <v>28</v>
      </c>
    </row>
    <row r="56" spans="1:19" x14ac:dyDescent="0.25">
      <c r="A56" s="410">
        <v>97</v>
      </c>
      <c r="B56" s="410" t="s">
        <v>334</v>
      </c>
      <c r="C56" s="410" t="s">
        <v>871</v>
      </c>
      <c r="D56" s="411">
        <v>47888.6</v>
      </c>
      <c r="E56" s="410">
        <v>1246272517</v>
      </c>
      <c r="F56" s="412">
        <v>46164</v>
      </c>
      <c r="G56" s="410"/>
      <c r="H56" s="410" t="s">
        <v>28</v>
      </c>
      <c r="I56" s="410" t="s">
        <v>29</v>
      </c>
      <c r="J56" s="410">
        <v>11216</v>
      </c>
      <c r="K56" s="412">
        <v>46136</v>
      </c>
      <c r="L56" s="410">
        <v>1010100</v>
      </c>
      <c r="M56" s="410" t="s">
        <v>35</v>
      </c>
      <c r="N56" s="410">
        <v>161</v>
      </c>
      <c r="O56" s="410" t="s">
        <v>161</v>
      </c>
      <c r="P56" s="410" t="s">
        <v>577</v>
      </c>
      <c r="Q56">
        <f t="shared" si="0"/>
        <v>-28</v>
      </c>
      <c r="R56" t="str">
        <f>_xlfn.XLOOKUP(P56,'Painel Additive'!$B:$B,'Painel Additive'!$B:$B,0)</f>
        <v>FECOAGRO FEDERACAO DAS COOPERATIVAS</v>
      </c>
      <c r="S56">
        <f t="shared" si="1"/>
        <v>28</v>
      </c>
    </row>
    <row r="57" spans="1:19" x14ac:dyDescent="0.25">
      <c r="A57" s="410">
        <v>97</v>
      </c>
      <c r="B57" s="410" t="s">
        <v>334</v>
      </c>
      <c r="C57" s="410" t="s">
        <v>871</v>
      </c>
      <c r="D57" s="411">
        <v>414764.93</v>
      </c>
      <c r="E57" s="410">
        <v>1246271365</v>
      </c>
      <c r="F57" s="412">
        <v>46154</v>
      </c>
      <c r="G57" s="410"/>
      <c r="H57" s="410" t="s">
        <v>28</v>
      </c>
      <c r="I57" s="410" t="s">
        <v>29</v>
      </c>
      <c r="J57" s="410">
        <v>2874</v>
      </c>
      <c r="K57" s="412">
        <v>46126</v>
      </c>
      <c r="L57" s="410">
        <v>1010100</v>
      </c>
      <c r="M57" s="410" t="s">
        <v>35</v>
      </c>
      <c r="N57" s="410">
        <v>161</v>
      </c>
      <c r="O57" s="410" t="s">
        <v>161</v>
      </c>
      <c r="P57" s="410" t="s">
        <v>577</v>
      </c>
      <c r="Q57">
        <f t="shared" si="0"/>
        <v>-18</v>
      </c>
      <c r="R57" t="str">
        <f>_xlfn.XLOOKUP(P57,'Painel Additive'!$B:$B,'Painel Additive'!$B:$B,0)</f>
        <v>FECOAGRO FEDERACAO DAS COOPERATIVAS</v>
      </c>
      <c r="S57">
        <f t="shared" si="1"/>
        <v>28</v>
      </c>
    </row>
    <row r="58" spans="1:19" x14ac:dyDescent="0.25">
      <c r="A58" s="410">
        <v>97</v>
      </c>
      <c r="B58" s="410" t="s">
        <v>334</v>
      </c>
      <c r="C58" s="410" t="s">
        <v>871</v>
      </c>
      <c r="D58" s="411">
        <v>96194.4</v>
      </c>
      <c r="E58" s="410">
        <v>1246271092</v>
      </c>
      <c r="F58" s="412">
        <v>46150</v>
      </c>
      <c r="G58" s="410"/>
      <c r="H58" s="410" t="s">
        <v>28</v>
      </c>
      <c r="I58" s="410" t="s">
        <v>29</v>
      </c>
      <c r="J58" s="410">
        <v>11101</v>
      </c>
      <c r="K58" s="412">
        <v>46122</v>
      </c>
      <c r="L58" s="410">
        <v>1010100</v>
      </c>
      <c r="M58" s="410" t="s">
        <v>35</v>
      </c>
      <c r="N58" s="410">
        <v>161</v>
      </c>
      <c r="O58" s="410" t="s">
        <v>161</v>
      </c>
      <c r="P58" s="410" t="s">
        <v>577</v>
      </c>
      <c r="Q58">
        <f t="shared" si="0"/>
        <v>-14</v>
      </c>
      <c r="R58" t="str">
        <f>_xlfn.XLOOKUP(P58,'Painel Additive'!$B:$B,'Painel Additive'!$B:$B,0)</f>
        <v>FECOAGRO FEDERACAO DAS COOPERATIVAS</v>
      </c>
      <c r="S58">
        <f t="shared" si="1"/>
        <v>28</v>
      </c>
    </row>
    <row r="59" spans="1:19" x14ac:dyDescent="0.25">
      <c r="A59" s="410">
        <v>97</v>
      </c>
      <c r="B59" s="410" t="s">
        <v>334</v>
      </c>
      <c r="C59" s="410" t="s">
        <v>871</v>
      </c>
      <c r="D59" s="411">
        <v>111790</v>
      </c>
      <c r="E59" s="410">
        <v>1246269794</v>
      </c>
      <c r="F59" s="412">
        <v>46140</v>
      </c>
      <c r="G59" s="410"/>
      <c r="H59" s="410" t="s">
        <v>28</v>
      </c>
      <c r="I59" s="410" t="s">
        <v>29</v>
      </c>
      <c r="J59" s="410">
        <v>11018</v>
      </c>
      <c r="K59" s="412">
        <v>46112</v>
      </c>
      <c r="L59" s="410">
        <v>1010100</v>
      </c>
      <c r="M59" s="410" t="s">
        <v>35</v>
      </c>
      <c r="N59" s="410">
        <v>161</v>
      </c>
      <c r="O59" s="410" t="s">
        <v>161</v>
      </c>
      <c r="P59" s="410" t="s">
        <v>577</v>
      </c>
      <c r="Q59">
        <f t="shared" si="0"/>
        <v>-4</v>
      </c>
      <c r="R59" t="str">
        <f>_xlfn.XLOOKUP(P59,'Painel Additive'!$B:$B,'Painel Additive'!$B:$B,0)</f>
        <v>FECOAGRO FEDERACAO DAS COOPERATIVAS</v>
      </c>
      <c r="S59">
        <f t="shared" si="1"/>
        <v>28</v>
      </c>
    </row>
    <row r="60" spans="1:19" x14ac:dyDescent="0.25">
      <c r="A60" s="410">
        <v>43</v>
      </c>
      <c r="B60" s="410" t="s">
        <v>793</v>
      </c>
      <c r="C60" s="410" t="s">
        <v>37</v>
      </c>
      <c r="D60" s="411">
        <v>71431.8</v>
      </c>
      <c r="E60" s="410">
        <v>1246271493</v>
      </c>
      <c r="F60" s="412">
        <v>46155</v>
      </c>
      <c r="G60" s="410"/>
      <c r="H60" s="410" t="s">
        <v>28</v>
      </c>
      <c r="I60" s="410" t="s">
        <v>29</v>
      </c>
      <c r="J60" s="410">
        <v>11132</v>
      </c>
      <c r="K60" s="412">
        <v>46127</v>
      </c>
      <c r="L60" s="410">
        <v>1010100</v>
      </c>
      <c r="M60" s="410" t="s">
        <v>35</v>
      </c>
      <c r="N60" s="410">
        <v>161</v>
      </c>
      <c r="O60" s="410" t="s">
        <v>161</v>
      </c>
      <c r="P60" s="410" t="s">
        <v>416</v>
      </c>
      <c r="Q60">
        <f t="shared" si="0"/>
        <v>-19</v>
      </c>
      <c r="R60" t="str">
        <f>_xlfn.XLOOKUP(P60,'Painel Additive'!$B:$B,'Painel Additive'!$B:$B,0)</f>
        <v>GRUPO CIBRA</v>
      </c>
      <c r="S60">
        <f t="shared" si="1"/>
        <v>28</v>
      </c>
    </row>
    <row r="61" spans="1:19" x14ac:dyDescent="0.25">
      <c r="A61" s="410">
        <v>43</v>
      </c>
      <c r="B61" s="410" t="s">
        <v>793</v>
      </c>
      <c r="C61" s="410" t="s">
        <v>37</v>
      </c>
      <c r="D61" s="411">
        <v>71289.600000000006</v>
      </c>
      <c r="E61" s="410">
        <v>1246270729</v>
      </c>
      <c r="F61" s="412">
        <v>46148</v>
      </c>
      <c r="G61" s="410"/>
      <c r="H61" s="410" t="s">
        <v>28</v>
      </c>
      <c r="I61" s="410" t="s">
        <v>29</v>
      </c>
      <c r="J61" s="410">
        <v>11076</v>
      </c>
      <c r="K61" s="412">
        <v>46120</v>
      </c>
      <c r="L61" s="410">
        <v>1010100</v>
      </c>
      <c r="M61" s="410" t="s">
        <v>35</v>
      </c>
      <c r="N61" s="410">
        <v>161</v>
      </c>
      <c r="O61" s="410" t="s">
        <v>161</v>
      </c>
      <c r="P61" s="410" t="s">
        <v>416</v>
      </c>
      <c r="Q61">
        <f t="shared" si="0"/>
        <v>-12</v>
      </c>
      <c r="R61" t="str">
        <f>_xlfn.XLOOKUP(P61,'Painel Additive'!$B:$B,'Painel Additive'!$B:$B,0)</f>
        <v>GRUPO CIBRA</v>
      </c>
      <c r="S61">
        <f t="shared" si="1"/>
        <v>28</v>
      </c>
    </row>
    <row r="62" spans="1:19" x14ac:dyDescent="0.25">
      <c r="A62" s="410">
        <v>43</v>
      </c>
      <c r="B62" s="410" t="s">
        <v>793</v>
      </c>
      <c r="C62" s="410" t="s">
        <v>37</v>
      </c>
      <c r="D62" s="411">
        <v>71652.2</v>
      </c>
      <c r="E62" s="410">
        <v>1246272199</v>
      </c>
      <c r="F62" s="412">
        <v>46163</v>
      </c>
      <c r="G62" s="410"/>
      <c r="H62" s="410" t="s">
        <v>28</v>
      </c>
      <c r="I62" s="410" t="s">
        <v>29</v>
      </c>
      <c r="J62" s="410">
        <v>11195</v>
      </c>
      <c r="K62" s="412">
        <v>46135</v>
      </c>
      <c r="L62" s="410">
        <v>1010100</v>
      </c>
      <c r="M62" s="410" t="s">
        <v>35</v>
      </c>
      <c r="N62" s="410">
        <v>161</v>
      </c>
      <c r="O62" s="410" t="s">
        <v>161</v>
      </c>
      <c r="P62" s="410" t="s">
        <v>416</v>
      </c>
      <c r="Q62">
        <f t="shared" si="0"/>
        <v>-27</v>
      </c>
      <c r="R62" t="str">
        <f>_xlfn.XLOOKUP(P62,'Painel Additive'!$B:$B,'Painel Additive'!$B:$B,0)</f>
        <v>GRUPO CIBRA</v>
      </c>
      <c r="S62">
        <f t="shared" si="1"/>
        <v>28</v>
      </c>
    </row>
    <row r="63" spans="1:19" x14ac:dyDescent="0.25">
      <c r="A63" s="410">
        <v>1936</v>
      </c>
      <c r="B63" s="410" t="s">
        <v>74</v>
      </c>
      <c r="C63" s="410" t="s">
        <v>75</v>
      </c>
      <c r="D63" s="411">
        <v>54000</v>
      </c>
      <c r="E63" s="410">
        <v>1246271887</v>
      </c>
      <c r="F63" s="412">
        <v>46160</v>
      </c>
      <c r="G63" s="410"/>
      <c r="H63" s="410" t="s">
        <v>28</v>
      </c>
      <c r="I63" s="410" t="s">
        <v>29</v>
      </c>
      <c r="J63" s="410">
        <v>11175</v>
      </c>
      <c r="K63" s="412">
        <v>46132</v>
      </c>
      <c r="L63" s="410">
        <v>1010100</v>
      </c>
      <c r="M63" s="410" t="s">
        <v>35</v>
      </c>
      <c r="N63" s="410">
        <v>56</v>
      </c>
      <c r="O63" s="410" t="s">
        <v>162</v>
      </c>
      <c r="P63" s="410" t="s">
        <v>416</v>
      </c>
      <c r="Q63">
        <f t="shared" si="0"/>
        <v>-24</v>
      </c>
      <c r="R63" t="str">
        <f>_xlfn.XLOOKUP(P63,'Painel Additive'!$B:$B,'Painel Additive'!$B:$B,0)</f>
        <v>GRUPO CIBRA</v>
      </c>
      <c r="S63">
        <f t="shared" si="1"/>
        <v>28</v>
      </c>
    </row>
    <row r="64" spans="1:19" x14ac:dyDescent="0.25">
      <c r="A64" s="410">
        <v>1936</v>
      </c>
      <c r="B64" s="410" t="s">
        <v>74</v>
      </c>
      <c r="C64" s="410" t="s">
        <v>75</v>
      </c>
      <c r="D64" s="411">
        <v>39900</v>
      </c>
      <c r="E64" s="410">
        <v>1246271562</v>
      </c>
      <c r="F64" s="412">
        <v>46156</v>
      </c>
      <c r="G64" s="410"/>
      <c r="H64" s="410" t="s">
        <v>28</v>
      </c>
      <c r="I64" s="410" t="s">
        <v>29</v>
      </c>
      <c r="J64" s="410">
        <v>11139</v>
      </c>
      <c r="K64" s="412">
        <v>46128</v>
      </c>
      <c r="L64" s="410">
        <v>1010100</v>
      </c>
      <c r="M64" s="410" t="s">
        <v>35</v>
      </c>
      <c r="N64" s="410">
        <v>56</v>
      </c>
      <c r="O64" s="410" t="s">
        <v>162</v>
      </c>
      <c r="P64" s="410" t="s">
        <v>416</v>
      </c>
      <c r="Q64">
        <f t="shared" si="0"/>
        <v>-20</v>
      </c>
      <c r="R64" t="str">
        <f>_xlfn.XLOOKUP(P64,'Painel Additive'!$B:$B,'Painel Additive'!$B:$B,0)</f>
        <v>GRUPO CIBRA</v>
      </c>
      <c r="S64">
        <f t="shared" si="1"/>
        <v>28</v>
      </c>
    </row>
    <row r="65" spans="1:19" x14ac:dyDescent="0.25">
      <c r="A65" s="410">
        <v>33</v>
      </c>
      <c r="B65" s="410" t="s">
        <v>907</v>
      </c>
      <c r="C65" s="410" t="s">
        <v>675</v>
      </c>
      <c r="D65" s="411">
        <v>52960</v>
      </c>
      <c r="E65" s="410">
        <v>1246272783</v>
      </c>
      <c r="F65" s="412">
        <v>46169</v>
      </c>
      <c r="G65" s="410"/>
      <c r="H65" s="410" t="s">
        <v>28</v>
      </c>
      <c r="I65" s="410" t="s">
        <v>29</v>
      </c>
      <c r="J65" s="410">
        <v>11230</v>
      </c>
      <c r="K65" s="412">
        <v>46139</v>
      </c>
      <c r="L65" s="410">
        <v>1010100</v>
      </c>
      <c r="M65" s="410" t="s">
        <v>35</v>
      </c>
      <c r="N65" s="410">
        <v>161</v>
      </c>
      <c r="O65" s="410" t="s">
        <v>161</v>
      </c>
      <c r="P65" s="410" t="s">
        <v>530</v>
      </c>
      <c r="Q65">
        <f t="shared" si="0"/>
        <v>-33</v>
      </c>
      <c r="R65" t="str">
        <f>_xlfn.XLOOKUP(P65,'Painel Additive'!$B:$B,'Painel Additive'!$B:$B,0)</f>
        <v>GRUPO HERINGER</v>
      </c>
      <c r="S65">
        <f t="shared" si="1"/>
        <v>30</v>
      </c>
    </row>
    <row r="66" spans="1:19" x14ac:dyDescent="0.25">
      <c r="A66" s="410">
        <v>33</v>
      </c>
      <c r="B66" s="410" t="s">
        <v>907</v>
      </c>
      <c r="C66" s="410" t="s">
        <v>675</v>
      </c>
      <c r="D66" s="411">
        <v>99167.6</v>
      </c>
      <c r="E66" s="410">
        <v>1246271248</v>
      </c>
      <c r="F66" s="412">
        <v>46155</v>
      </c>
      <c r="G66" s="410"/>
      <c r="H66" s="410" t="s">
        <v>28</v>
      </c>
      <c r="I66" s="410" t="s">
        <v>29</v>
      </c>
      <c r="J66" s="410">
        <v>11114</v>
      </c>
      <c r="K66" s="412">
        <v>46125</v>
      </c>
      <c r="L66" s="410">
        <v>1010100</v>
      </c>
      <c r="M66" s="410" t="s">
        <v>35</v>
      </c>
      <c r="N66" s="410">
        <v>161</v>
      </c>
      <c r="O66" s="410" t="s">
        <v>161</v>
      </c>
      <c r="P66" s="410" t="s">
        <v>530</v>
      </c>
      <c r="Q66">
        <f t="shared" si="0"/>
        <v>-19</v>
      </c>
      <c r="R66" t="str">
        <f>_xlfn.XLOOKUP(P66,'Painel Additive'!$B:$B,'Painel Additive'!$B:$B,0)</f>
        <v>GRUPO HERINGER</v>
      </c>
      <c r="S66">
        <f t="shared" si="1"/>
        <v>30</v>
      </c>
    </row>
    <row r="67" spans="1:19" x14ac:dyDescent="0.25">
      <c r="A67" s="410">
        <v>214</v>
      </c>
      <c r="B67" s="410" t="s">
        <v>165</v>
      </c>
      <c r="C67" s="410" t="s">
        <v>840</v>
      </c>
      <c r="D67" s="411">
        <v>82931.8</v>
      </c>
      <c r="E67" s="410">
        <v>1246270505</v>
      </c>
      <c r="F67" s="412">
        <v>46147</v>
      </c>
      <c r="G67" s="410"/>
      <c r="H67" s="410" t="s">
        <v>28</v>
      </c>
      <c r="I67" s="410" t="s">
        <v>29</v>
      </c>
      <c r="J67" s="410">
        <v>11065</v>
      </c>
      <c r="K67" s="412">
        <v>46119</v>
      </c>
      <c r="L67" s="410">
        <v>1010100</v>
      </c>
      <c r="M67" s="410" t="s">
        <v>35</v>
      </c>
      <c r="N67" s="410">
        <v>161</v>
      </c>
      <c r="O67" s="410" t="s">
        <v>161</v>
      </c>
      <c r="P67" s="410" t="s">
        <v>417</v>
      </c>
      <c r="Q67">
        <f t="shared" ref="Q67:Q130" si="2">$R$1-F67</f>
        <v>-11</v>
      </c>
      <c r="R67" t="str">
        <f>_xlfn.XLOOKUP(P67,'Painel Additive'!$B:$B,'Painel Additive'!$B:$B,0)</f>
        <v>GRUPO UNIFERTIL</v>
      </c>
      <c r="S67">
        <f t="shared" ref="S67:S130" si="3">F67-K67</f>
        <v>28</v>
      </c>
    </row>
    <row r="68" spans="1:19" x14ac:dyDescent="0.25">
      <c r="A68" s="410">
        <v>214</v>
      </c>
      <c r="B68" s="410" t="s">
        <v>165</v>
      </c>
      <c r="C68" s="410" t="s">
        <v>840</v>
      </c>
      <c r="D68" s="411">
        <v>99281.7</v>
      </c>
      <c r="E68" s="410">
        <v>1246271672</v>
      </c>
      <c r="F68" s="412">
        <v>46157</v>
      </c>
      <c r="G68" s="410"/>
      <c r="H68" s="410" t="s">
        <v>28</v>
      </c>
      <c r="I68" s="410" t="s">
        <v>29</v>
      </c>
      <c r="J68" s="410">
        <v>11156</v>
      </c>
      <c r="K68" s="412">
        <v>46129</v>
      </c>
      <c r="L68" s="410">
        <v>1010100</v>
      </c>
      <c r="M68" s="410" t="s">
        <v>35</v>
      </c>
      <c r="N68" s="410">
        <v>161</v>
      </c>
      <c r="O68" s="410" t="s">
        <v>161</v>
      </c>
      <c r="P68" s="410" t="s">
        <v>417</v>
      </c>
      <c r="Q68">
        <f t="shared" si="2"/>
        <v>-21</v>
      </c>
      <c r="R68" t="str">
        <f>_xlfn.XLOOKUP(P68,'Painel Additive'!$B:$B,'Painel Additive'!$B:$B,0)</f>
        <v>GRUPO UNIFERTIL</v>
      </c>
      <c r="S68">
        <f t="shared" si="3"/>
        <v>28</v>
      </c>
    </row>
    <row r="69" spans="1:19" x14ac:dyDescent="0.25">
      <c r="A69" s="410">
        <v>2</v>
      </c>
      <c r="B69" s="410" t="s">
        <v>34</v>
      </c>
      <c r="C69" s="410" t="s">
        <v>837</v>
      </c>
      <c r="D69" s="411">
        <v>13244</v>
      </c>
      <c r="E69" s="410">
        <v>1246271680</v>
      </c>
      <c r="F69" s="412">
        <v>46157</v>
      </c>
      <c r="G69" s="410"/>
      <c r="H69" s="410" t="s">
        <v>838</v>
      </c>
      <c r="I69" s="410" t="s">
        <v>839</v>
      </c>
      <c r="J69" s="410">
        <v>2877</v>
      </c>
      <c r="K69" s="412">
        <v>46129</v>
      </c>
      <c r="L69" s="410">
        <v>1010100</v>
      </c>
      <c r="M69" s="410" t="s">
        <v>35</v>
      </c>
      <c r="N69" s="410">
        <v>199</v>
      </c>
      <c r="O69" s="410" t="s">
        <v>885</v>
      </c>
      <c r="P69" s="410" t="s">
        <v>418</v>
      </c>
      <c r="Q69">
        <f t="shared" si="2"/>
        <v>-21</v>
      </c>
      <c r="R69" t="str">
        <f>_xlfn.XLOOKUP(P69,'Painel Additive'!$B:$B,'Painel Additive'!$B:$B,0)</f>
        <v>GRUPO CARGILL</v>
      </c>
      <c r="S69">
        <f t="shared" si="3"/>
        <v>28</v>
      </c>
    </row>
    <row r="70" spans="1:19" x14ac:dyDescent="0.25">
      <c r="A70" s="410">
        <v>2</v>
      </c>
      <c r="B70" s="410" t="s">
        <v>34</v>
      </c>
      <c r="C70" s="410" t="s">
        <v>837</v>
      </c>
      <c r="D70" s="411">
        <v>31119</v>
      </c>
      <c r="E70" s="410">
        <v>1246271697</v>
      </c>
      <c r="F70" s="412">
        <v>46157</v>
      </c>
      <c r="G70" s="410"/>
      <c r="H70" s="410" t="s">
        <v>838</v>
      </c>
      <c r="I70" s="410" t="s">
        <v>839</v>
      </c>
      <c r="J70" s="410">
        <v>2879</v>
      </c>
      <c r="K70" s="412">
        <v>46129</v>
      </c>
      <c r="L70" s="410">
        <v>1010100</v>
      </c>
      <c r="M70" s="410" t="s">
        <v>35</v>
      </c>
      <c r="N70" s="410">
        <v>199</v>
      </c>
      <c r="O70" s="410" t="s">
        <v>885</v>
      </c>
      <c r="P70" s="410" t="s">
        <v>418</v>
      </c>
      <c r="Q70">
        <f t="shared" si="2"/>
        <v>-21</v>
      </c>
      <c r="R70" t="str">
        <f>_xlfn.XLOOKUP(P70,'Painel Additive'!$B:$B,'Painel Additive'!$B:$B,0)</f>
        <v>GRUPO CARGILL</v>
      </c>
      <c r="S70">
        <f t="shared" si="3"/>
        <v>28</v>
      </c>
    </row>
    <row r="71" spans="1:19" x14ac:dyDescent="0.25">
      <c r="A71" s="410">
        <v>183</v>
      </c>
      <c r="B71" s="410" t="s">
        <v>41</v>
      </c>
      <c r="C71" s="410" t="s">
        <v>42</v>
      </c>
      <c r="D71" s="411">
        <v>4231.96</v>
      </c>
      <c r="E71" s="410">
        <v>1246014155</v>
      </c>
      <c r="F71" s="412">
        <v>47847</v>
      </c>
      <c r="G71" s="410"/>
      <c r="H71" s="410" t="s">
        <v>28</v>
      </c>
      <c r="I71" s="410" t="s">
        <v>29</v>
      </c>
      <c r="J71" s="410">
        <v>8361</v>
      </c>
      <c r="K71" s="412">
        <v>43384</v>
      </c>
      <c r="L71" s="410">
        <v>1010100</v>
      </c>
      <c r="M71" s="410" t="s">
        <v>35</v>
      </c>
      <c r="N71" s="410">
        <v>161</v>
      </c>
      <c r="O71" s="410" t="s">
        <v>161</v>
      </c>
      <c r="P71" s="410" t="s">
        <v>530</v>
      </c>
      <c r="Q71">
        <f t="shared" si="2"/>
        <v>-1711</v>
      </c>
      <c r="R71" t="str">
        <f>_xlfn.XLOOKUP(P71,'Painel Additive'!$B:$B,'Painel Additive'!$B:$B,0)</f>
        <v>GRUPO HERINGER</v>
      </c>
      <c r="S71">
        <f t="shared" si="3"/>
        <v>4463</v>
      </c>
    </row>
    <row r="72" spans="1:19" x14ac:dyDescent="0.25">
      <c r="A72" s="410">
        <v>183</v>
      </c>
      <c r="B72" s="410" t="s">
        <v>41</v>
      </c>
      <c r="C72" s="410" t="s">
        <v>42</v>
      </c>
      <c r="D72" s="411">
        <v>4045.01</v>
      </c>
      <c r="E72" s="410">
        <v>1246014156</v>
      </c>
      <c r="F72" s="412">
        <v>48212</v>
      </c>
      <c r="G72" s="410"/>
      <c r="H72" s="410" t="s">
        <v>28</v>
      </c>
      <c r="I72" s="410" t="s">
        <v>29</v>
      </c>
      <c r="J72" s="410">
        <v>8361</v>
      </c>
      <c r="K72" s="412">
        <v>43384</v>
      </c>
      <c r="L72" s="410">
        <v>1010100</v>
      </c>
      <c r="M72" s="410" t="s">
        <v>35</v>
      </c>
      <c r="N72" s="410">
        <v>161</v>
      </c>
      <c r="O72" s="410" t="s">
        <v>161</v>
      </c>
      <c r="P72" s="410" t="s">
        <v>530</v>
      </c>
      <c r="Q72">
        <f t="shared" si="2"/>
        <v>-2076</v>
      </c>
      <c r="R72" t="str">
        <f>_xlfn.XLOOKUP(P72,'Painel Additive'!$B:$B,'Painel Additive'!$B:$B,0)</f>
        <v>GRUPO HERINGER</v>
      </c>
      <c r="S72">
        <f t="shared" si="3"/>
        <v>4828</v>
      </c>
    </row>
    <row r="73" spans="1:19" x14ac:dyDescent="0.25">
      <c r="A73" s="410">
        <v>183</v>
      </c>
      <c r="B73" s="410" t="s">
        <v>41</v>
      </c>
      <c r="C73" s="410" t="s">
        <v>42</v>
      </c>
      <c r="D73" s="411">
        <v>4339.6000000000004</v>
      </c>
      <c r="E73" s="410">
        <v>1246014157</v>
      </c>
      <c r="F73" s="412">
        <v>48578</v>
      </c>
      <c r="G73" s="410"/>
      <c r="H73" s="410" t="s">
        <v>28</v>
      </c>
      <c r="I73" s="410" t="s">
        <v>29</v>
      </c>
      <c r="J73" s="410">
        <v>8361</v>
      </c>
      <c r="K73" s="412">
        <v>43384</v>
      </c>
      <c r="L73" s="410">
        <v>1010100</v>
      </c>
      <c r="M73" s="410" t="s">
        <v>35</v>
      </c>
      <c r="N73" s="410">
        <v>161</v>
      </c>
      <c r="O73" s="410" t="s">
        <v>161</v>
      </c>
      <c r="P73" s="410" t="s">
        <v>530</v>
      </c>
      <c r="Q73">
        <f t="shared" si="2"/>
        <v>-2442</v>
      </c>
      <c r="R73" t="str">
        <f>_xlfn.XLOOKUP(P73,'Painel Additive'!$B:$B,'Painel Additive'!$B:$B,0)</f>
        <v>GRUPO HERINGER</v>
      </c>
      <c r="S73">
        <f t="shared" si="3"/>
        <v>5194</v>
      </c>
    </row>
    <row r="74" spans="1:19" x14ac:dyDescent="0.25">
      <c r="A74" s="410">
        <v>183</v>
      </c>
      <c r="B74" s="410" t="s">
        <v>41</v>
      </c>
      <c r="C74" s="410" t="s">
        <v>42</v>
      </c>
      <c r="D74" s="411">
        <v>7512.16</v>
      </c>
      <c r="E74" s="410">
        <v>1246014158</v>
      </c>
      <c r="F74" s="412">
        <v>48943</v>
      </c>
      <c r="G74" s="410"/>
      <c r="H74" s="410" t="s">
        <v>28</v>
      </c>
      <c r="I74" s="410" t="s">
        <v>29</v>
      </c>
      <c r="J74" s="410">
        <v>8361</v>
      </c>
      <c r="K74" s="412">
        <v>43384</v>
      </c>
      <c r="L74" s="410">
        <v>1010100</v>
      </c>
      <c r="M74" s="410" t="s">
        <v>35</v>
      </c>
      <c r="N74" s="410">
        <v>161</v>
      </c>
      <c r="O74" s="410" t="s">
        <v>161</v>
      </c>
      <c r="P74" s="410" t="s">
        <v>530</v>
      </c>
      <c r="Q74">
        <f t="shared" si="2"/>
        <v>-2807</v>
      </c>
      <c r="R74" t="str">
        <f>_xlfn.XLOOKUP(P74,'Painel Additive'!$B:$B,'Painel Additive'!$B:$B,0)</f>
        <v>GRUPO HERINGER</v>
      </c>
      <c r="S74">
        <f t="shared" si="3"/>
        <v>5559</v>
      </c>
    </row>
    <row r="75" spans="1:19" x14ac:dyDescent="0.25">
      <c r="A75" s="410">
        <v>183</v>
      </c>
      <c r="B75" s="410" t="s">
        <v>41</v>
      </c>
      <c r="C75" s="410" t="s">
        <v>42</v>
      </c>
      <c r="D75" s="411">
        <v>30552.86</v>
      </c>
      <c r="E75" s="410">
        <v>1246014159</v>
      </c>
      <c r="F75" s="412">
        <v>49308</v>
      </c>
      <c r="G75" s="410"/>
      <c r="H75" s="410" t="s">
        <v>28</v>
      </c>
      <c r="I75" s="410" t="s">
        <v>29</v>
      </c>
      <c r="J75" s="410">
        <v>8361</v>
      </c>
      <c r="K75" s="412">
        <v>43384</v>
      </c>
      <c r="L75" s="410">
        <v>1010100</v>
      </c>
      <c r="M75" s="410" t="s">
        <v>35</v>
      </c>
      <c r="N75" s="410">
        <v>161</v>
      </c>
      <c r="O75" s="410" t="s">
        <v>161</v>
      </c>
      <c r="P75" s="410" t="s">
        <v>530</v>
      </c>
      <c r="Q75">
        <f t="shared" si="2"/>
        <v>-3172</v>
      </c>
      <c r="R75" t="str">
        <f>_xlfn.XLOOKUP(P75,'Painel Additive'!$B:$B,'Painel Additive'!$B:$B,0)</f>
        <v>GRUPO HERINGER</v>
      </c>
      <c r="S75">
        <f t="shared" si="3"/>
        <v>5924</v>
      </c>
    </row>
    <row r="76" spans="1:19" x14ac:dyDescent="0.25">
      <c r="A76" s="410">
        <v>183</v>
      </c>
      <c r="B76" s="410" t="s">
        <v>41</v>
      </c>
      <c r="C76" s="410" t="s">
        <v>42</v>
      </c>
      <c r="D76" s="411">
        <v>1512.63</v>
      </c>
      <c r="E76" s="410">
        <v>1246014161</v>
      </c>
      <c r="F76" s="412">
        <v>50039</v>
      </c>
      <c r="G76" s="410"/>
      <c r="H76" s="410" t="s">
        <v>28</v>
      </c>
      <c r="I76" s="410" t="s">
        <v>29</v>
      </c>
      <c r="J76" s="410">
        <v>8361</v>
      </c>
      <c r="K76" s="412">
        <v>43384</v>
      </c>
      <c r="L76" s="410">
        <v>1010100</v>
      </c>
      <c r="M76" s="410" t="s">
        <v>35</v>
      </c>
      <c r="N76" s="410">
        <v>161</v>
      </c>
      <c r="O76" s="410" t="s">
        <v>161</v>
      </c>
      <c r="P76" s="410" t="s">
        <v>530</v>
      </c>
      <c r="Q76">
        <f t="shared" si="2"/>
        <v>-3903</v>
      </c>
      <c r="R76" t="str">
        <f>_xlfn.XLOOKUP(P76,'Painel Additive'!$B:$B,'Painel Additive'!$B:$B,0)</f>
        <v>GRUPO HERINGER</v>
      </c>
      <c r="S76">
        <f t="shared" si="3"/>
        <v>6655</v>
      </c>
    </row>
    <row r="77" spans="1:19" x14ac:dyDescent="0.25">
      <c r="A77" s="410">
        <v>183</v>
      </c>
      <c r="B77" s="410" t="s">
        <v>41</v>
      </c>
      <c r="C77" s="410" t="s">
        <v>42</v>
      </c>
      <c r="D77" s="411">
        <v>1982.85</v>
      </c>
      <c r="E77" s="410">
        <v>1246014162</v>
      </c>
      <c r="F77" s="412">
        <v>50404</v>
      </c>
      <c r="G77" s="410"/>
      <c r="H77" s="410" t="s">
        <v>28</v>
      </c>
      <c r="I77" s="410" t="s">
        <v>29</v>
      </c>
      <c r="J77" s="410">
        <v>8361</v>
      </c>
      <c r="K77" s="412">
        <v>43384</v>
      </c>
      <c r="L77" s="410">
        <v>1010100</v>
      </c>
      <c r="M77" s="410" t="s">
        <v>35</v>
      </c>
      <c r="N77" s="410">
        <v>161</v>
      </c>
      <c r="O77" s="410" t="s">
        <v>161</v>
      </c>
      <c r="P77" s="410" t="s">
        <v>530</v>
      </c>
      <c r="Q77">
        <f t="shared" si="2"/>
        <v>-4268</v>
      </c>
      <c r="R77" t="str">
        <f>_xlfn.XLOOKUP(P77,'Painel Additive'!$B:$B,'Painel Additive'!$B:$B,0)</f>
        <v>GRUPO HERINGER</v>
      </c>
      <c r="S77">
        <f t="shared" si="3"/>
        <v>7020</v>
      </c>
    </row>
    <row r="78" spans="1:19" x14ac:dyDescent="0.25">
      <c r="A78" s="410">
        <v>183</v>
      </c>
      <c r="B78" s="410" t="s">
        <v>41</v>
      </c>
      <c r="C78" s="410" t="s">
        <v>42</v>
      </c>
      <c r="D78" s="411">
        <v>2549.38</v>
      </c>
      <c r="E78" s="410">
        <v>1246014163</v>
      </c>
      <c r="F78" s="412">
        <v>50769</v>
      </c>
      <c r="G78" s="410"/>
      <c r="H78" s="410" t="s">
        <v>28</v>
      </c>
      <c r="I78" s="410" t="s">
        <v>29</v>
      </c>
      <c r="J78" s="410">
        <v>8361</v>
      </c>
      <c r="K78" s="412">
        <v>43384</v>
      </c>
      <c r="L78" s="410">
        <v>1010100</v>
      </c>
      <c r="M78" s="410" t="s">
        <v>35</v>
      </c>
      <c r="N78" s="410">
        <v>161</v>
      </c>
      <c r="O78" s="410" t="s">
        <v>161</v>
      </c>
      <c r="P78" s="410" t="s">
        <v>530</v>
      </c>
      <c r="Q78">
        <f t="shared" si="2"/>
        <v>-4633</v>
      </c>
      <c r="R78" t="str">
        <f>_xlfn.XLOOKUP(P78,'Painel Additive'!$B:$B,'Painel Additive'!$B:$B,0)</f>
        <v>GRUPO HERINGER</v>
      </c>
      <c r="S78">
        <f t="shared" si="3"/>
        <v>7385</v>
      </c>
    </row>
    <row r="79" spans="1:19" x14ac:dyDescent="0.25">
      <c r="A79" s="410">
        <v>183</v>
      </c>
      <c r="B79" s="410" t="s">
        <v>41</v>
      </c>
      <c r="C79" s="410" t="s">
        <v>42</v>
      </c>
      <c r="D79" s="411">
        <v>5546.31</v>
      </c>
      <c r="E79" s="410">
        <v>1246014165</v>
      </c>
      <c r="F79" s="412">
        <v>51500</v>
      </c>
      <c r="G79" s="410"/>
      <c r="H79" s="410" t="s">
        <v>28</v>
      </c>
      <c r="I79" s="410" t="s">
        <v>29</v>
      </c>
      <c r="J79" s="410">
        <v>8361</v>
      </c>
      <c r="K79" s="412">
        <v>43384</v>
      </c>
      <c r="L79" s="410">
        <v>1010100</v>
      </c>
      <c r="M79" s="410" t="s">
        <v>35</v>
      </c>
      <c r="N79" s="410">
        <v>161</v>
      </c>
      <c r="O79" s="410" t="s">
        <v>161</v>
      </c>
      <c r="P79" s="410" t="s">
        <v>530</v>
      </c>
      <c r="Q79">
        <f t="shared" si="2"/>
        <v>-5364</v>
      </c>
      <c r="R79" t="str">
        <f>_xlfn.XLOOKUP(P79,'Painel Additive'!$B:$B,'Painel Additive'!$B:$B,0)</f>
        <v>GRUPO HERINGER</v>
      </c>
      <c r="S79">
        <f t="shared" si="3"/>
        <v>8116</v>
      </c>
    </row>
    <row r="80" spans="1:19" x14ac:dyDescent="0.25">
      <c r="A80" s="410">
        <v>183</v>
      </c>
      <c r="B80" s="410" t="s">
        <v>41</v>
      </c>
      <c r="C80" s="410" t="s">
        <v>42</v>
      </c>
      <c r="D80" s="411">
        <v>5546.31</v>
      </c>
      <c r="E80" s="410">
        <v>1246014166</v>
      </c>
      <c r="F80" s="412">
        <v>51865</v>
      </c>
      <c r="G80" s="410"/>
      <c r="H80" s="410" t="s">
        <v>28</v>
      </c>
      <c r="I80" s="410" t="s">
        <v>29</v>
      </c>
      <c r="J80" s="410">
        <v>8361</v>
      </c>
      <c r="K80" s="412">
        <v>43384</v>
      </c>
      <c r="L80" s="410">
        <v>1010100</v>
      </c>
      <c r="M80" s="410" t="s">
        <v>35</v>
      </c>
      <c r="N80" s="410">
        <v>161</v>
      </c>
      <c r="O80" s="410" t="s">
        <v>161</v>
      </c>
      <c r="P80" s="410" t="s">
        <v>530</v>
      </c>
      <c r="Q80">
        <f t="shared" si="2"/>
        <v>-5729</v>
      </c>
      <c r="R80" t="str">
        <f>_xlfn.XLOOKUP(P80,'Painel Additive'!$B:$B,'Painel Additive'!$B:$B,0)</f>
        <v>GRUPO HERINGER</v>
      </c>
      <c r="S80">
        <f t="shared" si="3"/>
        <v>8481</v>
      </c>
    </row>
    <row r="81" spans="1:19" x14ac:dyDescent="0.25">
      <c r="A81" s="410">
        <v>183</v>
      </c>
      <c r="B81" s="410" t="s">
        <v>41</v>
      </c>
      <c r="C81" s="410" t="s">
        <v>42</v>
      </c>
      <c r="D81" s="411">
        <v>5546.31</v>
      </c>
      <c r="E81" s="410">
        <v>1246014167</v>
      </c>
      <c r="F81" s="412">
        <v>52230</v>
      </c>
      <c r="G81" s="410"/>
      <c r="H81" s="410" t="s">
        <v>28</v>
      </c>
      <c r="I81" s="410" t="s">
        <v>29</v>
      </c>
      <c r="J81" s="410">
        <v>8361</v>
      </c>
      <c r="K81" s="412">
        <v>43384</v>
      </c>
      <c r="L81" s="410">
        <v>1010100</v>
      </c>
      <c r="M81" s="410" t="s">
        <v>35</v>
      </c>
      <c r="N81" s="410">
        <v>161</v>
      </c>
      <c r="O81" s="410" t="s">
        <v>161</v>
      </c>
      <c r="P81" s="410" t="s">
        <v>530</v>
      </c>
      <c r="Q81">
        <f t="shared" si="2"/>
        <v>-6094</v>
      </c>
      <c r="R81" t="str">
        <f>_xlfn.XLOOKUP(P81,'Painel Additive'!$B:$B,'Painel Additive'!$B:$B,0)</f>
        <v>GRUPO HERINGER</v>
      </c>
      <c r="S81">
        <f t="shared" si="3"/>
        <v>8846</v>
      </c>
    </row>
    <row r="82" spans="1:19" x14ac:dyDescent="0.25">
      <c r="A82" s="410">
        <v>183</v>
      </c>
      <c r="B82" s="410" t="s">
        <v>41</v>
      </c>
      <c r="C82" s="410" t="s">
        <v>42</v>
      </c>
      <c r="D82" s="411">
        <v>5546.31</v>
      </c>
      <c r="E82" s="410">
        <v>1246014168</v>
      </c>
      <c r="F82" s="412">
        <v>52595</v>
      </c>
      <c r="G82" s="410"/>
      <c r="H82" s="410" t="s">
        <v>28</v>
      </c>
      <c r="I82" s="410" t="s">
        <v>29</v>
      </c>
      <c r="J82" s="410">
        <v>8361</v>
      </c>
      <c r="K82" s="412">
        <v>43384</v>
      </c>
      <c r="L82" s="410">
        <v>1010100</v>
      </c>
      <c r="M82" s="410" t="s">
        <v>35</v>
      </c>
      <c r="N82" s="410">
        <v>161</v>
      </c>
      <c r="O82" s="410" t="s">
        <v>161</v>
      </c>
      <c r="P82" s="410" t="s">
        <v>530</v>
      </c>
      <c r="Q82">
        <f t="shared" si="2"/>
        <v>-6459</v>
      </c>
      <c r="R82" t="str">
        <f>_xlfn.XLOOKUP(P82,'Painel Additive'!$B:$B,'Painel Additive'!$B:$B,0)</f>
        <v>GRUPO HERINGER</v>
      </c>
      <c r="S82">
        <f t="shared" si="3"/>
        <v>9211</v>
      </c>
    </row>
    <row r="83" spans="1:19" x14ac:dyDescent="0.25">
      <c r="A83" s="410">
        <v>183</v>
      </c>
      <c r="B83" s="410" t="s">
        <v>41</v>
      </c>
      <c r="C83" s="410" t="s">
        <v>42</v>
      </c>
      <c r="D83" s="411">
        <v>5546.31</v>
      </c>
      <c r="E83" s="410">
        <v>1246014169</v>
      </c>
      <c r="F83" s="412">
        <v>52961</v>
      </c>
      <c r="G83" s="410"/>
      <c r="H83" s="410" t="s">
        <v>28</v>
      </c>
      <c r="I83" s="410" t="s">
        <v>29</v>
      </c>
      <c r="J83" s="410">
        <v>8361</v>
      </c>
      <c r="K83" s="412">
        <v>43384</v>
      </c>
      <c r="L83" s="410">
        <v>1010100</v>
      </c>
      <c r="M83" s="410" t="s">
        <v>35</v>
      </c>
      <c r="N83" s="410">
        <v>161</v>
      </c>
      <c r="O83" s="410" t="s">
        <v>161</v>
      </c>
      <c r="P83" s="410" t="s">
        <v>530</v>
      </c>
      <c r="Q83">
        <f t="shared" si="2"/>
        <v>-6825</v>
      </c>
      <c r="R83" t="str">
        <f>_xlfn.XLOOKUP(P83,'Painel Additive'!$B:$B,'Painel Additive'!$B:$B,0)</f>
        <v>GRUPO HERINGER</v>
      </c>
      <c r="S83">
        <f t="shared" si="3"/>
        <v>9577</v>
      </c>
    </row>
    <row r="84" spans="1:19" x14ac:dyDescent="0.25">
      <c r="A84" s="410">
        <v>183</v>
      </c>
      <c r="B84" s="410" t="s">
        <v>41</v>
      </c>
      <c r="C84" s="410" t="s">
        <v>42</v>
      </c>
      <c r="D84" s="411">
        <v>5568.96</v>
      </c>
      <c r="E84" s="410">
        <v>1246014170</v>
      </c>
      <c r="F84" s="412">
        <v>53326</v>
      </c>
      <c r="G84" s="410"/>
      <c r="H84" s="410" t="s">
        <v>28</v>
      </c>
      <c r="I84" s="410" t="s">
        <v>29</v>
      </c>
      <c r="J84" s="410">
        <v>8361</v>
      </c>
      <c r="K84" s="412">
        <v>43384</v>
      </c>
      <c r="L84" s="410">
        <v>1010100</v>
      </c>
      <c r="M84" s="410" t="s">
        <v>35</v>
      </c>
      <c r="N84" s="410">
        <v>161</v>
      </c>
      <c r="O84" s="410" t="s">
        <v>161</v>
      </c>
      <c r="P84" s="410" t="s">
        <v>530</v>
      </c>
      <c r="Q84">
        <f t="shared" si="2"/>
        <v>-7190</v>
      </c>
      <c r="R84" t="str">
        <f>_xlfn.XLOOKUP(P84,'Painel Additive'!$B:$B,'Painel Additive'!$B:$B,0)</f>
        <v>GRUPO HERINGER</v>
      </c>
      <c r="S84">
        <f t="shared" si="3"/>
        <v>9942</v>
      </c>
    </row>
    <row r="85" spans="1:19" x14ac:dyDescent="0.25">
      <c r="A85" s="410">
        <v>183</v>
      </c>
      <c r="B85" s="410" t="s">
        <v>41</v>
      </c>
      <c r="C85" s="410" t="s">
        <v>42</v>
      </c>
      <c r="D85" s="411">
        <v>2487.06</v>
      </c>
      <c r="E85" s="410">
        <v>1246137877</v>
      </c>
      <c r="F85" s="412">
        <v>49673</v>
      </c>
      <c r="G85" s="410"/>
      <c r="H85" s="410" t="s">
        <v>28</v>
      </c>
      <c r="I85" s="410" t="s">
        <v>29</v>
      </c>
      <c r="J85" s="410">
        <v>8361</v>
      </c>
      <c r="K85" s="412">
        <v>43384</v>
      </c>
      <c r="L85" s="410">
        <v>1010100</v>
      </c>
      <c r="M85" s="410" t="s">
        <v>35</v>
      </c>
      <c r="N85" s="410">
        <v>161</v>
      </c>
      <c r="O85" s="410" t="s">
        <v>161</v>
      </c>
      <c r="P85" s="410" t="s">
        <v>530</v>
      </c>
      <c r="Q85">
        <f t="shared" si="2"/>
        <v>-3537</v>
      </c>
      <c r="R85" t="str">
        <f>_xlfn.XLOOKUP(P85,'Painel Additive'!$B:$B,'Painel Additive'!$B:$B,0)</f>
        <v>GRUPO HERINGER</v>
      </c>
      <c r="S85">
        <f t="shared" si="3"/>
        <v>6289</v>
      </c>
    </row>
    <row r="86" spans="1:19" x14ac:dyDescent="0.25">
      <c r="A86" s="410">
        <v>183</v>
      </c>
      <c r="B86" s="410" t="s">
        <v>41</v>
      </c>
      <c r="C86" s="410" t="s">
        <v>42</v>
      </c>
      <c r="D86" s="411">
        <v>2151.75</v>
      </c>
      <c r="E86" s="410">
        <v>1246265345</v>
      </c>
      <c r="F86" s="412">
        <v>47482</v>
      </c>
      <c r="G86" s="410"/>
      <c r="H86" s="410" t="s">
        <v>28</v>
      </c>
      <c r="I86" s="410" t="s">
        <v>29</v>
      </c>
      <c r="J86" s="410">
        <v>8361</v>
      </c>
      <c r="K86" s="412">
        <v>43384</v>
      </c>
      <c r="L86" s="410">
        <v>1010100</v>
      </c>
      <c r="M86" s="410" t="s">
        <v>35</v>
      </c>
      <c r="N86" s="410">
        <v>161</v>
      </c>
      <c r="O86" s="410" t="s">
        <v>161</v>
      </c>
      <c r="P86" s="410" t="s">
        <v>530</v>
      </c>
      <c r="Q86">
        <f t="shared" si="2"/>
        <v>-1346</v>
      </c>
      <c r="R86" t="str">
        <f>_xlfn.XLOOKUP(P86,'Painel Additive'!$B:$B,'Painel Additive'!$B:$B,0)</f>
        <v>GRUPO HERINGER</v>
      </c>
      <c r="S86">
        <f t="shared" si="3"/>
        <v>4098</v>
      </c>
    </row>
    <row r="87" spans="1:19" x14ac:dyDescent="0.25">
      <c r="A87" s="410">
        <v>183</v>
      </c>
      <c r="B87" s="410" t="s">
        <v>41</v>
      </c>
      <c r="C87" s="410" t="s">
        <v>42</v>
      </c>
      <c r="D87" s="411">
        <v>2104.2399999999998</v>
      </c>
      <c r="E87" s="410">
        <v>1246233818</v>
      </c>
      <c r="F87" s="412">
        <v>51134</v>
      </c>
      <c r="G87" s="410"/>
      <c r="H87" s="410" t="s">
        <v>28</v>
      </c>
      <c r="I87" s="410" t="s">
        <v>29</v>
      </c>
      <c r="J87" s="410">
        <v>8361</v>
      </c>
      <c r="K87" s="412">
        <v>43384</v>
      </c>
      <c r="L87" s="410">
        <v>1010100</v>
      </c>
      <c r="M87" s="410" t="s">
        <v>35</v>
      </c>
      <c r="N87" s="410">
        <v>161</v>
      </c>
      <c r="O87" s="410" t="s">
        <v>161</v>
      </c>
      <c r="P87" s="410" t="s">
        <v>530</v>
      </c>
      <c r="Q87">
        <f t="shared" si="2"/>
        <v>-4998</v>
      </c>
      <c r="R87" t="str">
        <f>_xlfn.XLOOKUP(P87,'Painel Additive'!$B:$B,'Painel Additive'!$B:$B,0)</f>
        <v>GRUPO HERINGER</v>
      </c>
      <c r="S87">
        <f t="shared" si="3"/>
        <v>7750</v>
      </c>
    </row>
    <row r="88" spans="1:19" x14ac:dyDescent="0.25">
      <c r="A88" s="410">
        <v>1792</v>
      </c>
      <c r="B88" s="410" t="s">
        <v>828</v>
      </c>
      <c r="C88" s="410" t="s">
        <v>73</v>
      </c>
      <c r="D88" s="411">
        <v>116676.6</v>
      </c>
      <c r="E88" s="410">
        <v>1246272414</v>
      </c>
      <c r="F88" s="412">
        <v>46226</v>
      </c>
      <c r="G88" s="410"/>
      <c r="H88" s="410" t="s">
        <v>28</v>
      </c>
      <c r="I88" s="410" t="s">
        <v>29</v>
      </c>
      <c r="J88" s="410">
        <v>11211</v>
      </c>
      <c r="K88" s="412">
        <v>46136</v>
      </c>
      <c r="L88" s="410">
        <v>1010100</v>
      </c>
      <c r="M88" s="410" t="s">
        <v>35</v>
      </c>
      <c r="N88" s="410">
        <v>161</v>
      </c>
      <c r="O88" s="410" t="s">
        <v>161</v>
      </c>
      <c r="P88" s="410" t="s">
        <v>531</v>
      </c>
      <c r="Q88">
        <f t="shared" si="2"/>
        <v>-90</v>
      </c>
      <c r="R88" t="str">
        <f>_xlfn.XLOOKUP(P88,'Painel Additive'!$B:$B,'Painel Additive'!$B:$B,0)</f>
        <v>GRUPO MOSAIC FERTILIZANTES P K LTDA</v>
      </c>
      <c r="S88">
        <f t="shared" si="3"/>
        <v>90</v>
      </c>
    </row>
    <row r="89" spans="1:19" x14ac:dyDescent="0.25">
      <c r="A89" s="410">
        <v>1792</v>
      </c>
      <c r="B89" s="410" t="s">
        <v>828</v>
      </c>
      <c r="C89" s="410" t="s">
        <v>73</v>
      </c>
      <c r="D89" s="411">
        <v>118553.1</v>
      </c>
      <c r="E89" s="410">
        <v>1246265418</v>
      </c>
      <c r="F89" s="412">
        <v>46169</v>
      </c>
      <c r="G89" s="410"/>
      <c r="H89" s="410" t="s">
        <v>28</v>
      </c>
      <c r="I89" s="410" t="s">
        <v>29</v>
      </c>
      <c r="J89" s="410">
        <v>10776</v>
      </c>
      <c r="K89" s="412">
        <v>46079</v>
      </c>
      <c r="L89" s="410">
        <v>1010100</v>
      </c>
      <c r="M89" s="410" t="s">
        <v>35</v>
      </c>
      <c r="N89" s="410">
        <v>161</v>
      </c>
      <c r="O89" s="410" t="s">
        <v>161</v>
      </c>
      <c r="P89" s="410" t="s">
        <v>531</v>
      </c>
      <c r="Q89">
        <f t="shared" si="2"/>
        <v>-33</v>
      </c>
      <c r="R89" t="str">
        <f>_xlfn.XLOOKUP(P89,'Painel Additive'!$B:$B,'Painel Additive'!$B:$B,0)</f>
        <v>GRUPO MOSAIC FERTILIZANTES P K LTDA</v>
      </c>
      <c r="S89">
        <f t="shared" si="3"/>
        <v>90</v>
      </c>
    </row>
    <row r="90" spans="1:19" x14ac:dyDescent="0.25">
      <c r="A90" s="410">
        <v>1792</v>
      </c>
      <c r="B90" s="410" t="s">
        <v>828</v>
      </c>
      <c r="C90" s="410" t="s">
        <v>73</v>
      </c>
      <c r="D90" s="411">
        <v>116343</v>
      </c>
      <c r="E90" s="410">
        <v>1246267070</v>
      </c>
      <c r="F90" s="412">
        <v>46180</v>
      </c>
      <c r="G90" s="410"/>
      <c r="H90" s="410" t="s">
        <v>28</v>
      </c>
      <c r="I90" s="410" t="s">
        <v>29</v>
      </c>
      <c r="J90" s="410">
        <v>10846</v>
      </c>
      <c r="K90" s="412">
        <v>46090</v>
      </c>
      <c r="L90" s="410">
        <v>1010100</v>
      </c>
      <c r="M90" s="410" t="s">
        <v>35</v>
      </c>
      <c r="N90" s="410">
        <v>161</v>
      </c>
      <c r="O90" s="410" t="s">
        <v>161</v>
      </c>
      <c r="P90" s="410" t="s">
        <v>531</v>
      </c>
      <c r="Q90">
        <f t="shared" si="2"/>
        <v>-44</v>
      </c>
      <c r="R90" t="str">
        <f>_xlfn.XLOOKUP(P90,'Painel Additive'!$B:$B,'Painel Additive'!$B:$B,0)</f>
        <v>GRUPO MOSAIC FERTILIZANTES P K LTDA</v>
      </c>
      <c r="S90">
        <f t="shared" si="3"/>
        <v>90</v>
      </c>
    </row>
    <row r="91" spans="1:19" x14ac:dyDescent="0.25">
      <c r="A91" s="410">
        <v>1792</v>
      </c>
      <c r="B91" s="410" t="s">
        <v>828</v>
      </c>
      <c r="C91" s="410" t="s">
        <v>73</v>
      </c>
      <c r="D91" s="411">
        <v>118845</v>
      </c>
      <c r="E91" s="410">
        <v>1246269004</v>
      </c>
      <c r="F91" s="412">
        <v>46196</v>
      </c>
      <c r="G91" s="410"/>
      <c r="H91" s="410" t="s">
        <v>28</v>
      </c>
      <c r="I91" s="410" t="s">
        <v>29</v>
      </c>
      <c r="J91" s="410">
        <v>10975</v>
      </c>
      <c r="K91" s="412">
        <v>46106</v>
      </c>
      <c r="L91" s="410">
        <v>1010100</v>
      </c>
      <c r="M91" s="410" t="s">
        <v>35</v>
      </c>
      <c r="N91" s="410">
        <v>161</v>
      </c>
      <c r="O91" s="410" t="s">
        <v>161</v>
      </c>
      <c r="P91" s="410" t="s">
        <v>531</v>
      </c>
      <c r="Q91">
        <f t="shared" si="2"/>
        <v>-60</v>
      </c>
      <c r="R91" t="str">
        <f>_xlfn.XLOOKUP(P91,'Painel Additive'!$B:$B,'Painel Additive'!$B:$B,0)</f>
        <v>GRUPO MOSAIC FERTILIZANTES P K LTDA</v>
      </c>
      <c r="S91">
        <f t="shared" si="3"/>
        <v>90</v>
      </c>
    </row>
    <row r="92" spans="1:19" x14ac:dyDescent="0.25">
      <c r="A92" s="410">
        <v>1792</v>
      </c>
      <c r="B92" s="410" t="s">
        <v>828</v>
      </c>
      <c r="C92" s="410" t="s">
        <v>73</v>
      </c>
      <c r="D92" s="411">
        <v>117260.4</v>
      </c>
      <c r="E92" s="410">
        <v>1246270521</v>
      </c>
      <c r="F92" s="412">
        <v>46209</v>
      </c>
      <c r="G92" s="410"/>
      <c r="H92" s="410" t="s">
        <v>28</v>
      </c>
      <c r="I92" s="410" t="s">
        <v>29</v>
      </c>
      <c r="J92" s="410">
        <v>11066</v>
      </c>
      <c r="K92" s="412">
        <v>46119</v>
      </c>
      <c r="L92" s="410">
        <v>1010100</v>
      </c>
      <c r="M92" s="410" t="s">
        <v>35</v>
      </c>
      <c r="N92" s="410">
        <v>161</v>
      </c>
      <c r="O92" s="410" t="s">
        <v>161</v>
      </c>
      <c r="P92" s="410" t="s">
        <v>531</v>
      </c>
      <c r="Q92">
        <f t="shared" si="2"/>
        <v>-73</v>
      </c>
      <c r="R92" t="str">
        <f>_xlfn.XLOOKUP(P92,'Painel Additive'!$B:$B,'Painel Additive'!$B:$B,0)</f>
        <v>GRUPO MOSAIC FERTILIZANTES P K LTDA</v>
      </c>
      <c r="S92">
        <f t="shared" si="3"/>
        <v>90</v>
      </c>
    </row>
    <row r="93" spans="1:19" x14ac:dyDescent="0.25">
      <c r="A93" s="410">
        <v>1792</v>
      </c>
      <c r="B93" s="410" t="s">
        <v>828</v>
      </c>
      <c r="C93" s="410" t="s">
        <v>73</v>
      </c>
      <c r="D93" s="411">
        <v>118302.9</v>
      </c>
      <c r="E93" s="410">
        <v>1246266107</v>
      </c>
      <c r="F93" s="412">
        <v>46174</v>
      </c>
      <c r="G93" s="410"/>
      <c r="H93" s="410" t="s">
        <v>28</v>
      </c>
      <c r="I93" s="410" t="s">
        <v>29</v>
      </c>
      <c r="J93" s="410">
        <v>10803</v>
      </c>
      <c r="K93" s="412">
        <v>46084</v>
      </c>
      <c r="L93" s="410">
        <v>1010100</v>
      </c>
      <c r="M93" s="410" t="s">
        <v>35</v>
      </c>
      <c r="N93" s="410">
        <v>161</v>
      </c>
      <c r="O93" s="410" t="s">
        <v>161</v>
      </c>
      <c r="P93" s="410" t="s">
        <v>531</v>
      </c>
      <c r="Q93">
        <f t="shared" si="2"/>
        <v>-38</v>
      </c>
      <c r="R93" t="str">
        <f>_xlfn.XLOOKUP(P93,'Painel Additive'!$B:$B,'Painel Additive'!$B:$B,0)</f>
        <v>GRUPO MOSAIC FERTILIZANTES P K LTDA</v>
      </c>
      <c r="S93">
        <f t="shared" si="3"/>
        <v>90</v>
      </c>
    </row>
    <row r="94" spans="1:19" x14ac:dyDescent="0.25">
      <c r="A94" s="410">
        <v>1792</v>
      </c>
      <c r="B94" s="410" t="s">
        <v>828</v>
      </c>
      <c r="C94" s="410" t="s">
        <v>73</v>
      </c>
      <c r="D94" s="411">
        <v>116343</v>
      </c>
      <c r="E94" s="410">
        <v>1246268258</v>
      </c>
      <c r="F94" s="412">
        <v>46189</v>
      </c>
      <c r="G94" s="410"/>
      <c r="H94" s="410" t="s">
        <v>28</v>
      </c>
      <c r="I94" s="410" t="s">
        <v>29</v>
      </c>
      <c r="J94" s="410">
        <v>10918</v>
      </c>
      <c r="K94" s="412">
        <v>46099</v>
      </c>
      <c r="L94" s="410">
        <v>1010100</v>
      </c>
      <c r="M94" s="410" t="s">
        <v>35</v>
      </c>
      <c r="N94" s="410">
        <v>161</v>
      </c>
      <c r="O94" s="410" t="s">
        <v>161</v>
      </c>
      <c r="P94" s="410" t="s">
        <v>531</v>
      </c>
      <c r="Q94">
        <f t="shared" si="2"/>
        <v>-53</v>
      </c>
      <c r="R94" t="str">
        <f>_xlfn.XLOOKUP(P94,'Painel Additive'!$B:$B,'Painel Additive'!$B:$B,0)</f>
        <v>GRUPO MOSAIC FERTILIZANTES P K LTDA</v>
      </c>
      <c r="S94">
        <f t="shared" si="3"/>
        <v>90</v>
      </c>
    </row>
    <row r="95" spans="1:19" x14ac:dyDescent="0.25">
      <c r="A95" s="410">
        <v>1792</v>
      </c>
      <c r="B95" s="410" t="s">
        <v>828</v>
      </c>
      <c r="C95" s="410" t="s">
        <v>73</v>
      </c>
      <c r="D95" s="411">
        <v>116760</v>
      </c>
      <c r="E95" s="410">
        <v>1246270240</v>
      </c>
      <c r="F95" s="412">
        <v>46204</v>
      </c>
      <c r="G95" s="410"/>
      <c r="H95" s="410" t="s">
        <v>28</v>
      </c>
      <c r="I95" s="410" t="s">
        <v>29</v>
      </c>
      <c r="J95" s="410">
        <v>11049</v>
      </c>
      <c r="K95" s="412">
        <v>46114</v>
      </c>
      <c r="L95" s="410">
        <v>1010100</v>
      </c>
      <c r="M95" s="410" t="s">
        <v>35</v>
      </c>
      <c r="N95" s="410">
        <v>161</v>
      </c>
      <c r="O95" s="410" t="s">
        <v>161</v>
      </c>
      <c r="P95" s="410" t="s">
        <v>531</v>
      </c>
      <c r="Q95">
        <f t="shared" si="2"/>
        <v>-68</v>
      </c>
      <c r="R95" t="str">
        <f>_xlfn.XLOOKUP(P95,'Painel Additive'!$B:$B,'Painel Additive'!$B:$B,0)</f>
        <v>GRUPO MOSAIC FERTILIZANTES P K LTDA</v>
      </c>
      <c r="S95">
        <f t="shared" si="3"/>
        <v>90</v>
      </c>
    </row>
    <row r="96" spans="1:19" x14ac:dyDescent="0.25">
      <c r="A96" s="410">
        <v>1792</v>
      </c>
      <c r="B96" s="410" t="s">
        <v>828</v>
      </c>
      <c r="C96" s="410" t="s">
        <v>73</v>
      </c>
      <c r="D96" s="411">
        <v>117051.9</v>
      </c>
      <c r="E96" s="410">
        <v>1246269741</v>
      </c>
      <c r="F96" s="412">
        <v>46202</v>
      </c>
      <c r="G96" s="410"/>
      <c r="H96" s="410" t="s">
        <v>28</v>
      </c>
      <c r="I96" s="410" t="s">
        <v>29</v>
      </c>
      <c r="J96" s="410">
        <v>11015</v>
      </c>
      <c r="K96" s="412">
        <v>46112</v>
      </c>
      <c r="L96" s="410">
        <v>1010100</v>
      </c>
      <c r="M96" s="410" t="s">
        <v>35</v>
      </c>
      <c r="N96" s="410">
        <v>161</v>
      </c>
      <c r="O96" s="410" t="s">
        <v>161</v>
      </c>
      <c r="P96" s="410" t="s">
        <v>531</v>
      </c>
      <c r="Q96">
        <f t="shared" si="2"/>
        <v>-66</v>
      </c>
      <c r="R96" t="str">
        <f>_xlfn.XLOOKUP(P96,'Painel Additive'!$B:$B,'Painel Additive'!$B:$B,0)</f>
        <v>GRUPO MOSAIC FERTILIZANTES P K LTDA</v>
      </c>
      <c r="S96">
        <f t="shared" si="3"/>
        <v>90</v>
      </c>
    </row>
    <row r="97" spans="1:19" x14ac:dyDescent="0.25">
      <c r="A97" s="410">
        <v>1792</v>
      </c>
      <c r="B97" s="410" t="s">
        <v>828</v>
      </c>
      <c r="C97" s="410" t="s">
        <v>73</v>
      </c>
      <c r="D97" s="411">
        <v>115842.6</v>
      </c>
      <c r="E97" s="410">
        <v>1246271433</v>
      </c>
      <c r="F97" s="412">
        <v>46217</v>
      </c>
      <c r="G97" s="410"/>
      <c r="H97" s="410" t="s">
        <v>28</v>
      </c>
      <c r="I97" s="410" t="s">
        <v>29</v>
      </c>
      <c r="J97" s="410">
        <v>11125</v>
      </c>
      <c r="K97" s="412">
        <v>46127</v>
      </c>
      <c r="L97" s="410">
        <v>1010100</v>
      </c>
      <c r="M97" s="410" t="s">
        <v>35</v>
      </c>
      <c r="N97" s="410">
        <v>161</v>
      </c>
      <c r="O97" s="410" t="s">
        <v>161</v>
      </c>
      <c r="P97" s="410" t="s">
        <v>531</v>
      </c>
      <c r="Q97">
        <f t="shared" si="2"/>
        <v>-81</v>
      </c>
      <c r="R97" t="str">
        <f>_xlfn.XLOOKUP(P97,'Painel Additive'!$B:$B,'Painel Additive'!$B:$B,0)</f>
        <v>GRUPO MOSAIC FERTILIZANTES P K LTDA</v>
      </c>
      <c r="S97">
        <f t="shared" si="3"/>
        <v>90</v>
      </c>
    </row>
    <row r="98" spans="1:19" x14ac:dyDescent="0.25">
      <c r="A98" s="410">
        <v>1792</v>
      </c>
      <c r="B98" s="410" t="s">
        <v>828</v>
      </c>
      <c r="C98" s="410" t="s">
        <v>73</v>
      </c>
      <c r="D98" s="411">
        <v>116134.5</v>
      </c>
      <c r="E98" s="410">
        <v>1246271003</v>
      </c>
      <c r="F98" s="412">
        <v>46212</v>
      </c>
      <c r="G98" s="410"/>
      <c r="H98" s="410" t="s">
        <v>28</v>
      </c>
      <c r="I98" s="410" t="s">
        <v>29</v>
      </c>
      <c r="J98" s="410">
        <v>11092</v>
      </c>
      <c r="K98" s="412">
        <v>46122</v>
      </c>
      <c r="L98" s="410">
        <v>1010100</v>
      </c>
      <c r="M98" s="410" t="s">
        <v>35</v>
      </c>
      <c r="N98" s="410">
        <v>161</v>
      </c>
      <c r="O98" s="410" t="s">
        <v>161</v>
      </c>
      <c r="P98" s="410" t="s">
        <v>531</v>
      </c>
      <c r="Q98">
        <f t="shared" si="2"/>
        <v>-76</v>
      </c>
      <c r="R98" t="str">
        <f>_xlfn.XLOOKUP(P98,'Painel Additive'!$B:$B,'Painel Additive'!$B:$B,0)</f>
        <v>GRUPO MOSAIC FERTILIZANTES P K LTDA</v>
      </c>
      <c r="S98">
        <f t="shared" si="3"/>
        <v>90</v>
      </c>
    </row>
    <row r="99" spans="1:19" x14ac:dyDescent="0.25">
      <c r="A99" s="410">
        <v>1792</v>
      </c>
      <c r="B99" s="410" t="s">
        <v>828</v>
      </c>
      <c r="C99" s="410" t="s">
        <v>73</v>
      </c>
      <c r="D99" s="411">
        <v>120471.3</v>
      </c>
      <c r="E99" s="410">
        <v>1246272043</v>
      </c>
      <c r="F99" s="412">
        <v>46224</v>
      </c>
      <c r="G99" s="410"/>
      <c r="H99" s="410" t="s">
        <v>28</v>
      </c>
      <c r="I99" s="410" t="s">
        <v>29</v>
      </c>
      <c r="J99" s="410">
        <v>11190</v>
      </c>
      <c r="K99" s="412">
        <v>46134</v>
      </c>
      <c r="L99" s="410">
        <v>1010100</v>
      </c>
      <c r="M99" s="410" t="s">
        <v>35</v>
      </c>
      <c r="N99" s="410">
        <v>161</v>
      </c>
      <c r="O99" s="410" t="s">
        <v>161</v>
      </c>
      <c r="P99" s="410" t="s">
        <v>531</v>
      </c>
      <c r="Q99">
        <f t="shared" si="2"/>
        <v>-88</v>
      </c>
      <c r="R99" t="str">
        <f>_xlfn.XLOOKUP(P99,'Painel Additive'!$B:$B,'Painel Additive'!$B:$B,0)</f>
        <v>GRUPO MOSAIC FERTILIZANTES P K LTDA</v>
      </c>
      <c r="S99">
        <f t="shared" si="3"/>
        <v>90</v>
      </c>
    </row>
    <row r="100" spans="1:19" x14ac:dyDescent="0.25">
      <c r="A100" s="410">
        <v>1792</v>
      </c>
      <c r="B100" s="410" t="s">
        <v>828</v>
      </c>
      <c r="C100" s="410" t="s">
        <v>73</v>
      </c>
      <c r="D100" s="411">
        <v>116092.8</v>
      </c>
      <c r="E100" s="410">
        <v>1246267659</v>
      </c>
      <c r="F100" s="412">
        <v>46184</v>
      </c>
      <c r="G100" s="410"/>
      <c r="H100" s="410" t="s">
        <v>28</v>
      </c>
      <c r="I100" s="410" t="s">
        <v>29</v>
      </c>
      <c r="J100" s="410">
        <v>10876</v>
      </c>
      <c r="K100" s="412">
        <v>46094</v>
      </c>
      <c r="L100" s="410">
        <v>1010100</v>
      </c>
      <c r="M100" s="410" t="s">
        <v>35</v>
      </c>
      <c r="N100" s="410">
        <v>161</v>
      </c>
      <c r="O100" s="410" t="s">
        <v>161</v>
      </c>
      <c r="P100" s="410" t="s">
        <v>531</v>
      </c>
      <c r="Q100">
        <f t="shared" si="2"/>
        <v>-48</v>
      </c>
      <c r="R100" t="str">
        <f>_xlfn.XLOOKUP(P100,'Painel Additive'!$B:$B,'Painel Additive'!$B:$B,0)</f>
        <v>GRUPO MOSAIC FERTILIZANTES P K LTDA</v>
      </c>
      <c r="S100">
        <f t="shared" si="3"/>
        <v>90</v>
      </c>
    </row>
    <row r="101" spans="1:19" x14ac:dyDescent="0.25">
      <c r="A101" s="410">
        <v>201</v>
      </c>
      <c r="B101" s="410" t="s">
        <v>322</v>
      </c>
      <c r="C101" s="410" t="s">
        <v>908</v>
      </c>
      <c r="D101" s="411">
        <v>150024</v>
      </c>
      <c r="E101" s="410">
        <v>1246269649</v>
      </c>
      <c r="F101" s="412">
        <v>46139</v>
      </c>
      <c r="G101" s="410"/>
      <c r="H101" s="410" t="s">
        <v>28</v>
      </c>
      <c r="I101" s="410" t="s">
        <v>29</v>
      </c>
      <c r="J101" s="410">
        <v>11010</v>
      </c>
      <c r="K101" s="412">
        <v>46111</v>
      </c>
      <c r="L101" s="410">
        <v>1010100</v>
      </c>
      <c r="M101" s="410" t="s">
        <v>35</v>
      </c>
      <c r="N101" s="410">
        <v>161</v>
      </c>
      <c r="O101" s="410" t="s">
        <v>161</v>
      </c>
      <c r="P101" s="410" t="s">
        <v>430</v>
      </c>
      <c r="Q101">
        <f t="shared" si="2"/>
        <v>-3</v>
      </c>
      <c r="R101" t="str">
        <f>_xlfn.XLOOKUP(P101,'Painel Additive'!$B:$B,'Painel Additive'!$B:$B,0)</f>
        <v>GRUPO JOSAPAR</v>
      </c>
      <c r="S101">
        <f t="shared" si="3"/>
        <v>28</v>
      </c>
    </row>
    <row r="102" spans="1:19" x14ac:dyDescent="0.25">
      <c r="A102" s="410">
        <v>201</v>
      </c>
      <c r="B102" s="410" t="s">
        <v>322</v>
      </c>
      <c r="C102" s="410" t="s">
        <v>908</v>
      </c>
      <c r="D102" s="411">
        <v>185040</v>
      </c>
      <c r="E102" s="410">
        <v>1246269671</v>
      </c>
      <c r="F102" s="412">
        <v>46231</v>
      </c>
      <c r="G102" s="410"/>
      <c r="H102" s="410" t="s">
        <v>28</v>
      </c>
      <c r="I102" s="410" t="s">
        <v>29</v>
      </c>
      <c r="J102" s="410">
        <v>2855</v>
      </c>
      <c r="K102" s="412">
        <v>46111</v>
      </c>
      <c r="L102" s="410">
        <v>1010100</v>
      </c>
      <c r="M102" s="410" t="s">
        <v>35</v>
      </c>
      <c r="N102" s="410">
        <v>161</v>
      </c>
      <c r="O102" s="410" t="s">
        <v>161</v>
      </c>
      <c r="P102" s="410" t="s">
        <v>430</v>
      </c>
      <c r="Q102">
        <f t="shared" si="2"/>
        <v>-95</v>
      </c>
      <c r="R102" t="str">
        <f>_xlfn.XLOOKUP(P102,'Painel Additive'!$B:$B,'Painel Additive'!$B:$B,0)</f>
        <v>GRUPO JOSAPAR</v>
      </c>
      <c r="S102">
        <f t="shared" si="3"/>
        <v>120</v>
      </c>
    </row>
    <row r="103" spans="1:19" x14ac:dyDescent="0.25">
      <c r="A103" s="410">
        <v>903</v>
      </c>
      <c r="B103" s="410" t="s">
        <v>57</v>
      </c>
      <c r="C103" s="410" t="s">
        <v>58</v>
      </c>
      <c r="D103" s="411">
        <v>135135.03</v>
      </c>
      <c r="E103" s="410">
        <v>1246272230</v>
      </c>
      <c r="F103" s="412">
        <v>46175</v>
      </c>
      <c r="G103" s="410"/>
      <c r="H103" s="410" t="s">
        <v>28</v>
      </c>
      <c r="I103" s="410" t="s">
        <v>29</v>
      </c>
      <c r="J103" s="410">
        <v>11199</v>
      </c>
      <c r="K103" s="412">
        <v>46135</v>
      </c>
      <c r="L103" s="410">
        <v>1010100</v>
      </c>
      <c r="M103" s="410" t="s">
        <v>35</v>
      </c>
      <c r="N103" s="410">
        <v>161</v>
      </c>
      <c r="O103" s="410" t="s">
        <v>161</v>
      </c>
      <c r="P103" s="410" t="s">
        <v>420</v>
      </c>
      <c r="Q103">
        <f t="shared" si="2"/>
        <v>-39</v>
      </c>
      <c r="R103" t="str">
        <f>_xlfn.XLOOKUP(P103,'Painel Additive'!$B:$B,'Painel Additive'!$B:$B,0)</f>
        <v>GRUPO YARA</v>
      </c>
      <c r="S103">
        <f t="shared" si="3"/>
        <v>40</v>
      </c>
    </row>
    <row r="104" spans="1:19" x14ac:dyDescent="0.25">
      <c r="A104" s="410">
        <v>903</v>
      </c>
      <c r="B104" s="410" t="s">
        <v>57</v>
      </c>
      <c r="C104" s="410" t="s">
        <v>58</v>
      </c>
      <c r="D104" s="411">
        <v>134594.85</v>
      </c>
      <c r="E104" s="410">
        <v>1246270087</v>
      </c>
      <c r="F104" s="412">
        <v>46154</v>
      </c>
      <c r="G104" s="410"/>
      <c r="H104" s="410" t="s">
        <v>28</v>
      </c>
      <c r="I104" s="410" t="s">
        <v>29</v>
      </c>
      <c r="J104" s="410">
        <v>11034</v>
      </c>
      <c r="K104" s="412">
        <v>46114</v>
      </c>
      <c r="L104" s="410">
        <v>1010100</v>
      </c>
      <c r="M104" s="410" t="s">
        <v>35</v>
      </c>
      <c r="N104" s="410">
        <v>161</v>
      </c>
      <c r="O104" s="410" t="s">
        <v>161</v>
      </c>
      <c r="P104" s="410" t="s">
        <v>420</v>
      </c>
      <c r="Q104">
        <f t="shared" si="2"/>
        <v>-18</v>
      </c>
      <c r="R104" t="str">
        <f>_xlfn.XLOOKUP(P104,'Painel Additive'!$B:$B,'Painel Additive'!$B:$B,0)</f>
        <v>GRUPO YARA</v>
      </c>
      <c r="S104">
        <f t="shared" si="3"/>
        <v>40</v>
      </c>
    </row>
    <row r="105" spans="1:19" x14ac:dyDescent="0.25">
      <c r="A105" s="410">
        <v>903</v>
      </c>
      <c r="B105" s="410" t="s">
        <v>57</v>
      </c>
      <c r="C105" s="410" t="s">
        <v>58</v>
      </c>
      <c r="D105" s="411">
        <v>134504.82</v>
      </c>
      <c r="E105" s="410">
        <v>1246271047</v>
      </c>
      <c r="F105" s="412">
        <v>46162</v>
      </c>
      <c r="G105" s="410"/>
      <c r="H105" s="410" t="s">
        <v>28</v>
      </c>
      <c r="I105" s="410" t="s">
        <v>29</v>
      </c>
      <c r="J105" s="410">
        <v>11098</v>
      </c>
      <c r="K105" s="412">
        <v>46122</v>
      </c>
      <c r="L105" s="410">
        <v>1010100</v>
      </c>
      <c r="M105" s="410" t="s">
        <v>35</v>
      </c>
      <c r="N105" s="410">
        <v>161</v>
      </c>
      <c r="O105" s="410" t="s">
        <v>161</v>
      </c>
      <c r="P105" s="410" t="s">
        <v>420</v>
      </c>
      <c r="Q105">
        <f t="shared" si="2"/>
        <v>-26</v>
      </c>
      <c r="R105" t="str">
        <f>_xlfn.XLOOKUP(P105,'Painel Additive'!$B:$B,'Painel Additive'!$B:$B,0)</f>
        <v>GRUPO YARA</v>
      </c>
      <c r="S105">
        <f t="shared" si="3"/>
        <v>40</v>
      </c>
    </row>
    <row r="106" spans="1:19" x14ac:dyDescent="0.25">
      <c r="A106" s="410">
        <v>903</v>
      </c>
      <c r="B106" s="410" t="s">
        <v>57</v>
      </c>
      <c r="C106" s="410" t="s">
        <v>58</v>
      </c>
      <c r="D106" s="411">
        <v>134864.94</v>
      </c>
      <c r="E106" s="410">
        <v>1246269425</v>
      </c>
      <c r="F106" s="412">
        <v>46148</v>
      </c>
      <c r="G106" s="410"/>
      <c r="H106" s="410" t="s">
        <v>28</v>
      </c>
      <c r="I106" s="410" t="s">
        <v>29</v>
      </c>
      <c r="J106" s="410">
        <v>10990</v>
      </c>
      <c r="K106" s="412">
        <v>46108</v>
      </c>
      <c r="L106" s="410">
        <v>1010100</v>
      </c>
      <c r="M106" s="410" t="s">
        <v>35</v>
      </c>
      <c r="N106" s="410">
        <v>161</v>
      </c>
      <c r="O106" s="410" t="s">
        <v>161</v>
      </c>
      <c r="P106" s="410" t="s">
        <v>420</v>
      </c>
      <c r="Q106">
        <f t="shared" si="2"/>
        <v>-12</v>
      </c>
      <c r="R106" t="str">
        <f>_xlfn.XLOOKUP(P106,'Painel Additive'!$B:$B,'Painel Additive'!$B:$B,0)</f>
        <v>GRUPO YARA</v>
      </c>
      <c r="S106">
        <f t="shared" si="3"/>
        <v>40</v>
      </c>
    </row>
    <row r="107" spans="1:19" x14ac:dyDescent="0.25">
      <c r="A107" s="410">
        <v>903</v>
      </c>
      <c r="B107" s="410" t="s">
        <v>57</v>
      </c>
      <c r="C107" s="410" t="s">
        <v>58</v>
      </c>
      <c r="D107" s="411">
        <v>135765.24</v>
      </c>
      <c r="E107" s="410">
        <v>1246267822</v>
      </c>
      <c r="F107" s="412">
        <v>46137</v>
      </c>
      <c r="G107" s="410"/>
      <c r="H107" s="410" t="s">
        <v>28</v>
      </c>
      <c r="I107" s="410" t="s">
        <v>29</v>
      </c>
      <c r="J107" s="410">
        <v>10890</v>
      </c>
      <c r="K107" s="412">
        <v>46097</v>
      </c>
      <c r="L107" s="410">
        <v>1010100</v>
      </c>
      <c r="M107" s="410" t="s">
        <v>35</v>
      </c>
      <c r="N107" s="410">
        <v>161</v>
      </c>
      <c r="O107" s="410" t="s">
        <v>161</v>
      </c>
      <c r="P107" s="410" t="s">
        <v>420</v>
      </c>
      <c r="Q107">
        <f t="shared" si="2"/>
        <v>-1</v>
      </c>
      <c r="R107" t="str">
        <f>_xlfn.XLOOKUP(P107,'Painel Additive'!$B:$B,'Painel Additive'!$B:$B,0)</f>
        <v>GRUPO YARA</v>
      </c>
      <c r="S107">
        <f t="shared" si="3"/>
        <v>40</v>
      </c>
    </row>
    <row r="108" spans="1:19" x14ac:dyDescent="0.25">
      <c r="A108" s="410">
        <v>903</v>
      </c>
      <c r="B108" s="410" t="s">
        <v>57</v>
      </c>
      <c r="C108" s="410" t="s">
        <v>58</v>
      </c>
      <c r="D108" s="411">
        <v>133334.43</v>
      </c>
      <c r="E108" s="410">
        <v>1246268951</v>
      </c>
      <c r="F108" s="412">
        <v>46146</v>
      </c>
      <c r="G108" s="410"/>
      <c r="H108" s="410" t="s">
        <v>28</v>
      </c>
      <c r="I108" s="410" t="s">
        <v>29</v>
      </c>
      <c r="J108" s="410">
        <v>10971</v>
      </c>
      <c r="K108" s="412">
        <v>46106</v>
      </c>
      <c r="L108" s="410">
        <v>1010100</v>
      </c>
      <c r="M108" s="410" t="s">
        <v>35</v>
      </c>
      <c r="N108" s="410">
        <v>161</v>
      </c>
      <c r="O108" s="410" t="s">
        <v>161</v>
      </c>
      <c r="P108" s="410" t="s">
        <v>420</v>
      </c>
      <c r="Q108">
        <f t="shared" si="2"/>
        <v>-10</v>
      </c>
      <c r="R108" t="str">
        <f>_xlfn.XLOOKUP(P108,'Painel Additive'!$B:$B,'Painel Additive'!$B:$B,0)</f>
        <v>GRUPO YARA</v>
      </c>
      <c r="S108">
        <f t="shared" si="3"/>
        <v>40</v>
      </c>
    </row>
    <row r="109" spans="1:19" x14ac:dyDescent="0.25">
      <c r="A109" s="410">
        <v>1159</v>
      </c>
      <c r="B109" s="410" t="s">
        <v>60</v>
      </c>
      <c r="C109" s="410" t="s">
        <v>61</v>
      </c>
      <c r="D109" s="411">
        <v>1458</v>
      </c>
      <c r="E109" s="410">
        <v>1246148463</v>
      </c>
      <c r="F109" s="412">
        <v>45443</v>
      </c>
      <c r="G109" s="410"/>
      <c r="H109" s="410" t="s">
        <v>28</v>
      </c>
      <c r="I109" s="410" t="s">
        <v>29</v>
      </c>
      <c r="J109" s="410">
        <v>3446</v>
      </c>
      <c r="K109" s="412">
        <v>45415</v>
      </c>
      <c r="L109" s="410">
        <v>1010100</v>
      </c>
      <c r="M109" s="410" t="s">
        <v>35</v>
      </c>
      <c r="N109" s="410">
        <v>161</v>
      </c>
      <c r="O109" s="410" t="s">
        <v>161</v>
      </c>
      <c r="P109" s="410" t="s">
        <v>420</v>
      </c>
      <c r="Q109">
        <f t="shared" si="2"/>
        <v>693</v>
      </c>
      <c r="R109" t="str">
        <f>_xlfn.XLOOKUP(P109,'Painel Additive'!$B:$B,'Painel Additive'!$B:$B,0)</f>
        <v>GRUPO YARA</v>
      </c>
      <c r="S109">
        <f t="shared" si="3"/>
        <v>28</v>
      </c>
    </row>
    <row r="110" spans="1:19" x14ac:dyDescent="0.25">
      <c r="A110" s="410">
        <v>1159</v>
      </c>
      <c r="B110" s="410" t="s">
        <v>60</v>
      </c>
      <c r="C110" s="410" t="s">
        <v>61</v>
      </c>
      <c r="D110" s="411">
        <v>274909.24</v>
      </c>
      <c r="E110" s="410">
        <v>1246271894</v>
      </c>
      <c r="F110" s="412">
        <v>46172</v>
      </c>
      <c r="G110" s="410"/>
      <c r="H110" s="410" t="s">
        <v>28</v>
      </c>
      <c r="I110" s="410" t="s">
        <v>29</v>
      </c>
      <c r="J110" s="410">
        <v>11179</v>
      </c>
      <c r="K110" s="412">
        <v>46132</v>
      </c>
      <c r="L110" s="410">
        <v>1010100</v>
      </c>
      <c r="M110" s="410" t="s">
        <v>35</v>
      </c>
      <c r="N110" s="410">
        <v>161</v>
      </c>
      <c r="O110" s="410" t="s">
        <v>161</v>
      </c>
      <c r="P110" s="410" t="s">
        <v>420</v>
      </c>
      <c r="Q110">
        <f t="shared" si="2"/>
        <v>-36</v>
      </c>
      <c r="R110" t="str">
        <f>_xlfn.XLOOKUP(P110,'Painel Additive'!$B:$B,'Painel Additive'!$B:$B,0)</f>
        <v>GRUPO YARA</v>
      </c>
      <c r="S110">
        <f t="shared" si="3"/>
        <v>40</v>
      </c>
    </row>
    <row r="111" spans="1:19" ht="11.4" customHeight="1" x14ac:dyDescent="0.25">
      <c r="A111" s="410">
        <v>1159</v>
      </c>
      <c r="B111" s="410" t="s">
        <v>60</v>
      </c>
      <c r="C111" s="410" t="s">
        <v>61</v>
      </c>
      <c r="D111" s="411">
        <v>271741.03999999998</v>
      </c>
      <c r="E111" s="410">
        <v>1246269608</v>
      </c>
      <c r="F111" s="412">
        <v>46151</v>
      </c>
      <c r="G111" s="410"/>
      <c r="H111" s="410" t="s">
        <v>28</v>
      </c>
      <c r="I111" s="410" t="s">
        <v>29</v>
      </c>
      <c r="J111" s="410">
        <v>11006</v>
      </c>
      <c r="K111" s="412">
        <v>46111</v>
      </c>
      <c r="L111" s="410">
        <v>1010100</v>
      </c>
      <c r="M111" s="410" t="s">
        <v>35</v>
      </c>
      <c r="N111" s="410">
        <v>161</v>
      </c>
      <c r="O111" s="410" t="s">
        <v>161</v>
      </c>
      <c r="P111" s="410" t="s">
        <v>420</v>
      </c>
      <c r="Q111">
        <f t="shared" si="2"/>
        <v>-15</v>
      </c>
      <c r="R111" t="str">
        <f>_xlfn.XLOOKUP(P111,'Painel Additive'!$B:$B,'Painel Additive'!$B:$B,0)</f>
        <v>GRUPO YARA</v>
      </c>
      <c r="S111">
        <f t="shared" si="3"/>
        <v>40</v>
      </c>
    </row>
    <row r="112" spans="1:19" x14ac:dyDescent="0.25">
      <c r="A112" s="410">
        <v>1159</v>
      </c>
      <c r="B112" s="410" t="s">
        <v>60</v>
      </c>
      <c r="C112" s="410" t="s">
        <v>61</v>
      </c>
      <c r="D112" s="411">
        <v>272193.64</v>
      </c>
      <c r="E112" s="410">
        <v>1246269418</v>
      </c>
      <c r="F112" s="412">
        <v>46148</v>
      </c>
      <c r="G112" s="410"/>
      <c r="H112" s="410" t="s">
        <v>28</v>
      </c>
      <c r="I112" s="410" t="s">
        <v>29</v>
      </c>
      <c r="J112" s="410">
        <v>10988</v>
      </c>
      <c r="K112" s="412">
        <v>46108</v>
      </c>
      <c r="L112" s="410">
        <v>1010100</v>
      </c>
      <c r="M112" s="410" t="s">
        <v>35</v>
      </c>
      <c r="N112" s="410">
        <v>161</v>
      </c>
      <c r="O112" s="410" t="s">
        <v>161</v>
      </c>
      <c r="P112" s="410" t="s">
        <v>420</v>
      </c>
      <c r="Q112">
        <f t="shared" si="2"/>
        <v>-12</v>
      </c>
      <c r="R112" t="str">
        <f>_xlfn.XLOOKUP(P112,'Painel Additive'!$B:$B,'Painel Additive'!$B:$B,0)</f>
        <v>GRUPO YARA</v>
      </c>
      <c r="S112">
        <f t="shared" si="3"/>
        <v>40</v>
      </c>
    </row>
    <row r="113" spans="1:19" x14ac:dyDescent="0.25">
      <c r="A113" s="410">
        <v>1159</v>
      </c>
      <c r="B113" s="410" t="s">
        <v>60</v>
      </c>
      <c r="C113" s="410" t="s">
        <v>61</v>
      </c>
      <c r="D113" s="411">
        <v>271469.48</v>
      </c>
      <c r="E113" s="410">
        <v>1246270981</v>
      </c>
      <c r="F113" s="412">
        <v>46162</v>
      </c>
      <c r="G113" s="410"/>
      <c r="H113" s="410" t="s">
        <v>28</v>
      </c>
      <c r="I113" s="410" t="s">
        <v>29</v>
      </c>
      <c r="J113" s="410">
        <v>11089</v>
      </c>
      <c r="K113" s="412">
        <v>46122</v>
      </c>
      <c r="L113" s="410">
        <v>1010100</v>
      </c>
      <c r="M113" s="410" t="s">
        <v>35</v>
      </c>
      <c r="N113" s="410">
        <v>161</v>
      </c>
      <c r="O113" s="410" t="s">
        <v>161</v>
      </c>
      <c r="P113" s="410" t="s">
        <v>420</v>
      </c>
      <c r="Q113">
        <f t="shared" si="2"/>
        <v>-26</v>
      </c>
      <c r="R113" t="str">
        <f>_xlfn.XLOOKUP(P113,'Painel Additive'!$B:$B,'Painel Additive'!$B:$B,0)</f>
        <v>GRUPO YARA</v>
      </c>
      <c r="S113">
        <f t="shared" si="3"/>
        <v>40</v>
      </c>
    </row>
    <row r="114" spans="1:19" x14ac:dyDescent="0.25">
      <c r="A114" s="410">
        <v>1159</v>
      </c>
      <c r="B114" s="410" t="s">
        <v>60</v>
      </c>
      <c r="C114" s="410" t="s">
        <v>61</v>
      </c>
      <c r="D114" s="411">
        <v>149246.39999999999</v>
      </c>
      <c r="E114" s="410">
        <v>1246267833</v>
      </c>
      <c r="F114" s="412">
        <v>46137</v>
      </c>
      <c r="G114" s="410"/>
      <c r="H114" s="410" t="s">
        <v>28</v>
      </c>
      <c r="I114" s="410" t="s">
        <v>29</v>
      </c>
      <c r="J114" s="410">
        <v>10893</v>
      </c>
      <c r="K114" s="412">
        <v>46097</v>
      </c>
      <c r="L114" s="410">
        <v>1010100</v>
      </c>
      <c r="M114" s="410" t="s">
        <v>35</v>
      </c>
      <c r="N114" s="410">
        <v>161</v>
      </c>
      <c r="O114" s="410" t="s">
        <v>161</v>
      </c>
      <c r="P114" s="410" t="s">
        <v>420</v>
      </c>
      <c r="Q114">
        <f t="shared" si="2"/>
        <v>-1</v>
      </c>
      <c r="R114" t="str">
        <f>_xlfn.XLOOKUP(P114,'Painel Additive'!$B:$B,'Painel Additive'!$B:$B,0)</f>
        <v>GRUPO YARA</v>
      </c>
      <c r="S114">
        <f t="shared" si="3"/>
        <v>40</v>
      </c>
    </row>
    <row r="115" spans="1:19" x14ac:dyDescent="0.25">
      <c r="A115" s="410">
        <v>1159</v>
      </c>
      <c r="B115" s="410" t="s">
        <v>60</v>
      </c>
      <c r="C115" s="410" t="s">
        <v>61</v>
      </c>
      <c r="D115" s="411">
        <v>271650.52</v>
      </c>
      <c r="E115" s="410">
        <v>1246270614</v>
      </c>
      <c r="F115" s="412">
        <v>46160</v>
      </c>
      <c r="G115" s="410"/>
      <c r="H115" s="410" t="s">
        <v>28</v>
      </c>
      <c r="I115" s="410" t="s">
        <v>29</v>
      </c>
      <c r="J115" s="410">
        <v>11070</v>
      </c>
      <c r="K115" s="412">
        <v>46120</v>
      </c>
      <c r="L115" s="410">
        <v>1010100</v>
      </c>
      <c r="M115" s="410" t="s">
        <v>35</v>
      </c>
      <c r="N115" s="410">
        <v>161</v>
      </c>
      <c r="O115" s="410" t="s">
        <v>161</v>
      </c>
      <c r="P115" s="410" t="s">
        <v>420</v>
      </c>
      <c r="Q115">
        <f t="shared" si="2"/>
        <v>-24</v>
      </c>
      <c r="R115" t="str">
        <f>_xlfn.XLOOKUP(P115,'Painel Additive'!$B:$B,'Painel Additive'!$B:$B,0)</f>
        <v>GRUPO YARA</v>
      </c>
      <c r="S115">
        <f t="shared" si="3"/>
        <v>40</v>
      </c>
    </row>
    <row r="116" spans="1:19" x14ac:dyDescent="0.25">
      <c r="A116" s="410">
        <v>1159</v>
      </c>
      <c r="B116" s="410" t="s">
        <v>60</v>
      </c>
      <c r="C116" s="410" t="s">
        <v>61</v>
      </c>
      <c r="D116" s="411">
        <v>272465.2</v>
      </c>
      <c r="E116" s="410">
        <v>1246268414</v>
      </c>
      <c r="F116" s="412">
        <v>46140</v>
      </c>
      <c r="G116" s="410"/>
      <c r="H116" s="410" t="s">
        <v>28</v>
      </c>
      <c r="I116" s="410" t="s">
        <v>29</v>
      </c>
      <c r="J116" s="410">
        <v>10931</v>
      </c>
      <c r="K116" s="412">
        <v>46100</v>
      </c>
      <c r="L116" s="410">
        <v>1010100</v>
      </c>
      <c r="M116" s="410" t="s">
        <v>35</v>
      </c>
      <c r="N116" s="410">
        <v>161</v>
      </c>
      <c r="O116" s="410" t="s">
        <v>161</v>
      </c>
      <c r="P116" s="410" t="s">
        <v>420</v>
      </c>
      <c r="Q116">
        <f t="shared" si="2"/>
        <v>-4</v>
      </c>
      <c r="R116" t="str">
        <f>_xlfn.XLOOKUP(P116,'Painel Additive'!$B:$B,'Painel Additive'!$B:$B,0)</f>
        <v>GRUPO YARA</v>
      </c>
      <c r="S116">
        <f t="shared" si="3"/>
        <v>40</v>
      </c>
    </row>
    <row r="117" spans="1:19" x14ac:dyDescent="0.25">
      <c r="A117" s="410">
        <v>1159</v>
      </c>
      <c r="B117" s="410" t="s">
        <v>60</v>
      </c>
      <c r="C117" s="410" t="s">
        <v>61</v>
      </c>
      <c r="D117" s="411">
        <v>271831.56</v>
      </c>
      <c r="E117" s="410">
        <v>1246269882</v>
      </c>
      <c r="F117" s="412">
        <v>46153</v>
      </c>
      <c r="G117" s="410"/>
      <c r="H117" s="410" t="s">
        <v>28</v>
      </c>
      <c r="I117" s="410" t="s">
        <v>29</v>
      </c>
      <c r="J117" s="410">
        <v>11024</v>
      </c>
      <c r="K117" s="412">
        <v>46113</v>
      </c>
      <c r="L117" s="410">
        <v>1010100</v>
      </c>
      <c r="M117" s="410" t="s">
        <v>35</v>
      </c>
      <c r="N117" s="410">
        <v>161</v>
      </c>
      <c r="O117" s="410" t="s">
        <v>161</v>
      </c>
      <c r="P117" s="410" t="s">
        <v>420</v>
      </c>
      <c r="Q117">
        <f t="shared" si="2"/>
        <v>-17</v>
      </c>
      <c r="R117" t="str">
        <f>_xlfn.XLOOKUP(P117,'Painel Additive'!$B:$B,'Painel Additive'!$B:$B,0)</f>
        <v>GRUPO YARA</v>
      </c>
      <c r="S117">
        <f t="shared" si="3"/>
        <v>40</v>
      </c>
    </row>
    <row r="118" spans="1:19" x14ac:dyDescent="0.25">
      <c r="A118" s="410">
        <v>1159</v>
      </c>
      <c r="B118" s="410" t="s">
        <v>60</v>
      </c>
      <c r="C118" s="410" t="s">
        <v>61</v>
      </c>
      <c r="D118" s="411">
        <v>272012.59999999998</v>
      </c>
      <c r="E118" s="410">
        <v>1246272754</v>
      </c>
      <c r="F118" s="412">
        <v>46179</v>
      </c>
      <c r="G118" s="410"/>
      <c r="H118" s="410" t="s">
        <v>28</v>
      </c>
      <c r="I118" s="410" t="s">
        <v>29</v>
      </c>
      <c r="J118" s="410">
        <v>11228</v>
      </c>
      <c r="K118" s="412">
        <v>46139</v>
      </c>
      <c r="L118" s="410">
        <v>1010100</v>
      </c>
      <c r="M118" s="410" t="s">
        <v>35</v>
      </c>
      <c r="N118" s="410">
        <v>161</v>
      </c>
      <c r="O118" s="410" t="s">
        <v>161</v>
      </c>
      <c r="P118" s="410" t="s">
        <v>420</v>
      </c>
      <c r="Q118">
        <f t="shared" si="2"/>
        <v>-43</v>
      </c>
      <c r="R118" t="str">
        <f>_xlfn.XLOOKUP(P118,'Painel Additive'!$B:$B,'Painel Additive'!$B:$B,0)</f>
        <v>GRUPO YARA</v>
      </c>
      <c r="S118">
        <f t="shared" si="3"/>
        <v>40</v>
      </c>
    </row>
    <row r="119" spans="1:19" x14ac:dyDescent="0.25">
      <c r="A119" s="410">
        <v>1159</v>
      </c>
      <c r="B119" s="410" t="s">
        <v>60</v>
      </c>
      <c r="C119" s="410" t="s">
        <v>61</v>
      </c>
      <c r="D119" s="411">
        <v>272555.71999999997</v>
      </c>
      <c r="E119" s="410">
        <v>1246268636</v>
      </c>
      <c r="F119" s="412">
        <v>46144</v>
      </c>
      <c r="G119" s="410"/>
      <c r="H119" s="410" t="s">
        <v>28</v>
      </c>
      <c r="I119" s="410" t="s">
        <v>29</v>
      </c>
      <c r="J119" s="410">
        <v>10958</v>
      </c>
      <c r="K119" s="412">
        <v>46104</v>
      </c>
      <c r="L119" s="410">
        <v>1010100</v>
      </c>
      <c r="M119" s="410" t="s">
        <v>35</v>
      </c>
      <c r="N119" s="410">
        <v>161</v>
      </c>
      <c r="O119" s="410" t="s">
        <v>161</v>
      </c>
      <c r="P119" s="410" t="s">
        <v>420</v>
      </c>
      <c r="Q119">
        <f t="shared" si="2"/>
        <v>-8</v>
      </c>
      <c r="R119" t="str">
        <f>_xlfn.XLOOKUP(P119,'Painel Additive'!$B:$B,'Painel Additive'!$B:$B,0)</f>
        <v>GRUPO YARA</v>
      </c>
      <c r="S119">
        <f t="shared" si="3"/>
        <v>40</v>
      </c>
    </row>
    <row r="120" spans="1:19" x14ac:dyDescent="0.25">
      <c r="A120" s="410">
        <v>1159</v>
      </c>
      <c r="B120" s="410" t="s">
        <v>60</v>
      </c>
      <c r="C120" s="410" t="s">
        <v>61</v>
      </c>
      <c r="D120" s="411">
        <v>271107.40000000002</v>
      </c>
      <c r="E120" s="410">
        <v>1246271171</v>
      </c>
      <c r="F120" s="412">
        <v>46165</v>
      </c>
      <c r="G120" s="410"/>
      <c r="H120" s="410" t="s">
        <v>28</v>
      </c>
      <c r="I120" s="410" t="s">
        <v>29</v>
      </c>
      <c r="J120" s="410">
        <v>11108</v>
      </c>
      <c r="K120" s="412">
        <v>46125</v>
      </c>
      <c r="L120" s="410">
        <v>1010100</v>
      </c>
      <c r="M120" s="410" t="s">
        <v>35</v>
      </c>
      <c r="N120" s="410">
        <v>161</v>
      </c>
      <c r="O120" s="410" t="s">
        <v>161</v>
      </c>
      <c r="P120" s="410" t="s">
        <v>420</v>
      </c>
      <c r="Q120">
        <f t="shared" si="2"/>
        <v>-29</v>
      </c>
      <c r="R120" t="str">
        <f>_xlfn.XLOOKUP(P120,'Painel Additive'!$B:$B,'Painel Additive'!$B:$B,0)</f>
        <v>GRUPO YARA</v>
      </c>
      <c r="S120">
        <f t="shared" si="3"/>
        <v>40</v>
      </c>
    </row>
    <row r="121" spans="1:19" x14ac:dyDescent="0.25">
      <c r="A121" s="410">
        <v>1159</v>
      </c>
      <c r="B121" s="410" t="s">
        <v>60</v>
      </c>
      <c r="C121" s="410" t="s">
        <v>61</v>
      </c>
      <c r="D121" s="411">
        <v>272374.68</v>
      </c>
      <c r="E121" s="410">
        <v>1246272204</v>
      </c>
      <c r="F121" s="412">
        <v>46175</v>
      </c>
      <c r="G121" s="410"/>
      <c r="H121" s="410" t="s">
        <v>28</v>
      </c>
      <c r="I121" s="410" t="s">
        <v>29</v>
      </c>
      <c r="J121" s="410">
        <v>11198</v>
      </c>
      <c r="K121" s="412">
        <v>46135</v>
      </c>
      <c r="L121" s="410">
        <v>1010100</v>
      </c>
      <c r="M121" s="410" t="s">
        <v>35</v>
      </c>
      <c r="N121" s="410">
        <v>161</v>
      </c>
      <c r="O121" s="410" t="s">
        <v>161</v>
      </c>
      <c r="P121" s="410" t="s">
        <v>420</v>
      </c>
      <c r="Q121">
        <f t="shared" si="2"/>
        <v>-39</v>
      </c>
      <c r="R121" t="str">
        <f>_xlfn.XLOOKUP(P121,'Painel Additive'!$B:$B,'Painel Additive'!$B:$B,0)</f>
        <v>GRUPO YARA</v>
      </c>
      <c r="S121">
        <f t="shared" si="3"/>
        <v>40</v>
      </c>
    </row>
    <row r="122" spans="1:19" x14ac:dyDescent="0.25">
      <c r="A122" s="410">
        <v>3232</v>
      </c>
      <c r="B122" s="410" t="s">
        <v>169</v>
      </c>
      <c r="C122" s="410" t="s">
        <v>477</v>
      </c>
      <c r="D122" s="411">
        <v>169206.9</v>
      </c>
      <c r="E122" s="410">
        <v>1246270989</v>
      </c>
      <c r="F122" s="412">
        <v>46182</v>
      </c>
      <c r="G122" s="410"/>
      <c r="H122" s="410" t="s">
        <v>28</v>
      </c>
      <c r="I122" s="410" t="s">
        <v>29</v>
      </c>
      <c r="J122" s="410">
        <v>11091</v>
      </c>
      <c r="K122" s="412">
        <v>46122</v>
      </c>
      <c r="L122" s="410">
        <v>1010100</v>
      </c>
      <c r="M122" s="410" t="s">
        <v>35</v>
      </c>
      <c r="N122" s="410">
        <v>161</v>
      </c>
      <c r="O122" s="410" t="s">
        <v>161</v>
      </c>
      <c r="P122" s="410" t="s">
        <v>532</v>
      </c>
      <c r="Q122">
        <f t="shared" si="2"/>
        <v>-46</v>
      </c>
      <c r="R122" t="str">
        <f>_xlfn.XLOOKUP(P122,'Painel Additive'!$B:$B,'Painel Additive'!$B:$B,0)</f>
        <v>GRUPO FERTILIZ TOCANTINS</v>
      </c>
      <c r="S122">
        <f t="shared" si="3"/>
        <v>60</v>
      </c>
    </row>
    <row r="123" spans="1:19" x14ac:dyDescent="0.25">
      <c r="A123" s="410">
        <v>3232</v>
      </c>
      <c r="B123" s="410" t="s">
        <v>169</v>
      </c>
      <c r="C123" s="410" t="s">
        <v>477</v>
      </c>
      <c r="D123" s="411">
        <v>169290.6</v>
      </c>
      <c r="E123" s="410">
        <v>1246269505</v>
      </c>
      <c r="F123" s="412">
        <v>46138</v>
      </c>
      <c r="G123" s="410"/>
      <c r="H123" s="410" t="s">
        <v>28</v>
      </c>
      <c r="I123" s="410" t="s">
        <v>29</v>
      </c>
      <c r="J123" s="410">
        <v>10997</v>
      </c>
      <c r="K123" s="412">
        <v>46108</v>
      </c>
      <c r="L123" s="410">
        <v>1010100</v>
      </c>
      <c r="M123" s="410" t="s">
        <v>35</v>
      </c>
      <c r="N123" s="410">
        <v>161</v>
      </c>
      <c r="O123" s="410" t="s">
        <v>161</v>
      </c>
      <c r="P123" s="410" t="s">
        <v>532</v>
      </c>
      <c r="Q123">
        <f t="shared" si="2"/>
        <v>-2</v>
      </c>
      <c r="R123" t="str">
        <f>_xlfn.XLOOKUP(P123,'Painel Additive'!$B:$B,'Painel Additive'!$B:$B,0)</f>
        <v>GRUPO FERTILIZ TOCANTINS</v>
      </c>
      <c r="S123">
        <f t="shared" si="3"/>
        <v>30</v>
      </c>
    </row>
    <row r="124" spans="1:19" x14ac:dyDescent="0.25">
      <c r="A124" s="410">
        <v>3232</v>
      </c>
      <c r="B124" s="410" t="s">
        <v>169</v>
      </c>
      <c r="C124" s="410" t="s">
        <v>477</v>
      </c>
      <c r="D124" s="411">
        <v>170582.1</v>
      </c>
      <c r="E124" s="410">
        <v>1246270155</v>
      </c>
      <c r="F124" s="412">
        <v>46174</v>
      </c>
      <c r="G124" s="410"/>
      <c r="H124" s="410" t="s">
        <v>28</v>
      </c>
      <c r="I124" s="410" t="s">
        <v>29</v>
      </c>
      <c r="J124" s="410">
        <v>11044</v>
      </c>
      <c r="K124" s="412">
        <v>46114</v>
      </c>
      <c r="L124" s="410">
        <v>1010100</v>
      </c>
      <c r="M124" s="410" t="s">
        <v>35</v>
      </c>
      <c r="N124" s="410">
        <v>161</v>
      </c>
      <c r="O124" s="410" t="s">
        <v>161</v>
      </c>
      <c r="P124" s="410" t="s">
        <v>532</v>
      </c>
      <c r="Q124">
        <f t="shared" si="2"/>
        <v>-38</v>
      </c>
      <c r="R124" t="str">
        <f>_xlfn.XLOOKUP(P124,'Painel Additive'!$B:$B,'Painel Additive'!$B:$B,0)</f>
        <v>GRUPO FERTILIZ TOCANTINS</v>
      </c>
      <c r="S124">
        <f t="shared" si="3"/>
        <v>60</v>
      </c>
    </row>
    <row r="125" spans="1:19" x14ac:dyDescent="0.25">
      <c r="A125" s="410">
        <v>2603</v>
      </c>
      <c r="B125" s="410" t="s">
        <v>81</v>
      </c>
      <c r="C125" s="410" t="s">
        <v>82</v>
      </c>
      <c r="D125" s="411">
        <v>4522.16</v>
      </c>
      <c r="E125" s="410">
        <v>1246097965</v>
      </c>
      <c r="F125" s="412">
        <v>45152</v>
      </c>
      <c r="G125" s="410"/>
      <c r="H125" s="410" t="s">
        <v>28</v>
      </c>
      <c r="I125" s="410" t="s">
        <v>29</v>
      </c>
      <c r="J125" s="410">
        <v>21713</v>
      </c>
      <c r="K125" s="412">
        <v>45092</v>
      </c>
      <c r="L125" s="410">
        <v>1010100</v>
      </c>
      <c r="M125" s="410" t="s">
        <v>35</v>
      </c>
      <c r="N125" s="410">
        <v>56</v>
      </c>
      <c r="O125" s="410" t="s">
        <v>162</v>
      </c>
      <c r="P125" s="410" t="s">
        <v>500</v>
      </c>
      <c r="Q125">
        <f t="shared" si="2"/>
        <v>984</v>
      </c>
      <c r="R125" t="str">
        <f>_xlfn.XLOOKUP(P125,'Painel Additive'!$B:$B,'Painel Additive'!$B:$B,0)</f>
        <v>GRUPO MOSAIC FERTILIZANTES DO BRASIL</v>
      </c>
      <c r="S125">
        <f t="shared" si="3"/>
        <v>60</v>
      </c>
    </row>
    <row r="126" spans="1:19" x14ac:dyDescent="0.25">
      <c r="A126" s="410">
        <v>2559</v>
      </c>
      <c r="B126" s="410" t="s">
        <v>533</v>
      </c>
      <c r="C126" s="410" t="s">
        <v>79</v>
      </c>
      <c r="D126" s="411">
        <v>78390</v>
      </c>
      <c r="E126" s="410">
        <v>1246270082</v>
      </c>
      <c r="F126" s="412">
        <v>46204</v>
      </c>
      <c r="G126" s="410"/>
      <c r="H126" s="410" t="s">
        <v>28</v>
      </c>
      <c r="I126" s="410" t="s">
        <v>29</v>
      </c>
      <c r="J126" s="410">
        <v>11033</v>
      </c>
      <c r="K126" s="412">
        <v>46114</v>
      </c>
      <c r="L126" s="410">
        <v>1010100</v>
      </c>
      <c r="M126" s="410" t="s">
        <v>35</v>
      </c>
      <c r="N126" s="410">
        <v>161</v>
      </c>
      <c r="O126" s="410" t="s">
        <v>161</v>
      </c>
      <c r="P126" s="410" t="s">
        <v>500</v>
      </c>
      <c r="Q126">
        <f t="shared" si="2"/>
        <v>-68</v>
      </c>
      <c r="R126" t="str">
        <f>_xlfn.XLOOKUP(P126,'Painel Additive'!$B:$B,'Painel Additive'!$B:$B,0)</f>
        <v>GRUPO MOSAIC FERTILIZANTES DO BRASIL</v>
      </c>
      <c r="S126">
        <f t="shared" si="3"/>
        <v>90</v>
      </c>
    </row>
    <row r="127" spans="1:19" x14ac:dyDescent="0.25">
      <c r="A127" s="410">
        <v>2559</v>
      </c>
      <c r="B127" s="410" t="s">
        <v>533</v>
      </c>
      <c r="C127" s="410" t="s">
        <v>79</v>
      </c>
      <c r="D127" s="411">
        <v>195730.4</v>
      </c>
      <c r="E127" s="410">
        <v>1246271698</v>
      </c>
      <c r="F127" s="412">
        <v>46219</v>
      </c>
      <c r="G127" s="410"/>
      <c r="H127" s="410" t="s">
        <v>28</v>
      </c>
      <c r="I127" s="410" t="s">
        <v>29</v>
      </c>
      <c r="J127" s="410">
        <v>11159</v>
      </c>
      <c r="K127" s="412">
        <v>46129</v>
      </c>
      <c r="L127" s="410">
        <v>1010100</v>
      </c>
      <c r="M127" s="410" t="s">
        <v>35</v>
      </c>
      <c r="N127" s="410">
        <v>161</v>
      </c>
      <c r="O127" s="410" t="s">
        <v>161</v>
      </c>
      <c r="P127" s="410" t="s">
        <v>500</v>
      </c>
      <c r="Q127">
        <f t="shared" si="2"/>
        <v>-83</v>
      </c>
      <c r="R127" t="str">
        <f>_xlfn.XLOOKUP(P127,'Painel Additive'!$B:$B,'Painel Additive'!$B:$B,0)</f>
        <v>GRUPO MOSAIC FERTILIZANTES DO BRASIL</v>
      </c>
      <c r="S127">
        <f t="shared" si="3"/>
        <v>90</v>
      </c>
    </row>
    <row r="128" spans="1:19" x14ac:dyDescent="0.25">
      <c r="A128" s="410">
        <v>2559</v>
      </c>
      <c r="B128" s="410" t="s">
        <v>533</v>
      </c>
      <c r="C128" s="410" t="s">
        <v>79</v>
      </c>
      <c r="D128" s="411">
        <v>196447.6</v>
      </c>
      <c r="E128" s="410">
        <v>1246272595</v>
      </c>
      <c r="F128" s="412">
        <v>46226</v>
      </c>
      <c r="G128" s="410"/>
      <c r="H128" s="410" t="s">
        <v>28</v>
      </c>
      <c r="I128" s="410" t="s">
        <v>29</v>
      </c>
      <c r="J128" s="410">
        <v>11219</v>
      </c>
      <c r="K128" s="412">
        <v>46136</v>
      </c>
      <c r="L128" s="410">
        <v>1010100</v>
      </c>
      <c r="M128" s="410" t="s">
        <v>35</v>
      </c>
      <c r="N128" s="410">
        <v>161</v>
      </c>
      <c r="O128" s="410" t="s">
        <v>161</v>
      </c>
      <c r="P128" s="410" t="s">
        <v>500</v>
      </c>
      <c r="Q128">
        <f t="shared" si="2"/>
        <v>-90</v>
      </c>
      <c r="R128" t="str">
        <f>_xlfn.XLOOKUP(P128,'Painel Additive'!$B:$B,'Painel Additive'!$B:$B,0)</f>
        <v>GRUPO MOSAIC FERTILIZANTES DO BRASIL</v>
      </c>
      <c r="S128">
        <f t="shared" si="3"/>
        <v>90</v>
      </c>
    </row>
    <row r="129" spans="1:19" x14ac:dyDescent="0.25">
      <c r="A129" s="410">
        <v>215</v>
      </c>
      <c r="B129" s="410" t="s">
        <v>249</v>
      </c>
      <c r="C129" s="410" t="s">
        <v>883</v>
      </c>
      <c r="D129" s="411">
        <v>339600</v>
      </c>
      <c r="E129" s="410">
        <v>1246271897</v>
      </c>
      <c r="F129" s="412">
        <v>46160</v>
      </c>
      <c r="G129" s="410"/>
      <c r="H129" s="410" t="s">
        <v>28</v>
      </c>
      <c r="I129" s="410" t="s">
        <v>29</v>
      </c>
      <c r="J129" s="410">
        <v>2881</v>
      </c>
      <c r="K129" s="412">
        <v>46132</v>
      </c>
      <c r="L129" s="410">
        <v>1010100</v>
      </c>
      <c r="M129" s="410" t="s">
        <v>35</v>
      </c>
      <c r="N129" s="410">
        <v>7</v>
      </c>
      <c r="O129" s="410" t="s">
        <v>654</v>
      </c>
      <c r="P129" s="410" t="s">
        <v>417</v>
      </c>
      <c r="Q129">
        <f t="shared" si="2"/>
        <v>-24</v>
      </c>
      <c r="R129" t="str">
        <f>_xlfn.XLOOKUP(P129,'Painel Additive'!$B:$B,'Painel Additive'!$B:$B,0)</f>
        <v>GRUPO UNIFERTIL</v>
      </c>
      <c r="S129">
        <f t="shared" si="3"/>
        <v>28</v>
      </c>
    </row>
    <row r="130" spans="1:19" x14ac:dyDescent="0.25">
      <c r="A130" s="410">
        <v>215</v>
      </c>
      <c r="B130" s="410" t="s">
        <v>249</v>
      </c>
      <c r="C130" s="410" t="s">
        <v>883</v>
      </c>
      <c r="D130" s="411">
        <v>1018800</v>
      </c>
      <c r="E130" s="410">
        <v>1246272741</v>
      </c>
      <c r="F130" s="412">
        <v>46167</v>
      </c>
      <c r="G130" s="410"/>
      <c r="H130" s="410" t="s">
        <v>28</v>
      </c>
      <c r="I130" s="410" t="s">
        <v>29</v>
      </c>
      <c r="J130" s="410">
        <v>2895</v>
      </c>
      <c r="K130" s="412">
        <v>46139</v>
      </c>
      <c r="L130" s="410">
        <v>1010100</v>
      </c>
      <c r="M130" s="410" t="s">
        <v>35</v>
      </c>
      <c r="N130" s="410">
        <v>7</v>
      </c>
      <c r="O130" s="410" t="s">
        <v>654</v>
      </c>
      <c r="P130" s="410" t="s">
        <v>417</v>
      </c>
      <c r="Q130">
        <f t="shared" si="2"/>
        <v>-31</v>
      </c>
      <c r="R130" t="str">
        <f>_xlfn.XLOOKUP(P130,'Painel Additive'!$B:$B,'Painel Additive'!$B:$B,0)</f>
        <v>GRUPO UNIFERTIL</v>
      </c>
      <c r="S130">
        <f t="shared" si="3"/>
        <v>28</v>
      </c>
    </row>
    <row r="131" spans="1:19" x14ac:dyDescent="0.25">
      <c r="A131" s="410">
        <v>2949</v>
      </c>
      <c r="B131" s="410" t="s">
        <v>858</v>
      </c>
      <c r="C131" s="410" t="s">
        <v>859</v>
      </c>
      <c r="D131" s="411">
        <v>67841.5</v>
      </c>
      <c r="E131" s="410">
        <v>1246265741</v>
      </c>
      <c r="F131" s="412">
        <v>46170</v>
      </c>
      <c r="G131" s="410"/>
      <c r="H131" s="410" t="s">
        <v>28</v>
      </c>
      <c r="I131" s="410" t="s">
        <v>29</v>
      </c>
      <c r="J131" s="410">
        <v>10785</v>
      </c>
      <c r="K131" s="412">
        <v>46080</v>
      </c>
      <c r="L131" s="410">
        <v>1010100</v>
      </c>
      <c r="M131" s="410" t="s">
        <v>35</v>
      </c>
      <c r="N131" s="410">
        <v>161</v>
      </c>
      <c r="O131" s="410" t="s">
        <v>161</v>
      </c>
      <c r="P131" s="410" t="s">
        <v>500</v>
      </c>
      <c r="Q131">
        <f t="shared" ref="Q131:Q169" si="4">$R$1-F131</f>
        <v>-34</v>
      </c>
      <c r="R131" t="str">
        <f>_xlfn.XLOOKUP(P131,'Painel Additive'!$B:$B,'Painel Additive'!$B:$B,0)</f>
        <v>GRUPO MOSAIC FERTILIZANTES DO BRASIL</v>
      </c>
      <c r="S131">
        <f t="shared" ref="S131:S169" si="5">F131-K131</f>
        <v>90</v>
      </c>
    </row>
    <row r="132" spans="1:19" x14ac:dyDescent="0.25">
      <c r="A132" s="410">
        <v>6124</v>
      </c>
      <c r="B132" s="410" t="s">
        <v>826</v>
      </c>
      <c r="C132" s="410" t="s">
        <v>96</v>
      </c>
      <c r="D132" s="411">
        <v>419434</v>
      </c>
      <c r="E132" s="410">
        <v>1246264936</v>
      </c>
      <c r="F132" s="412">
        <v>46167</v>
      </c>
      <c r="G132" s="410"/>
      <c r="H132" s="410" t="s">
        <v>28</v>
      </c>
      <c r="I132" s="410" t="s">
        <v>29</v>
      </c>
      <c r="J132" s="410">
        <v>2772</v>
      </c>
      <c r="K132" s="412">
        <v>46077</v>
      </c>
      <c r="L132" s="410">
        <v>1010100</v>
      </c>
      <c r="M132" s="410" t="s">
        <v>35</v>
      </c>
      <c r="N132" s="410">
        <v>56</v>
      </c>
      <c r="O132" s="410" t="s">
        <v>162</v>
      </c>
      <c r="P132" s="410" t="s">
        <v>500</v>
      </c>
      <c r="Q132">
        <f t="shared" si="4"/>
        <v>-31</v>
      </c>
      <c r="R132" t="str">
        <f>_xlfn.XLOOKUP(P132,'Painel Additive'!$B:$B,'Painel Additive'!$B:$B,0)</f>
        <v>GRUPO MOSAIC FERTILIZANTES DO BRASIL</v>
      </c>
      <c r="S132">
        <f t="shared" si="5"/>
        <v>90</v>
      </c>
    </row>
    <row r="133" spans="1:19" x14ac:dyDescent="0.25">
      <c r="A133" s="410">
        <v>6124</v>
      </c>
      <c r="B133" s="410" t="s">
        <v>826</v>
      </c>
      <c r="C133" s="410" t="s">
        <v>96</v>
      </c>
      <c r="D133" s="411">
        <v>417259.92</v>
      </c>
      <c r="E133" s="410">
        <v>1246267573</v>
      </c>
      <c r="F133" s="412">
        <v>46153</v>
      </c>
      <c r="G133" s="410"/>
      <c r="H133" s="410" t="s">
        <v>28</v>
      </c>
      <c r="I133" s="410" t="s">
        <v>29</v>
      </c>
      <c r="J133" s="410">
        <v>2808</v>
      </c>
      <c r="K133" s="412">
        <v>46093</v>
      </c>
      <c r="L133" s="410">
        <v>1010100</v>
      </c>
      <c r="M133" s="410" t="s">
        <v>35</v>
      </c>
      <c r="N133" s="410">
        <v>161</v>
      </c>
      <c r="O133" s="410" t="s">
        <v>161</v>
      </c>
      <c r="P133" s="410" t="s">
        <v>500</v>
      </c>
      <c r="Q133">
        <f t="shared" si="4"/>
        <v>-17</v>
      </c>
      <c r="R133" t="str">
        <f>_xlfn.XLOOKUP(P133,'Painel Additive'!$B:$B,'Painel Additive'!$B:$B,0)</f>
        <v>GRUPO MOSAIC FERTILIZANTES DO BRASIL</v>
      </c>
      <c r="S133">
        <f t="shared" si="5"/>
        <v>60</v>
      </c>
    </row>
    <row r="134" spans="1:19" x14ac:dyDescent="0.25">
      <c r="A134" s="410">
        <v>6124</v>
      </c>
      <c r="B134" s="410" t="s">
        <v>826</v>
      </c>
      <c r="C134" s="410" t="s">
        <v>96</v>
      </c>
      <c r="D134" s="411">
        <v>51634.400000000001</v>
      </c>
      <c r="E134" s="410">
        <v>1246271329</v>
      </c>
      <c r="F134" s="412">
        <v>46216</v>
      </c>
      <c r="G134" s="410"/>
      <c r="H134" s="410" t="s">
        <v>28</v>
      </c>
      <c r="I134" s="410" t="s">
        <v>29</v>
      </c>
      <c r="J134" s="410">
        <v>11119</v>
      </c>
      <c r="K134" s="412">
        <v>46126</v>
      </c>
      <c r="L134" s="410">
        <v>1010100</v>
      </c>
      <c r="M134" s="410" t="s">
        <v>35</v>
      </c>
      <c r="N134" s="410">
        <v>161</v>
      </c>
      <c r="O134" s="410" t="s">
        <v>161</v>
      </c>
      <c r="P134" s="410" t="s">
        <v>500</v>
      </c>
      <c r="Q134">
        <f t="shared" si="4"/>
        <v>-80</v>
      </c>
      <c r="R134" t="str">
        <f>_xlfn.XLOOKUP(P134,'Painel Additive'!$B:$B,'Painel Additive'!$B:$B,0)</f>
        <v>GRUPO MOSAIC FERTILIZANTES DO BRASIL</v>
      </c>
      <c r="S134">
        <f t="shared" si="5"/>
        <v>90</v>
      </c>
    </row>
    <row r="135" spans="1:19" x14ac:dyDescent="0.25">
      <c r="A135" s="410">
        <v>6124</v>
      </c>
      <c r="B135" s="410" t="s">
        <v>826</v>
      </c>
      <c r="C135" s="410" t="s">
        <v>96</v>
      </c>
      <c r="D135" s="411">
        <v>55246.400000000001</v>
      </c>
      <c r="E135" s="410">
        <v>1246264147</v>
      </c>
      <c r="F135" s="412">
        <v>46162</v>
      </c>
      <c r="G135" s="410"/>
      <c r="H135" s="410" t="s">
        <v>28</v>
      </c>
      <c r="I135" s="410" t="s">
        <v>29</v>
      </c>
      <c r="J135" s="410">
        <v>10720</v>
      </c>
      <c r="K135" s="412">
        <v>46072</v>
      </c>
      <c r="L135" s="410">
        <v>1010100</v>
      </c>
      <c r="M135" s="410" t="s">
        <v>35</v>
      </c>
      <c r="N135" s="410">
        <v>161</v>
      </c>
      <c r="O135" s="410" t="s">
        <v>161</v>
      </c>
      <c r="P135" s="410" t="s">
        <v>500</v>
      </c>
      <c r="Q135">
        <f t="shared" si="4"/>
        <v>-26</v>
      </c>
      <c r="R135" t="str">
        <f>_xlfn.XLOOKUP(P135,'Painel Additive'!$B:$B,'Painel Additive'!$B:$B,0)</f>
        <v>GRUPO MOSAIC FERTILIZANTES DO BRASIL</v>
      </c>
      <c r="S135">
        <f t="shared" si="5"/>
        <v>90</v>
      </c>
    </row>
    <row r="136" spans="1:19" x14ac:dyDescent="0.25">
      <c r="A136" s="410">
        <v>6124</v>
      </c>
      <c r="B136" s="410" t="s">
        <v>826</v>
      </c>
      <c r="C136" s="410" t="s">
        <v>96</v>
      </c>
      <c r="D136" s="411">
        <v>52374</v>
      </c>
      <c r="E136" s="410">
        <v>1246267926</v>
      </c>
      <c r="F136" s="412">
        <v>46187</v>
      </c>
      <c r="G136" s="410"/>
      <c r="H136" s="410" t="s">
        <v>28</v>
      </c>
      <c r="I136" s="410" t="s">
        <v>29</v>
      </c>
      <c r="J136" s="410">
        <v>10897</v>
      </c>
      <c r="K136" s="412">
        <v>46097</v>
      </c>
      <c r="L136" s="410">
        <v>1010100</v>
      </c>
      <c r="M136" s="410" t="s">
        <v>35</v>
      </c>
      <c r="N136" s="410">
        <v>161</v>
      </c>
      <c r="O136" s="410" t="s">
        <v>161</v>
      </c>
      <c r="P136" s="410" t="s">
        <v>500</v>
      </c>
      <c r="Q136">
        <f t="shared" si="4"/>
        <v>-51</v>
      </c>
      <c r="R136" t="str">
        <f>_xlfn.XLOOKUP(P136,'Painel Additive'!$B:$B,'Painel Additive'!$B:$B,0)</f>
        <v>GRUPO MOSAIC FERTILIZANTES DO BRASIL</v>
      </c>
      <c r="S136">
        <f t="shared" si="5"/>
        <v>90</v>
      </c>
    </row>
    <row r="137" spans="1:19" x14ac:dyDescent="0.25">
      <c r="A137" s="410">
        <v>7102</v>
      </c>
      <c r="B137" s="410" t="s">
        <v>800</v>
      </c>
      <c r="C137" s="410" t="s">
        <v>567</v>
      </c>
      <c r="D137" s="411">
        <v>62553.7</v>
      </c>
      <c r="E137" s="410">
        <v>1246262017</v>
      </c>
      <c r="F137" s="412">
        <v>46145</v>
      </c>
      <c r="G137" s="410"/>
      <c r="H137" s="410" t="s">
        <v>28</v>
      </c>
      <c r="I137" s="410" t="s">
        <v>29</v>
      </c>
      <c r="J137" s="410">
        <v>10626</v>
      </c>
      <c r="K137" s="412">
        <v>46055</v>
      </c>
      <c r="L137" s="410">
        <v>1010100</v>
      </c>
      <c r="M137" s="410" t="s">
        <v>35</v>
      </c>
      <c r="N137" s="410">
        <v>161</v>
      </c>
      <c r="O137" s="410" t="s">
        <v>161</v>
      </c>
      <c r="P137" s="410" t="s">
        <v>500</v>
      </c>
      <c r="Q137">
        <f t="shared" si="4"/>
        <v>-9</v>
      </c>
      <c r="R137" t="str">
        <f>_xlfn.XLOOKUP(P137,'Painel Additive'!$B:$B,'Painel Additive'!$B:$B,0)</f>
        <v>GRUPO MOSAIC FERTILIZANTES DO BRASIL</v>
      </c>
      <c r="S137">
        <f t="shared" si="5"/>
        <v>90</v>
      </c>
    </row>
    <row r="138" spans="1:19" x14ac:dyDescent="0.25">
      <c r="A138" s="410">
        <v>7102</v>
      </c>
      <c r="B138" s="410" t="s">
        <v>800</v>
      </c>
      <c r="C138" s="410" t="s">
        <v>567</v>
      </c>
      <c r="D138" s="411">
        <v>63327</v>
      </c>
      <c r="E138" s="410">
        <v>1246270569</v>
      </c>
      <c r="F138" s="412">
        <v>46210</v>
      </c>
      <c r="G138" s="410"/>
      <c r="H138" s="410" t="s">
        <v>28</v>
      </c>
      <c r="I138" s="410" t="s">
        <v>29</v>
      </c>
      <c r="J138" s="410">
        <v>11069</v>
      </c>
      <c r="K138" s="412">
        <v>46120</v>
      </c>
      <c r="L138" s="410">
        <v>1010100</v>
      </c>
      <c r="M138" s="410" t="s">
        <v>35</v>
      </c>
      <c r="N138" s="410">
        <v>161</v>
      </c>
      <c r="O138" s="410" t="s">
        <v>161</v>
      </c>
      <c r="P138" s="410" t="s">
        <v>500</v>
      </c>
      <c r="Q138">
        <f t="shared" si="4"/>
        <v>-74</v>
      </c>
      <c r="R138" t="str">
        <f>_xlfn.XLOOKUP(P138,'Painel Additive'!$B:$B,'Painel Additive'!$B:$B,0)</f>
        <v>GRUPO MOSAIC FERTILIZANTES DO BRASIL</v>
      </c>
      <c r="S138">
        <f t="shared" si="5"/>
        <v>90</v>
      </c>
    </row>
    <row r="139" spans="1:19" x14ac:dyDescent="0.25">
      <c r="A139" s="410">
        <v>7102</v>
      </c>
      <c r="B139" s="410" t="s">
        <v>800</v>
      </c>
      <c r="C139" s="410" t="s">
        <v>567</v>
      </c>
      <c r="D139" s="411">
        <v>62637.3</v>
      </c>
      <c r="E139" s="410">
        <v>1246268784</v>
      </c>
      <c r="F139" s="412">
        <v>46195</v>
      </c>
      <c r="G139" s="410"/>
      <c r="H139" s="410" t="s">
        <v>28</v>
      </c>
      <c r="I139" s="410" t="s">
        <v>29</v>
      </c>
      <c r="J139" s="410">
        <v>10966</v>
      </c>
      <c r="K139" s="412">
        <v>46105</v>
      </c>
      <c r="L139" s="410">
        <v>1010100</v>
      </c>
      <c r="M139" s="410" t="s">
        <v>35</v>
      </c>
      <c r="N139" s="410">
        <v>161</v>
      </c>
      <c r="O139" s="410" t="s">
        <v>161</v>
      </c>
      <c r="P139" s="410" t="s">
        <v>500</v>
      </c>
      <c r="Q139">
        <f t="shared" si="4"/>
        <v>-59</v>
      </c>
      <c r="R139" t="str">
        <f>_xlfn.XLOOKUP(P139,'Painel Additive'!$B:$B,'Painel Additive'!$B:$B,0)</f>
        <v>GRUPO MOSAIC FERTILIZANTES DO BRASIL</v>
      </c>
      <c r="S139">
        <f t="shared" si="5"/>
        <v>90</v>
      </c>
    </row>
    <row r="140" spans="1:19" x14ac:dyDescent="0.25">
      <c r="A140" s="410">
        <v>7102</v>
      </c>
      <c r="B140" s="410" t="s">
        <v>800</v>
      </c>
      <c r="C140" s="410" t="s">
        <v>567</v>
      </c>
      <c r="D140" s="411">
        <v>62700</v>
      </c>
      <c r="E140" s="410">
        <v>1246262728</v>
      </c>
      <c r="F140" s="412">
        <v>46152</v>
      </c>
      <c r="G140" s="410"/>
      <c r="H140" s="410" t="s">
        <v>28</v>
      </c>
      <c r="I140" s="410" t="s">
        <v>29</v>
      </c>
      <c r="J140" s="410">
        <v>10663</v>
      </c>
      <c r="K140" s="412">
        <v>46062</v>
      </c>
      <c r="L140" s="410">
        <v>1010100</v>
      </c>
      <c r="M140" s="410" t="s">
        <v>35</v>
      </c>
      <c r="N140" s="410">
        <v>161</v>
      </c>
      <c r="O140" s="410" t="s">
        <v>161</v>
      </c>
      <c r="P140" s="410" t="s">
        <v>500</v>
      </c>
      <c r="Q140">
        <f t="shared" si="4"/>
        <v>-16</v>
      </c>
      <c r="R140" t="str">
        <f>_xlfn.XLOOKUP(P140,'Painel Additive'!$B:$B,'Painel Additive'!$B:$B,0)</f>
        <v>GRUPO MOSAIC FERTILIZANTES DO BRASIL</v>
      </c>
      <c r="S140">
        <f t="shared" si="5"/>
        <v>90</v>
      </c>
    </row>
    <row r="141" spans="1:19" x14ac:dyDescent="0.25">
      <c r="A141" s="410">
        <v>7662</v>
      </c>
      <c r="B141" s="410" t="s">
        <v>106</v>
      </c>
      <c r="C141" s="410" t="s">
        <v>552</v>
      </c>
      <c r="D141" s="411">
        <v>57795</v>
      </c>
      <c r="E141" s="410">
        <v>1246266876</v>
      </c>
      <c r="F141" s="412">
        <v>46147</v>
      </c>
      <c r="G141" s="410"/>
      <c r="H141" s="410" t="s">
        <v>28</v>
      </c>
      <c r="I141" s="410" t="s">
        <v>29</v>
      </c>
      <c r="J141" s="410">
        <v>2799</v>
      </c>
      <c r="K141" s="412">
        <v>46087</v>
      </c>
      <c r="L141" s="410">
        <v>1010100</v>
      </c>
      <c r="M141" s="410" t="s">
        <v>35</v>
      </c>
      <c r="N141" s="410">
        <v>161</v>
      </c>
      <c r="O141" s="410" t="s">
        <v>161</v>
      </c>
      <c r="P141" s="410" t="s">
        <v>618</v>
      </c>
      <c r="Q141">
        <f t="shared" si="4"/>
        <v>-11</v>
      </c>
      <c r="R141" t="str">
        <f>_xlfn.XLOOKUP(P141,'Painel Additive'!$B:$B,'Painel Additive'!$B:$B,0)</f>
        <v>BENTONIT UNIAO - CAMPINA GRANDE</v>
      </c>
      <c r="S141">
        <f t="shared" si="5"/>
        <v>60</v>
      </c>
    </row>
    <row r="142" spans="1:19" x14ac:dyDescent="0.25">
      <c r="A142" s="410">
        <v>7662</v>
      </c>
      <c r="B142" s="410" t="s">
        <v>106</v>
      </c>
      <c r="C142" s="410" t="s">
        <v>552</v>
      </c>
      <c r="D142" s="411">
        <v>77060</v>
      </c>
      <c r="E142" s="410">
        <v>1246269689</v>
      </c>
      <c r="F142" s="412">
        <v>46157</v>
      </c>
      <c r="G142" s="410"/>
      <c r="H142" s="410" t="s">
        <v>28</v>
      </c>
      <c r="I142" s="410" t="s">
        <v>29</v>
      </c>
      <c r="J142" s="410">
        <v>2856</v>
      </c>
      <c r="K142" s="412">
        <v>46112</v>
      </c>
      <c r="L142" s="410">
        <v>1010100</v>
      </c>
      <c r="M142" s="410" t="s">
        <v>35</v>
      </c>
      <c r="N142" s="410">
        <v>161</v>
      </c>
      <c r="O142" s="410" t="s">
        <v>161</v>
      </c>
      <c r="P142" s="410" t="s">
        <v>618</v>
      </c>
      <c r="Q142">
        <f t="shared" si="4"/>
        <v>-21</v>
      </c>
      <c r="R142" t="str">
        <f>_xlfn.XLOOKUP(P142,'Painel Additive'!$B:$B,'Painel Additive'!$B:$B,0)</f>
        <v>BENTONIT UNIAO - CAMPINA GRANDE</v>
      </c>
      <c r="S142">
        <f t="shared" si="5"/>
        <v>45</v>
      </c>
    </row>
    <row r="143" spans="1:19" x14ac:dyDescent="0.25">
      <c r="A143" s="410">
        <v>7662</v>
      </c>
      <c r="B143" s="410" t="s">
        <v>106</v>
      </c>
      <c r="C143" s="410" t="s">
        <v>552</v>
      </c>
      <c r="D143" s="411">
        <v>77060</v>
      </c>
      <c r="E143" s="410">
        <v>1246269690</v>
      </c>
      <c r="F143" s="412">
        <v>46172</v>
      </c>
      <c r="G143" s="410"/>
      <c r="H143" s="410" t="s">
        <v>28</v>
      </c>
      <c r="I143" s="410" t="s">
        <v>29</v>
      </c>
      <c r="J143" s="410">
        <v>2856</v>
      </c>
      <c r="K143" s="412">
        <v>46112</v>
      </c>
      <c r="L143" s="410">
        <v>1010100</v>
      </c>
      <c r="M143" s="410" t="s">
        <v>35</v>
      </c>
      <c r="N143" s="410">
        <v>161</v>
      </c>
      <c r="O143" s="410" t="s">
        <v>161</v>
      </c>
      <c r="P143" s="410" t="s">
        <v>618</v>
      </c>
      <c r="Q143">
        <f t="shared" si="4"/>
        <v>-36</v>
      </c>
      <c r="R143" t="str">
        <f>_xlfn.XLOOKUP(P143,'Painel Additive'!$B:$B,'Painel Additive'!$B:$B,0)</f>
        <v>BENTONIT UNIAO - CAMPINA GRANDE</v>
      </c>
      <c r="S143">
        <f t="shared" si="5"/>
        <v>60</v>
      </c>
    </row>
    <row r="144" spans="1:19" x14ac:dyDescent="0.25">
      <c r="A144" s="410">
        <v>7479</v>
      </c>
      <c r="B144" s="410" t="s">
        <v>849</v>
      </c>
      <c r="C144" s="410" t="s">
        <v>850</v>
      </c>
      <c r="D144" s="411">
        <v>64104.800000000003</v>
      </c>
      <c r="E144" s="410">
        <v>1246264518</v>
      </c>
      <c r="F144" s="412">
        <v>46166</v>
      </c>
      <c r="G144" s="410"/>
      <c r="H144" s="410" t="s">
        <v>28</v>
      </c>
      <c r="I144" s="410" t="s">
        <v>29</v>
      </c>
      <c r="J144" s="410">
        <v>10739</v>
      </c>
      <c r="K144" s="412">
        <v>46076</v>
      </c>
      <c r="L144" s="410">
        <v>1010100</v>
      </c>
      <c r="M144" s="410" t="s">
        <v>35</v>
      </c>
      <c r="N144" s="410">
        <v>56</v>
      </c>
      <c r="O144" s="410" t="s">
        <v>162</v>
      </c>
      <c r="P144" s="410" t="s">
        <v>500</v>
      </c>
      <c r="Q144">
        <f t="shared" si="4"/>
        <v>-30</v>
      </c>
      <c r="R144" t="str">
        <f>_xlfn.XLOOKUP(P144,'Painel Additive'!$B:$B,'Painel Additive'!$B:$B,0)</f>
        <v>GRUPO MOSAIC FERTILIZANTES DO BRASIL</v>
      </c>
      <c r="S144">
        <f t="shared" si="5"/>
        <v>90</v>
      </c>
    </row>
    <row r="145" spans="1:19" x14ac:dyDescent="0.25">
      <c r="A145" s="410">
        <v>6477</v>
      </c>
      <c r="B145" s="410" t="s">
        <v>98</v>
      </c>
      <c r="C145" s="410" t="s">
        <v>99</v>
      </c>
      <c r="D145" s="411">
        <v>10915.8</v>
      </c>
      <c r="E145" s="410">
        <v>1246261047</v>
      </c>
      <c r="F145" s="412">
        <v>46138</v>
      </c>
      <c r="G145" s="410"/>
      <c r="H145" s="410" t="s">
        <v>28</v>
      </c>
      <c r="I145" s="410" t="s">
        <v>29</v>
      </c>
      <c r="J145" s="410">
        <v>10576</v>
      </c>
      <c r="K145" s="412">
        <v>46048</v>
      </c>
      <c r="L145" s="410">
        <v>1010100</v>
      </c>
      <c r="M145" s="410" t="s">
        <v>35</v>
      </c>
      <c r="N145" s="410">
        <v>161</v>
      </c>
      <c r="O145" s="410" t="s">
        <v>161</v>
      </c>
      <c r="P145" s="410" t="s">
        <v>500</v>
      </c>
      <c r="Q145">
        <f t="shared" si="4"/>
        <v>-2</v>
      </c>
      <c r="R145" t="str">
        <f>_xlfn.XLOOKUP(P145,'Painel Additive'!$B:$B,'Painel Additive'!$B:$B,0)</f>
        <v>GRUPO MOSAIC FERTILIZANTES DO BRASIL</v>
      </c>
      <c r="S145">
        <f t="shared" si="5"/>
        <v>90</v>
      </c>
    </row>
    <row r="146" spans="1:19" x14ac:dyDescent="0.25">
      <c r="A146" s="410">
        <v>6477</v>
      </c>
      <c r="B146" s="410" t="s">
        <v>98</v>
      </c>
      <c r="C146" s="410" t="s">
        <v>99</v>
      </c>
      <c r="D146" s="411">
        <v>166320</v>
      </c>
      <c r="E146" s="410">
        <v>1246263184</v>
      </c>
      <c r="F146" s="412">
        <v>46153</v>
      </c>
      <c r="G146" s="410"/>
      <c r="H146" s="410" t="s">
        <v>28</v>
      </c>
      <c r="I146" s="410" t="s">
        <v>29</v>
      </c>
      <c r="J146" s="410">
        <v>10673</v>
      </c>
      <c r="K146" s="412">
        <v>46063</v>
      </c>
      <c r="L146" s="410">
        <v>1010100</v>
      </c>
      <c r="M146" s="410" t="s">
        <v>35</v>
      </c>
      <c r="N146" s="410">
        <v>161</v>
      </c>
      <c r="O146" s="410" t="s">
        <v>161</v>
      </c>
      <c r="P146" s="410" t="s">
        <v>500</v>
      </c>
      <c r="Q146">
        <f t="shared" si="4"/>
        <v>-17</v>
      </c>
      <c r="R146" t="str">
        <f>_xlfn.XLOOKUP(P146,'Painel Additive'!$B:$B,'Painel Additive'!$B:$B,0)</f>
        <v>GRUPO MOSAIC FERTILIZANTES DO BRASIL</v>
      </c>
      <c r="S146">
        <f t="shared" si="5"/>
        <v>90</v>
      </c>
    </row>
    <row r="147" spans="1:19" x14ac:dyDescent="0.25">
      <c r="A147" s="410">
        <v>6477</v>
      </c>
      <c r="B147" s="410" t="s">
        <v>98</v>
      </c>
      <c r="C147" s="410" t="s">
        <v>99</v>
      </c>
      <c r="D147" s="411">
        <v>221088</v>
      </c>
      <c r="E147" s="410">
        <v>1246261235</v>
      </c>
      <c r="F147" s="412">
        <v>46139</v>
      </c>
      <c r="G147" s="410"/>
      <c r="H147" s="410" t="s">
        <v>28</v>
      </c>
      <c r="I147" s="410" t="s">
        <v>29</v>
      </c>
      <c r="J147" s="410">
        <v>10588</v>
      </c>
      <c r="K147" s="412">
        <v>46049</v>
      </c>
      <c r="L147" s="410">
        <v>1010100</v>
      </c>
      <c r="M147" s="410" t="s">
        <v>35</v>
      </c>
      <c r="N147" s="410">
        <v>161</v>
      </c>
      <c r="O147" s="410" t="s">
        <v>161</v>
      </c>
      <c r="P147" s="410" t="s">
        <v>500</v>
      </c>
      <c r="Q147">
        <f t="shared" si="4"/>
        <v>-3</v>
      </c>
      <c r="R147" t="str">
        <f>_xlfn.XLOOKUP(P147,'Painel Additive'!$B:$B,'Painel Additive'!$B:$B,0)</f>
        <v>GRUPO MOSAIC FERTILIZANTES DO BRASIL</v>
      </c>
      <c r="S147">
        <f t="shared" si="5"/>
        <v>90</v>
      </c>
    </row>
    <row r="148" spans="1:19" x14ac:dyDescent="0.25">
      <c r="A148" s="410">
        <v>6477</v>
      </c>
      <c r="B148" s="410" t="s">
        <v>98</v>
      </c>
      <c r="C148" s="410" t="s">
        <v>99</v>
      </c>
      <c r="D148" s="411">
        <v>167720</v>
      </c>
      <c r="E148" s="410">
        <v>1246262010</v>
      </c>
      <c r="F148" s="412">
        <v>46145</v>
      </c>
      <c r="G148" s="410"/>
      <c r="H148" s="410" t="s">
        <v>28</v>
      </c>
      <c r="I148" s="410" t="s">
        <v>29</v>
      </c>
      <c r="J148" s="410">
        <v>10625</v>
      </c>
      <c r="K148" s="412">
        <v>46055</v>
      </c>
      <c r="L148" s="410">
        <v>1010100</v>
      </c>
      <c r="M148" s="410" t="s">
        <v>35</v>
      </c>
      <c r="N148" s="410">
        <v>161</v>
      </c>
      <c r="O148" s="410" t="s">
        <v>161</v>
      </c>
      <c r="P148" s="410" t="s">
        <v>500</v>
      </c>
      <c r="Q148">
        <f t="shared" si="4"/>
        <v>-9</v>
      </c>
      <c r="R148" t="str">
        <f>_xlfn.XLOOKUP(P148,'Painel Additive'!$B:$B,'Painel Additive'!$B:$B,0)</f>
        <v>GRUPO MOSAIC FERTILIZANTES DO BRASIL</v>
      </c>
      <c r="S148">
        <f t="shared" si="5"/>
        <v>90</v>
      </c>
    </row>
    <row r="149" spans="1:19" x14ac:dyDescent="0.25">
      <c r="A149" s="410">
        <v>6477</v>
      </c>
      <c r="B149" s="410" t="s">
        <v>98</v>
      </c>
      <c r="C149" s="410" t="s">
        <v>99</v>
      </c>
      <c r="D149" s="411">
        <v>6302.6</v>
      </c>
      <c r="E149" s="410">
        <v>1246212732</v>
      </c>
      <c r="F149" s="412">
        <v>45682</v>
      </c>
      <c r="G149" s="410"/>
      <c r="H149" s="410" t="s">
        <v>28</v>
      </c>
      <c r="I149" s="410" t="s">
        <v>29</v>
      </c>
      <c r="J149" s="410">
        <v>6197</v>
      </c>
      <c r="K149" s="412">
        <v>45622</v>
      </c>
      <c r="L149" s="410">
        <v>1010100</v>
      </c>
      <c r="M149" s="410" t="s">
        <v>35</v>
      </c>
      <c r="N149" s="410">
        <v>161</v>
      </c>
      <c r="O149" s="410" t="s">
        <v>161</v>
      </c>
      <c r="P149" s="410" t="s">
        <v>500</v>
      </c>
      <c r="Q149">
        <f t="shared" si="4"/>
        <v>454</v>
      </c>
      <c r="R149" t="str">
        <f>_xlfn.XLOOKUP(P149,'Painel Additive'!$B:$B,'Painel Additive'!$B:$B,0)</f>
        <v>GRUPO MOSAIC FERTILIZANTES DO BRASIL</v>
      </c>
      <c r="S149">
        <f t="shared" si="5"/>
        <v>60</v>
      </c>
    </row>
    <row r="150" spans="1:19" x14ac:dyDescent="0.25">
      <c r="A150" s="410">
        <v>7097</v>
      </c>
      <c r="B150" s="410" t="s">
        <v>102</v>
      </c>
      <c r="C150" s="410" t="s">
        <v>103</v>
      </c>
      <c r="D150" s="411">
        <v>177977.8</v>
      </c>
      <c r="E150" s="410">
        <v>1246265921</v>
      </c>
      <c r="F150" s="412">
        <v>46173</v>
      </c>
      <c r="G150" s="410"/>
      <c r="H150" s="410" t="s">
        <v>28</v>
      </c>
      <c r="I150" s="410" t="s">
        <v>29</v>
      </c>
      <c r="J150" s="410">
        <v>10795</v>
      </c>
      <c r="K150" s="412">
        <v>46083</v>
      </c>
      <c r="L150" s="410">
        <v>1010100</v>
      </c>
      <c r="M150" s="410" t="s">
        <v>35</v>
      </c>
      <c r="N150" s="410">
        <v>161</v>
      </c>
      <c r="O150" s="410" t="s">
        <v>161</v>
      </c>
      <c r="P150" s="410" t="s">
        <v>500</v>
      </c>
      <c r="Q150">
        <f t="shared" si="4"/>
        <v>-37</v>
      </c>
      <c r="R150" t="str">
        <f>_xlfn.XLOOKUP(P150,'Painel Additive'!$B:$B,'Painel Additive'!$B:$B,0)</f>
        <v>GRUPO MOSAIC FERTILIZANTES DO BRASIL</v>
      </c>
      <c r="S150">
        <f t="shared" si="5"/>
        <v>90</v>
      </c>
    </row>
    <row r="151" spans="1:19" x14ac:dyDescent="0.25">
      <c r="A151" s="410">
        <v>7024</v>
      </c>
      <c r="B151" s="410" t="s">
        <v>860</v>
      </c>
      <c r="C151" s="410" t="s">
        <v>861</v>
      </c>
      <c r="D151" s="411">
        <v>70855.199999999997</v>
      </c>
      <c r="E151" s="410">
        <v>1246269662</v>
      </c>
      <c r="F151" s="412">
        <v>46201</v>
      </c>
      <c r="G151" s="410"/>
      <c r="H151" s="410" t="s">
        <v>28</v>
      </c>
      <c r="I151" s="410" t="s">
        <v>29</v>
      </c>
      <c r="J151" s="410">
        <v>11011</v>
      </c>
      <c r="K151" s="412">
        <v>46111</v>
      </c>
      <c r="L151" s="410">
        <v>1010100</v>
      </c>
      <c r="M151" s="410" t="s">
        <v>35</v>
      </c>
      <c r="N151" s="410">
        <v>161</v>
      </c>
      <c r="O151" s="410" t="s">
        <v>161</v>
      </c>
      <c r="P151" s="410" t="s">
        <v>500</v>
      </c>
      <c r="Q151">
        <f t="shared" si="4"/>
        <v>-65</v>
      </c>
      <c r="R151" t="str">
        <f>_xlfn.XLOOKUP(P151,'Painel Additive'!$B:$B,'Painel Additive'!$B:$B,0)</f>
        <v>GRUPO MOSAIC FERTILIZANTES DO BRASIL</v>
      </c>
      <c r="S151">
        <f t="shared" si="5"/>
        <v>90</v>
      </c>
    </row>
    <row r="152" spans="1:19" x14ac:dyDescent="0.25">
      <c r="A152" s="410">
        <v>7024</v>
      </c>
      <c r="B152" s="410" t="s">
        <v>860</v>
      </c>
      <c r="C152" s="410" t="s">
        <v>861</v>
      </c>
      <c r="D152" s="411">
        <v>71323.199999999997</v>
      </c>
      <c r="E152" s="410">
        <v>1246270943</v>
      </c>
      <c r="F152" s="412">
        <v>46212</v>
      </c>
      <c r="G152" s="410"/>
      <c r="H152" s="410" t="s">
        <v>28</v>
      </c>
      <c r="I152" s="410" t="s">
        <v>29</v>
      </c>
      <c r="J152" s="410">
        <v>11084</v>
      </c>
      <c r="K152" s="412">
        <v>46122</v>
      </c>
      <c r="L152" s="410">
        <v>1010100</v>
      </c>
      <c r="M152" s="410" t="s">
        <v>35</v>
      </c>
      <c r="N152" s="410">
        <v>161</v>
      </c>
      <c r="O152" s="410" t="s">
        <v>161</v>
      </c>
      <c r="P152" s="410" t="s">
        <v>500</v>
      </c>
      <c r="Q152">
        <f t="shared" si="4"/>
        <v>-76</v>
      </c>
      <c r="R152" t="str">
        <f>_xlfn.XLOOKUP(P152,'Painel Additive'!$B:$B,'Painel Additive'!$B:$B,0)</f>
        <v>GRUPO MOSAIC FERTILIZANTES DO BRASIL</v>
      </c>
      <c r="S152">
        <f t="shared" si="5"/>
        <v>90</v>
      </c>
    </row>
    <row r="153" spans="1:19" x14ac:dyDescent="0.25">
      <c r="A153" s="410">
        <v>7024</v>
      </c>
      <c r="B153" s="410" t="s">
        <v>860</v>
      </c>
      <c r="C153" s="410" t="s">
        <v>861</v>
      </c>
      <c r="D153" s="411">
        <v>70410.600000000006</v>
      </c>
      <c r="E153" s="410">
        <v>1246265856</v>
      </c>
      <c r="F153" s="412">
        <v>46170</v>
      </c>
      <c r="G153" s="410"/>
      <c r="H153" s="410" t="s">
        <v>28</v>
      </c>
      <c r="I153" s="410" t="s">
        <v>29</v>
      </c>
      <c r="J153" s="410">
        <v>10790</v>
      </c>
      <c r="K153" s="412">
        <v>46080</v>
      </c>
      <c r="L153" s="410">
        <v>1010100</v>
      </c>
      <c r="M153" s="410" t="s">
        <v>35</v>
      </c>
      <c r="N153" s="410">
        <v>161</v>
      </c>
      <c r="O153" s="410" t="s">
        <v>161</v>
      </c>
      <c r="P153" s="410" t="s">
        <v>500</v>
      </c>
      <c r="Q153">
        <f t="shared" si="4"/>
        <v>-34</v>
      </c>
      <c r="R153" t="str">
        <f>_xlfn.XLOOKUP(P153,'Painel Additive'!$B:$B,'Painel Additive'!$B:$B,0)</f>
        <v>GRUPO MOSAIC FERTILIZANTES DO BRASIL</v>
      </c>
      <c r="S153">
        <f t="shared" si="5"/>
        <v>90</v>
      </c>
    </row>
    <row r="154" spans="1:19" x14ac:dyDescent="0.25">
      <c r="A154" s="410">
        <v>7302</v>
      </c>
      <c r="B154" s="410" t="s">
        <v>104</v>
      </c>
      <c r="C154" s="410" t="s">
        <v>105</v>
      </c>
      <c r="D154" s="411">
        <v>1431.76</v>
      </c>
      <c r="E154" s="410">
        <v>1246062794</v>
      </c>
      <c r="F154" s="412">
        <v>44939</v>
      </c>
      <c r="G154" s="410"/>
      <c r="H154" s="410" t="s">
        <v>28</v>
      </c>
      <c r="I154" s="410" t="s">
        <v>29</v>
      </c>
      <c r="J154" s="410">
        <v>19884</v>
      </c>
      <c r="K154" s="412">
        <v>44879</v>
      </c>
      <c r="L154" s="410">
        <v>1010100</v>
      </c>
      <c r="M154" s="410" t="s">
        <v>35</v>
      </c>
      <c r="N154" s="410">
        <v>80</v>
      </c>
      <c r="O154" s="410" t="s">
        <v>181</v>
      </c>
      <c r="P154" s="410" t="s">
        <v>500</v>
      </c>
      <c r="Q154">
        <f t="shared" si="4"/>
        <v>1197</v>
      </c>
      <c r="R154" t="str">
        <f>_xlfn.XLOOKUP(P154,'Painel Additive'!$B:$B,'Painel Additive'!$B:$B,0)</f>
        <v>GRUPO MOSAIC FERTILIZANTES DO BRASIL</v>
      </c>
      <c r="S154">
        <f t="shared" si="5"/>
        <v>60</v>
      </c>
    </row>
    <row r="155" spans="1:19" x14ac:dyDescent="0.25">
      <c r="A155" s="410">
        <v>7302</v>
      </c>
      <c r="B155" s="410" t="s">
        <v>104</v>
      </c>
      <c r="C155" s="410" t="s">
        <v>105</v>
      </c>
      <c r="D155" s="411">
        <v>2517.4</v>
      </c>
      <c r="E155" s="410">
        <v>1246055324</v>
      </c>
      <c r="F155" s="412">
        <v>44887</v>
      </c>
      <c r="G155" s="410"/>
      <c r="H155" s="410" t="s">
        <v>28</v>
      </c>
      <c r="I155" s="410" t="s">
        <v>29</v>
      </c>
      <c r="J155" s="410">
        <v>19314</v>
      </c>
      <c r="K155" s="412">
        <v>44827</v>
      </c>
      <c r="L155" s="410">
        <v>1010100</v>
      </c>
      <c r="M155" s="410" t="s">
        <v>35</v>
      </c>
      <c r="N155" s="410">
        <v>161</v>
      </c>
      <c r="O155" s="410" t="s">
        <v>161</v>
      </c>
      <c r="P155" s="410" t="s">
        <v>500</v>
      </c>
      <c r="Q155">
        <f t="shared" si="4"/>
        <v>1249</v>
      </c>
      <c r="R155" t="str">
        <f>_xlfn.XLOOKUP(P155,'Painel Additive'!$B:$B,'Painel Additive'!$B:$B,0)</f>
        <v>GRUPO MOSAIC FERTILIZANTES DO BRASIL</v>
      </c>
      <c r="S155">
        <f t="shared" si="5"/>
        <v>60</v>
      </c>
    </row>
    <row r="156" spans="1:19" x14ac:dyDescent="0.25">
      <c r="A156" s="410">
        <v>7302</v>
      </c>
      <c r="B156" s="410" t="s">
        <v>104</v>
      </c>
      <c r="C156" s="410" t="s">
        <v>105</v>
      </c>
      <c r="D156" s="411">
        <v>36679.800000000003</v>
      </c>
      <c r="E156" s="410">
        <v>1246272740</v>
      </c>
      <c r="F156" s="412">
        <v>46229</v>
      </c>
      <c r="G156" s="410"/>
      <c r="H156" s="410" t="s">
        <v>28</v>
      </c>
      <c r="I156" s="410" t="s">
        <v>29</v>
      </c>
      <c r="J156" s="410">
        <v>11223</v>
      </c>
      <c r="K156" s="412">
        <v>46139</v>
      </c>
      <c r="L156" s="410">
        <v>1010100</v>
      </c>
      <c r="M156" s="410" t="s">
        <v>35</v>
      </c>
      <c r="N156" s="410">
        <v>161</v>
      </c>
      <c r="O156" s="410" t="s">
        <v>161</v>
      </c>
      <c r="P156" s="410" t="s">
        <v>500</v>
      </c>
      <c r="Q156">
        <f t="shared" si="4"/>
        <v>-93</v>
      </c>
      <c r="R156" t="str">
        <f>_xlfn.XLOOKUP(P156,'Painel Additive'!$B:$B,'Painel Additive'!$B:$B,0)</f>
        <v>GRUPO MOSAIC FERTILIZANTES DO BRASIL</v>
      </c>
      <c r="S156">
        <f t="shared" si="5"/>
        <v>90</v>
      </c>
    </row>
    <row r="157" spans="1:19" x14ac:dyDescent="0.25">
      <c r="A157" s="410">
        <v>7302</v>
      </c>
      <c r="B157" s="410" t="s">
        <v>104</v>
      </c>
      <c r="C157" s="410" t="s">
        <v>105</v>
      </c>
      <c r="D157" s="411">
        <v>166320</v>
      </c>
      <c r="E157" s="410">
        <v>1246263181</v>
      </c>
      <c r="F157" s="412">
        <v>46153</v>
      </c>
      <c r="G157" s="410"/>
      <c r="H157" s="410" t="s">
        <v>28</v>
      </c>
      <c r="I157" s="410" t="s">
        <v>29</v>
      </c>
      <c r="J157" s="410">
        <v>10672</v>
      </c>
      <c r="K157" s="412">
        <v>46063</v>
      </c>
      <c r="L157" s="410">
        <v>1010100</v>
      </c>
      <c r="M157" s="410" t="s">
        <v>35</v>
      </c>
      <c r="N157" s="410">
        <v>161</v>
      </c>
      <c r="O157" s="410" t="s">
        <v>161</v>
      </c>
      <c r="P157" s="410" t="s">
        <v>500</v>
      </c>
      <c r="Q157">
        <f t="shared" si="4"/>
        <v>-17</v>
      </c>
      <c r="R157" t="str">
        <f>_xlfn.XLOOKUP(P157,'Painel Additive'!$B:$B,'Painel Additive'!$B:$B,0)</f>
        <v>GRUPO MOSAIC FERTILIZANTES DO BRASIL</v>
      </c>
      <c r="S157">
        <f t="shared" si="5"/>
        <v>90</v>
      </c>
    </row>
    <row r="158" spans="1:19" x14ac:dyDescent="0.25">
      <c r="A158" s="410">
        <v>7302</v>
      </c>
      <c r="B158" s="410" t="s">
        <v>104</v>
      </c>
      <c r="C158" s="410" t="s">
        <v>105</v>
      </c>
      <c r="D158" s="411">
        <v>112000</v>
      </c>
      <c r="E158" s="410">
        <v>1246261232</v>
      </c>
      <c r="F158" s="412">
        <v>46139</v>
      </c>
      <c r="G158" s="410"/>
      <c r="H158" s="410" t="s">
        <v>28</v>
      </c>
      <c r="I158" s="410" t="s">
        <v>29</v>
      </c>
      <c r="J158" s="410">
        <v>10587</v>
      </c>
      <c r="K158" s="412">
        <v>46049</v>
      </c>
      <c r="L158" s="410">
        <v>1010100</v>
      </c>
      <c r="M158" s="410" t="s">
        <v>35</v>
      </c>
      <c r="N158" s="410">
        <v>161</v>
      </c>
      <c r="O158" s="410" t="s">
        <v>161</v>
      </c>
      <c r="P158" s="410" t="s">
        <v>500</v>
      </c>
      <c r="Q158">
        <f t="shared" si="4"/>
        <v>-3</v>
      </c>
      <c r="R158" t="str">
        <f>_xlfn.XLOOKUP(P158,'Painel Additive'!$B:$B,'Painel Additive'!$B:$B,0)</f>
        <v>GRUPO MOSAIC FERTILIZANTES DO BRASIL</v>
      </c>
      <c r="S158">
        <f t="shared" si="5"/>
        <v>90</v>
      </c>
    </row>
    <row r="159" spans="1:19" x14ac:dyDescent="0.25">
      <c r="A159" s="410">
        <v>7302</v>
      </c>
      <c r="B159" s="410" t="s">
        <v>104</v>
      </c>
      <c r="C159" s="410" t="s">
        <v>105</v>
      </c>
      <c r="D159" s="411">
        <v>67867.8</v>
      </c>
      <c r="E159" s="410">
        <v>1246270495</v>
      </c>
      <c r="F159" s="412">
        <v>46209</v>
      </c>
      <c r="G159" s="410"/>
      <c r="H159" s="410" t="s">
        <v>28</v>
      </c>
      <c r="I159" s="410" t="s">
        <v>29</v>
      </c>
      <c r="J159" s="410">
        <v>11064</v>
      </c>
      <c r="K159" s="412">
        <v>46119</v>
      </c>
      <c r="L159" s="410">
        <v>1010100</v>
      </c>
      <c r="M159" s="410" t="s">
        <v>35</v>
      </c>
      <c r="N159" s="410">
        <v>161</v>
      </c>
      <c r="O159" s="410" t="s">
        <v>161</v>
      </c>
      <c r="P159" s="410" t="s">
        <v>500</v>
      </c>
      <c r="Q159">
        <f t="shared" si="4"/>
        <v>-73</v>
      </c>
      <c r="R159" t="str">
        <f>_xlfn.XLOOKUP(P159,'Painel Additive'!$B:$B,'Painel Additive'!$B:$B,0)</f>
        <v>GRUPO MOSAIC FERTILIZANTES DO BRASIL</v>
      </c>
      <c r="S159">
        <f t="shared" si="5"/>
        <v>90</v>
      </c>
    </row>
    <row r="160" spans="1:19" x14ac:dyDescent="0.25">
      <c r="A160" s="410">
        <v>7302</v>
      </c>
      <c r="B160" s="410" t="s">
        <v>104</v>
      </c>
      <c r="C160" s="410" t="s">
        <v>105</v>
      </c>
      <c r="D160" s="411">
        <v>22600</v>
      </c>
      <c r="E160" s="410">
        <v>1246261045</v>
      </c>
      <c r="F160" s="412">
        <v>46138</v>
      </c>
      <c r="G160" s="410"/>
      <c r="H160" s="410" t="s">
        <v>28</v>
      </c>
      <c r="I160" s="410" t="s">
        <v>29</v>
      </c>
      <c r="J160" s="410">
        <v>10574</v>
      </c>
      <c r="K160" s="412">
        <v>46048</v>
      </c>
      <c r="L160" s="410">
        <v>1010100</v>
      </c>
      <c r="M160" s="410" t="s">
        <v>35</v>
      </c>
      <c r="N160" s="410">
        <v>56</v>
      </c>
      <c r="O160" s="410" t="s">
        <v>162</v>
      </c>
      <c r="P160" s="410" t="s">
        <v>500</v>
      </c>
      <c r="Q160">
        <f t="shared" si="4"/>
        <v>-2</v>
      </c>
      <c r="R160" t="str">
        <f>_xlfn.XLOOKUP(P160,'Painel Additive'!$B:$B,'Painel Additive'!$B:$B,0)</f>
        <v>GRUPO MOSAIC FERTILIZANTES DO BRASIL</v>
      </c>
      <c r="S160">
        <f t="shared" si="5"/>
        <v>90</v>
      </c>
    </row>
    <row r="161" spans="1:19" x14ac:dyDescent="0.25">
      <c r="A161" s="410">
        <v>7302</v>
      </c>
      <c r="B161" s="410" t="s">
        <v>104</v>
      </c>
      <c r="C161" s="410" t="s">
        <v>105</v>
      </c>
      <c r="D161" s="411">
        <v>129924</v>
      </c>
      <c r="E161" s="410">
        <v>1246268530</v>
      </c>
      <c r="F161" s="412">
        <v>46191</v>
      </c>
      <c r="G161" s="410"/>
      <c r="H161" s="410" t="s">
        <v>28</v>
      </c>
      <c r="I161" s="410" t="s">
        <v>29</v>
      </c>
      <c r="J161" s="410">
        <v>10941</v>
      </c>
      <c r="K161" s="412">
        <v>46101</v>
      </c>
      <c r="L161" s="410">
        <v>1010100</v>
      </c>
      <c r="M161" s="410" t="s">
        <v>35</v>
      </c>
      <c r="N161" s="410">
        <v>56</v>
      </c>
      <c r="O161" s="410" t="s">
        <v>162</v>
      </c>
      <c r="P161" s="410" t="s">
        <v>500</v>
      </c>
      <c r="Q161">
        <f t="shared" si="4"/>
        <v>-55</v>
      </c>
      <c r="R161" t="str">
        <f>_xlfn.XLOOKUP(P161,'Painel Additive'!$B:$B,'Painel Additive'!$B:$B,0)</f>
        <v>GRUPO MOSAIC FERTILIZANTES DO BRASIL</v>
      </c>
      <c r="S161">
        <f t="shared" si="5"/>
        <v>90</v>
      </c>
    </row>
    <row r="162" spans="1:19" x14ac:dyDescent="0.25">
      <c r="A162" s="410">
        <v>7302</v>
      </c>
      <c r="B162" s="410" t="s">
        <v>104</v>
      </c>
      <c r="C162" s="410" t="s">
        <v>105</v>
      </c>
      <c r="D162" s="411">
        <v>167720</v>
      </c>
      <c r="E162" s="410">
        <v>1246262004</v>
      </c>
      <c r="F162" s="412">
        <v>46145</v>
      </c>
      <c r="G162" s="410"/>
      <c r="H162" s="410" t="s">
        <v>28</v>
      </c>
      <c r="I162" s="410" t="s">
        <v>29</v>
      </c>
      <c r="J162" s="410">
        <v>10622</v>
      </c>
      <c r="K162" s="412">
        <v>46055</v>
      </c>
      <c r="L162" s="410">
        <v>1010100</v>
      </c>
      <c r="M162" s="410" t="s">
        <v>35</v>
      </c>
      <c r="N162" s="410">
        <v>161</v>
      </c>
      <c r="O162" s="410" t="s">
        <v>161</v>
      </c>
      <c r="P162" s="410" t="s">
        <v>500</v>
      </c>
      <c r="Q162">
        <f t="shared" si="4"/>
        <v>-9</v>
      </c>
      <c r="R162" t="str">
        <f>_xlfn.XLOOKUP(P162,'Painel Additive'!$B:$B,'Painel Additive'!$B:$B,0)</f>
        <v>GRUPO MOSAIC FERTILIZANTES DO BRASIL</v>
      </c>
      <c r="S162">
        <f t="shared" si="5"/>
        <v>90</v>
      </c>
    </row>
    <row r="163" spans="1:19" x14ac:dyDescent="0.25">
      <c r="A163" s="410">
        <v>7302</v>
      </c>
      <c r="B163" s="410" t="s">
        <v>104</v>
      </c>
      <c r="C163" s="410" t="s">
        <v>105</v>
      </c>
      <c r="D163" s="411">
        <v>64.2</v>
      </c>
      <c r="E163" s="410">
        <v>1246226087</v>
      </c>
      <c r="F163" s="412">
        <v>45919</v>
      </c>
      <c r="G163" s="410"/>
      <c r="H163" s="410" t="s">
        <v>28</v>
      </c>
      <c r="I163" s="410" t="s">
        <v>29</v>
      </c>
      <c r="J163" s="410">
        <v>8559</v>
      </c>
      <c r="K163" s="412">
        <v>45859</v>
      </c>
      <c r="L163" s="410">
        <v>1010100</v>
      </c>
      <c r="M163" s="410" t="s">
        <v>35</v>
      </c>
      <c r="N163" s="410">
        <v>161</v>
      </c>
      <c r="O163" s="410" t="s">
        <v>161</v>
      </c>
      <c r="P163" s="410" t="s">
        <v>500</v>
      </c>
      <c r="Q163">
        <f t="shared" si="4"/>
        <v>217</v>
      </c>
      <c r="R163" t="str">
        <f>_xlfn.XLOOKUP(P163,'Painel Additive'!$B:$B,'Painel Additive'!$B:$B,0)</f>
        <v>GRUPO MOSAIC FERTILIZANTES DO BRASIL</v>
      </c>
      <c r="S163">
        <f t="shared" si="5"/>
        <v>60</v>
      </c>
    </row>
    <row r="164" spans="1:19" x14ac:dyDescent="0.25">
      <c r="A164" s="410">
        <v>7103</v>
      </c>
      <c r="B164" s="410" t="s">
        <v>569</v>
      </c>
      <c r="C164" s="410" t="s">
        <v>570</v>
      </c>
      <c r="D164" s="411">
        <v>57019</v>
      </c>
      <c r="E164" s="410">
        <v>1246269403</v>
      </c>
      <c r="F164" s="412">
        <v>46198</v>
      </c>
      <c r="G164" s="410"/>
      <c r="H164" s="410" t="s">
        <v>28</v>
      </c>
      <c r="I164" s="410" t="s">
        <v>29</v>
      </c>
      <c r="J164" s="410">
        <v>10985</v>
      </c>
      <c r="K164" s="412">
        <v>46108</v>
      </c>
      <c r="L164" s="410">
        <v>1010100</v>
      </c>
      <c r="M164" s="410" t="s">
        <v>35</v>
      </c>
      <c r="N164" s="410">
        <v>161</v>
      </c>
      <c r="O164" s="410" t="s">
        <v>161</v>
      </c>
      <c r="P164" s="410" t="s">
        <v>500</v>
      </c>
      <c r="Q164">
        <f t="shared" si="4"/>
        <v>-62</v>
      </c>
      <c r="R164" t="str">
        <f>_xlfn.XLOOKUP(P164,'Painel Additive'!$B:$B,'Painel Additive'!$B:$B,0)</f>
        <v>GRUPO MOSAIC FERTILIZANTES DO BRASIL</v>
      </c>
      <c r="S164">
        <f t="shared" si="5"/>
        <v>90</v>
      </c>
    </row>
    <row r="165" spans="1:19" x14ac:dyDescent="0.25">
      <c r="A165" s="410">
        <v>7103</v>
      </c>
      <c r="B165" s="410" t="s">
        <v>569</v>
      </c>
      <c r="C165" s="410" t="s">
        <v>570</v>
      </c>
      <c r="D165" s="411">
        <v>288000</v>
      </c>
      <c r="E165" s="410">
        <v>1246264792</v>
      </c>
      <c r="F165" s="412">
        <v>46167</v>
      </c>
      <c r="G165" s="410"/>
      <c r="H165" s="410" t="s">
        <v>28</v>
      </c>
      <c r="I165" s="410" t="s">
        <v>29</v>
      </c>
      <c r="J165" s="410">
        <v>2769</v>
      </c>
      <c r="K165" s="412">
        <v>46077</v>
      </c>
      <c r="L165" s="410">
        <v>1010100</v>
      </c>
      <c r="M165" s="410" t="s">
        <v>35</v>
      </c>
      <c r="N165" s="410">
        <v>161</v>
      </c>
      <c r="O165" s="410" t="s">
        <v>161</v>
      </c>
      <c r="P165" s="410" t="s">
        <v>500</v>
      </c>
      <c r="Q165">
        <f t="shared" si="4"/>
        <v>-31</v>
      </c>
      <c r="R165" t="str">
        <f>_xlfn.XLOOKUP(P165,'Painel Additive'!$B:$B,'Painel Additive'!$B:$B,0)</f>
        <v>GRUPO MOSAIC FERTILIZANTES DO BRASIL</v>
      </c>
      <c r="S165">
        <f t="shared" si="5"/>
        <v>90</v>
      </c>
    </row>
    <row r="166" spans="1:19" x14ac:dyDescent="0.25">
      <c r="A166" s="410">
        <v>11724</v>
      </c>
      <c r="B166" s="410" t="s">
        <v>118</v>
      </c>
      <c r="C166" s="410" t="s">
        <v>119</v>
      </c>
      <c r="D166" s="411">
        <v>143868</v>
      </c>
      <c r="E166" s="410">
        <v>1246267487</v>
      </c>
      <c r="F166" s="412">
        <v>46167</v>
      </c>
      <c r="G166" s="410"/>
      <c r="H166" s="410" t="s">
        <v>28</v>
      </c>
      <c r="I166" s="410" t="s">
        <v>29</v>
      </c>
      <c r="J166" s="410">
        <v>10867</v>
      </c>
      <c r="K166" s="412">
        <v>46092</v>
      </c>
      <c r="L166" s="410">
        <v>1010100</v>
      </c>
      <c r="M166" s="410" t="s">
        <v>35</v>
      </c>
      <c r="N166" s="410">
        <v>161</v>
      </c>
      <c r="O166" s="410" t="s">
        <v>161</v>
      </c>
      <c r="P166" s="410" t="s">
        <v>428</v>
      </c>
      <c r="Q166">
        <f t="shared" si="4"/>
        <v>-31</v>
      </c>
      <c r="R166" t="str">
        <f>_xlfn.XLOOKUP(P166,'Painel Additive'!$B:$B,'Painel Additive'!$B:$B,0)</f>
        <v>GRUPO HINOVE</v>
      </c>
      <c r="S166">
        <f t="shared" si="5"/>
        <v>75</v>
      </c>
    </row>
    <row r="167" spans="1:19" x14ac:dyDescent="0.25">
      <c r="A167" s="410">
        <v>11724</v>
      </c>
      <c r="B167" s="410" t="s">
        <v>118</v>
      </c>
      <c r="C167" s="410" t="s">
        <v>119</v>
      </c>
      <c r="D167" s="411">
        <v>72162</v>
      </c>
      <c r="E167" s="410">
        <v>1246271964</v>
      </c>
      <c r="F167" s="412">
        <v>46198</v>
      </c>
      <c r="G167" s="410"/>
      <c r="H167" s="410" t="s">
        <v>28</v>
      </c>
      <c r="I167" s="410" t="s">
        <v>29</v>
      </c>
      <c r="J167" s="410">
        <v>11187</v>
      </c>
      <c r="K167" s="412">
        <v>46132</v>
      </c>
      <c r="L167" s="410">
        <v>1010100</v>
      </c>
      <c r="M167" s="410" t="s">
        <v>35</v>
      </c>
      <c r="N167" s="410">
        <v>161</v>
      </c>
      <c r="O167" s="410" t="s">
        <v>161</v>
      </c>
      <c r="P167" s="410" t="s">
        <v>428</v>
      </c>
      <c r="Q167">
        <f t="shared" si="4"/>
        <v>-62</v>
      </c>
      <c r="R167" t="str">
        <f>_xlfn.XLOOKUP(P167,'Painel Additive'!$B:$B,'Painel Additive'!$B:$B,0)</f>
        <v>GRUPO HINOVE</v>
      </c>
      <c r="S167">
        <f t="shared" si="5"/>
        <v>66</v>
      </c>
    </row>
    <row r="168" spans="1:19" x14ac:dyDescent="0.25">
      <c r="A168" s="410">
        <v>11724</v>
      </c>
      <c r="B168" s="410" t="s">
        <v>118</v>
      </c>
      <c r="C168" s="410" t="s">
        <v>119</v>
      </c>
      <c r="D168" s="411">
        <v>72162</v>
      </c>
      <c r="E168" s="410">
        <v>1246271962</v>
      </c>
      <c r="F168" s="412">
        <v>46198</v>
      </c>
      <c r="G168" s="410"/>
      <c r="H168" s="410" t="s">
        <v>28</v>
      </c>
      <c r="I168" s="410" t="s">
        <v>29</v>
      </c>
      <c r="J168" s="410">
        <v>11186</v>
      </c>
      <c r="K168" s="412">
        <v>46132</v>
      </c>
      <c r="L168" s="410">
        <v>1010100</v>
      </c>
      <c r="M168" s="410" t="s">
        <v>35</v>
      </c>
      <c r="N168" s="410">
        <v>161</v>
      </c>
      <c r="O168" s="410" t="s">
        <v>161</v>
      </c>
      <c r="P168" s="410" t="s">
        <v>428</v>
      </c>
      <c r="Q168">
        <f t="shared" si="4"/>
        <v>-62</v>
      </c>
      <c r="R168" t="str">
        <f>_xlfn.XLOOKUP(P168,'Painel Additive'!$B:$B,'Painel Additive'!$B:$B,0)</f>
        <v>GRUPO HINOVE</v>
      </c>
      <c r="S168">
        <f t="shared" si="5"/>
        <v>66</v>
      </c>
    </row>
    <row r="169" spans="1:19" x14ac:dyDescent="0.25">
      <c r="A169" s="410">
        <v>11724</v>
      </c>
      <c r="B169" s="410" t="s">
        <v>118</v>
      </c>
      <c r="C169" s="410" t="s">
        <v>119</v>
      </c>
      <c r="D169" s="411">
        <v>171254.1</v>
      </c>
      <c r="E169" s="410">
        <v>1246263820</v>
      </c>
      <c r="F169" s="412">
        <v>46137</v>
      </c>
      <c r="G169" s="410"/>
      <c r="H169" s="410" t="s">
        <v>28</v>
      </c>
      <c r="I169" s="410" t="s">
        <v>29</v>
      </c>
      <c r="J169" s="410">
        <v>10704</v>
      </c>
      <c r="K169" s="412">
        <v>46069</v>
      </c>
      <c r="L169" s="410">
        <v>1010100</v>
      </c>
      <c r="M169" s="410" t="s">
        <v>35</v>
      </c>
      <c r="N169" s="410">
        <v>161</v>
      </c>
      <c r="O169" s="410" t="s">
        <v>161</v>
      </c>
      <c r="P169" s="410" t="s">
        <v>428</v>
      </c>
      <c r="Q169">
        <f t="shared" si="4"/>
        <v>-1</v>
      </c>
      <c r="R169" t="str">
        <f>_xlfn.XLOOKUP(P169,'Painel Additive'!$B:$B,'Painel Additive'!$B:$B,0)</f>
        <v>GRUPO HINOVE</v>
      </c>
      <c r="S169">
        <f t="shared" si="5"/>
        <v>68</v>
      </c>
    </row>
    <row r="170" spans="1:19" x14ac:dyDescent="0.25">
      <c r="A170" s="410">
        <v>11724</v>
      </c>
      <c r="B170" s="410" t="s">
        <v>118</v>
      </c>
      <c r="C170" s="410" t="s">
        <v>119</v>
      </c>
      <c r="D170" s="411">
        <v>178561.9</v>
      </c>
      <c r="E170" s="410">
        <v>1246270926</v>
      </c>
      <c r="F170" s="412">
        <v>46183</v>
      </c>
      <c r="G170" s="410"/>
      <c r="H170" s="410" t="s">
        <v>28</v>
      </c>
      <c r="I170" s="410" t="s">
        <v>29</v>
      </c>
      <c r="J170" s="410">
        <v>11082</v>
      </c>
      <c r="K170" s="412">
        <v>46121</v>
      </c>
      <c r="L170" s="410">
        <v>1010100</v>
      </c>
      <c r="M170" s="410" t="s">
        <v>35</v>
      </c>
      <c r="N170" s="410">
        <v>161</v>
      </c>
      <c r="O170" s="410" t="s">
        <v>161</v>
      </c>
      <c r="P170" s="410" t="s">
        <v>428</v>
      </c>
      <c r="Q170">
        <f t="shared" ref="Q170:Q201" si="6">$R$1-F170</f>
        <v>-47</v>
      </c>
      <c r="R170" t="str">
        <f>_xlfn.XLOOKUP(P170,'Painel Additive'!$B:$B,'Painel Additive'!$B:$B,0)</f>
        <v>GRUPO HINOVE</v>
      </c>
      <c r="S170">
        <f t="shared" ref="S170:S201" si="7">F170-K170</f>
        <v>62</v>
      </c>
    </row>
    <row r="171" spans="1:19" x14ac:dyDescent="0.25">
      <c r="A171" s="410">
        <v>10660</v>
      </c>
      <c r="B171" s="410" t="s">
        <v>113</v>
      </c>
      <c r="C171" s="410" t="s">
        <v>114</v>
      </c>
      <c r="D171" s="411">
        <v>1282.56</v>
      </c>
      <c r="E171" s="410">
        <v>1246157883</v>
      </c>
      <c r="F171" s="412">
        <v>45472</v>
      </c>
      <c r="G171" s="410"/>
      <c r="H171" s="410" t="s">
        <v>28</v>
      </c>
      <c r="I171" s="410" t="s">
        <v>29</v>
      </c>
      <c r="J171" s="410">
        <v>3740</v>
      </c>
      <c r="K171" s="412">
        <v>45444</v>
      </c>
      <c r="L171" s="410">
        <v>1010100</v>
      </c>
      <c r="M171" s="410" t="s">
        <v>35</v>
      </c>
      <c r="N171" s="410">
        <v>161</v>
      </c>
      <c r="O171" s="410" t="s">
        <v>161</v>
      </c>
      <c r="P171" s="410" t="s">
        <v>420</v>
      </c>
      <c r="Q171">
        <f t="shared" si="6"/>
        <v>664</v>
      </c>
      <c r="R171" t="str">
        <f>_xlfn.XLOOKUP(P171,'Painel Additive'!$B:$B,'Painel Additive'!$B:$B,0)</f>
        <v>GRUPO YARA</v>
      </c>
      <c r="S171">
        <f t="shared" si="7"/>
        <v>28</v>
      </c>
    </row>
    <row r="172" spans="1:19" x14ac:dyDescent="0.25">
      <c r="A172" s="410">
        <v>10660</v>
      </c>
      <c r="B172" s="410" t="s">
        <v>113</v>
      </c>
      <c r="C172" s="410" t="s">
        <v>114</v>
      </c>
      <c r="D172" s="411">
        <v>1603.2</v>
      </c>
      <c r="E172" s="410">
        <v>1246176576</v>
      </c>
      <c r="F172" s="412">
        <v>45577</v>
      </c>
      <c r="G172" s="410"/>
      <c r="H172" s="410" t="s">
        <v>28</v>
      </c>
      <c r="I172" s="410" t="s">
        <v>29</v>
      </c>
      <c r="J172" s="410">
        <v>5264</v>
      </c>
      <c r="K172" s="412">
        <v>45549</v>
      </c>
      <c r="L172" s="410">
        <v>1010100</v>
      </c>
      <c r="M172" s="410" t="s">
        <v>35</v>
      </c>
      <c r="N172" s="410">
        <v>161</v>
      </c>
      <c r="O172" s="410" t="s">
        <v>161</v>
      </c>
      <c r="P172" s="410" t="s">
        <v>420</v>
      </c>
      <c r="Q172">
        <f t="shared" si="6"/>
        <v>559</v>
      </c>
      <c r="R172" t="str">
        <f>_xlfn.XLOOKUP(P172,'Painel Additive'!$B:$B,'Painel Additive'!$B:$B,0)</f>
        <v>GRUPO YARA</v>
      </c>
      <c r="S172">
        <f t="shared" si="7"/>
        <v>28</v>
      </c>
    </row>
    <row r="173" spans="1:19" x14ac:dyDescent="0.25">
      <c r="A173" s="410">
        <v>10660</v>
      </c>
      <c r="B173" s="410" t="s">
        <v>113</v>
      </c>
      <c r="C173" s="410" t="s">
        <v>114</v>
      </c>
      <c r="D173" s="411">
        <v>1282.56</v>
      </c>
      <c r="E173" s="410">
        <v>1246184893</v>
      </c>
      <c r="F173" s="412">
        <v>45623</v>
      </c>
      <c r="G173" s="410"/>
      <c r="H173" s="410" t="s">
        <v>28</v>
      </c>
      <c r="I173" s="410" t="s">
        <v>29</v>
      </c>
      <c r="J173" s="410">
        <v>5907</v>
      </c>
      <c r="K173" s="412">
        <v>45595</v>
      </c>
      <c r="L173" s="410">
        <v>1010100</v>
      </c>
      <c r="M173" s="410" t="s">
        <v>35</v>
      </c>
      <c r="N173" s="410">
        <v>161</v>
      </c>
      <c r="O173" s="410" t="s">
        <v>161</v>
      </c>
      <c r="P173" s="410" t="s">
        <v>420</v>
      </c>
      <c r="Q173">
        <f t="shared" si="6"/>
        <v>513</v>
      </c>
      <c r="R173" t="str">
        <f>_xlfn.XLOOKUP(P173,'Painel Additive'!$B:$B,'Painel Additive'!$B:$B,0)</f>
        <v>GRUPO YARA</v>
      </c>
      <c r="S173">
        <f t="shared" si="7"/>
        <v>28</v>
      </c>
    </row>
    <row r="174" spans="1:19" x14ac:dyDescent="0.25">
      <c r="A174" s="410">
        <v>10434</v>
      </c>
      <c r="B174" s="410" t="s">
        <v>110</v>
      </c>
      <c r="C174" s="410" t="s">
        <v>111</v>
      </c>
      <c r="D174" s="411">
        <v>101696.4</v>
      </c>
      <c r="E174" s="410">
        <v>1246272407</v>
      </c>
      <c r="F174" s="412">
        <v>46164</v>
      </c>
      <c r="G174" s="410"/>
      <c r="H174" s="410" t="s">
        <v>28</v>
      </c>
      <c r="I174" s="410" t="s">
        <v>29</v>
      </c>
      <c r="J174" s="410">
        <v>11209</v>
      </c>
      <c r="K174" s="412">
        <v>46136</v>
      </c>
      <c r="L174" s="410">
        <v>1010100</v>
      </c>
      <c r="M174" s="410" t="s">
        <v>35</v>
      </c>
      <c r="N174" s="410">
        <v>161</v>
      </c>
      <c r="O174" s="410" t="s">
        <v>161</v>
      </c>
      <c r="P174" s="410" t="s">
        <v>416</v>
      </c>
      <c r="Q174">
        <f t="shared" si="6"/>
        <v>-28</v>
      </c>
      <c r="R174" t="str">
        <f>_xlfn.XLOOKUP(P174,'Painel Additive'!$B:$B,'Painel Additive'!$B:$B,0)</f>
        <v>GRUPO CIBRA</v>
      </c>
      <c r="S174">
        <f t="shared" si="7"/>
        <v>28</v>
      </c>
    </row>
    <row r="175" spans="1:19" x14ac:dyDescent="0.25">
      <c r="A175" s="410">
        <v>10434</v>
      </c>
      <c r="B175" s="410" t="s">
        <v>110</v>
      </c>
      <c r="C175" s="410" t="s">
        <v>111</v>
      </c>
      <c r="D175" s="411">
        <v>101052</v>
      </c>
      <c r="E175" s="410">
        <v>1246271891</v>
      </c>
      <c r="F175" s="412">
        <v>46160</v>
      </c>
      <c r="G175" s="410"/>
      <c r="H175" s="410" t="s">
        <v>28</v>
      </c>
      <c r="I175" s="410" t="s">
        <v>29</v>
      </c>
      <c r="J175" s="410">
        <v>11178</v>
      </c>
      <c r="K175" s="412">
        <v>46132</v>
      </c>
      <c r="L175" s="410">
        <v>1010100</v>
      </c>
      <c r="M175" s="410" t="s">
        <v>35</v>
      </c>
      <c r="N175" s="410">
        <v>161</v>
      </c>
      <c r="O175" s="410" t="s">
        <v>161</v>
      </c>
      <c r="P175" s="410" t="s">
        <v>416</v>
      </c>
      <c r="Q175">
        <f t="shared" si="6"/>
        <v>-24</v>
      </c>
      <c r="R175" t="str">
        <f>_xlfn.XLOOKUP(P175,'Painel Additive'!$B:$B,'Painel Additive'!$B:$B,0)</f>
        <v>GRUPO CIBRA</v>
      </c>
      <c r="S175">
        <f t="shared" si="7"/>
        <v>28</v>
      </c>
    </row>
    <row r="176" spans="1:19" x14ac:dyDescent="0.25">
      <c r="A176" s="410">
        <v>10492</v>
      </c>
      <c r="B176" s="410" t="s">
        <v>112</v>
      </c>
      <c r="C176" s="410" t="s">
        <v>874</v>
      </c>
      <c r="D176" s="411">
        <v>83061.3</v>
      </c>
      <c r="E176" s="410">
        <v>1246271169</v>
      </c>
      <c r="F176" s="412">
        <v>46153</v>
      </c>
      <c r="G176" s="410"/>
      <c r="H176" s="410" t="s">
        <v>28</v>
      </c>
      <c r="I176" s="410" t="s">
        <v>29</v>
      </c>
      <c r="J176" s="410">
        <v>11106</v>
      </c>
      <c r="K176" s="412">
        <v>46125</v>
      </c>
      <c r="L176" s="410">
        <v>1010100</v>
      </c>
      <c r="M176" s="410" t="s">
        <v>35</v>
      </c>
      <c r="N176" s="410">
        <v>161</v>
      </c>
      <c r="O176" s="410" t="s">
        <v>161</v>
      </c>
      <c r="P176" s="410" t="s">
        <v>417</v>
      </c>
      <c r="Q176">
        <f t="shared" si="6"/>
        <v>-17</v>
      </c>
      <c r="R176" t="str">
        <f>_xlfn.XLOOKUP(P176,'Painel Additive'!$B:$B,'Painel Additive'!$B:$B,0)</f>
        <v>GRUPO UNIFERTIL</v>
      </c>
      <c r="S176">
        <f t="shared" si="7"/>
        <v>28</v>
      </c>
    </row>
    <row r="177" spans="1:20" x14ac:dyDescent="0.25">
      <c r="A177" s="410">
        <v>10492</v>
      </c>
      <c r="B177" s="410" t="s">
        <v>112</v>
      </c>
      <c r="C177" s="410" t="s">
        <v>874</v>
      </c>
      <c r="D177" s="411">
        <v>1698000</v>
      </c>
      <c r="E177" s="410">
        <v>1246272739</v>
      </c>
      <c r="F177" s="412">
        <v>46167</v>
      </c>
      <c r="G177" s="410"/>
      <c r="H177" s="410" t="s">
        <v>28</v>
      </c>
      <c r="I177" s="410" t="s">
        <v>29</v>
      </c>
      <c r="J177" s="410">
        <v>2894</v>
      </c>
      <c r="K177" s="412">
        <v>46139</v>
      </c>
      <c r="L177" s="410">
        <v>1010100</v>
      </c>
      <c r="M177" s="410" t="s">
        <v>35</v>
      </c>
      <c r="N177" s="410">
        <v>7</v>
      </c>
      <c r="O177" s="410" t="s">
        <v>654</v>
      </c>
      <c r="P177" s="410" t="s">
        <v>417</v>
      </c>
      <c r="Q177">
        <f t="shared" si="6"/>
        <v>-31</v>
      </c>
      <c r="R177" t="str">
        <f>_xlfn.XLOOKUP(P177,'Painel Additive'!$B:$B,'Painel Additive'!$B:$B,0)</f>
        <v>GRUPO UNIFERTIL</v>
      </c>
      <c r="S177">
        <f t="shared" si="7"/>
        <v>28</v>
      </c>
    </row>
    <row r="178" spans="1:20" x14ac:dyDescent="0.25">
      <c r="A178" s="410">
        <v>10492</v>
      </c>
      <c r="B178" s="410" t="s">
        <v>112</v>
      </c>
      <c r="C178" s="410" t="s">
        <v>874</v>
      </c>
      <c r="D178" s="411">
        <v>352080</v>
      </c>
      <c r="E178" s="410">
        <v>1246271663</v>
      </c>
      <c r="F178" s="412">
        <v>46157</v>
      </c>
      <c r="G178" s="410"/>
      <c r="H178" s="410" t="s">
        <v>28</v>
      </c>
      <c r="I178" s="410" t="s">
        <v>29</v>
      </c>
      <c r="J178" s="410">
        <v>2875</v>
      </c>
      <c r="K178" s="412">
        <v>46129</v>
      </c>
      <c r="L178" s="410">
        <v>1010100</v>
      </c>
      <c r="M178" s="410" t="s">
        <v>35</v>
      </c>
      <c r="N178" s="410">
        <v>161</v>
      </c>
      <c r="O178" s="410" t="s">
        <v>161</v>
      </c>
      <c r="P178" s="410" t="s">
        <v>417</v>
      </c>
      <c r="Q178">
        <f t="shared" si="6"/>
        <v>-21</v>
      </c>
      <c r="R178" t="str">
        <f>_xlfn.XLOOKUP(P178,'Painel Additive'!$B:$B,'Painel Additive'!$B:$B,0)</f>
        <v>GRUPO UNIFERTIL</v>
      </c>
      <c r="S178">
        <f t="shared" si="7"/>
        <v>28</v>
      </c>
    </row>
    <row r="179" spans="1:20" x14ac:dyDescent="0.25">
      <c r="A179" s="410">
        <v>13018</v>
      </c>
      <c r="B179" s="410" t="s">
        <v>685</v>
      </c>
      <c r="C179" s="410" t="s">
        <v>686</v>
      </c>
      <c r="D179" s="411">
        <v>63625.599999999999</v>
      </c>
      <c r="E179" s="410">
        <v>1246271772</v>
      </c>
      <c r="F179" s="412">
        <v>46157</v>
      </c>
      <c r="G179" s="410"/>
      <c r="H179" s="410" t="s">
        <v>28</v>
      </c>
      <c r="I179" s="410" t="s">
        <v>29</v>
      </c>
      <c r="J179" s="410">
        <v>11167</v>
      </c>
      <c r="K179" s="412">
        <v>46129</v>
      </c>
      <c r="L179" s="410">
        <v>1010100</v>
      </c>
      <c r="M179" s="410" t="s">
        <v>35</v>
      </c>
      <c r="N179" s="410">
        <v>161</v>
      </c>
      <c r="O179" s="410" t="s">
        <v>161</v>
      </c>
      <c r="P179" s="410" t="s">
        <v>683</v>
      </c>
      <c r="Q179">
        <f t="shared" si="6"/>
        <v>-21</v>
      </c>
      <c r="R179" t="str">
        <f>_xlfn.XLOOKUP(P179,'Painel Additive'!$B:$B,'Painel Additive'!$B:$B,0)</f>
        <v>ULTRAFERTIL</v>
      </c>
      <c r="S179">
        <f t="shared" si="7"/>
        <v>28</v>
      </c>
    </row>
    <row r="180" spans="1:20" x14ac:dyDescent="0.25">
      <c r="A180" s="410">
        <v>13018</v>
      </c>
      <c r="B180" s="410" t="s">
        <v>685</v>
      </c>
      <c r="C180" s="410" t="s">
        <v>686</v>
      </c>
      <c r="D180" s="411">
        <v>61407.199999999997</v>
      </c>
      <c r="E180" s="410">
        <v>1246271899</v>
      </c>
      <c r="F180" s="412">
        <v>46160</v>
      </c>
      <c r="G180" s="410"/>
      <c r="H180" s="410" t="s">
        <v>28</v>
      </c>
      <c r="I180" s="410" t="s">
        <v>29</v>
      </c>
      <c r="J180" s="410">
        <v>11180</v>
      </c>
      <c r="K180" s="412">
        <v>46132</v>
      </c>
      <c r="L180" s="410">
        <v>1010100</v>
      </c>
      <c r="M180" s="410" t="s">
        <v>35</v>
      </c>
      <c r="N180" s="410">
        <v>161</v>
      </c>
      <c r="O180" s="410" t="s">
        <v>161</v>
      </c>
      <c r="P180" s="410" t="s">
        <v>683</v>
      </c>
      <c r="Q180">
        <f t="shared" si="6"/>
        <v>-24</v>
      </c>
      <c r="R180" t="str">
        <f>_xlfn.XLOOKUP(P180,'Painel Additive'!$B:$B,'Painel Additive'!$B:$B,0)</f>
        <v>ULTRAFERTIL</v>
      </c>
      <c r="S180">
        <f t="shared" si="7"/>
        <v>28</v>
      </c>
    </row>
    <row r="181" spans="1:20" x14ac:dyDescent="0.25">
      <c r="A181" s="410">
        <v>13018</v>
      </c>
      <c r="B181" s="410" t="s">
        <v>685</v>
      </c>
      <c r="C181" s="410" t="s">
        <v>686</v>
      </c>
      <c r="D181" s="411">
        <v>63838</v>
      </c>
      <c r="E181" s="410">
        <v>1246271508</v>
      </c>
      <c r="F181" s="412">
        <v>46155</v>
      </c>
      <c r="G181" s="410"/>
      <c r="H181" s="410" t="s">
        <v>28</v>
      </c>
      <c r="I181" s="410" t="s">
        <v>29</v>
      </c>
      <c r="J181" s="410">
        <v>11134</v>
      </c>
      <c r="K181" s="412">
        <v>46127</v>
      </c>
      <c r="L181" s="410">
        <v>1010100</v>
      </c>
      <c r="M181" s="410" t="s">
        <v>35</v>
      </c>
      <c r="N181" s="410">
        <v>161</v>
      </c>
      <c r="O181" s="410" t="s">
        <v>161</v>
      </c>
      <c r="P181" s="410" t="s">
        <v>683</v>
      </c>
      <c r="Q181">
        <f t="shared" si="6"/>
        <v>-19</v>
      </c>
      <c r="R181" t="str">
        <f>_xlfn.XLOOKUP(P181,'Painel Additive'!$B:$B,'Painel Additive'!$B:$B,0)</f>
        <v>ULTRAFERTIL</v>
      </c>
      <c r="S181">
        <f t="shared" si="7"/>
        <v>28</v>
      </c>
    </row>
    <row r="182" spans="1:20" x14ac:dyDescent="0.25">
      <c r="A182" s="410">
        <v>13018</v>
      </c>
      <c r="B182" s="410" t="s">
        <v>685</v>
      </c>
      <c r="C182" s="410" t="s">
        <v>686</v>
      </c>
      <c r="D182" s="411">
        <v>327740.59999999998</v>
      </c>
      <c r="E182" s="410">
        <v>1246272485</v>
      </c>
      <c r="F182" s="412">
        <v>46164</v>
      </c>
      <c r="G182" s="410"/>
      <c r="H182" s="410" t="s">
        <v>28</v>
      </c>
      <c r="I182" s="410" t="s">
        <v>29</v>
      </c>
      <c r="J182" s="410">
        <v>11214</v>
      </c>
      <c r="K182" s="412">
        <v>46136</v>
      </c>
      <c r="L182" s="410">
        <v>1010100</v>
      </c>
      <c r="M182" s="410" t="s">
        <v>35</v>
      </c>
      <c r="N182" s="410">
        <v>161</v>
      </c>
      <c r="O182" s="410" t="s">
        <v>161</v>
      </c>
      <c r="P182" s="410" t="s">
        <v>683</v>
      </c>
      <c r="Q182">
        <f t="shared" si="6"/>
        <v>-28</v>
      </c>
      <c r="R182" t="str">
        <f>_xlfn.XLOOKUP(P182,'Painel Additive'!$B:$B,'Painel Additive'!$B:$B,0)</f>
        <v>ULTRAFERTIL</v>
      </c>
      <c r="S182">
        <f t="shared" si="7"/>
        <v>28</v>
      </c>
    </row>
    <row r="183" spans="1:20" x14ac:dyDescent="0.25">
      <c r="A183" s="410">
        <v>12741</v>
      </c>
      <c r="B183" s="410" t="s">
        <v>307</v>
      </c>
      <c r="C183" s="410" t="s">
        <v>886</v>
      </c>
      <c r="D183" s="411">
        <v>137256</v>
      </c>
      <c r="E183" s="410">
        <v>1246268240</v>
      </c>
      <c r="F183" s="412">
        <v>46167</v>
      </c>
      <c r="G183" s="410"/>
      <c r="H183" s="410" t="s">
        <v>28</v>
      </c>
      <c r="I183" s="410" t="s">
        <v>29</v>
      </c>
      <c r="J183" s="410">
        <v>10917</v>
      </c>
      <c r="K183" s="412">
        <v>46099</v>
      </c>
      <c r="L183" s="410">
        <v>1010100</v>
      </c>
      <c r="M183" s="410" t="s">
        <v>35</v>
      </c>
      <c r="N183" s="410">
        <v>161</v>
      </c>
      <c r="O183" s="410" t="s">
        <v>161</v>
      </c>
      <c r="P183" s="410" t="s">
        <v>428</v>
      </c>
      <c r="Q183">
        <f t="shared" si="6"/>
        <v>-31</v>
      </c>
      <c r="R183" t="str">
        <f>_xlfn.XLOOKUP(P183,'Painel Additive'!$B:$B,'Painel Additive'!$B:$B,0)</f>
        <v>GRUPO HINOVE</v>
      </c>
      <c r="S183">
        <f t="shared" si="7"/>
        <v>68</v>
      </c>
    </row>
    <row r="184" spans="1:20" x14ac:dyDescent="0.25">
      <c r="A184" s="410">
        <v>707</v>
      </c>
      <c r="B184" s="410" t="s">
        <v>53</v>
      </c>
      <c r="C184" s="410" t="s">
        <v>54</v>
      </c>
      <c r="D184" s="411">
        <v>40320</v>
      </c>
      <c r="E184" s="410">
        <v>1246146706</v>
      </c>
      <c r="F184" s="412">
        <v>45461</v>
      </c>
      <c r="G184" s="410"/>
      <c r="H184" s="410" t="s">
        <v>28</v>
      </c>
      <c r="I184" s="410" t="s">
        <v>29</v>
      </c>
      <c r="J184" s="410">
        <v>3619</v>
      </c>
      <c r="K184" s="412">
        <v>45433</v>
      </c>
      <c r="L184" s="410">
        <v>1010100</v>
      </c>
      <c r="M184" s="410" t="s">
        <v>35</v>
      </c>
      <c r="N184" s="410">
        <v>161</v>
      </c>
      <c r="O184" s="410" t="s">
        <v>161</v>
      </c>
      <c r="P184" s="410" t="s">
        <v>53</v>
      </c>
      <c r="Q184">
        <f t="shared" si="6"/>
        <v>675</v>
      </c>
      <c r="R184" t="str">
        <f>_xlfn.XLOOKUP(P184,'Painel Additive'!$B:$B,'Painel Additive'!$B:$B,0)</f>
        <v>TERRA FERTILIZANTES LTDA - ARAXÁ</v>
      </c>
      <c r="S184">
        <f t="shared" si="7"/>
        <v>28</v>
      </c>
    </row>
    <row r="185" spans="1:20" x14ac:dyDescent="0.25">
      <c r="A185" s="410">
        <v>707</v>
      </c>
      <c r="B185" s="410" t="s">
        <v>53</v>
      </c>
      <c r="C185" s="410" t="s">
        <v>54</v>
      </c>
      <c r="D185" s="411">
        <v>14640</v>
      </c>
      <c r="E185" s="410">
        <v>1246145696</v>
      </c>
      <c r="F185" s="412">
        <v>45454</v>
      </c>
      <c r="G185" s="410"/>
      <c r="H185" s="410" t="s">
        <v>28</v>
      </c>
      <c r="I185" s="410" t="s">
        <v>29</v>
      </c>
      <c r="J185" s="410">
        <v>3538</v>
      </c>
      <c r="K185" s="412">
        <v>45426</v>
      </c>
      <c r="L185" s="410">
        <v>1010100</v>
      </c>
      <c r="M185" s="410" t="s">
        <v>35</v>
      </c>
      <c r="N185" s="410">
        <v>161</v>
      </c>
      <c r="O185" s="410" t="s">
        <v>161</v>
      </c>
      <c r="P185" s="410" t="s">
        <v>53</v>
      </c>
      <c r="Q185">
        <f t="shared" si="6"/>
        <v>682</v>
      </c>
      <c r="R185" t="str">
        <f>_xlfn.XLOOKUP(P185,'Painel Additive'!$B:$B,'Painel Additive'!$B:$B,0)</f>
        <v>TERRA FERTILIZANTES LTDA - ARAXÁ</v>
      </c>
      <c r="S185">
        <f t="shared" si="7"/>
        <v>28</v>
      </c>
    </row>
    <row r="186" spans="1:20" x14ac:dyDescent="0.25">
      <c r="A186" s="410">
        <v>707</v>
      </c>
      <c r="B186" s="410" t="s">
        <v>53</v>
      </c>
      <c r="C186" s="410" t="s">
        <v>54</v>
      </c>
      <c r="D186" s="411">
        <v>43920</v>
      </c>
      <c r="E186" s="410">
        <v>1246148035</v>
      </c>
      <c r="F186" s="412">
        <v>45469</v>
      </c>
      <c r="G186" s="410"/>
      <c r="H186" s="410" t="s">
        <v>28</v>
      </c>
      <c r="I186" s="410" t="s">
        <v>29</v>
      </c>
      <c r="J186" s="410">
        <v>3722</v>
      </c>
      <c r="K186" s="412">
        <v>45441</v>
      </c>
      <c r="L186" s="410">
        <v>1010100</v>
      </c>
      <c r="M186" s="410" t="s">
        <v>35</v>
      </c>
      <c r="N186" s="410">
        <v>161</v>
      </c>
      <c r="O186" s="410" t="s">
        <v>161</v>
      </c>
      <c r="P186" s="410" t="s">
        <v>53</v>
      </c>
      <c r="Q186">
        <f t="shared" si="6"/>
        <v>667</v>
      </c>
      <c r="R186" t="str">
        <f>_xlfn.XLOOKUP(P186,'Painel Additive'!$B:$B,'Painel Additive'!$B:$B,0)</f>
        <v>TERRA FERTILIZANTES LTDA - ARAXÁ</v>
      </c>
      <c r="S186">
        <f t="shared" si="7"/>
        <v>28</v>
      </c>
    </row>
    <row r="187" spans="1:20" x14ac:dyDescent="0.25">
      <c r="A187" s="410">
        <v>707</v>
      </c>
      <c r="B187" s="410" t="s">
        <v>53</v>
      </c>
      <c r="C187" s="410" t="s">
        <v>54</v>
      </c>
      <c r="D187" s="411">
        <v>36600</v>
      </c>
      <c r="E187" s="410">
        <v>1246146938</v>
      </c>
      <c r="F187" s="412">
        <v>45462</v>
      </c>
      <c r="G187" s="410"/>
      <c r="H187" s="410" t="s">
        <v>28</v>
      </c>
      <c r="I187" s="410" t="s">
        <v>29</v>
      </c>
      <c r="J187" s="410">
        <v>3637</v>
      </c>
      <c r="K187" s="412">
        <v>45434</v>
      </c>
      <c r="L187" s="410">
        <v>1010100</v>
      </c>
      <c r="M187" s="410" t="s">
        <v>35</v>
      </c>
      <c r="N187" s="410">
        <v>161</v>
      </c>
      <c r="O187" s="410" t="s">
        <v>161</v>
      </c>
      <c r="P187" s="410" t="s">
        <v>53</v>
      </c>
      <c r="Q187">
        <f t="shared" si="6"/>
        <v>674</v>
      </c>
      <c r="R187" t="str">
        <f>_xlfn.XLOOKUP(P187,'Painel Additive'!$B:$B,'Painel Additive'!$B:$B,0)</f>
        <v>TERRA FERTILIZANTES LTDA - ARAXÁ</v>
      </c>
      <c r="S187">
        <f t="shared" si="7"/>
        <v>28</v>
      </c>
    </row>
    <row r="188" spans="1:20" x14ac:dyDescent="0.25">
      <c r="A188" s="410">
        <v>707</v>
      </c>
      <c r="B188" s="410" t="s">
        <v>53</v>
      </c>
      <c r="C188" s="410" t="s">
        <v>54</v>
      </c>
      <c r="D188" s="411">
        <v>33600</v>
      </c>
      <c r="E188" s="410">
        <v>1246148036</v>
      </c>
      <c r="F188" s="412">
        <v>45469</v>
      </c>
      <c r="G188" s="410"/>
      <c r="H188" s="410" t="s">
        <v>28</v>
      </c>
      <c r="I188" s="410" t="s">
        <v>29</v>
      </c>
      <c r="J188" s="410">
        <v>3723</v>
      </c>
      <c r="K188" s="412">
        <v>45441</v>
      </c>
      <c r="L188" s="410">
        <v>1010100</v>
      </c>
      <c r="M188" s="410" t="s">
        <v>35</v>
      </c>
      <c r="N188" s="410">
        <v>161</v>
      </c>
      <c r="O188" s="410" t="s">
        <v>161</v>
      </c>
      <c r="P188" s="410" t="s">
        <v>53</v>
      </c>
      <c r="Q188">
        <f t="shared" si="6"/>
        <v>667</v>
      </c>
      <c r="R188" t="str">
        <f>_xlfn.XLOOKUP(P188,'Painel Additive'!$B:$B,'Painel Additive'!$B:$B,0)</f>
        <v>TERRA FERTILIZANTES LTDA - ARAXÁ</v>
      </c>
      <c r="S188">
        <f t="shared" si="7"/>
        <v>28</v>
      </c>
    </row>
    <row r="189" spans="1:20" x14ac:dyDescent="0.25">
      <c r="A189" s="410">
        <v>707</v>
      </c>
      <c r="B189" s="410" t="s">
        <v>53</v>
      </c>
      <c r="C189" s="410" t="s">
        <v>54</v>
      </c>
      <c r="D189" s="411">
        <v>16800</v>
      </c>
      <c r="E189" s="410">
        <v>1246141445</v>
      </c>
      <c r="F189" s="412">
        <v>45433</v>
      </c>
      <c r="G189" s="410"/>
      <c r="H189" s="410" t="s">
        <v>28</v>
      </c>
      <c r="I189" s="410" t="s">
        <v>29</v>
      </c>
      <c r="J189" s="410">
        <v>3345</v>
      </c>
      <c r="K189" s="412">
        <v>45405</v>
      </c>
      <c r="L189" s="410">
        <v>1010100</v>
      </c>
      <c r="M189" s="410" t="s">
        <v>35</v>
      </c>
      <c r="N189" s="410">
        <v>161</v>
      </c>
      <c r="O189" s="410" t="s">
        <v>161</v>
      </c>
      <c r="P189" s="410" t="s">
        <v>53</v>
      </c>
      <c r="Q189">
        <f t="shared" si="6"/>
        <v>703</v>
      </c>
      <c r="R189" t="str">
        <f>_xlfn.XLOOKUP(P189,'Painel Additive'!$B:$B,'Painel Additive'!$B:$B,0)</f>
        <v>TERRA FERTILIZANTES LTDA - ARAXÁ</v>
      </c>
      <c r="S189">
        <f t="shared" si="7"/>
        <v>28</v>
      </c>
    </row>
    <row r="190" spans="1:20" x14ac:dyDescent="0.25">
      <c r="A190" s="410">
        <v>707</v>
      </c>
      <c r="B190" s="410" t="s">
        <v>53</v>
      </c>
      <c r="C190" s="410" t="s">
        <v>54</v>
      </c>
      <c r="D190" s="411">
        <v>40353.599999999999</v>
      </c>
      <c r="E190" s="410">
        <v>1246143397</v>
      </c>
      <c r="F190" s="412">
        <v>45443</v>
      </c>
      <c r="G190" s="410"/>
      <c r="H190" s="410" t="s">
        <v>28</v>
      </c>
      <c r="I190" s="410" t="s">
        <v>29</v>
      </c>
      <c r="J190" s="410">
        <v>3448</v>
      </c>
      <c r="K190" s="412">
        <v>45415</v>
      </c>
      <c r="L190" s="410">
        <v>1010100</v>
      </c>
      <c r="M190" s="410" t="s">
        <v>35</v>
      </c>
      <c r="N190" s="410">
        <v>161</v>
      </c>
      <c r="O190" s="410" t="s">
        <v>161</v>
      </c>
      <c r="P190" s="410" t="s">
        <v>53</v>
      </c>
      <c r="Q190">
        <f t="shared" si="6"/>
        <v>693</v>
      </c>
      <c r="R190" t="str">
        <f>_xlfn.XLOOKUP(P190,'Painel Additive'!$B:$B,'Painel Additive'!$B:$B,0)</f>
        <v>TERRA FERTILIZANTES LTDA - ARAXÁ</v>
      </c>
      <c r="S190">
        <f t="shared" si="7"/>
        <v>28</v>
      </c>
    </row>
    <row r="191" spans="1:20" x14ac:dyDescent="0.25">
      <c r="A191" s="410">
        <v>1462</v>
      </c>
      <c r="B191" s="410" t="s">
        <v>65</v>
      </c>
      <c r="C191" s="410" t="s">
        <v>66</v>
      </c>
      <c r="D191" s="411">
        <v>37608.400000000001</v>
      </c>
      <c r="E191" s="410">
        <v>1246266894</v>
      </c>
      <c r="F191" s="412">
        <v>46147</v>
      </c>
      <c r="G191" s="410"/>
      <c r="H191" s="410" t="s">
        <v>28</v>
      </c>
      <c r="I191" s="410" t="s">
        <v>29</v>
      </c>
      <c r="J191" s="410">
        <v>10834</v>
      </c>
      <c r="K191" s="412">
        <v>46087</v>
      </c>
      <c r="L191" s="410">
        <v>1010100</v>
      </c>
      <c r="M191" s="410" t="s">
        <v>35</v>
      </c>
      <c r="N191" s="410">
        <v>161</v>
      </c>
      <c r="O191" s="410" t="s">
        <v>161</v>
      </c>
      <c r="P191" s="410" t="s">
        <v>65</v>
      </c>
      <c r="Q191">
        <f t="shared" si="6"/>
        <v>-11</v>
      </c>
      <c r="R191" t="str">
        <f>_xlfn.XLOOKUP(P191,'Painel Additive'!$B:$B,'Painel Additive'!$B:$B,0)</f>
        <v>AURORA MINERAÇÃO LTDA</v>
      </c>
      <c r="S191">
        <f t="shared" si="7"/>
        <v>60</v>
      </c>
      <c r="T191">
        <f>F191-$R$1</f>
        <v>11</v>
      </c>
    </row>
    <row r="192" spans="1:20" x14ac:dyDescent="0.25">
      <c r="A192" s="410">
        <v>1462</v>
      </c>
      <c r="B192" s="410" t="s">
        <v>65</v>
      </c>
      <c r="C192" s="410" t="s">
        <v>66</v>
      </c>
      <c r="D192" s="411">
        <v>37608.400000000001</v>
      </c>
      <c r="E192" s="410">
        <v>1246266895</v>
      </c>
      <c r="F192" s="412">
        <v>46157</v>
      </c>
      <c r="G192" s="410"/>
      <c r="H192" s="410" t="s">
        <v>28</v>
      </c>
      <c r="I192" s="410" t="s">
        <v>29</v>
      </c>
      <c r="J192" s="410">
        <v>10834</v>
      </c>
      <c r="K192" s="412">
        <v>46087</v>
      </c>
      <c r="L192" s="410">
        <v>1010100</v>
      </c>
      <c r="M192" s="410" t="s">
        <v>35</v>
      </c>
      <c r="N192" s="410">
        <v>161</v>
      </c>
      <c r="O192" s="410" t="s">
        <v>161</v>
      </c>
      <c r="P192" s="410" t="s">
        <v>65</v>
      </c>
      <c r="Q192">
        <f t="shared" si="6"/>
        <v>-21</v>
      </c>
      <c r="R192" t="str">
        <f>_xlfn.XLOOKUP(P192,'Painel Additive'!$B:$B,'Painel Additive'!$B:$B,0)</f>
        <v>AURORA MINERAÇÃO LTDA</v>
      </c>
      <c r="S192">
        <f t="shared" si="7"/>
        <v>70</v>
      </c>
      <c r="T192">
        <f>F192-$R$1</f>
        <v>21</v>
      </c>
    </row>
    <row r="193" spans="1:20" x14ac:dyDescent="0.25">
      <c r="A193" s="410">
        <v>1462</v>
      </c>
      <c r="B193" s="410" t="s">
        <v>65</v>
      </c>
      <c r="C193" s="410" t="s">
        <v>66</v>
      </c>
      <c r="D193" s="411">
        <v>38160.199999999997</v>
      </c>
      <c r="E193" s="410">
        <v>1246270126</v>
      </c>
      <c r="F193" s="412">
        <v>46174</v>
      </c>
      <c r="G193" s="410"/>
      <c r="H193" s="410" t="s">
        <v>28</v>
      </c>
      <c r="I193" s="410" t="s">
        <v>29</v>
      </c>
      <c r="J193" s="410">
        <v>11041</v>
      </c>
      <c r="K193" s="412">
        <v>46114</v>
      </c>
      <c r="L193" s="410">
        <v>1010100</v>
      </c>
      <c r="M193" s="410" t="s">
        <v>35</v>
      </c>
      <c r="N193" s="410">
        <v>161</v>
      </c>
      <c r="O193" s="410" t="s">
        <v>161</v>
      </c>
      <c r="P193" s="410" t="s">
        <v>65</v>
      </c>
      <c r="Q193">
        <f t="shared" si="6"/>
        <v>-38</v>
      </c>
      <c r="R193" t="str">
        <f>_xlfn.XLOOKUP(P193,'Painel Additive'!$B:$B,'Painel Additive'!$B:$B,0)</f>
        <v>AURORA MINERAÇÃO LTDA</v>
      </c>
      <c r="S193">
        <f t="shared" si="7"/>
        <v>60</v>
      </c>
      <c r="T193">
        <f>F193-$R$1</f>
        <v>38</v>
      </c>
    </row>
    <row r="194" spans="1:20" x14ac:dyDescent="0.25">
      <c r="A194" s="410">
        <v>1462</v>
      </c>
      <c r="B194" s="410" t="s">
        <v>65</v>
      </c>
      <c r="C194" s="410" t="s">
        <v>66</v>
      </c>
      <c r="D194" s="411">
        <v>38160.199999999997</v>
      </c>
      <c r="E194" s="410">
        <v>1246270127</v>
      </c>
      <c r="F194" s="412">
        <v>46184</v>
      </c>
      <c r="G194" s="410"/>
      <c r="H194" s="410" t="s">
        <v>28</v>
      </c>
      <c r="I194" s="410" t="s">
        <v>29</v>
      </c>
      <c r="J194" s="410">
        <v>11041</v>
      </c>
      <c r="K194" s="412">
        <v>46114</v>
      </c>
      <c r="L194" s="410">
        <v>1010100</v>
      </c>
      <c r="M194" s="410" t="s">
        <v>35</v>
      </c>
      <c r="N194" s="410">
        <v>161</v>
      </c>
      <c r="O194" s="410" t="s">
        <v>161</v>
      </c>
      <c r="P194" s="410" t="s">
        <v>65</v>
      </c>
      <c r="Q194">
        <f t="shared" si="6"/>
        <v>-48</v>
      </c>
      <c r="R194" t="str">
        <f>_xlfn.XLOOKUP(P194,'Painel Additive'!$B:$B,'Painel Additive'!$B:$B,0)</f>
        <v>AURORA MINERAÇÃO LTDA</v>
      </c>
      <c r="S194">
        <f t="shared" si="7"/>
        <v>70</v>
      </c>
    </row>
    <row r="195" spans="1:20" x14ac:dyDescent="0.25">
      <c r="A195" s="410">
        <v>1462</v>
      </c>
      <c r="B195" s="410" t="s">
        <v>65</v>
      </c>
      <c r="C195" s="410" t="s">
        <v>66</v>
      </c>
      <c r="D195" s="411">
        <v>37491.5</v>
      </c>
      <c r="E195" s="410">
        <v>1246262009</v>
      </c>
      <c r="F195" s="412">
        <v>46125</v>
      </c>
      <c r="G195" s="410"/>
      <c r="H195" s="410" t="s">
        <v>28</v>
      </c>
      <c r="I195" s="410" t="s">
        <v>29</v>
      </c>
      <c r="J195" s="410">
        <v>10624</v>
      </c>
      <c r="K195" s="412">
        <v>46055</v>
      </c>
      <c r="L195" s="410">
        <v>1010100</v>
      </c>
      <c r="M195" s="410" t="s">
        <v>35</v>
      </c>
      <c r="N195" s="410">
        <v>161</v>
      </c>
      <c r="O195" s="410" t="s">
        <v>161</v>
      </c>
      <c r="P195" s="410" t="s">
        <v>65</v>
      </c>
      <c r="Q195">
        <f t="shared" si="6"/>
        <v>11</v>
      </c>
      <c r="R195" t="str">
        <f>_xlfn.XLOOKUP(P195,'Painel Additive'!$B:$B,'Painel Additive'!$B:$B,0)</f>
        <v>AURORA MINERAÇÃO LTDA</v>
      </c>
      <c r="S195">
        <f t="shared" si="7"/>
        <v>70</v>
      </c>
    </row>
    <row r="196" spans="1:20" x14ac:dyDescent="0.25">
      <c r="A196" s="410">
        <v>2011</v>
      </c>
      <c r="B196" s="410" t="s">
        <v>726</v>
      </c>
      <c r="C196" s="410" t="s">
        <v>549</v>
      </c>
      <c r="D196" s="411">
        <v>106570.7</v>
      </c>
      <c r="E196" s="410">
        <v>1246270108</v>
      </c>
      <c r="F196" s="412">
        <v>46142</v>
      </c>
      <c r="G196" s="410"/>
      <c r="H196" s="410" t="s">
        <v>28</v>
      </c>
      <c r="I196" s="410" t="s">
        <v>29</v>
      </c>
      <c r="J196" s="410">
        <v>11036</v>
      </c>
      <c r="K196" s="412">
        <v>46114</v>
      </c>
      <c r="L196" s="410">
        <v>1010100</v>
      </c>
      <c r="M196" s="410" t="s">
        <v>35</v>
      </c>
      <c r="N196" s="410">
        <v>161</v>
      </c>
      <c r="O196" s="410" t="s">
        <v>161</v>
      </c>
      <c r="P196" s="410" t="s">
        <v>726</v>
      </c>
      <c r="Q196">
        <f t="shared" si="6"/>
        <v>-6</v>
      </c>
      <c r="R196" t="str">
        <f>_xlfn.XLOOKUP(P196,'Painel Additive'!$B:$B,'Painel Additive'!$B:$B,0)</f>
        <v>FERTGROW S.A</v>
      </c>
      <c r="S196">
        <f t="shared" si="7"/>
        <v>28</v>
      </c>
    </row>
    <row r="197" spans="1:20" x14ac:dyDescent="0.25">
      <c r="A197" s="410">
        <v>2011</v>
      </c>
      <c r="B197" s="410" t="s">
        <v>726</v>
      </c>
      <c r="C197" s="410" t="s">
        <v>549</v>
      </c>
      <c r="D197" s="411">
        <v>105829.4</v>
      </c>
      <c r="E197" s="410">
        <v>1246271331</v>
      </c>
      <c r="F197" s="412">
        <v>46154</v>
      </c>
      <c r="G197" s="410"/>
      <c r="H197" s="410" t="s">
        <v>28</v>
      </c>
      <c r="I197" s="410" t="s">
        <v>29</v>
      </c>
      <c r="J197" s="410">
        <v>11121</v>
      </c>
      <c r="K197" s="412">
        <v>46126</v>
      </c>
      <c r="L197" s="410">
        <v>1010100</v>
      </c>
      <c r="M197" s="410" t="s">
        <v>35</v>
      </c>
      <c r="N197" s="410">
        <v>161</v>
      </c>
      <c r="O197" s="410" t="s">
        <v>161</v>
      </c>
      <c r="P197" s="410" t="s">
        <v>726</v>
      </c>
      <c r="Q197">
        <f t="shared" si="6"/>
        <v>-18</v>
      </c>
      <c r="R197" t="str">
        <f>_xlfn.XLOOKUP(P197,'Painel Additive'!$B:$B,'Painel Additive'!$B:$B,0)</f>
        <v>FERTGROW S.A</v>
      </c>
      <c r="S197">
        <f t="shared" si="7"/>
        <v>28</v>
      </c>
    </row>
    <row r="198" spans="1:20" x14ac:dyDescent="0.25">
      <c r="A198" s="410">
        <v>31</v>
      </c>
      <c r="B198" s="410" t="s">
        <v>290</v>
      </c>
      <c r="C198" s="410" t="s">
        <v>923</v>
      </c>
      <c r="D198" s="411">
        <v>120000</v>
      </c>
      <c r="E198" s="410">
        <v>1246269899</v>
      </c>
      <c r="F198" s="412">
        <v>46141</v>
      </c>
      <c r="G198" s="410"/>
      <c r="H198" s="410" t="s">
        <v>28</v>
      </c>
      <c r="I198" s="410" t="s">
        <v>29</v>
      </c>
      <c r="J198" s="410">
        <v>2861</v>
      </c>
      <c r="K198" s="412">
        <v>46113</v>
      </c>
      <c r="L198" s="410">
        <v>1010100</v>
      </c>
      <c r="M198" s="410" t="s">
        <v>35</v>
      </c>
      <c r="N198" s="410">
        <v>161</v>
      </c>
      <c r="O198" s="410" t="s">
        <v>161</v>
      </c>
      <c r="P198" s="410" t="s">
        <v>290</v>
      </c>
      <c r="Q198">
        <f t="shared" si="6"/>
        <v>-5</v>
      </c>
      <c r="R198" t="str">
        <f>_xlfn.XLOOKUP(P198,'Painel Additive'!$B:$B,'Painel Additive'!$B:$B,0)</f>
        <v>SUL GOIANA - GOIATUBA</v>
      </c>
      <c r="S198">
        <f t="shared" si="7"/>
        <v>28</v>
      </c>
    </row>
    <row r="199" spans="1:20" x14ac:dyDescent="0.25">
      <c r="A199" s="410">
        <v>2247</v>
      </c>
      <c r="B199" s="410" t="s">
        <v>493</v>
      </c>
      <c r="C199" s="410" t="s">
        <v>927</v>
      </c>
      <c r="D199" s="411">
        <v>12189</v>
      </c>
      <c r="E199" s="410">
        <v>1246272759</v>
      </c>
      <c r="F199" s="412">
        <v>46167</v>
      </c>
      <c r="G199" s="410"/>
      <c r="H199" s="410" t="s">
        <v>28</v>
      </c>
      <c r="I199" s="410" t="s">
        <v>29</v>
      </c>
      <c r="J199" s="410">
        <v>2896</v>
      </c>
      <c r="K199" s="412">
        <v>46139</v>
      </c>
      <c r="L199" s="410">
        <v>1010100</v>
      </c>
      <c r="M199" s="410" t="s">
        <v>35</v>
      </c>
      <c r="N199" s="410">
        <v>161</v>
      </c>
      <c r="O199" s="410" t="s">
        <v>161</v>
      </c>
      <c r="P199" s="410" t="s">
        <v>493</v>
      </c>
      <c r="Q199">
        <f t="shared" si="6"/>
        <v>-31</v>
      </c>
      <c r="R199" t="str">
        <f>_xlfn.XLOOKUP(P199,'Painel Additive'!$B:$B,'Painel Additive'!$B:$B,0)</f>
        <v>ADUBOS LEAO - LARANJEIRAS</v>
      </c>
      <c r="S199">
        <f t="shared" si="7"/>
        <v>28</v>
      </c>
    </row>
    <row r="200" spans="1:20" x14ac:dyDescent="0.25">
      <c r="A200" s="410">
        <v>2247</v>
      </c>
      <c r="B200" s="410" t="s">
        <v>493</v>
      </c>
      <c r="C200" s="410" t="s">
        <v>927</v>
      </c>
      <c r="D200" s="411">
        <v>12189</v>
      </c>
      <c r="E200" s="410">
        <v>1246272760</v>
      </c>
      <c r="F200" s="412">
        <v>46195</v>
      </c>
      <c r="G200" s="410"/>
      <c r="H200" s="410" t="s">
        <v>28</v>
      </c>
      <c r="I200" s="410" t="s">
        <v>29</v>
      </c>
      <c r="J200" s="410">
        <v>2896</v>
      </c>
      <c r="K200" s="412">
        <v>46139</v>
      </c>
      <c r="L200" s="410">
        <v>1010100</v>
      </c>
      <c r="M200" s="410" t="s">
        <v>35</v>
      </c>
      <c r="N200" s="410">
        <v>161</v>
      </c>
      <c r="O200" s="410" t="s">
        <v>161</v>
      </c>
      <c r="P200" s="410" t="s">
        <v>493</v>
      </c>
      <c r="Q200">
        <f t="shared" si="6"/>
        <v>-59</v>
      </c>
      <c r="R200" t="str">
        <f>_xlfn.XLOOKUP(P200,'Painel Additive'!$B:$B,'Painel Additive'!$B:$B,0)</f>
        <v>ADUBOS LEAO - LARANJEIRAS</v>
      </c>
      <c r="S200">
        <f t="shared" si="7"/>
        <v>56</v>
      </c>
    </row>
    <row r="201" spans="1:20" x14ac:dyDescent="0.25">
      <c r="A201" s="410">
        <v>2247</v>
      </c>
      <c r="B201" s="410" t="s">
        <v>493</v>
      </c>
      <c r="C201" s="410" t="s">
        <v>927</v>
      </c>
      <c r="D201" s="411">
        <v>956</v>
      </c>
      <c r="E201" s="410">
        <v>1246272577</v>
      </c>
      <c r="F201" s="412">
        <v>46164</v>
      </c>
      <c r="G201" s="410"/>
      <c r="H201" s="410" t="s">
        <v>28</v>
      </c>
      <c r="I201" s="410" t="s">
        <v>29</v>
      </c>
      <c r="J201" s="410">
        <v>2892</v>
      </c>
      <c r="K201" s="412">
        <v>46136</v>
      </c>
      <c r="L201" s="410">
        <v>1010100</v>
      </c>
      <c r="M201" s="410" t="s">
        <v>35</v>
      </c>
      <c r="N201" s="410">
        <v>161</v>
      </c>
      <c r="O201" s="410" t="s">
        <v>161</v>
      </c>
      <c r="P201" s="410" t="s">
        <v>493</v>
      </c>
      <c r="Q201">
        <f t="shared" si="6"/>
        <v>-28</v>
      </c>
      <c r="R201" t="str">
        <f>_xlfn.XLOOKUP(P201,'Painel Additive'!$B:$B,'Painel Additive'!$B:$B,0)</f>
        <v>ADUBOS LEAO - LARANJEIRAS</v>
      </c>
      <c r="S201">
        <f t="shared" si="7"/>
        <v>28</v>
      </c>
    </row>
    <row r="202" spans="1:20" x14ac:dyDescent="0.25">
      <c r="A202" s="410">
        <v>2247</v>
      </c>
      <c r="B202" s="410" t="s">
        <v>493</v>
      </c>
      <c r="C202" s="410" t="s">
        <v>927</v>
      </c>
      <c r="D202" s="411">
        <v>956</v>
      </c>
      <c r="E202" s="410">
        <v>1246272578</v>
      </c>
      <c r="F202" s="412">
        <v>46192</v>
      </c>
      <c r="G202" s="410"/>
      <c r="H202" s="410" t="s">
        <v>28</v>
      </c>
      <c r="I202" s="410" t="s">
        <v>29</v>
      </c>
      <c r="J202" s="410">
        <v>2892</v>
      </c>
      <c r="K202" s="412">
        <v>46136</v>
      </c>
      <c r="L202" s="410">
        <v>1010100</v>
      </c>
      <c r="M202" s="410" t="s">
        <v>35</v>
      </c>
      <c r="N202" s="410">
        <v>161</v>
      </c>
      <c r="O202" s="410" t="s">
        <v>161</v>
      </c>
      <c r="P202" s="410" t="s">
        <v>493</v>
      </c>
      <c r="Q202">
        <f t="shared" ref="Q202:Q203" si="8">$R$1-F202</f>
        <v>-56</v>
      </c>
      <c r="R202" t="str">
        <f>_xlfn.XLOOKUP(P202,'Painel Additive'!$B:$B,'Painel Additive'!$B:$B,0)</f>
        <v>ADUBOS LEAO - LARANJEIRAS</v>
      </c>
      <c r="S202">
        <f t="shared" ref="S202:S203" si="9">F202-K202</f>
        <v>56</v>
      </c>
    </row>
    <row r="203" spans="1:20" x14ac:dyDescent="0.25">
      <c r="A203" s="410">
        <v>3142</v>
      </c>
      <c r="B203" s="410" t="s">
        <v>89</v>
      </c>
      <c r="C203" s="410" t="s">
        <v>879</v>
      </c>
      <c r="D203" s="411">
        <v>44919</v>
      </c>
      <c r="E203" s="410">
        <v>1246272504</v>
      </c>
      <c r="F203" s="412">
        <v>46164</v>
      </c>
      <c r="G203" s="410"/>
      <c r="H203" s="410" t="s">
        <v>28</v>
      </c>
      <c r="I203" s="410" t="s">
        <v>29</v>
      </c>
      <c r="J203" s="410">
        <v>11215</v>
      </c>
      <c r="K203" s="412">
        <v>46136</v>
      </c>
      <c r="L203" s="410">
        <v>1010100</v>
      </c>
      <c r="M203" s="410" t="s">
        <v>35</v>
      </c>
      <c r="N203" s="410">
        <v>161</v>
      </c>
      <c r="O203" s="410" t="s">
        <v>161</v>
      </c>
      <c r="P203" s="410" t="s">
        <v>89</v>
      </c>
      <c r="Q203">
        <f t="shared" si="8"/>
        <v>-28</v>
      </c>
      <c r="R203" t="str">
        <f>_xlfn.XLOOKUP(P203,'Painel Additive'!$B:$B,'Painel Additive'!$B:$B,0)</f>
        <v>INTERFERTIL - SAO FRANCISCO DO SUL</v>
      </c>
      <c r="S203">
        <f t="shared" si="9"/>
        <v>28</v>
      </c>
    </row>
    <row r="204" spans="1:20" x14ac:dyDescent="0.25">
      <c r="A204" s="410">
        <v>2900</v>
      </c>
      <c r="B204" s="410" t="s">
        <v>550</v>
      </c>
      <c r="C204" s="410" t="s">
        <v>884</v>
      </c>
      <c r="D204" s="411">
        <v>17017.16</v>
      </c>
      <c r="E204" s="410">
        <v>1246267967</v>
      </c>
      <c r="F204" s="412">
        <v>46157</v>
      </c>
      <c r="G204" s="410"/>
      <c r="H204" s="410" t="s">
        <v>28</v>
      </c>
      <c r="I204" s="410" t="s">
        <v>29</v>
      </c>
      <c r="J204" s="410">
        <v>10901</v>
      </c>
      <c r="K204" s="412">
        <v>46097</v>
      </c>
      <c r="L204" s="410">
        <v>1010100</v>
      </c>
      <c r="M204" s="410" t="s">
        <v>35</v>
      </c>
      <c r="N204" s="410">
        <v>161</v>
      </c>
      <c r="O204" s="410" t="s">
        <v>161</v>
      </c>
      <c r="P204" s="410" t="s">
        <v>550</v>
      </c>
      <c r="Q204">
        <f t="shared" ref="Q204:Q217" si="10">$R$1-F204</f>
        <v>-21</v>
      </c>
      <c r="R204" t="str">
        <f>_xlfn.XLOOKUP(P204,'Painel Additive'!$B:$B,'Painel Additive'!$B:$B,0)</f>
        <v>BIOSAFRA - MARUIM</v>
      </c>
      <c r="S204">
        <f t="shared" ref="S204:S217" si="11">F204-K204</f>
        <v>60</v>
      </c>
    </row>
    <row r="205" spans="1:20" x14ac:dyDescent="0.25">
      <c r="A205" s="410">
        <v>2900</v>
      </c>
      <c r="B205" s="410" t="s">
        <v>550</v>
      </c>
      <c r="C205" s="410" t="s">
        <v>884</v>
      </c>
      <c r="D205" s="411">
        <v>17017.16</v>
      </c>
      <c r="E205" s="410">
        <v>1246267968</v>
      </c>
      <c r="F205" s="412">
        <v>46187</v>
      </c>
      <c r="G205" s="410"/>
      <c r="H205" s="410" t="s">
        <v>28</v>
      </c>
      <c r="I205" s="410" t="s">
        <v>29</v>
      </c>
      <c r="J205" s="410">
        <v>10901</v>
      </c>
      <c r="K205" s="412">
        <v>46097</v>
      </c>
      <c r="L205" s="410">
        <v>1010100</v>
      </c>
      <c r="M205" s="410" t="s">
        <v>35</v>
      </c>
      <c r="N205" s="410">
        <v>161</v>
      </c>
      <c r="O205" s="410" t="s">
        <v>161</v>
      </c>
      <c r="P205" s="410" t="s">
        <v>550</v>
      </c>
      <c r="Q205">
        <f t="shared" si="10"/>
        <v>-51</v>
      </c>
      <c r="R205" t="str">
        <f>_xlfn.XLOOKUP(P205,'Painel Additive'!$B:$B,'Painel Additive'!$B:$B,0)</f>
        <v>BIOSAFRA - MARUIM</v>
      </c>
      <c r="S205">
        <f t="shared" si="11"/>
        <v>90</v>
      </c>
    </row>
    <row r="206" spans="1:20" x14ac:dyDescent="0.25">
      <c r="A206" s="410">
        <v>2900</v>
      </c>
      <c r="B206" s="410" t="s">
        <v>550</v>
      </c>
      <c r="C206" s="410" t="s">
        <v>884</v>
      </c>
      <c r="D206" s="411">
        <v>32495.81</v>
      </c>
      <c r="E206" s="410">
        <v>1246267972</v>
      </c>
      <c r="F206" s="412">
        <v>46157</v>
      </c>
      <c r="G206" s="410"/>
      <c r="H206" s="410" t="s">
        <v>28</v>
      </c>
      <c r="I206" s="410" t="s">
        <v>29</v>
      </c>
      <c r="J206" s="410">
        <v>10902</v>
      </c>
      <c r="K206" s="412">
        <v>46097</v>
      </c>
      <c r="L206" s="410">
        <v>1010100</v>
      </c>
      <c r="M206" s="410" t="s">
        <v>35</v>
      </c>
      <c r="N206" s="410">
        <v>161</v>
      </c>
      <c r="O206" s="410" t="s">
        <v>161</v>
      </c>
      <c r="P206" s="410" t="s">
        <v>550</v>
      </c>
      <c r="Q206">
        <f t="shared" si="10"/>
        <v>-21</v>
      </c>
      <c r="R206" t="str">
        <f>_xlfn.XLOOKUP(P206,'Painel Additive'!$B:$B,'Painel Additive'!$B:$B,0)</f>
        <v>BIOSAFRA - MARUIM</v>
      </c>
      <c r="S206">
        <f t="shared" si="11"/>
        <v>60</v>
      </c>
    </row>
    <row r="207" spans="1:20" x14ac:dyDescent="0.25">
      <c r="A207" s="410">
        <v>2900</v>
      </c>
      <c r="B207" s="410" t="s">
        <v>550</v>
      </c>
      <c r="C207" s="410" t="s">
        <v>884</v>
      </c>
      <c r="D207" s="411">
        <v>32495.82</v>
      </c>
      <c r="E207" s="410">
        <v>1246267973</v>
      </c>
      <c r="F207" s="412">
        <v>46187</v>
      </c>
      <c r="G207" s="410"/>
      <c r="H207" s="410" t="s">
        <v>28</v>
      </c>
      <c r="I207" s="410" t="s">
        <v>29</v>
      </c>
      <c r="J207" s="410">
        <v>10902</v>
      </c>
      <c r="K207" s="412">
        <v>46097</v>
      </c>
      <c r="L207" s="410">
        <v>1010100</v>
      </c>
      <c r="M207" s="410" t="s">
        <v>35</v>
      </c>
      <c r="N207" s="410">
        <v>161</v>
      </c>
      <c r="O207" s="410" t="s">
        <v>161</v>
      </c>
      <c r="P207" s="410" t="s">
        <v>550</v>
      </c>
      <c r="Q207">
        <f t="shared" si="10"/>
        <v>-51</v>
      </c>
      <c r="R207" t="str">
        <f>_xlfn.XLOOKUP(P207,'Painel Additive'!$B:$B,'Painel Additive'!$B:$B,0)</f>
        <v>BIOSAFRA - MARUIM</v>
      </c>
      <c r="S207">
        <f t="shared" si="11"/>
        <v>90</v>
      </c>
    </row>
    <row r="208" spans="1:20" x14ac:dyDescent="0.25">
      <c r="A208" s="410">
        <v>2622</v>
      </c>
      <c r="B208" s="410" t="s">
        <v>83</v>
      </c>
      <c r="C208" s="410" t="s">
        <v>565</v>
      </c>
      <c r="D208" s="411">
        <v>410856.52</v>
      </c>
      <c r="E208" s="410">
        <v>1246268936</v>
      </c>
      <c r="F208" s="412">
        <v>46196</v>
      </c>
      <c r="G208" s="410"/>
      <c r="H208" s="410" t="s">
        <v>28</v>
      </c>
      <c r="I208" s="410" t="s">
        <v>29</v>
      </c>
      <c r="J208" s="410">
        <v>2842</v>
      </c>
      <c r="K208" s="412">
        <v>46106</v>
      </c>
      <c r="L208" s="410">
        <v>1010100</v>
      </c>
      <c r="M208" s="410" t="s">
        <v>35</v>
      </c>
      <c r="N208" s="410">
        <v>161</v>
      </c>
      <c r="O208" s="410" t="s">
        <v>161</v>
      </c>
      <c r="P208" s="410" t="s">
        <v>83</v>
      </c>
      <c r="Q208">
        <f t="shared" si="10"/>
        <v>-60</v>
      </c>
      <c r="R208" t="str">
        <f>_xlfn.XLOOKUP(P208,'Painel Additive'!$B:$B,'Painel Additive'!$B:$B,0)</f>
        <v>ADUFERTIL JUNDIAI</v>
      </c>
      <c r="S208">
        <f t="shared" si="11"/>
        <v>90</v>
      </c>
    </row>
    <row r="209" spans="1:19" x14ac:dyDescent="0.25">
      <c r="A209" s="410">
        <v>2975</v>
      </c>
      <c r="B209" s="410" t="s">
        <v>488</v>
      </c>
      <c r="C209" s="410" t="s">
        <v>86</v>
      </c>
      <c r="D209" s="411">
        <v>80079.3</v>
      </c>
      <c r="E209" s="410">
        <v>1246271560</v>
      </c>
      <c r="F209" s="412">
        <v>46156</v>
      </c>
      <c r="G209" s="410"/>
      <c r="H209" s="410" t="s">
        <v>28</v>
      </c>
      <c r="I209" s="410" t="s">
        <v>29</v>
      </c>
      <c r="J209" s="410">
        <v>11138</v>
      </c>
      <c r="K209" s="412">
        <v>46128</v>
      </c>
      <c r="L209" s="410">
        <v>1010100</v>
      </c>
      <c r="M209" s="410" t="s">
        <v>35</v>
      </c>
      <c r="N209" s="410">
        <v>161</v>
      </c>
      <c r="O209" s="410" t="s">
        <v>161</v>
      </c>
      <c r="P209" s="410" t="s">
        <v>488</v>
      </c>
      <c r="Q209">
        <f t="shared" si="10"/>
        <v>-20</v>
      </c>
      <c r="R209" t="str">
        <f>_xlfn.XLOOKUP(P209,'Painel Additive'!$B:$B,'Painel Additive'!$B:$B,0)</f>
        <v>COONAGRO COOPERATIVA - PARANAGUA</v>
      </c>
      <c r="S209">
        <f t="shared" si="11"/>
        <v>28</v>
      </c>
    </row>
    <row r="210" spans="1:19" x14ac:dyDescent="0.25">
      <c r="A210" s="410">
        <v>5519</v>
      </c>
      <c r="B210" s="410" t="s">
        <v>303</v>
      </c>
      <c r="C210" s="410" t="s">
        <v>909</v>
      </c>
      <c r="D210" s="411">
        <v>43569.75</v>
      </c>
      <c r="E210" s="410">
        <v>1246269682</v>
      </c>
      <c r="F210" s="412">
        <v>46142</v>
      </c>
      <c r="G210" s="410"/>
      <c r="H210" s="410" t="s">
        <v>28</v>
      </c>
      <c r="I210" s="410" t="s">
        <v>29</v>
      </c>
      <c r="J210" s="410">
        <v>11012</v>
      </c>
      <c r="K210" s="412">
        <v>46112</v>
      </c>
      <c r="L210" s="410">
        <v>1010100</v>
      </c>
      <c r="M210" s="410" t="s">
        <v>35</v>
      </c>
      <c r="N210" s="410">
        <v>161</v>
      </c>
      <c r="O210" s="410" t="s">
        <v>161</v>
      </c>
      <c r="P210" s="410" t="s">
        <v>303</v>
      </c>
      <c r="Q210">
        <f t="shared" si="10"/>
        <v>-6</v>
      </c>
      <c r="R210" t="str">
        <f>_xlfn.XLOOKUP(P210,'Painel Additive'!$B:$B,'Painel Additive'!$B:$B,0)</f>
        <v>GRANUPAR - RIO BRANCO DO SUL</v>
      </c>
      <c r="S210">
        <f t="shared" si="11"/>
        <v>30</v>
      </c>
    </row>
    <row r="211" spans="1:19" x14ac:dyDescent="0.25">
      <c r="A211" s="410">
        <v>5519</v>
      </c>
      <c r="B211" s="410" t="s">
        <v>303</v>
      </c>
      <c r="C211" s="410" t="s">
        <v>909</v>
      </c>
      <c r="D211" s="411">
        <v>43569.75</v>
      </c>
      <c r="E211" s="410">
        <v>1246269683</v>
      </c>
      <c r="F211" s="412">
        <v>46172</v>
      </c>
      <c r="G211" s="410"/>
      <c r="H211" s="410" t="s">
        <v>28</v>
      </c>
      <c r="I211" s="410" t="s">
        <v>29</v>
      </c>
      <c r="J211" s="410">
        <v>11012</v>
      </c>
      <c r="K211" s="412">
        <v>46112</v>
      </c>
      <c r="L211" s="410">
        <v>1010100</v>
      </c>
      <c r="M211" s="410" t="s">
        <v>35</v>
      </c>
      <c r="N211" s="410">
        <v>161</v>
      </c>
      <c r="O211" s="410" t="s">
        <v>161</v>
      </c>
      <c r="P211" s="410" t="s">
        <v>303</v>
      </c>
      <c r="Q211">
        <f t="shared" si="10"/>
        <v>-36</v>
      </c>
      <c r="R211" t="str">
        <f>_xlfn.XLOOKUP(P211,'Painel Additive'!$B:$B,'Painel Additive'!$B:$B,0)</f>
        <v>GRANUPAR - RIO BRANCO DO SUL</v>
      </c>
      <c r="S211">
        <f t="shared" si="11"/>
        <v>60</v>
      </c>
    </row>
    <row r="212" spans="1:19" x14ac:dyDescent="0.25">
      <c r="A212" s="410">
        <v>6177</v>
      </c>
      <c r="B212" s="410" t="s">
        <v>744</v>
      </c>
      <c r="C212" s="410" t="s">
        <v>821</v>
      </c>
      <c r="D212" s="411">
        <v>121852</v>
      </c>
      <c r="E212" s="410">
        <v>1246269467</v>
      </c>
      <c r="F212" s="412">
        <v>46168</v>
      </c>
      <c r="G212" s="410"/>
      <c r="H212" s="410" t="s">
        <v>28</v>
      </c>
      <c r="I212" s="410" t="s">
        <v>29</v>
      </c>
      <c r="J212" s="410">
        <v>10994</v>
      </c>
      <c r="K212" s="412">
        <v>46108</v>
      </c>
      <c r="L212" s="410">
        <v>1010100</v>
      </c>
      <c r="M212" s="410" t="s">
        <v>35</v>
      </c>
      <c r="N212" s="410">
        <v>161</v>
      </c>
      <c r="O212" s="410" t="s">
        <v>161</v>
      </c>
      <c r="P212" s="410" t="s">
        <v>744</v>
      </c>
      <c r="Q212">
        <f t="shared" si="10"/>
        <v>-32</v>
      </c>
      <c r="R212" t="str">
        <f>_xlfn.XLOOKUP(P212,'Painel Additive'!$B:$B,'Painel Additive'!$B:$B,0)</f>
        <v>NUTRIENTES IND DE FERTILIZANTES LTDA</v>
      </c>
      <c r="S212">
        <f t="shared" si="11"/>
        <v>60</v>
      </c>
    </row>
    <row r="213" spans="1:19" x14ac:dyDescent="0.25">
      <c r="A213" s="410">
        <v>5300</v>
      </c>
      <c r="B213" s="410" t="s">
        <v>30</v>
      </c>
      <c r="C213" s="410" t="s">
        <v>551</v>
      </c>
      <c r="D213" s="411">
        <v>173157.7</v>
      </c>
      <c r="E213" s="410">
        <v>1246271143</v>
      </c>
      <c r="F213" s="412">
        <v>46153</v>
      </c>
      <c r="G213" s="410"/>
      <c r="H213" s="410" t="s">
        <v>28</v>
      </c>
      <c r="I213" s="410" t="s">
        <v>29</v>
      </c>
      <c r="J213" s="410">
        <v>11104</v>
      </c>
      <c r="K213" s="412">
        <v>46125</v>
      </c>
      <c r="L213" s="410">
        <v>1010100</v>
      </c>
      <c r="M213" s="410" t="s">
        <v>35</v>
      </c>
      <c r="N213" s="410">
        <v>161</v>
      </c>
      <c r="O213" s="410" t="s">
        <v>161</v>
      </c>
      <c r="P213" s="410" t="s">
        <v>30</v>
      </c>
      <c r="Q213">
        <f t="shared" si="10"/>
        <v>-17</v>
      </c>
      <c r="R213" t="str">
        <f>_xlfn.XLOOKUP(P213,'Painel Additive'!$B:$B,'Painel Additive'!$B:$B,0)</f>
        <v>FOSNOR - LUIS EDUARDO MAGALHAES</v>
      </c>
      <c r="S213">
        <f t="shared" si="11"/>
        <v>28</v>
      </c>
    </row>
    <row r="214" spans="1:19" x14ac:dyDescent="0.25">
      <c r="A214" s="410">
        <v>5300</v>
      </c>
      <c r="B214" s="410" t="s">
        <v>30</v>
      </c>
      <c r="C214" s="410" t="s">
        <v>551</v>
      </c>
      <c r="D214" s="411">
        <v>175004.1</v>
      </c>
      <c r="E214" s="410">
        <v>1246270198</v>
      </c>
      <c r="F214" s="412">
        <v>46142</v>
      </c>
      <c r="G214" s="410"/>
      <c r="H214" s="410" t="s">
        <v>28</v>
      </c>
      <c r="I214" s="410" t="s">
        <v>29</v>
      </c>
      <c r="J214" s="410">
        <v>11048</v>
      </c>
      <c r="K214" s="412">
        <v>46114</v>
      </c>
      <c r="L214" s="410">
        <v>1010100</v>
      </c>
      <c r="M214" s="410" t="s">
        <v>35</v>
      </c>
      <c r="N214" s="410">
        <v>161</v>
      </c>
      <c r="O214" s="410" t="s">
        <v>161</v>
      </c>
      <c r="P214" s="410" t="s">
        <v>30</v>
      </c>
      <c r="Q214">
        <f t="shared" si="10"/>
        <v>-6</v>
      </c>
      <c r="R214" t="str">
        <f>_xlfn.XLOOKUP(P214,'Painel Additive'!$B:$B,'Painel Additive'!$B:$B,0)</f>
        <v>FOSNOR - LUIS EDUARDO MAGALHAES</v>
      </c>
      <c r="S214">
        <f t="shared" si="11"/>
        <v>28</v>
      </c>
    </row>
    <row r="215" spans="1:19" x14ac:dyDescent="0.25">
      <c r="A215" s="410">
        <v>5300</v>
      </c>
      <c r="B215" s="410" t="s">
        <v>30</v>
      </c>
      <c r="C215" s="410" t="s">
        <v>551</v>
      </c>
      <c r="D215" s="411">
        <v>175465.7</v>
      </c>
      <c r="E215" s="410">
        <v>1246269610</v>
      </c>
      <c r="F215" s="412">
        <v>46139</v>
      </c>
      <c r="G215" s="410"/>
      <c r="H215" s="410" t="s">
        <v>28</v>
      </c>
      <c r="I215" s="410" t="s">
        <v>29</v>
      </c>
      <c r="J215" s="410">
        <v>11007</v>
      </c>
      <c r="K215" s="412">
        <v>46111</v>
      </c>
      <c r="L215" s="410">
        <v>1010100</v>
      </c>
      <c r="M215" s="410" t="s">
        <v>35</v>
      </c>
      <c r="N215" s="410">
        <v>161</v>
      </c>
      <c r="O215" s="410" t="s">
        <v>161</v>
      </c>
      <c r="P215" s="410" t="s">
        <v>30</v>
      </c>
      <c r="Q215">
        <f t="shared" si="10"/>
        <v>-3</v>
      </c>
      <c r="R215" t="str">
        <f>_xlfn.XLOOKUP(P215,'Painel Additive'!$B:$B,'Painel Additive'!$B:$B,0)</f>
        <v>FOSNOR - LUIS EDUARDO MAGALHAES</v>
      </c>
      <c r="S215">
        <f t="shared" si="11"/>
        <v>28</v>
      </c>
    </row>
    <row r="216" spans="1:19" x14ac:dyDescent="0.25">
      <c r="A216" s="410">
        <v>4575</v>
      </c>
      <c r="B216" s="410" t="s">
        <v>91</v>
      </c>
      <c r="C216" s="410" t="s">
        <v>92</v>
      </c>
      <c r="D216" s="411">
        <v>20940</v>
      </c>
      <c r="E216" s="410">
        <v>1246113043</v>
      </c>
      <c r="F216" s="412">
        <v>45311</v>
      </c>
      <c r="G216" s="410"/>
      <c r="H216" s="410" t="s">
        <v>28</v>
      </c>
      <c r="I216" s="410" t="s">
        <v>29</v>
      </c>
      <c r="J216" s="410">
        <v>1821</v>
      </c>
      <c r="K216" s="412">
        <v>45233</v>
      </c>
      <c r="L216" s="410">
        <v>1010100</v>
      </c>
      <c r="M216" s="410" t="s">
        <v>35</v>
      </c>
      <c r="N216" s="410">
        <v>161</v>
      </c>
      <c r="O216" s="410" t="s">
        <v>161</v>
      </c>
      <c r="P216" s="410" t="s">
        <v>91</v>
      </c>
      <c r="Q216">
        <f t="shared" si="10"/>
        <v>825</v>
      </c>
      <c r="R216" t="str">
        <f>_xlfn.XLOOKUP(P216,'Painel Additive'!$B:$B,'Painel Additive'!$B:$B,0)</f>
        <v>GLINFERTIL - SAO FRANCISCO DO SUL</v>
      </c>
      <c r="S216">
        <f t="shared" si="11"/>
        <v>78</v>
      </c>
    </row>
    <row r="217" spans="1:19" x14ac:dyDescent="0.25">
      <c r="A217" s="410">
        <v>4577</v>
      </c>
      <c r="B217" s="410" t="s">
        <v>252</v>
      </c>
      <c r="C217" s="410" t="s">
        <v>880</v>
      </c>
      <c r="D217" s="411">
        <v>66176</v>
      </c>
      <c r="E217" s="410">
        <v>1246270080</v>
      </c>
      <c r="F217" s="412">
        <v>46142</v>
      </c>
      <c r="G217" s="410"/>
      <c r="H217" s="410" t="s">
        <v>28</v>
      </c>
      <c r="I217" s="410" t="s">
        <v>29</v>
      </c>
      <c r="J217" s="410">
        <v>11032</v>
      </c>
      <c r="K217" s="412">
        <v>46114</v>
      </c>
      <c r="L217" s="410">
        <v>1010100</v>
      </c>
      <c r="M217" s="410" t="s">
        <v>35</v>
      </c>
      <c r="N217" s="410">
        <v>161</v>
      </c>
      <c r="O217" s="410" t="s">
        <v>161</v>
      </c>
      <c r="P217" s="410" t="s">
        <v>252</v>
      </c>
      <c r="Q217">
        <f t="shared" si="10"/>
        <v>-6</v>
      </c>
      <c r="R217" t="str">
        <f>_xlfn.XLOOKUP(P217,'Painel Additive'!$B:$B,'Painel Additive'!$B:$B,0)</f>
        <v>MICROSOLO INDUSTRIAL - SETE LAGOAS</v>
      </c>
      <c r="S217">
        <f t="shared" si="11"/>
        <v>28</v>
      </c>
    </row>
    <row r="218" spans="1:19" x14ac:dyDescent="0.25">
      <c r="A218" s="410">
        <v>5657</v>
      </c>
      <c r="B218" s="410" t="s">
        <v>95</v>
      </c>
      <c r="C218" s="410" t="s">
        <v>910</v>
      </c>
      <c r="D218" s="411">
        <v>20520</v>
      </c>
      <c r="E218" s="410">
        <v>1246269700</v>
      </c>
      <c r="F218" s="412">
        <v>46140</v>
      </c>
      <c r="G218" s="410"/>
      <c r="H218" s="410" t="s">
        <v>28</v>
      </c>
      <c r="I218" s="410" t="s">
        <v>29</v>
      </c>
      <c r="J218" s="410">
        <v>11013</v>
      </c>
      <c r="K218" s="412">
        <v>46112</v>
      </c>
      <c r="L218" s="410">
        <v>1010100</v>
      </c>
      <c r="M218" s="410" t="s">
        <v>35</v>
      </c>
      <c r="N218" s="410">
        <v>161</v>
      </c>
      <c r="O218" s="410" t="s">
        <v>161</v>
      </c>
      <c r="P218" s="410" t="s">
        <v>95</v>
      </c>
      <c r="Q218">
        <f t="shared" ref="Q218:Q227" si="12">$R$1-F218</f>
        <v>-4</v>
      </c>
      <c r="R218" t="str">
        <f>_xlfn.XLOOKUP(P218,'Painel Additive'!$B:$B,'Painel Additive'!$B:$B,0)</f>
        <v>FERTIPLANTA - VARGEM GRANDE DO SUL</v>
      </c>
      <c r="S218">
        <f t="shared" ref="S218:S227" si="13">F218-K218</f>
        <v>28</v>
      </c>
    </row>
    <row r="219" spans="1:19" x14ac:dyDescent="0.25">
      <c r="A219" s="410">
        <v>5657</v>
      </c>
      <c r="B219" s="410" t="s">
        <v>95</v>
      </c>
      <c r="C219" s="410" t="s">
        <v>910</v>
      </c>
      <c r="D219" s="411">
        <v>32320</v>
      </c>
      <c r="E219" s="410">
        <v>1246269757</v>
      </c>
      <c r="F219" s="412">
        <v>46140</v>
      </c>
      <c r="G219" s="410"/>
      <c r="H219" s="410" t="s">
        <v>28</v>
      </c>
      <c r="I219" s="410" t="s">
        <v>29</v>
      </c>
      <c r="J219" s="410">
        <v>2857</v>
      </c>
      <c r="K219" s="412">
        <v>46112</v>
      </c>
      <c r="L219" s="410">
        <v>1010100</v>
      </c>
      <c r="M219" s="410" t="s">
        <v>35</v>
      </c>
      <c r="N219" s="410">
        <v>161</v>
      </c>
      <c r="O219" s="410" t="s">
        <v>161</v>
      </c>
      <c r="P219" s="410" t="s">
        <v>95</v>
      </c>
      <c r="Q219">
        <f t="shared" si="12"/>
        <v>-4</v>
      </c>
      <c r="R219" t="str">
        <f>_xlfn.XLOOKUP(P219,'Painel Additive'!$B:$B,'Painel Additive'!$B:$B,0)</f>
        <v>FERTIPLANTA - VARGEM GRANDE DO SUL</v>
      </c>
      <c r="S219">
        <f t="shared" si="13"/>
        <v>28</v>
      </c>
    </row>
    <row r="220" spans="1:19" x14ac:dyDescent="0.25">
      <c r="A220" s="410">
        <v>7022</v>
      </c>
      <c r="B220" s="410" t="s">
        <v>792</v>
      </c>
      <c r="C220" s="410" t="s">
        <v>101</v>
      </c>
      <c r="D220" s="411">
        <v>70894.399999999994</v>
      </c>
      <c r="E220" s="410">
        <v>1246266057</v>
      </c>
      <c r="F220" s="412">
        <v>46143</v>
      </c>
      <c r="G220" s="410"/>
      <c r="H220" s="410" t="s">
        <v>28</v>
      </c>
      <c r="I220" s="410" t="s">
        <v>29</v>
      </c>
      <c r="J220" s="410">
        <v>10798</v>
      </c>
      <c r="K220" s="412">
        <v>46083</v>
      </c>
      <c r="L220" s="410">
        <v>1010100</v>
      </c>
      <c r="M220" s="410" t="s">
        <v>35</v>
      </c>
      <c r="N220" s="410">
        <v>161</v>
      </c>
      <c r="O220" s="410" t="s">
        <v>161</v>
      </c>
      <c r="P220" s="410" t="s">
        <v>792</v>
      </c>
      <c r="Q220">
        <f t="shared" si="12"/>
        <v>-7</v>
      </c>
      <c r="R220" t="str">
        <f>_xlfn.XLOOKUP(P220,'Painel Additive'!$B:$B,'Painel Additive'!$B:$B,0)</f>
        <v>STRATOS/MOSAIC - ROSARIO DO CATETE</v>
      </c>
      <c r="S220">
        <f t="shared" si="13"/>
        <v>60</v>
      </c>
    </row>
    <row r="221" spans="1:19" x14ac:dyDescent="0.25">
      <c r="A221" s="410">
        <v>7022</v>
      </c>
      <c r="B221" s="410" t="s">
        <v>792</v>
      </c>
      <c r="C221" s="410" t="s">
        <v>101</v>
      </c>
      <c r="D221" s="411">
        <v>70658.399999999994</v>
      </c>
      <c r="E221" s="410">
        <v>1246270917</v>
      </c>
      <c r="F221" s="412">
        <v>46211</v>
      </c>
      <c r="G221" s="410"/>
      <c r="H221" s="410" t="s">
        <v>28</v>
      </c>
      <c r="I221" s="410" t="s">
        <v>29</v>
      </c>
      <c r="J221" s="410">
        <v>11081</v>
      </c>
      <c r="K221" s="412">
        <v>46121</v>
      </c>
      <c r="L221" s="410">
        <v>1010100</v>
      </c>
      <c r="M221" s="410" t="s">
        <v>35</v>
      </c>
      <c r="N221" s="410">
        <v>161</v>
      </c>
      <c r="O221" s="410" t="s">
        <v>161</v>
      </c>
      <c r="P221" s="410" t="s">
        <v>792</v>
      </c>
      <c r="Q221">
        <f t="shared" si="12"/>
        <v>-75</v>
      </c>
      <c r="R221" t="str">
        <f>_xlfn.XLOOKUP(P221,'Painel Additive'!$B:$B,'Painel Additive'!$B:$B,0)</f>
        <v>STRATOS/MOSAIC - ROSARIO DO CATETE</v>
      </c>
      <c r="S221">
        <f t="shared" si="13"/>
        <v>90</v>
      </c>
    </row>
    <row r="222" spans="1:19" x14ac:dyDescent="0.25">
      <c r="A222" s="410">
        <v>7022</v>
      </c>
      <c r="B222" s="410" t="s">
        <v>792</v>
      </c>
      <c r="C222" s="410" t="s">
        <v>101</v>
      </c>
      <c r="D222" s="411">
        <v>70894.399999999994</v>
      </c>
      <c r="E222" s="410">
        <v>1246270966</v>
      </c>
      <c r="F222" s="412">
        <v>46212</v>
      </c>
      <c r="G222" s="410"/>
      <c r="H222" s="410" t="s">
        <v>28</v>
      </c>
      <c r="I222" s="410" t="s">
        <v>29</v>
      </c>
      <c r="J222" s="410">
        <v>11087</v>
      </c>
      <c r="K222" s="412">
        <v>46122</v>
      </c>
      <c r="L222" s="410">
        <v>1010100</v>
      </c>
      <c r="M222" s="410" t="s">
        <v>35</v>
      </c>
      <c r="N222" s="410">
        <v>161</v>
      </c>
      <c r="O222" s="410" t="s">
        <v>161</v>
      </c>
      <c r="P222" s="410" t="s">
        <v>792</v>
      </c>
      <c r="Q222">
        <f t="shared" si="12"/>
        <v>-76</v>
      </c>
      <c r="R222" t="str">
        <f>_xlfn.XLOOKUP(P222,'Painel Additive'!$B:$B,'Painel Additive'!$B:$B,0)</f>
        <v>STRATOS/MOSAIC - ROSARIO DO CATETE</v>
      </c>
      <c r="S222">
        <f t="shared" si="13"/>
        <v>90</v>
      </c>
    </row>
    <row r="223" spans="1:19" x14ac:dyDescent="0.25">
      <c r="A223" s="410">
        <v>7022</v>
      </c>
      <c r="B223" s="410" t="s">
        <v>792</v>
      </c>
      <c r="C223" s="410" t="s">
        <v>101</v>
      </c>
      <c r="D223" s="411">
        <v>70894.399999999994</v>
      </c>
      <c r="E223" s="410">
        <v>1246269324</v>
      </c>
      <c r="F223" s="412">
        <v>46197</v>
      </c>
      <c r="G223" s="410"/>
      <c r="H223" s="410" t="s">
        <v>28</v>
      </c>
      <c r="I223" s="410" t="s">
        <v>29</v>
      </c>
      <c r="J223" s="410">
        <v>10982</v>
      </c>
      <c r="K223" s="412">
        <v>46107</v>
      </c>
      <c r="L223" s="410">
        <v>1010100</v>
      </c>
      <c r="M223" s="410" t="s">
        <v>35</v>
      </c>
      <c r="N223" s="410">
        <v>161</v>
      </c>
      <c r="O223" s="410" t="s">
        <v>161</v>
      </c>
      <c r="P223" s="410" t="s">
        <v>792</v>
      </c>
      <c r="Q223">
        <f t="shared" si="12"/>
        <v>-61</v>
      </c>
      <c r="R223" t="str">
        <f>_xlfn.XLOOKUP(P223,'Painel Additive'!$B:$B,'Painel Additive'!$B:$B,0)</f>
        <v>STRATOS/MOSAIC - ROSARIO DO CATETE</v>
      </c>
      <c r="S223">
        <f t="shared" si="13"/>
        <v>90</v>
      </c>
    </row>
    <row r="224" spans="1:19" x14ac:dyDescent="0.25">
      <c r="A224" s="410">
        <v>7022</v>
      </c>
      <c r="B224" s="410" t="s">
        <v>792</v>
      </c>
      <c r="C224" s="410" t="s">
        <v>101</v>
      </c>
      <c r="D224" s="411">
        <v>71154</v>
      </c>
      <c r="E224" s="410">
        <v>1246265854</v>
      </c>
      <c r="F224" s="412">
        <v>46140</v>
      </c>
      <c r="G224" s="410"/>
      <c r="H224" s="410" t="s">
        <v>28</v>
      </c>
      <c r="I224" s="410" t="s">
        <v>29</v>
      </c>
      <c r="J224" s="410">
        <v>10789</v>
      </c>
      <c r="K224" s="412">
        <v>46080</v>
      </c>
      <c r="L224" s="410">
        <v>1010100</v>
      </c>
      <c r="M224" s="410" t="s">
        <v>35</v>
      </c>
      <c r="N224" s="410">
        <v>161</v>
      </c>
      <c r="O224" s="410" t="s">
        <v>161</v>
      </c>
      <c r="P224" s="410" t="s">
        <v>792</v>
      </c>
      <c r="Q224">
        <f t="shared" si="12"/>
        <v>-4</v>
      </c>
      <c r="R224" t="str">
        <f>_xlfn.XLOOKUP(P224,'Painel Additive'!$B:$B,'Painel Additive'!$B:$B,0)</f>
        <v>STRATOS/MOSAIC - ROSARIO DO CATETE</v>
      </c>
      <c r="S224">
        <f t="shared" si="13"/>
        <v>60</v>
      </c>
    </row>
    <row r="225" spans="1:19" x14ac:dyDescent="0.25">
      <c r="A225" s="410">
        <v>7022</v>
      </c>
      <c r="B225" s="410" t="s">
        <v>792</v>
      </c>
      <c r="C225" s="410" t="s">
        <v>101</v>
      </c>
      <c r="D225" s="411">
        <v>70705.600000000006</v>
      </c>
      <c r="E225" s="410">
        <v>1246268533</v>
      </c>
      <c r="F225" s="412">
        <v>46191</v>
      </c>
      <c r="G225" s="410"/>
      <c r="H225" s="410" t="s">
        <v>28</v>
      </c>
      <c r="I225" s="410" t="s">
        <v>29</v>
      </c>
      <c r="J225" s="410">
        <v>10943</v>
      </c>
      <c r="K225" s="412">
        <v>46101</v>
      </c>
      <c r="L225" s="410">
        <v>1010100</v>
      </c>
      <c r="M225" s="410" t="s">
        <v>35</v>
      </c>
      <c r="N225" s="410">
        <v>161</v>
      </c>
      <c r="O225" s="410" t="s">
        <v>161</v>
      </c>
      <c r="P225" s="410" t="s">
        <v>792</v>
      </c>
      <c r="Q225">
        <f t="shared" si="12"/>
        <v>-55</v>
      </c>
      <c r="R225" t="str">
        <f>_xlfn.XLOOKUP(P225,'Painel Additive'!$B:$B,'Painel Additive'!$B:$B,0)</f>
        <v>STRATOS/MOSAIC - ROSARIO DO CATETE</v>
      </c>
      <c r="S225">
        <f t="shared" si="13"/>
        <v>90</v>
      </c>
    </row>
    <row r="226" spans="1:19" x14ac:dyDescent="0.25">
      <c r="A226" s="410">
        <v>7022</v>
      </c>
      <c r="B226" s="410" t="s">
        <v>792</v>
      </c>
      <c r="C226" s="410" t="s">
        <v>101</v>
      </c>
      <c r="D226" s="411">
        <v>70516.800000000003</v>
      </c>
      <c r="E226" s="410">
        <v>1246270817</v>
      </c>
      <c r="F226" s="412">
        <v>46211</v>
      </c>
      <c r="G226" s="410"/>
      <c r="H226" s="410" t="s">
        <v>28</v>
      </c>
      <c r="I226" s="410" t="s">
        <v>29</v>
      </c>
      <c r="J226" s="410">
        <v>11077</v>
      </c>
      <c r="K226" s="412">
        <v>46121</v>
      </c>
      <c r="L226" s="410">
        <v>1010100</v>
      </c>
      <c r="M226" s="410" t="s">
        <v>35</v>
      </c>
      <c r="N226" s="410">
        <v>161</v>
      </c>
      <c r="O226" s="410" t="s">
        <v>161</v>
      </c>
      <c r="P226" s="410" t="s">
        <v>792</v>
      </c>
      <c r="Q226">
        <f t="shared" si="12"/>
        <v>-75</v>
      </c>
      <c r="R226" t="str">
        <f>_xlfn.XLOOKUP(P226,'Painel Additive'!$B:$B,'Painel Additive'!$B:$B,0)</f>
        <v>STRATOS/MOSAIC - ROSARIO DO CATETE</v>
      </c>
      <c r="S226">
        <f t="shared" si="13"/>
        <v>90</v>
      </c>
    </row>
    <row r="227" spans="1:19" x14ac:dyDescent="0.25">
      <c r="A227" s="410">
        <v>7022</v>
      </c>
      <c r="B227" s="410" t="s">
        <v>792</v>
      </c>
      <c r="C227" s="410" t="s">
        <v>101</v>
      </c>
      <c r="D227" s="411">
        <v>71012.399999999994</v>
      </c>
      <c r="E227" s="410">
        <v>1246272359</v>
      </c>
      <c r="F227" s="412">
        <v>46226</v>
      </c>
      <c r="G227" s="410"/>
      <c r="H227" s="410" t="s">
        <v>28</v>
      </c>
      <c r="I227" s="410" t="s">
        <v>29</v>
      </c>
      <c r="J227" s="410">
        <v>11207</v>
      </c>
      <c r="K227" s="412">
        <v>46136</v>
      </c>
      <c r="L227" s="410">
        <v>1010100</v>
      </c>
      <c r="M227" s="410" t="s">
        <v>35</v>
      </c>
      <c r="N227" s="410">
        <v>161</v>
      </c>
      <c r="O227" s="410" t="s">
        <v>161</v>
      </c>
      <c r="P227" s="410" t="s">
        <v>792</v>
      </c>
      <c r="Q227">
        <f t="shared" si="12"/>
        <v>-90</v>
      </c>
      <c r="R227" t="str">
        <f>_xlfn.XLOOKUP(P227,'Painel Additive'!$B:$B,'Painel Additive'!$B:$B,0)</f>
        <v>STRATOS/MOSAIC - ROSARIO DO CATETE</v>
      </c>
      <c r="S227">
        <f t="shared" si="13"/>
        <v>90</v>
      </c>
    </row>
    <row r="228" spans="1:19" x14ac:dyDescent="0.25">
      <c r="A228" s="410">
        <v>7022</v>
      </c>
      <c r="B228" s="410" t="s">
        <v>792</v>
      </c>
      <c r="C228" s="410" t="s">
        <v>101</v>
      </c>
      <c r="D228" s="411">
        <v>70988.800000000003</v>
      </c>
      <c r="E228" s="410">
        <v>1246266859</v>
      </c>
      <c r="F228" s="412">
        <v>46147</v>
      </c>
      <c r="G228" s="410"/>
      <c r="H228" s="410" t="s">
        <v>28</v>
      </c>
      <c r="I228" s="410" t="s">
        <v>29</v>
      </c>
      <c r="J228" s="410">
        <v>10829</v>
      </c>
      <c r="K228" s="412">
        <v>46087</v>
      </c>
      <c r="L228" s="410">
        <v>1010100</v>
      </c>
      <c r="M228" s="410" t="s">
        <v>35</v>
      </c>
      <c r="N228" s="410">
        <v>161</v>
      </c>
      <c r="O228" s="410" t="s">
        <v>161</v>
      </c>
      <c r="P228" s="410" t="s">
        <v>792</v>
      </c>
      <c r="Q228">
        <f t="shared" ref="Q228:Q229" si="14">$R$1-F228</f>
        <v>-11</v>
      </c>
      <c r="R228" t="str">
        <f>_xlfn.XLOOKUP(P228,'Painel Additive'!$B:$B,'Painel Additive'!$B:$B,0)</f>
        <v>STRATOS/MOSAIC - ROSARIO DO CATETE</v>
      </c>
      <c r="S228">
        <f t="shared" ref="S228:S229" si="15">F228-K228</f>
        <v>60</v>
      </c>
    </row>
    <row r="229" spans="1:19" x14ac:dyDescent="0.25">
      <c r="A229" s="410">
        <v>7022</v>
      </c>
      <c r="B229" s="410" t="s">
        <v>792</v>
      </c>
      <c r="C229" s="410" t="s">
        <v>101</v>
      </c>
      <c r="D229" s="411">
        <v>70705.600000000006</v>
      </c>
      <c r="E229" s="410">
        <v>1246267824</v>
      </c>
      <c r="F229" s="412">
        <v>46157</v>
      </c>
      <c r="G229" s="410"/>
      <c r="H229" s="410" t="s">
        <v>28</v>
      </c>
      <c r="I229" s="410" t="s">
        <v>29</v>
      </c>
      <c r="J229" s="410">
        <v>10891</v>
      </c>
      <c r="K229" s="412">
        <v>46097</v>
      </c>
      <c r="L229" s="410">
        <v>1010100</v>
      </c>
      <c r="M229" s="410" t="s">
        <v>35</v>
      </c>
      <c r="N229" s="410">
        <v>161</v>
      </c>
      <c r="O229" s="410" t="s">
        <v>161</v>
      </c>
      <c r="P229" s="410" t="s">
        <v>792</v>
      </c>
      <c r="Q229">
        <f t="shared" si="14"/>
        <v>-21</v>
      </c>
      <c r="R229" t="str">
        <f>_xlfn.XLOOKUP(P229,'Painel Additive'!$B:$B,'Painel Additive'!$B:$B,0)</f>
        <v>STRATOS/MOSAIC - ROSARIO DO CATETE</v>
      </c>
      <c r="S229">
        <f t="shared" si="15"/>
        <v>60</v>
      </c>
    </row>
    <row r="230" spans="1:19" x14ac:dyDescent="0.25">
      <c r="A230" s="410">
        <v>7022</v>
      </c>
      <c r="B230" s="410" t="s">
        <v>792</v>
      </c>
      <c r="C230" s="410" t="s">
        <v>101</v>
      </c>
      <c r="D230" s="411">
        <v>71508</v>
      </c>
      <c r="E230" s="410">
        <v>1246267571</v>
      </c>
      <c r="F230" s="412">
        <v>46153</v>
      </c>
      <c r="G230" s="410"/>
      <c r="H230" s="410" t="s">
        <v>28</v>
      </c>
      <c r="I230" s="410" t="s">
        <v>29</v>
      </c>
      <c r="J230" s="410">
        <v>10871</v>
      </c>
      <c r="K230" s="412">
        <v>46093</v>
      </c>
      <c r="L230" s="410">
        <v>1010100</v>
      </c>
      <c r="M230" s="410" t="s">
        <v>35</v>
      </c>
      <c r="N230" s="410">
        <v>161</v>
      </c>
      <c r="O230" s="410" t="s">
        <v>161</v>
      </c>
      <c r="P230" s="410" t="s">
        <v>792</v>
      </c>
      <c r="Q230">
        <f t="shared" ref="Q230:Q252" si="16">$R$1-F230</f>
        <v>-17</v>
      </c>
      <c r="R230" t="str">
        <f>_xlfn.XLOOKUP(P230,'Painel Additive'!$B:$B,'Painel Additive'!$B:$B,0)</f>
        <v>STRATOS/MOSAIC - ROSARIO DO CATETE</v>
      </c>
      <c r="S230">
        <f t="shared" ref="S230:S252" si="17">F230-K230</f>
        <v>60</v>
      </c>
    </row>
    <row r="231" spans="1:19" x14ac:dyDescent="0.25">
      <c r="A231" s="410">
        <v>7022</v>
      </c>
      <c r="B231" s="410" t="s">
        <v>792</v>
      </c>
      <c r="C231" s="410" t="s">
        <v>101</v>
      </c>
      <c r="D231" s="411">
        <v>70516.800000000003</v>
      </c>
      <c r="E231" s="410">
        <v>1246270344</v>
      </c>
      <c r="F231" s="412">
        <v>46208</v>
      </c>
      <c r="G231" s="410"/>
      <c r="H231" s="410" t="s">
        <v>28</v>
      </c>
      <c r="I231" s="410" t="s">
        <v>29</v>
      </c>
      <c r="J231" s="410">
        <v>11052</v>
      </c>
      <c r="K231" s="412">
        <v>46118</v>
      </c>
      <c r="L231" s="410">
        <v>1010100</v>
      </c>
      <c r="M231" s="410" t="s">
        <v>35</v>
      </c>
      <c r="N231" s="410">
        <v>161</v>
      </c>
      <c r="O231" s="410" t="s">
        <v>161</v>
      </c>
      <c r="P231" s="410" t="s">
        <v>792</v>
      </c>
      <c r="Q231">
        <f t="shared" si="16"/>
        <v>-72</v>
      </c>
      <c r="R231" t="str">
        <f>_xlfn.XLOOKUP(P231,'Painel Additive'!$B:$B,'Painel Additive'!$B:$B,0)</f>
        <v>STRATOS/MOSAIC - ROSARIO DO CATETE</v>
      </c>
      <c r="S231">
        <f t="shared" si="17"/>
        <v>90</v>
      </c>
    </row>
    <row r="232" spans="1:19" x14ac:dyDescent="0.25">
      <c r="A232" s="410">
        <v>7022</v>
      </c>
      <c r="B232" s="410" t="s">
        <v>792</v>
      </c>
      <c r="C232" s="410" t="s">
        <v>101</v>
      </c>
      <c r="D232" s="411">
        <v>70705.600000000006</v>
      </c>
      <c r="E232" s="410">
        <v>1246271135</v>
      </c>
      <c r="F232" s="412">
        <v>46215</v>
      </c>
      <c r="G232" s="410"/>
      <c r="H232" s="410" t="s">
        <v>28</v>
      </c>
      <c r="I232" s="410" t="s">
        <v>29</v>
      </c>
      <c r="J232" s="410">
        <v>11102</v>
      </c>
      <c r="K232" s="412">
        <v>46125</v>
      </c>
      <c r="L232" s="410">
        <v>1010100</v>
      </c>
      <c r="M232" s="410" t="s">
        <v>35</v>
      </c>
      <c r="N232" s="410">
        <v>161</v>
      </c>
      <c r="O232" s="410" t="s">
        <v>161</v>
      </c>
      <c r="P232" s="410" t="s">
        <v>792</v>
      </c>
      <c r="Q232">
        <f t="shared" si="16"/>
        <v>-79</v>
      </c>
      <c r="R232" t="str">
        <f>_xlfn.XLOOKUP(P232,'Painel Additive'!$B:$B,'Painel Additive'!$B:$B,0)</f>
        <v>STRATOS/MOSAIC - ROSARIO DO CATETE</v>
      </c>
      <c r="S232">
        <f t="shared" si="17"/>
        <v>90</v>
      </c>
    </row>
    <row r="233" spans="1:19" x14ac:dyDescent="0.25">
      <c r="A233" s="410">
        <v>7022</v>
      </c>
      <c r="B233" s="410" t="s">
        <v>792</v>
      </c>
      <c r="C233" s="410" t="s">
        <v>101</v>
      </c>
      <c r="D233" s="411">
        <v>70941.600000000006</v>
      </c>
      <c r="E233" s="410">
        <v>1246271888</v>
      </c>
      <c r="F233" s="412">
        <v>46222</v>
      </c>
      <c r="G233" s="410"/>
      <c r="H233" s="410" t="s">
        <v>28</v>
      </c>
      <c r="I233" s="410" t="s">
        <v>29</v>
      </c>
      <c r="J233" s="410">
        <v>11176</v>
      </c>
      <c r="K233" s="412">
        <v>46132</v>
      </c>
      <c r="L233" s="410">
        <v>1010100</v>
      </c>
      <c r="M233" s="410" t="s">
        <v>35</v>
      </c>
      <c r="N233" s="410">
        <v>161</v>
      </c>
      <c r="O233" s="410" t="s">
        <v>161</v>
      </c>
      <c r="P233" s="410" t="s">
        <v>792</v>
      </c>
      <c r="Q233">
        <f t="shared" si="16"/>
        <v>-86</v>
      </c>
      <c r="R233" t="str">
        <f>_xlfn.XLOOKUP(P233,'Painel Additive'!$B:$B,'Painel Additive'!$B:$B,0)</f>
        <v>STRATOS/MOSAIC - ROSARIO DO CATETE</v>
      </c>
      <c r="S233">
        <f t="shared" si="17"/>
        <v>90</v>
      </c>
    </row>
    <row r="234" spans="1:19" x14ac:dyDescent="0.25">
      <c r="A234" s="410">
        <v>7022</v>
      </c>
      <c r="B234" s="410" t="s">
        <v>792</v>
      </c>
      <c r="C234" s="410" t="s">
        <v>101</v>
      </c>
      <c r="D234" s="411">
        <v>70752.800000000003</v>
      </c>
      <c r="E234" s="410">
        <v>1246265339</v>
      </c>
      <c r="F234" s="412">
        <v>46139</v>
      </c>
      <c r="G234" s="410"/>
      <c r="H234" s="410" t="s">
        <v>28</v>
      </c>
      <c r="I234" s="410" t="s">
        <v>29</v>
      </c>
      <c r="J234" s="410">
        <v>10774</v>
      </c>
      <c r="K234" s="412">
        <v>46079</v>
      </c>
      <c r="L234" s="410">
        <v>1010100</v>
      </c>
      <c r="M234" s="410" t="s">
        <v>35</v>
      </c>
      <c r="N234" s="410">
        <v>161</v>
      </c>
      <c r="O234" s="410" t="s">
        <v>161</v>
      </c>
      <c r="P234" s="410" t="s">
        <v>792</v>
      </c>
      <c r="Q234">
        <f t="shared" si="16"/>
        <v>-3</v>
      </c>
      <c r="R234" t="str">
        <f>_xlfn.XLOOKUP(P234,'Painel Additive'!$B:$B,'Painel Additive'!$B:$B,0)</f>
        <v>STRATOS/MOSAIC - ROSARIO DO CATETE</v>
      </c>
      <c r="S234">
        <f t="shared" si="17"/>
        <v>60</v>
      </c>
    </row>
    <row r="235" spans="1:19" x14ac:dyDescent="0.25">
      <c r="A235" s="410">
        <v>9830</v>
      </c>
      <c r="B235" s="410" t="s">
        <v>875</v>
      </c>
      <c r="C235" s="410" t="s">
        <v>876</v>
      </c>
      <c r="D235" s="411">
        <v>331</v>
      </c>
      <c r="E235" s="410">
        <v>1246266367</v>
      </c>
      <c r="F235" s="412">
        <v>46145</v>
      </c>
      <c r="G235" s="410"/>
      <c r="H235" s="410"/>
      <c r="I235" s="410" t="s">
        <v>373</v>
      </c>
      <c r="J235" s="410">
        <v>10813</v>
      </c>
      <c r="K235" s="412">
        <v>46085</v>
      </c>
      <c r="L235" s="410">
        <v>4011600</v>
      </c>
      <c r="M235" s="410" t="s">
        <v>702</v>
      </c>
      <c r="N235" s="410">
        <v>244</v>
      </c>
      <c r="O235" s="410" t="s">
        <v>191</v>
      </c>
      <c r="P235" s="410" t="s">
        <v>875</v>
      </c>
      <c r="Q235">
        <f t="shared" si="16"/>
        <v>-9</v>
      </c>
      <c r="R235" t="str">
        <f>_xlfn.XLOOKUP(P235,'Painel Additive'!$B:$B,'Painel Additive'!$B:$B,0)</f>
        <v>ELYMAR JOSE DA SILVA FERREIRA</v>
      </c>
      <c r="S235">
        <f t="shared" si="17"/>
        <v>60</v>
      </c>
    </row>
    <row r="236" spans="1:19" x14ac:dyDescent="0.25">
      <c r="A236" s="410">
        <v>9830</v>
      </c>
      <c r="B236" s="410" t="s">
        <v>875</v>
      </c>
      <c r="C236" s="410" t="s">
        <v>876</v>
      </c>
      <c r="D236" s="411">
        <v>331</v>
      </c>
      <c r="E236" s="410">
        <v>1246266368</v>
      </c>
      <c r="F236" s="412">
        <v>46175</v>
      </c>
      <c r="G236" s="410"/>
      <c r="H236" s="410"/>
      <c r="I236" s="410" t="s">
        <v>373</v>
      </c>
      <c r="J236" s="410">
        <v>10813</v>
      </c>
      <c r="K236" s="412">
        <v>46085</v>
      </c>
      <c r="L236" s="410">
        <v>4011600</v>
      </c>
      <c r="M236" s="410" t="s">
        <v>702</v>
      </c>
      <c r="N236" s="410">
        <v>244</v>
      </c>
      <c r="O236" s="410" t="s">
        <v>191</v>
      </c>
      <c r="P236" s="410" t="s">
        <v>875</v>
      </c>
      <c r="Q236">
        <f t="shared" si="16"/>
        <v>-39</v>
      </c>
      <c r="R236" t="str">
        <f>_xlfn.XLOOKUP(P236,'Painel Additive'!$B:$B,'Painel Additive'!$B:$B,0)</f>
        <v>ELYMAR JOSE DA SILVA FERREIRA</v>
      </c>
      <c r="S236">
        <f t="shared" si="17"/>
        <v>90</v>
      </c>
    </row>
    <row r="237" spans="1:19" x14ac:dyDescent="0.25">
      <c r="A237" s="410">
        <v>11637</v>
      </c>
      <c r="B237" s="410" t="s">
        <v>735</v>
      </c>
      <c r="C237" s="410" t="s">
        <v>896</v>
      </c>
      <c r="D237" s="411">
        <v>290220</v>
      </c>
      <c r="E237" s="410">
        <v>1246272018</v>
      </c>
      <c r="F237" s="412">
        <v>46162</v>
      </c>
      <c r="G237" s="410"/>
      <c r="H237" s="410" t="s">
        <v>28</v>
      </c>
      <c r="I237" s="410" t="s">
        <v>29</v>
      </c>
      <c r="J237" s="410">
        <v>2884</v>
      </c>
      <c r="K237" s="412">
        <v>46134</v>
      </c>
      <c r="L237" s="410">
        <v>1010100</v>
      </c>
      <c r="M237" s="410" t="s">
        <v>35</v>
      </c>
      <c r="N237" s="410">
        <v>161</v>
      </c>
      <c r="O237" s="410" t="s">
        <v>161</v>
      </c>
      <c r="P237" s="410" t="s">
        <v>735</v>
      </c>
      <c r="Q237">
        <f t="shared" si="16"/>
        <v>-26</v>
      </c>
      <c r="R237" t="str">
        <f>_xlfn.XLOOKUP(P237,'Painel Additive'!$B:$B,'Painel Additive'!$B:$B,0)</f>
        <v>AGROPECUARIA MARATA LTDA - MARUIM</v>
      </c>
      <c r="S237">
        <f t="shared" si="17"/>
        <v>28</v>
      </c>
    </row>
    <row r="238" spans="1:19" x14ac:dyDescent="0.25">
      <c r="A238" s="410">
        <v>12943</v>
      </c>
      <c r="B238" s="410" t="s">
        <v>294</v>
      </c>
      <c r="C238" s="410" t="s">
        <v>401</v>
      </c>
      <c r="D238" s="411">
        <v>82290</v>
      </c>
      <c r="E238" s="410">
        <v>1246187828</v>
      </c>
      <c r="F238" s="412">
        <v>45667</v>
      </c>
      <c r="G238" s="410"/>
      <c r="H238" s="410" t="s">
        <v>28</v>
      </c>
      <c r="I238" s="410" t="s">
        <v>29</v>
      </c>
      <c r="J238" s="410">
        <v>1585</v>
      </c>
      <c r="K238" s="412">
        <v>45639</v>
      </c>
      <c r="L238" s="410">
        <v>1010100</v>
      </c>
      <c r="M238" s="410" t="s">
        <v>35</v>
      </c>
      <c r="N238" s="410">
        <v>161</v>
      </c>
      <c r="O238" s="410" t="s">
        <v>161</v>
      </c>
      <c r="P238" s="410" t="s">
        <v>294</v>
      </c>
      <c r="Q238">
        <f t="shared" si="16"/>
        <v>469</v>
      </c>
      <c r="R238" t="str">
        <f>_xlfn.XLOOKUP(P238,'Painel Additive'!$B:$B,'Painel Additive'!$B:$B,0)</f>
        <v>ITERUM - RONDONOPOLIS</v>
      </c>
      <c r="S238">
        <f t="shared" si="17"/>
        <v>28</v>
      </c>
    </row>
    <row r="239" spans="1:19" x14ac:dyDescent="0.25">
      <c r="A239" s="410">
        <v>12943</v>
      </c>
      <c r="B239" s="410" t="s">
        <v>294</v>
      </c>
      <c r="C239" s="410" t="s">
        <v>401</v>
      </c>
      <c r="D239" s="411">
        <v>82290</v>
      </c>
      <c r="E239" s="410">
        <v>1246187829</v>
      </c>
      <c r="F239" s="412">
        <v>45695</v>
      </c>
      <c r="G239" s="410"/>
      <c r="H239" s="410" t="s">
        <v>28</v>
      </c>
      <c r="I239" s="410" t="s">
        <v>29</v>
      </c>
      <c r="J239" s="410">
        <v>1585</v>
      </c>
      <c r="K239" s="412">
        <v>45639</v>
      </c>
      <c r="L239" s="410">
        <v>1010100</v>
      </c>
      <c r="M239" s="410" t="s">
        <v>35</v>
      </c>
      <c r="N239" s="410">
        <v>161</v>
      </c>
      <c r="O239" s="410" t="s">
        <v>161</v>
      </c>
      <c r="P239" s="410" t="s">
        <v>294</v>
      </c>
      <c r="Q239">
        <f t="shared" si="16"/>
        <v>441</v>
      </c>
      <c r="R239" t="str">
        <f>_xlfn.XLOOKUP(P239,'Painel Additive'!$B:$B,'Painel Additive'!$B:$B,0)</f>
        <v>ITERUM - RONDONOPOLIS</v>
      </c>
      <c r="S239">
        <f t="shared" si="17"/>
        <v>56</v>
      </c>
    </row>
    <row r="240" spans="1:19" x14ac:dyDescent="0.25">
      <c r="A240" s="410">
        <v>12943</v>
      </c>
      <c r="B240" s="410" t="s">
        <v>294</v>
      </c>
      <c r="C240" s="410" t="s">
        <v>401</v>
      </c>
      <c r="D240" s="411">
        <v>49170</v>
      </c>
      <c r="E240" s="410">
        <v>1246183176</v>
      </c>
      <c r="F240" s="412">
        <v>45642</v>
      </c>
      <c r="G240" s="410"/>
      <c r="H240" s="410" t="s">
        <v>28</v>
      </c>
      <c r="I240" s="410" t="s">
        <v>29</v>
      </c>
      <c r="J240" s="410">
        <v>6129</v>
      </c>
      <c r="K240" s="412">
        <v>45614</v>
      </c>
      <c r="L240" s="410">
        <v>1010100</v>
      </c>
      <c r="M240" s="410" t="s">
        <v>35</v>
      </c>
      <c r="N240" s="410">
        <v>161</v>
      </c>
      <c r="O240" s="410" t="s">
        <v>161</v>
      </c>
      <c r="P240" s="410" t="s">
        <v>294</v>
      </c>
      <c r="Q240">
        <f t="shared" si="16"/>
        <v>494</v>
      </c>
      <c r="R240" t="str">
        <f>_xlfn.XLOOKUP(P240,'Painel Additive'!$B:$B,'Painel Additive'!$B:$B,0)</f>
        <v>ITERUM - RONDONOPOLIS</v>
      </c>
      <c r="S240">
        <f t="shared" si="17"/>
        <v>28</v>
      </c>
    </row>
    <row r="241" spans="1:19" x14ac:dyDescent="0.25">
      <c r="A241" s="410">
        <v>12629</v>
      </c>
      <c r="B241" s="410" t="s">
        <v>120</v>
      </c>
      <c r="C241" s="410" t="s">
        <v>474</v>
      </c>
      <c r="D241" s="411">
        <v>162357</v>
      </c>
      <c r="E241" s="410">
        <v>1246269970</v>
      </c>
      <c r="F241" s="412">
        <v>46143</v>
      </c>
      <c r="G241" s="410"/>
      <c r="H241" s="410" t="s">
        <v>28</v>
      </c>
      <c r="I241" s="410" t="s">
        <v>29</v>
      </c>
      <c r="J241" s="410">
        <v>11028</v>
      </c>
      <c r="K241" s="412">
        <v>46113</v>
      </c>
      <c r="L241" s="410">
        <v>1010100</v>
      </c>
      <c r="M241" s="410" t="s">
        <v>35</v>
      </c>
      <c r="N241" s="410">
        <v>161</v>
      </c>
      <c r="O241" s="410" t="s">
        <v>161</v>
      </c>
      <c r="P241" s="410" t="s">
        <v>120</v>
      </c>
      <c r="Q241">
        <f t="shared" si="16"/>
        <v>-7</v>
      </c>
      <c r="R241" t="str">
        <f>_xlfn.XLOOKUP(P241,'Painel Additive'!$B:$B,'Painel Additive'!$B:$B,0)</f>
        <v>EUROCHEM SERRA DO SALITRE</v>
      </c>
      <c r="S241">
        <f t="shared" si="17"/>
        <v>30</v>
      </c>
    </row>
    <row r="242" spans="1:19" x14ac:dyDescent="0.25">
      <c r="A242" s="410">
        <v>12629</v>
      </c>
      <c r="B242" s="410" t="s">
        <v>120</v>
      </c>
      <c r="C242" s="410" t="s">
        <v>474</v>
      </c>
      <c r="D242" s="411">
        <v>153506.1</v>
      </c>
      <c r="E242" s="410">
        <v>1246268563</v>
      </c>
      <c r="F242" s="412">
        <v>46131</v>
      </c>
      <c r="G242" s="410"/>
      <c r="H242" s="410" t="s">
        <v>28</v>
      </c>
      <c r="I242" s="410" t="s">
        <v>29</v>
      </c>
      <c r="J242" s="410">
        <v>10948</v>
      </c>
      <c r="K242" s="412">
        <v>46101</v>
      </c>
      <c r="L242" s="410">
        <v>1010100</v>
      </c>
      <c r="M242" s="410" t="s">
        <v>35</v>
      </c>
      <c r="N242" s="410">
        <v>161</v>
      </c>
      <c r="O242" s="410" t="s">
        <v>161</v>
      </c>
      <c r="P242" s="410" t="s">
        <v>120</v>
      </c>
      <c r="Q242">
        <f t="shared" si="16"/>
        <v>5</v>
      </c>
      <c r="R242" t="str">
        <f>_xlfn.XLOOKUP(P242,'Painel Additive'!$B:$B,'Painel Additive'!$B:$B,0)</f>
        <v>EUROCHEM SERRA DO SALITRE</v>
      </c>
      <c r="S242">
        <f t="shared" si="17"/>
        <v>30</v>
      </c>
    </row>
    <row r="243" spans="1:19" x14ac:dyDescent="0.25">
      <c r="A243" s="410">
        <v>12629</v>
      </c>
      <c r="B243" s="410" t="s">
        <v>120</v>
      </c>
      <c r="C243" s="410" t="s">
        <v>474</v>
      </c>
      <c r="D243" s="411">
        <v>162465.60000000001</v>
      </c>
      <c r="E243" s="410">
        <v>1246269412</v>
      </c>
      <c r="F243" s="412">
        <v>46138</v>
      </c>
      <c r="G243" s="410"/>
      <c r="H243" s="410" t="s">
        <v>28</v>
      </c>
      <c r="I243" s="410" t="s">
        <v>29</v>
      </c>
      <c r="J243" s="410">
        <v>10987</v>
      </c>
      <c r="K243" s="412">
        <v>46108</v>
      </c>
      <c r="L243" s="410">
        <v>1010100</v>
      </c>
      <c r="M243" s="410" t="s">
        <v>35</v>
      </c>
      <c r="N243" s="410">
        <v>161</v>
      </c>
      <c r="O243" s="410" t="s">
        <v>161</v>
      </c>
      <c r="P243" s="410" t="s">
        <v>120</v>
      </c>
      <c r="Q243">
        <f t="shared" si="16"/>
        <v>-2</v>
      </c>
      <c r="R243" t="str">
        <f>_xlfn.XLOOKUP(P243,'Painel Additive'!$B:$B,'Painel Additive'!$B:$B,0)</f>
        <v>EUROCHEM SERRA DO SALITRE</v>
      </c>
      <c r="S243">
        <f t="shared" si="17"/>
        <v>30</v>
      </c>
    </row>
    <row r="244" spans="1:19" x14ac:dyDescent="0.25">
      <c r="A244" s="410">
        <v>12629</v>
      </c>
      <c r="B244" s="410" t="s">
        <v>120</v>
      </c>
      <c r="C244" s="410" t="s">
        <v>474</v>
      </c>
      <c r="D244" s="411">
        <v>153451.79999999999</v>
      </c>
      <c r="E244" s="410">
        <v>1246270416</v>
      </c>
      <c r="F244" s="412">
        <v>46148</v>
      </c>
      <c r="G244" s="410"/>
      <c r="H244" s="410" t="s">
        <v>28</v>
      </c>
      <c r="I244" s="410" t="s">
        <v>29</v>
      </c>
      <c r="J244" s="410">
        <v>11059</v>
      </c>
      <c r="K244" s="412">
        <v>46118</v>
      </c>
      <c r="L244" s="410">
        <v>1010100</v>
      </c>
      <c r="M244" s="410" t="s">
        <v>35</v>
      </c>
      <c r="N244" s="410">
        <v>161</v>
      </c>
      <c r="O244" s="410" t="s">
        <v>161</v>
      </c>
      <c r="P244" s="410" t="s">
        <v>120</v>
      </c>
      <c r="Q244">
        <f t="shared" si="16"/>
        <v>-12</v>
      </c>
      <c r="R244" t="str">
        <f>_xlfn.XLOOKUP(P244,'Painel Additive'!$B:$B,'Painel Additive'!$B:$B,0)</f>
        <v>EUROCHEM SERRA DO SALITRE</v>
      </c>
      <c r="S244">
        <f t="shared" si="17"/>
        <v>30</v>
      </c>
    </row>
    <row r="245" spans="1:19" x14ac:dyDescent="0.25">
      <c r="A245" s="410">
        <v>12629</v>
      </c>
      <c r="B245" s="410" t="s">
        <v>120</v>
      </c>
      <c r="C245" s="410" t="s">
        <v>474</v>
      </c>
      <c r="D245" s="411">
        <v>162031.20000000001</v>
      </c>
      <c r="E245" s="410">
        <v>1246271940</v>
      </c>
      <c r="F245" s="412">
        <v>46162</v>
      </c>
      <c r="G245" s="410"/>
      <c r="H245" s="410" t="s">
        <v>28</v>
      </c>
      <c r="I245" s="410" t="s">
        <v>29</v>
      </c>
      <c r="J245" s="410">
        <v>11184</v>
      </c>
      <c r="K245" s="412">
        <v>46132</v>
      </c>
      <c r="L245" s="410">
        <v>1010100</v>
      </c>
      <c r="M245" s="410" t="s">
        <v>35</v>
      </c>
      <c r="N245" s="410">
        <v>161</v>
      </c>
      <c r="O245" s="410" t="s">
        <v>161</v>
      </c>
      <c r="P245" s="410" t="s">
        <v>120</v>
      </c>
      <c r="Q245">
        <f t="shared" si="16"/>
        <v>-26</v>
      </c>
      <c r="R245" t="str">
        <f>_xlfn.XLOOKUP(P245,'Painel Additive'!$B:$B,'Painel Additive'!$B:$B,0)</f>
        <v>EUROCHEM SERRA DO SALITRE</v>
      </c>
      <c r="S245">
        <f t="shared" si="17"/>
        <v>30</v>
      </c>
    </row>
    <row r="246" spans="1:19" x14ac:dyDescent="0.25">
      <c r="A246" s="410">
        <v>13069</v>
      </c>
      <c r="B246" s="410" t="s">
        <v>537</v>
      </c>
      <c r="C246" s="410" t="s">
        <v>812</v>
      </c>
      <c r="D246" s="411">
        <v>100</v>
      </c>
      <c r="E246" s="410">
        <v>1246258365</v>
      </c>
      <c r="F246" s="412">
        <v>46118</v>
      </c>
      <c r="G246" s="410"/>
      <c r="H246" s="410"/>
      <c r="I246" s="410" t="s">
        <v>373</v>
      </c>
      <c r="J246" s="410">
        <v>10425</v>
      </c>
      <c r="K246" s="412">
        <v>46028</v>
      </c>
      <c r="L246" s="410">
        <v>4010300</v>
      </c>
      <c r="M246" s="410" t="s">
        <v>142</v>
      </c>
      <c r="N246" s="410">
        <v>244</v>
      </c>
      <c r="O246" s="410" t="s">
        <v>191</v>
      </c>
      <c r="P246" s="410" t="s">
        <v>537</v>
      </c>
      <c r="Q246">
        <f t="shared" si="16"/>
        <v>18</v>
      </c>
      <c r="R246" t="str">
        <f>_xlfn.XLOOKUP(P246,'Painel Additive'!$B:$B,'Painel Additive'!$B:$B,0)</f>
        <v>JOSÉ  FRANCISCO PIRES DE SOUZA</v>
      </c>
      <c r="S246">
        <f t="shared" si="17"/>
        <v>90</v>
      </c>
    </row>
    <row r="247" spans="1:19" x14ac:dyDescent="0.25">
      <c r="A247" s="410">
        <v>14094</v>
      </c>
      <c r="B247" s="410" t="s">
        <v>265</v>
      </c>
      <c r="C247" s="410" t="s">
        <v>266</v>
      </c>
      <c r="D247" s="411">
        <v>100</v>
      </c>
      <c r="E247" s="410">
        <v>1246154530</v>
      </c>
      <c r="F247" s="412">
        <v>45474</v>
      </c>
      <c r="G247" s="410"/>
      <c r="H247" s="410"/>
      <c r="I247" s="410" t="s">
        <v>373</v>
      </c>
      <c r="J247" s="410">
        <v>4088</v>
      </c>
      <c r="K247" s="412">
        <v>45474</v>
      </c>
      <c r="L247" s="410">
        <v>4010300</v>
      </c>
      <c r="M247" s="410" t="s">
        <v>142</v>
      </c>
      <c r="N247" s="410">
        <v>244</v>
      </c>
      <c r="O247" s="410" t="s">
        <v>191</v>
      </c>
      <c r="P247" s="410" t="s">
        <v>265</v>
      </c>
      <c r="Q247">
        <f t="shared" si="16"/>
        <v>662</v>
      </c>
      <c r="R247" t="str">
        <f>_xlfn.XLOOKUP(P247,'Painel Additive'!$B:$B,'Painel Additive'!$B:$B,0)</f>
        <v>KLEYTON DUARTE SOARES</v>
      </c>
      <c r="S247">
        <f t="shared" si="17"/>
        <v>0</v>
      </c>
    </row>
    <row r="248" spans="1:19" x14ac:dyDescent="0.25">
      <c r="A248" s="410">
        <v>13873</v>
      </c>
      <c r="B248" s="410" t="s">
        <v>309</v>
      </c>
      <c r="C248" s="410" t="s">
        <v>310</v>
      </c>
      <c r="D248" s="411">
        <v>50</v>
      </c>
      <c r="E248" s="410">
        <v>1246166396</v>
      </c>
      <c r="F248" s="412">
        <v>45525</v>
      </c>
      <c r="G248" s="410"/>
      <c r="H248" s="410"/>
      <c r="I248" s="410" t="s">
        <v>373</v>
      </c>
      <c r="J248" s="410">
        <v>4854</v>
      </c>
      <c r="K248" s="412">
        <v>45525</v>
      </c>
      <c r="L248" s="410">
        <v>4010300</v>
      </c>
      <c r="M248" s="410" t="s">
        <v>142</v>
      </c>
      <c r="N248" s="410">
        <v>244</v>
      </c>
      <c r="O248" s="410" t="s">
        <v>191</v>
      </c>
      <c r="P248" s="410" t="s">
        <v>309</v>
      </c>
      <c r="Q248">
        <f t="shared" si="16"/>
        <v>611</v>
      </c>
      <c r="R248" t="str">
        <f>_xlfn.XLOOKUP(P248,'Painel Additive'!$B:$B,'Painel Additive'!$B:$B,0)</f>
        <v>MARIA JOSE DA SILVA</v>
      </c>
      <c r="S248">
        <f t="shared" si="17"/>
        <v>0</v>
      </c>
    </row>
    <row r="249" spans="1:19" x14ac:dyDescent="0.25">
      <c r="A249" s="410">
        <v>14179</v>
      </c>
      <c r="B249" s="410" t="s">
        <v>814</v>
      </c>
      <c r="C249" s="410" t="s">
        <v>815</v>
      </c>
      <c r="D249" s="411">
        <v>292.08</v>
      </c>
      <c r="E249" s="410">
        <v>1246270339</v>
      </c>
      <c r="F249" s="412">
        <v>46143</v>
      </c>
      <c r="G249" s="410"/>
      <c r="H249" s="410"/>
      <c r="I249" s="410" t="s">
        <v>373</v>
      </c>
      <c r="J249" s="410">
        <v>10469</v>
      </c>
      <c r="K249" s="412">
        <v>46035</v>
      </c>
      <c r="L249" s="410">
        <v>4011600</v>
      </c>
      <c r="M249" s="410" t="s">
        <v>702</v>
      </c>
      <c r="N249" s="410">
        <v>244</v>
      </c>
      <c r="O249" s="410" t="s">
        <v>191</v>
      </c>
      <c r="P249" s="410" t="s">
        <v>814</v>
      </c>
      <c r="Q249">
        <f t="shared" si="16"/>
        <v>-7</v>
      </c>
      <c r="R249" t="str">
        <f>_xlfn.XLOOKUP(P249,'Painel Additive'!$B:$B,'Painel Additive'!$B:$B,0)</f>
        <v>LUCAS DA CONCEIÇÃO CASSIMIRO</v>
      </c>
      <c r="S249">
        <f t="shared" si="17"/>
        <v>108</v>
      </c>
    </row>
    <row r="250" spans="1:19" x14ac:dyDescent="0.25">
      <c r="A250" s="410">
        <v>14106</v>
      </c>
      <c r="B250" s="410" t="s">
        <v>383</v>
      </c>
      <c r="C250" s="410" t="s">
        <v>384</v>
      </c>
      <c r="D250" s="411">
        <v>300</v>
      </c>
      <c r="E250" s="410">
        <v>1246182736</v>
      </c>
      <c r="F250" s="412">
        <v>45625</v>
      </c>
      <c r="G250" s="410"/>
      <c r="H250" s="410"/>
      <c r="I250" s="410" t="s">
        <v>373</v>
      </c>
      <c r="J250" s="410">
        <v>6092</v>
      </c>
      <c r="K250" s="412">
        <v>45610</v>
      </c>
      <c r="L250" s="410">
        <v>1020400</v>
      </c>
      <c r="M250" s="410" t="s">
        <v>144</v>
      </c>
      <c r="N250" s="410">
        <v>136</v>
      </c>
      <c r="O250" s="410" t="s">
        <v>144</v>
      </c>
      <c r="P250" s="410" t="s">
        <v>383</v>
      </c>
      <c r="Q250">
        <f t="shared" si="16"/>
        <v>511</v>
      </c>
      <c r="R250" t="str">
        <f>_xlfn.XLOOKUP(P250,'Painel Additive'!$B:$B,'Painel Additive'!$B:$B,0)</f>
        <v>SEU LIXO</v>
      </c>
      <c r="S250">
        <f t="shared" si="17"/>
        <v>15</v>
      </c>
    </row>
    <row r="251" spans="1:19" x14ac:dyDescent="0.25">
      <c r="A251" s="410">
        <v>16032</v>
      </c>
      <c r="B251" s="410" t="s">
        <v>854</v>
      </c>
      <c r="C251" s="410" t="s">
        <v>855</v>
      </c>
      <c r="D251" s="411">
        <v>583.34</v>
      </c>
      <c r="E251" s="410">
        <v>1246264383</v>
      </c>
      <c r="F251" s="412">
        <v>46163</v>
      </c>
      <c r="G251" s="410"/>
      <c r="H251" s="410"/>
      <c r="I251" s="410" t="s">
        <v>373</v>
      </c>
      <c r="J251" s="410">
        <v>10732</v>
      </c>
      <c r="K251" s="412">
        <v>46073</v>
      </c>
      <c r="L251" s="410">
        <v>4011600</v>
      </c>
      <c r="M251" s="410" t="s">
        <v>702</v>
      </c>
      <c r="N251" s="410">
        <v>244</v>
      </c>
      <c r="O251" s="410" t="s">
        <v>191</v>
      </c>
      <c r="P251" s="410" t="s">
        <v>854</v>
      </c>
      <c r="Q251">
        <f t="shared" si="16"/>
        <v>-27</v>
      </c>
      <c r="R251" t="str">
        <f>_xlfn.XLOOKUP(P251,'Painel Additive'!$B:$B,'Painel Additive'!$B:$B,0)</f>
        <v>ANDRESSA CAROLINA SILVA RODRIGUES</v>
      </c>
      <c r="S251">
        <f t="shared" si="17"/>
        <v>90</v>
      </c>
    </row>
    <row r="252" spans="1:19" x14ac:dyDescent="0.25">
      <c r="A252" s="410">
        <v>16189</v>
      </c>
      <c r="B252" s="410" t="s">
        <v>841</v>
      </c>
      <c r="C252" s="410" t="s">
        <v>842</v>
      </c>
      <c r="D252" s="411">
        <v>49440</v>
      </c>
      <c r="E252" s="410">
        <v>1246261824</v>
      </c>
      <c r="F252" s="412">
        <v>46087</v>
      </c>
      <c r="G252" s="410"/>
      <c r="H252" s="410"/>
      <c r="I252" s="410" t="s">
        <v>373</v>
      </c>
      <c r="J252" s="410">
        <v>1246261824</v>
      </c>
      <c r="K252" s="412">
        <v>46055</v>
      </c>
      <c r="L252" s="410">
        <v>7240000</v>
      </c>
      <c r="M252" s="410" t="s">
        <v>843</v>
      </c>
      <c r="N252" s="410">
        <v>46</v>
      </c>
      <c r="O252" s="410" t="s">
        <v>163</v>
      </c>
      <c r="P252" s="410" t="s">
        <v>841</v>
      </c>
      <c r="Q252">
        <f t="shared" si="16"/>
        <v>49</v>
      </c>
      <c r="R252" t="str">
        <f>_xlfn.XLOOKUP(P252,'Painel Additive'!$B:$B,'Painel Additive'!$B:$B,0)</f>
        <v>ARSLOG SOLUCOES EM TRANSPORTE</v>
      </c>
      <c r="S252">
        <f t="shared" si="17"/>
        <v>32</v>
      </c>
    </row>
    <row r="253" spans="1:19" x14ac:dyDescent="0.25">
      <c r="D253" s="34"/>
      <c r="F253" s="30"/>
      <c r="K253" s="30"/>
      <c r="Q253">
        <f t="shared" ref="Q253:Q288" si="18">$R$1-F253</f>
        <v>46136</v>
      </c>
      <c r="R253">
        <f>_xlfn.XLOOKUP(P253,'Painel Additive'!$B:$B,'Painel Additive'!$B:$B,0)</f>
        <v>0</v>
      </c>
      <c r="S253">
        <f t="shared" ref="S253:S288" si="19">F253-K253</f>
        <v>0</v>
      </c>
    </row>
    <row r="254" spans="1:19" x14ac:dyDescent="0.25">
      <c r="D254" s="34"/>
      <c r="F254" s="30"/>
      <c r="K254" s="30"/>
      <c r="Q254">
        <f t="shared" si="18"/>
        <v>46136</v>
      </c>
      <c r="R254">
        <f>_xlfn.XLOOKUP(P254,'Painel Additive'!$B:$B,'Painel Additive'!$B:$B,0)</f>
        <v>0</v>
      </c>
      <c r="S254">
        <f t="shared" si="19"/>
        <v>0</v>
      </c>
    </row>
    <row r="255" spans="1:19" x14ac:dyDescent="0.25">
      <c r="D255" s="34"/>
      <c r="F255" s="30"/>
      <c r="K255" s="30"/>
      <c r="Q255">
        <f t="shared" si="18"/>
        <v>46136</v>
      </c>
      <c r="R255">
        <f>_xlfn.XLOOKUP(P255,'Painel Additive'!$B:$B,'Painel Additive'!$B:$B,0)</f>
        <v>0</v>
      </c>
      <c r="S255">
        <f t="shared" si="19"/>
        <v>0</v>
      </c>
    </row>
    <row r="256" spans="1:19" x14ac:dyDescent="0.25">
      <c r="D256" s="34"/>
      <c r="F256" s="30"/>
      <c r="K256" s="30"/>
      <c r="Q256">
        <f t="shared" si="18"/>
        <v>46136</v>
      </c>
      <c r="R256">
        <f>_xlfn.XLOOKUP(P256,'Painel Additive'!$B:$B,'Painel Additive'!$B:$B,0)</f>
        <v>0</v>
      </c>
      <c r="S256">
        <f t="shared" si="19"/>
        <v>0</v>
      </c>
    </row>
    <row r="257" spans="4:19" x14ac:dyDescent="0.25">
      <c r="D257" s="34"/>
      <c r="F257" s="30"/>
      <c r="K257" s="30"/>
      <c r="Q257">
        <f t="shared" si="18"/>
        <v>46136</v>
      </c>
      <c r="R257">
        <f>_xlfn.XLOOKUP(P257,'Painel Additive'!$B:$B,'Painel Additive'!$B:$B,0)</f>
        <v>0</v>
      </c>
      <c r="S257">
        <f t="shared" si="19"/>
        <v>0</v>
      </c>
    </row>
    <row r="258" spans="4:19" x14ac:dyDescent="0.25">
      <c r="D258" s="34"/>
      <c r="F258" s="30"/>
      <c r="K258" s="30"/>
      <c r="Q258">
        <f t="shared" si="18"/>
        <v>46136</v>
      </c>
      <c r="R258">
        <f>_xlfn.XLOOKUP(P258,'Painel Additive'!$B:$B,'Painel Additive'!$B:$B,0)</f>
        <v>0</v>
      </c>
      <c r="S258">
        <f t="shared" si="19"/>
        <v>0</v>
      </c>
    </row>
    <row r="259" spans="4:19" x14ac:dyDescent="0.25">
      <c r="D259" s="34"/>
      <c r="F259" s="30"/>
      <c r="K259" s="30"/>
      <c r="Q259">
        <f t="shared" si="18"/>
        <v>46136</v>
      </c>
      <c r="R259">
        <f>_xlfn.XLOOKUP(P259,'Painel Additive'!$B:$B,'Painel Additive'!$B:$B,0)</f>
        <v>0</v>
      </c>
      <c r="S259">
        <f t="shared" si="19"/>
        <v>0</v>
      </c>
    </row>
    <row r="260" spans="4:19" x14ac:dyDescent="0.25">
      <c r="D260" s="34"/>
      <c r="F260" s="30"/>
      <c r="K260" s="30"/>
      <c r="Q260">
        <f t="shared" si="18"/>
        <v>46136</v>
      </c>
      <c r="R260">
        <f>_xlfn.XLOOKUP(P260,'Painel Additive'!$B:$B,'Painel Additive'!$B:$B,0)</f>
        <v>0</v>
      </c>
      <c r="S260">
        <f t="shared" si="19"/>
        <v>0</v>
      </c>
    </row>
    <row r="261" spans="4:19" x14ac:dyDescent="0.25">
      <c r="D261" s="34"/>
      <c r="F261" s="30"/>
      <c r="K261" s="30"/>
      <c r="Q261">
        <f t="shared" si="18"/>
        <v>46136</v>
      </c>
      <c r="R261">
        <f>_xlfn.XLOOKUP(P261,'Painel Additive'!$B:$B,'Painel Additive'!$B:$B,0)</f>
        <v>0</v>
      </c>
      <c r="S261">
        <f t="shared" si="19"/>
        <v>0</v>
      </c>
    </row>
    <row r="262" spans="4:19" x14ac:dyDescent="0.25">
      <c r="D262" s="34"/>
      <c r="F262" s="30"/>
      <c r="K262" s="30"/>
      <c r="Q262">
        <f t="shared" si="18"/>
        <v>46136</v>
      </c>
      <c r="R262">
        <f>_xlfn.XLOOKUP(P262,'Painel Additive'!$B:$B,'Painel Additive'!$B:$B,0)</f>
        <v>0</v>
      </c>
      <c r="S262">
        <f t="shared" si="19"/>
        <v>0</v>
      </c>
    </row>
    <row r="263" spans="4:19" x14ac:dyDescent="0.25">
      <c r="D263" s="34"/>
      <c r="F263" s="30"/>
      <c r="K263" s="30"/>
      <c r="Q263">
        <f t="shared" si="18"/>
        <v>46136</v>
      </c>
      <c r="R263">
        <f>_xlfn.XLOOKUP(P263,'Painel Additive'!$B:$B,'Painel Additive'!$B:$B,0)</f>
        <v>0</v>
      </c>
      <c r="S263">
        <f t="shared" si="19"/>
        <v>0</v>
      </c>
    </row>
    <row r="264" spans="4:19" x14ac:dyDescent="0.25">
      <c r="D264" s="34"/>
      <c r="F264" s="30"/>
      <c r="K264" s="30"/>
      <c r="Q264">
        <f t="shared" si="18"/>
        <v>46136</v>
      </c>
      <c r="R264">
        <f>_xlfn.XLOOKUP(P264,'Painel Additive'!$B:$B,'Painel Additive'!$B:$B,0)</f>
        <v>0</v>
      </c>
      <c r="S264">
        <f t="shared" si="19"/>
        <v>0</v>
      </c>
    </row>
    <row r="265" spans="4:19" x14ac:dyDescent="0.25">
      <c r="D265" s="34"/>
      <c r="F265" s="30"/>
      <c r="K265" s="30"/>
      <c r="Q265">
        <f t="shared" si="18"/>
        <v>46136</v>
      </c>
      <c r="R265">
        <f>_xlfn.XLOOKUP(P265,'Painel Additive'!$B:$B,'Painel Additive'!$B:$B,0)</f>
        <v>0</v>
      </c>
      <c r="S265">
        <f t="shared" si="19"/>
        <v>0</v>
      </c>
    </row>
    <row r="266" spans="4:19" x14ac:dyDescent="0.25">
      <c r="D266" s="34"/>
      <c r="F266" s="30"/>
      <c r="K266" s="30"/>
      <c r="Q266">
        <f t="shared" si="18"/>
        <v>46136</v>
      </c>
      <c r="R266">
        <f>_xlfn.XLOOKUP(P266,'Painel Additive'!$B:$B,'Painel Additive'!$B:$B,0)</f>
        <v>0</v>
      </c>
      <c r="S266">
        <f t="shared" si="19"/>
        <v>0</v>
      </c>
    </row>
    <row r="267" spans="4:19" x14ac:dyDescent="0.25">
      <c r="D267" s="34"/>
      <c r="F267" s="30"/>
      <c r="K267" s="30"/>
      <c r="Q267">
        <f t="shared" si="18"/>
        <v>46136</v>
      </c>
      <c r="R267">
        <f>_xlfn.XLOOKUP(P267,'Painel Additive'!$B:$B,'Painel Additive'!$B:$B,0)</f>
        <v>0</v>
      </c>
      <c r="S267">
        <f t="shared" si="19"/>
        <v>0</v>
      </c>
    </row>
    <row r="268" spans="4:19" x14ac:dyDescent="0.25">
      <c r="D268" s="34"/>
      <c r="F268" s="30"/>
      <c r="K268" s="30"/>
      <c r="Q268">
        <f t="shared" si="18"/>
        <v>46136</v>
      </c>
      <c r="R268">
        <f>_xlfn.XLOOKUP(P268,'Painel Additive'!$B:$B,'Painel Additive'!$B:$B,0)</f>
        <v>0</v>
      </c>
      <c r="S268">
        <f t="shared" si="19"/>
        <v>0</v>
      </c>
    </row>
    <row r="269" spans="4:19" x14ac:dyDescent="0.25">
      <c r="D269" s="34"/>
      <c r="F269" s="30"/>
      <c r="K269" s="30"/>
      <c r="Q269">
        <f t="shared" si="18"/>
        <v>46136</v>
      </c>
      <c r="R269">
        <f>_xlfn.XLOOKUP(P269,'Painel Additive'!$B:$B,'Painel Additive'!$B:$B,0)</f>
        <v>0</v>
      </c>
      <c r="S269">
        <f t="shared" si="19"/>
        <v>0</v>
      </c>
    </row>
    <row r="270" spans="4:19" x14ac:dyDescent="0.25">
      <c r="D270" s="34"/>
      <c r="F270" s="30"/>
      <c r="K270" s="30"/>
      <c r="Q270">
        <f t="shared" si="18"/>
        <v>46136</v>
      </c>
      <c r="R270">
        <f>_xlfn.XLOOKUP(P270,'Painel Additive'!$B:$B,'Painel Additive'!$B:$B,0)</f>
        <v>0</v>
      </c>
      <c r="S270">
        <f t="shared" si="19"/>
        <v>0</v>
      </c>
    </row>
    <row r="271" spans="4:19" x14ac:dyDescent="0.25">
      <c r="D271" s="34"/>
      <c r="F271" s="30"/>
      <c r="K271" s="30"/>
      <c r="Q271">
        <f t="shared" si="18"/>
        <v>46136</v>
      </c>
      <c r="R271">
        <f>_xlfn.XLOOKUP(P271,'Painel Additive'!$B:$B,'Painel Additive'!$B:$B,0)</f>
        <v>0</v>
      </c>
      <c r="S271">
        <f t="shared" si="19"/>
        <v>0</v>
      </c>
    </row>
    <row r="272" spans="4:19" x14ac:dyDescent="0.25">
      <c r="D272" s="34"/>
      <c r="F272" s="30"/>
      <c r="K272" s="30"/>
      <c r="Q272">
        <f t="shared" si="18"/>
        <v>46136</v>
      </c>
      <c r="R272">
        <f>_xlfn.XLOOKUP(P272,'Painel Additive'!$B:$B,'Painel Additive'!$B:$B,0)</f>
        <v>0</v>
      </c>
      <c r="S272">
        <f t="shared" si="19"/>
        <v>0</v>
      </c>
    </row>
    <row r="273" spans="4:19" x14ac:dyDescent="0.25">
      <c r="D273" s="34"/>
      <c r="F273" s="30"/>
      <c r="K273" s="30"/>
      <c r="Q273">
        <f t="shared" si="18"/>
        <v>46136</v>
      </c>
      <c r="R273">
        <f>_xlfn.XLOOKUP(P273,'Painel Additive'!$B:$B,'Painel Additive'!$B:$B,0)</f>
        <v>0</v>
      </c>
      <c r="S273">
        <f t="shared" si="19"/>
        <v>0</v>
      </c>
    </row>
    <row r="274" spans="4:19" x14ac:dyDescent="0.25">
      <c r="D274" s="34"/>
      <c r="F274" s="30"/>
      <c r="K274" s="30"/>
      <c r="Q274">
        <f t="shared" si="18"/>
        <v>46136</v>
      </c>
      <c r="R274">
        <f>_xlfn.XLOOKUP(P274,'Painel Additive'!$B:$B,'Painel Additive'!$B:$B,0)</f>
        <v>0</v>
      </c>
      <c r="S274">
        <f t="shared" si="19"/>
        <v>0</v>
      </c>
    </row>
    <row r="275" spans="4:19" x14ac:dyDescent="0.25">
      <c r="D275" s="34"/>
      <c r="F275" s="30"/>
      <c r="K275" s="30"/>
      <c r="Q275">
        <f t="shared" si="18"/>
        <v>46136</v>
      </c>
      <c r="R275">
        <f>_xlfn.XLOOKUP(P275,'Painel Additive'!$B:$B,'Painel Additive'!$B:$B,0)</f>
        <v>0</v>
      </c>
      <c r="S275">
        <f t="shared" si="19"/>
        <v>0</v>
      </c>
    </row>
    <row r="276" spans="4:19" x14ac:dyDescent="0.25">
      <c r="D276" s="34"/>
      <c r="F276" s="30"/>
      <c r="K276" s="30"/>
      <c r="Q276">
        <f t="shared" si="18"/>
        <v>46136</v>
      </c>
      <c r="R276">
        <f>_xlfn.XLOOKUP(P276,'Painel Additive'!$B:$B,'Painel Additive'!$B:$B,0)</f>
        <v>0</v>
      </c>
      <c r="S276">
        <f t="shared" si="19"/>
        <v>0</v>
      </c>
    </row>
    <row r="277" spans="4:19" x14ac:dyDescent="0.25">
      <c r="D277" s="34"/>
      <c r="F277" s="30"/>
      <c r="K277" s="30"/>
      <c r="Q277">
        <f t="shared" si="18"/>
        <v>46136</v>
      </c>
      <c r="R277">
        <f>_xlfn.XLOOKUP(P277,'Painel Additive'!$B:$B,'Painel Additive'!$B:$B,0)</f>
        <v>0</v>
      </c>
      <c r="S277">
        <f t="shared" si="19"/>
        <v>0</v>
      </c>
    </row>
    <row r="278" spans="4:19" x14ac:dyDescent="0.25">
      <c r="D278" s="34"/>
      <c r="F278" s="30"/>
      <c r="K278" s="30"/>
      <c r="Q278">
        <f t="shared" si="18"/>
        <v>46136</v>
      </c>
      <c r="R278">
        <f>_xlfn.XLOOKUP(P278,'Painel Additive'!$B:$B,'Painel Additive'!$B:$B,0)</f>
        <v>0</v>
      </c>
      <c r="S278">
        <f t="shared" si="19"/>
        <v>0</v>
      </c>
    </row>
    <row r="279" spans="4:19" x14ac:dyDescent="0.25">
      <c r="D279" s="34"/>
      <c r="F279" s="30"/>
      <c r="K279" s="30"/>
      <c r="Q279">
        <f t="shared" si="18"/>
        <v>46136</v>
      </c>
      <c r="R279">
        <f>_xlfn.XLOOKUP(P279,'Painel Additive'!$B:$B,'Painel Additive'!$B:$B,0)</f>
        <v>0</v>
      </c>
      <c r="S279">
        <f t="shared" si="19"/>
        <v>0</v>
      </c>
    </row>
    <row r="280" spans="4:19" x14ac:dyDescent="0.25">
      <c r="D280" s="34"/>
      <c r="F280" s="30"/>
      <c r="K280" s="30"/>
      <c r="Q280">
        <f t="shared" si="18"/>
        <v>46136</v>
      </c>
      <c r="R280">
        <f>_xlfn.XLOOKUP(P280,'Painel Additive'!$B:$B,'Painel Additive'!$B:$B,0)</f>
        <v>0</v>
      </c>
      <c r="S280">
        <f t="shared" si="19"/>
        <v>0</v>
      </c>
    </row>
    <row r="281" spans="4:19" x14ac:dyDescent="0.25">
      <c r="D281" s="34"/>
      <c r="F281" s="30"/>
      <c r="K281" s="30"/>
      <c r="Q281">
        <f t="shared" si="18"/>
        <v>46136</v>
      </c>
      <c r="R281">
        <f>_xlfn.XLOOKUP(P281,'Painel Additive'!$B:$B,'Painel Additive'!$B:$B,0)</f>
        <v>0</v>
      </c>
      <c r="S281">
        <f t="shared" si="19"/>
        <v>0</v>
      </c>
    </row>
    <row r="282" spans="4:19" x14ac:dyDescent="0.25">
      <c r="D282" s="34"/>
      <c r="F282" s="30"/>
      <c r="K282" s="30"/>
      <c r="Q282">
        <f t="shared" si="18"/>
        <v>46136</v>
      </c>
      <c r="R282">
        <f>_xlfn.XLOOKUP(P282,'Painel Additive'!$B:$B,'Painel Additive'!$B:$B,0)</f>
        <v>0</v>
      </c>
      <c r="S282">
        <f t="shared" si="19"/>
        <v>0</v>
      </c>
    </row>
    <row r="283" spans="4:19" x14ac:dyDescent="0.25">
      <c r="D283" s="34"/>
      <c r="F283" s="30"/>
      <c r="K283" s="30"/>
      <c r="Q283">
        <f t="shared" si="18"/>
        <v>46136</v>
      </c>
      <c r="R283">
        <f>_xlfn.XLOOKUP(P283,'Painel Additive'!$B:$B,'Painel Additive'!$B:$B,0)</f>
        <v>0</v>
      </c>
      <c r="S283">
        <f t="shared" si="19"/>
        <v>0</v>
      </c>
    </row>
    <row r="284" spans="4:19" x14ac:dyDescent="0.25">
      <c r="D284" s="34"/>
      <c r="F284" s="30"/>
      <c r="K284" s="30"/>
      <c r="Q284">
        <f t="shared" si="18"/>
        <v>46136</v>
      </c>
      <c r="R284">
        <f>_xlfn.XLOOKUP(P284,'Painel Additive'!$B:$B,'Painel Additive'!$B:$B,0)</f>
        <v>0</v>
      </c>
      <c r="S284">
        <f t="shared" si="19"/>
        <v>0</v>
      </c>
    </row>
    <row r="285" spans="4:19" x14ac:dyDescent="0.25">
      <c r="D285" s="34"/>
      <c r="F285" s="30"/>
      <c r="K285" s="30"/>
      <c r="Q285">
        <f t="shared" si="18"/>
        <v>46136</v>
      </c>
      <c r="R285">
        <f>_xlfn.XLOOKUP(P285,'Painel Additive'!$B:$B,'Painel Additive'!$B:$B,0)</f>
        <v>0</v>
      </c>
      <c r="S285">
        <f t="shared" si="19"/>
        <v>0</v>
      </c>
    </row>
    <row r="286" spans="4:19" x14ac:dyDescent="0.25">
      <c r="D286" s="34"/>
      <c r="F286" s="30"/>
      <c r="K286" s="30"/>
      <c r="Q286">
        <f t="shared" si="18"/>
        <v>46136</v>
      </c>
      <c r="R286">
        <f>_xlfn.XLOOKUP(P286,'Painel Additive'!$B:$B,'Painel Additive'!$B:$B,0)</f>
        <v>0</v>
      </c>
      <c r="S286">
        <f t="shared" si="19"/>
        <v>0</v>
      </c>
    </row>
    <row r="287" spans="4:19" x14ac:dyDescent="0.25">
      <c r="D287" s="34"/>
      <c r="F287" s="30"/>
      <c r="K287" s="30"/>
      <c r="Q287">
        <f t="shared" si="18"/>
        <v>46136</v>
      </c>
      <c r="R287">
        <f>_xlfn.XLOOKUP(P287,'Painel Additive'!$B:$B,'Painel Additive'!$B:$B,0)</f>
        <v>0</v>
      </c>
      <c r="S287">
        <f t="shared" si="19"/>
        <v>0</v>
      </c>
    </row>
    <row r="288" spans="4:19" x14ac:dyDescent="0.25">
      <c r="D288" s="34"/>
      <c r="F288" s="30"/>
      <c r="K288" s="30"/>
      <c r="Q288">
        <f t="shared" si="18"/>
        <v>46136</v>
      </c>
      <c r="R288">
        <f>_xlfn.XLOOKUP(P288,'Painel Additive'!$B:$B,'Painel Additive'!$B:$B,0)</f>
        <v>0</v>
      </c>
      <c r="S288">
        <f t="shared" si="19"/>
        <v>0</v>
      </c>
    </row>
    <row r="289" spans="4:11" x14ac:dyDescent="0.25">
      <c r="D289" s="34"/>
      <c r="F289" s="30"/>
      <c r="K289" s="30"/>
    </row>
    <row r="290" spans="4:11" x14ac:dyDescent="0.25">
      <c r="D290" s="34"/>
      <c r="F290" s="30"/>
      <c r="K290" s="30"/>
    </row>
    <row r="291" spans="4:11" x14ac:dyDescent="0.25">
      <c r="D291" s="34"/>
      <c r="F291" s="30"/>
      <c r="K291" s="30"/>
    </row>
    <row r="292" spans="4:11" x14ac:dyDescent="0.25">
      <c r="D292" s="34"/>
      <c r="F292" s="30"/>
      <c r="K292" s="30"/>
    </row>
    <row r="293" spans="4:11" x14ac:dyDescent="0.25">
      <c r="D293" s="34"/>
      <c r="F293" s="30"/>
      <c r="K293" s="30"/>
    </row>
    <row r="294" spans="4:11" x14ac:dyDescent="0.25">
      <c r="D294" s="34"/>
      <c r="F294" s="30"/>
      <c r="K294" s="30"/>
    </row>
    <row r="295" spans="4:11" x14ac:dyDescent="0.25">
      <c r="D295" s="34"/>
      <c r="F295" s="30"/>
      <c r="K295" s="30"/>
    </row>
    <row r="296" spans="4:11" x14ac:dyDescent="0.25">
      <c r="D296" s="34"/>
      <c r="F296" s="30"/>
      <c r="K296" s="30"/>
    </row>
    <row r="297" spans="4:11" x14ac:dyDescent="0.25">
      <c r="D297" s="34"/>
      <c r="F297" s="30"/>
      <c r="K297" s="30"/>
    </row>
    <row r="298" spans="4:11" x14ac:dyDescent="0.25">
      <c r="D298" s="34"/>
      <c r="F298" s="30"/>
      <c r="K298" s="30"/>
    </row>
    <row r="299" spans="4:11" x14ac:dyDescent="0.25">
      <c r="D299" s="34"/>
      <c r="F299" s="30"/>
      <c r="K299" s="30"/>
    </row>
    <row r="300" spans="4:11" x14ac:dyDescent="0.25">
      <c r="D300" s="34"/>
      <c r="F300" s="30"/>
      <c r="K300" s="30"/>
    </row>
    <row r="301" spans="4:11" x14ac:dyDescent="0.25">
      <c r="D301" s="34"/>
      <c r="F301" s="30"/>
      <c r="K301" s="30"/>
    </row>
    <row r="302" spans="4:11" x14ac:dyDescent="0.25">
      <c r="D302" s="34"/>
      <c r="F302" s="30"/>
      <c r="K302" s="30"/>
    </row>
    <row r="303" spans="4:11" x14ac:dyDescent="0.25">
      <c r="D303" s="34"/>
      <c r="F303" s="30"/>
      <c r="K303" s="30"/>
    </row>
    <row r="304" spans="4:11" x14ac:dyDescent="0.25">
      <c r="D304" s="34"/>
      <c r="F304" s="30"/>
      <c r="K304" s="30"/>
    </row>
    <row r="305" spans="4:11" x14ac:dyDescent="0.25">
      <c r="D305" s="34"/>
      <c r="F305" s="30"/>
      <c r="K305" s="30"/>
    </row>
    <row r="306" spans="4:11" x14ac:dyDescent="0.25">
      <c r="D306" s="34"/>
      <c r="F306" s="30"/>
      <c r="K306" s="30"/>
    </row>
    <row r="307" spans="4:11" x14ac:dyDescent="0.25">
      <c r="D307" s="34"/>
      <c r="F307" s="30"/>
      <c r="K307" s="30"/>
    </row>
    <row r="308" spans="4:11" x14ac:dyDescent="0.25">
      <c r="D308" s="34"/>
      <c r="F308" s="30"/>
      <c r="K308" s="30"/>
    </row>
    <row r="309" spans="4:11" x14ac:dyDescent="0.25">
      <c r="D309" s="34"/>
      <c r="F309" s="30"/>
      <c r="K309" s="30"/>
    </row>
    <row r="310" spans="4:11" x14ac:dyDescent="0.25">
      <c r="D310" s="34"/>
      <c r="F310" s="30"/>
      <c r="K310" s="30"/>
    </row>
    <row r="311" spans="4:11" x14ac:dyDescent="0.25">
      <c r="D311" s="34"/>
      <c r="F311" s="30"/>
      <c r="K311" s="30"/>
    </row>
    <row r="312" spans="4:11" x14ac:dyDescent="0.25">
      <c r="D312" s="34"/>
      <c r="F312" s="30"/>
      <c r="K312" s="30"/>
    </row>
    <row r="313" spans="4:11" x14ac:dyDescent="0.25">
      <c r="D313" s="34"/>
      <c r="F313" s="30"/>
      <c r="K313" s="30"/>
    </row>
    <row r="314" spans="4:11" x14ac:dyDescent="0.25">
      <c r="D314" s="34"/>
      <c r="F314" s="30"/>
      <c r="K314" s="30"/>
    </row>
    <row r="315" spans="4:11" x14ac:dyDescent="0.25">
      <c r="D315" s="34"/>
      <c r="F315" s="30"/>
      <c r="K315" s="30"/>
    </row>
    <row r="316" spans="4:11" x14ac:dyDescent="0.25">
      <c r="D316" s="34"/>
      <c r="F316" s="30"/>
      <c r="K316" s="30"/>
    </row>
    <row r="317" spans="4:11" x14ac:dyDescent="0.25">
      <c r="D317" s="34"/>
      <c r="F317" s="30"/>
      <c r="K317" s="30"/>
    </row>
    <row r="318" spans="4:11" x14ac:dyDescent="0.25">
      <c r="D318" s="34"/>
      <c r="F318" s="30"/>
      <c r="K318" s="30"/>
    </row>
    <row r="319" spans="4:11" x14ac:dyDescent="0.25">
      <c r="D319" s="34"/>
      <c r="F319" s="30"/>
      <c r="K319" s="30"/>
    </row>
    <row r="320" spans="4:11" x14ac:dyDescent="0.25">
      <c r="D320" s="34"/>
      <c r="F320" s="30"/>
      <c r="K320" s="30"/>
    </row>
    <row r="321" spans="4:11" x14ac:dyDescent="0.25">
      <c r="D321" s="34"/>
      <c r="F321" s="30"/>
      <c r="K321" s="30"/>
    </row>
    <row r="322" spans="4:11" x14ac:dyDescent="0.25">
      <c r="D322" s="34"/>
      <c r="F322" s="30"/>
      <c r="K322" s="30"/>
    </row>
    <row r="323" spans="4:11" x14ac:dyDescent="0.25">
      <c r="D323" s="34"/>
      <c r="F323" s="30"/>
      <c r="K323" s="30"/>
    </row>
    <row r="324" spans="4:11" x14ac:dyDescent="0.25">
      <c r="D324" s="34"/>
      <c r="F324" s="30"/>
      <c r="K324" s="30"/>
    </row>
    <row r="325" spans="4:11" x14ac:dyDescent="0.25">
      <c r="D325" s="34"/>
      <c r="F325" s="30"/>
      <c r="K325" s="30"/>
    </row>
    <row r="326" spans="4:11" x14ac:dyDescent="0.25">
      <c r="D326" s="34"/>
      <c r="F326" s="30"/>
      <c r="K326" s="30"/>
    </row>
    <row r="327" spans="4:11" x14ac:dyDescent="0.25">
      <c r="D327" s="34"/>
      <c r="F327" s="30"/>
      <c r="K327" s="30"/>
    </row>
    <row r="328" spans="4:11" x14ac:dyDescent="0.25">
      <c r="D328" s="34"/>
      <c r="F328" s="30"/>
      <c r="K328" s="30"/>
    </row>
    <row r="329" spans="4:11" x14ac:dyDescent="0.25">
      <c r="D329" s="34"/>
      <c r="F329" s="30"/>
      <c r="K329" s="30"/>
    </row>
    <row r="330" spans="4:11" x14ac:dyDescent="0.25">
      <c r="D330" s="34"/>
      <c r="F330" s="30"/>
      <c r="K330" s="30"/>
    </row>
    <row r="331" spans="4:11" x14ac:dyDescent="0.25">
      <c r="D331" s="34"/>
      <c r="F331" s="30"/>
      <c r="K331" s="30"/>
    </row>
    <row r="332" spans="4:11" x14ac:dyDescent="0.25">
      <c r="D332" s="34"/>
      <c r="F332" s="30"/>
      <c r="K332" s="30"/>
    </row>
    <row r="333" spans="4:11" x14ac:dyDescent="0.25">
      <c r="D333" s="34"/>
      <c r="F333" s="30"/>
      <c r="K333" s="30"/>
    </row>
    <row r="334" spans="4:11" x14ac:dyDescent="0.25">
      <c r="D334" s="34"/>
      <c r="F334" s="30"/>
      <c r="K334" s="30"/>
    </row>
    <row r="335" spans="4:11" x14ac:dyDescent="0.25">
      <c r="D335" s="34"/>
      <c r="F335" s="30"/>
      <c r="K335" s="30"/>
    </row>
    <row r="336" spans="4:11" x14ac:dyDescent="0.25">
      <c r="D336" s="34"/>
      <c r="F336" s="30"/>
      <c r="K336" s="30"/>
    </row>
    <row r="337" spans="4:11" x14ac:dyDescent="0.25">
      <c r="D337" s="34"/>
      <c r="F337" s="30"/>
      <c r="K337" s="30"/>
    </row>
    <row r="338" spans="4:11" x14ac:dyDescent="0.25">
      <c r="D338" s="34"/>
      <c r="F338" s="30"/>
      <c r="K338" s="30"/>
    </row>
    <row r="339" spans="4:11" x14ac:dyDescent="0.25">
      <c r="D339" s="34"/>
      <c r="F339" s="30"/>
      <c r="K339" s="30"/>
    </row>
    <row r="340" spans="4:11" x14ac:dyDescent="0.25">
      <c r="D340" s="34"/>
      <c r="F340" s="30"/>
      <c r="K340" s="30"/>
    </row>
    <row r="341" spans="4:11" x14ac:dyDescent="0.25">
      <c r="D341" s="34"/>
      <c r="F341" s="30"/>
      <c r="K341" s="30"/>
    </row>
    <row r="342" spans="4:11" x14ac:dyDescent="0.25">
      <c r="D342" s="34"/>
      <c r="F342" s="30"/>
      <c r="K342" s="30"/>
    </row>
    <row r="343" spans="4:11" x14ac:dyDescent="0.25">
      <c r="D343" s="34"/>
      <c r="F343" s="30"/>
      <c r="K343" s="30"/>
    </row>
    <row r="344" spans="4:11" x14ac:dyDescent="0.25">
      <c r="D344" s="34"/>
      <c r="F344" s="30"/>
      <c r="K344" s="30"/>
    </row>
    <row r="345" spans="4:11" x14ac:dyDescent="0.25">
      <c r="D345" s="34"/>
      <c r="F345" s="30"/>
      <c r="K345" s="30"/>
    </row>
    <row r="346" spans="4:11" x14ac:dyDescent="0.25">
      <c r="D346" s="34"/>
      <c r="F346" s="30"/>
      <c r="K346" s="30"/>
    </row>
    <row r="347" spans="4:11" x14ac:dyDescent="0.25">
      <c r="D347" s="34"/>
      <c r="F347" s="30"/>
      <c r="K347" s="30"/>
    </row>
    <row r="348" spans="4:11" x14ac:dyDescent="0.25">
      <c r="D348" s="34"/>
      <c r="F348" s="30"/>
      <c r="K348" s="30"/>
    </row>
    <row r="349" spans="4:11" x14ac:dyDescent="0.25">
      <c r="D349" s="34"/>
      <c r="F349" s="30"/>
      <c r="K349" s="30"/>
    </row>
    <row r="350" spans="4:11" x14ac:dyDescent="0.25">
      <c r="D350" s="34"/>
      <c r="F350" s="30"/>
      <c r="K350" s="30"/>
    </row>
    <row r="351" spans="4:11" x14ac:dyDescent="0.25">
      <c r="D351" s="34"/>
      <c r="F351" s="30"/>
      <c r="K351" s="30"/>
    </row>
    <row r="352" spans="4:11" x14ac:dyDescent="0.25">
      <c r="D352" s="34"/>
      <c r="F352" s="30"/>
      <c r="K352" s="30"/>
    </row>
    <row r="353" spans="4:11" x14ac:dyDescent="0.25">
      <c r="D353" s="34"/>
      <c r="F353" s="30"/>
      <c r="K353" s="30"/>
    </row>
    <row r="354" spans="4:11" x14ac:dyDescent="0.25">
      <c r="D354" s="34"/>
      <c r="F354" s="30"/>
      <c r="K354" s="30"/>
    </row>
    <row r="355" spans="4:11" x14ac:dyDescent="0.25">
      <c r="D355" s="34"/>
      <c r="F355" s="30"/>
      <c r="K355" s="30"/>
    </row>
    <row r="356" spans="4:11" x14ac:dyDescent="0.25">
      <c r="D356" s="34"/>
      <c r="F356" s="30"/>
      <c r="K356" s="30"/>
    </row>
    <row r="357" spans="4:11" x14ac:dyDescent="0.25">
      <c r="D357" s="34"/>
      <c r="F357" s="30"/>
      <c r="K357" s="30"/>
    </row>
    <row r="358" spans="4:11" x14ac:dyDescent="0.25">
      <c r="D358" s="34"/>
      <c r="F358" s="30"/>
      <c r="K358" s="30"/>
    </row>
    <row r="359" spans="4:11" x14ac:dyDescent="0.25">
      <c r="D359" s="34"/>
      <c r="F359" s="30"/>
      <c r="K359" s="30"/>
    </row>
    <row r="360" spans="4:11" x14ac:dyDescent="0.25">
      <c r="D360" s="34"/>
      <c r="F360" s="30"/>
      <c r="K360" s="30"/>
    </row>
    <row r="361" spans="4:11" x14ac:dyDescent="0.25">
      <c r="D361" s="34"/>
      <c r="F361" s="30"/>
      <c r="K361" s="30"/>
    </row>
    <row r="362" spans="4:11" x14ac:dyDescent="0.25">
      <c r="D362" s="34"/>
      <c r="F362" s="30"/>
      <c r="K362" s="30"/>
    </row>
    <row r="363" spans="4:11" x14ac:dyDescent="0.25">
      <c r="D363" s="34"/>
      <c r="F363" s="30"/>
      <c r="K363" s="30"/>
    </row>
    <row r="364" spans="4:11" x14ac:dyDescent="0.25">
      <c r="D364" s="34"/>
      <c r="F364" s="30"/>
      <c r="K364" s="30"/>
    </row>
    <row r="365" spans="4:11" x14ac:dyDescent="0.25">
      <c r="D365" s="34"/>
      <c r="F365" s="30"/>
      <c r="K365" s="30"/>
    </row>
    <row r="366" spans="4:11" x14ac:dyDescent="0.25">
      <c r="D366" s="34"/>
      <c r="F366" s="30"/>
      <c r="K366" s="30"/>
    </row>
    <row r="367" spans="4:11" x14ac:dyDescent="0.25">
      <c r="D367" s="34"/>
      <c r="F367" s="30"/>
      <c r="K367" s="30"/>
    </row>
    <row r="368" spans="4:11" x14ac:dyDescent="0.25">
      <c r="D368" s="34"/>
      <c r="F368" s="30"/>
      <c r="K368" s="30"/>
    </row>
    <row r="369" spans="4:11" x14ac:dyDescent="0.25">
      <c r="D369" s="34"/>
      <c r="F369" s="30"/>
      <c r="K369" s="30"/>
    </row>
    <row r="370" spans="4:11" x14ac:dyDescent="0.25">
      <c r="D370" s="34"/>
      <c r="F370" s="30"/>
      <c r="K370" s="30"/>
    </row>
    <row r="371" spans="4:11" x14ac:dyDescent="0.25">
      <c r="D371" s="34"/>
      <c r="F371" s="30"/>
      <c r="K371" s="30"/>
    </row>
    <row r="372" spans="4:11" x14ac:dyDescent="0.25">
      <c r="D372" s="34"/>
      <c r="F372" s="30"/>
      <c r="K372" s="30"/>
    </row>
    <row r="373" spans="4:11" x14ac:dyDescent="0.25">
      <c r="D373" s="34"/>
      <c r="F373" s="30"/>
      <c r="K373" s="30"/>
    </row>
    <row r="374" spans="4:11" x14ac:dyDescent="0.25">
      <c r="D374" s="34"/>
      <c r="F374" s="30"/>
      <c r="K374" s="30"/>
    </row>
    <row r="375" spans="4:11" x14ac:dyDescent="0.25">
      <c r="D375" s="34"/>
      <c r="F375" s="30"/>
      <c r="K375" s="30"/>
    </row>
    <row r="376" spans="4:11" x14ac:dyDescent="0.25">
      <c r="D376" s="34"/>
      <c r="F376" s="30"/>
      <c r="K376" s="30"/>
    </row>
    <row r="377" spans="4:11" x14ac:dyDescent="0.25">
      <c r="D377" s="34"/>
      <c r="F377" s="30"/>
      <c r="K377" s="30"/>
    </row>
    <row r="378" spans="4:11" x14ac:dyDescent="0.25">
      <c r="D378" s="34"/>
      <c r="F378" s="30"/>
      <c r="K378" s="30"/>
    </row>
    <row r="379" spans="4:11" x14ac:dyDescent="0.25">
      <c r="D379" s="34"/>
      <c r="F379" s="30"/>
      <c r="K379" s="30"/>
    </row>
    <row r="380" spans="4:11" x14ac:dyDescent="0.25">
      <c r="D380" s="34"/>
      <c r="F380" s="30"/>
      <c r="K380" s="30"/>
    </row>
    <row r="381" spans="4:11" x14ac:dyDescent="0.25">
      <c r="D381" s="34"/>
      <c r="F381" s="30"/>
      <c r="K381" s="30"/>
    </row>
    <row r="382" spans="4:11" x14ac:dyDescent="0.25">
      <c r="D382" s="34"/>
      <c r="F382" s="30"/>
      <c r="K382" s="30"/>
    </row>
    <row r="383" spans="4:11" x14ac:dyDescent="0.25">
      <c r="D383" s="34"/>
      <c r="F383" s="30"/>
      <c r="K383" s="30"/>
    </row>
    <row r="384" spans="4:11" x14ac:dyDescent="0.25">
      <c r="D384" s="34"/>
      <c r="F384" s="30"/>
      <c r="K384" s="30"/>
    </row>
    <row r="385" spans="4:11" x14ac:dyDescent="0.25">
      <c r="D385" s="34"/>
      <c r="F385" s="30"/>
      <c r="K385" s="30"/>
    </row>
    <row r="386" spans="4:11" x14ac:dyDescent="0.25">
      <c r="D386" s="34"/>
      <c r="F386" s="30"/>
      <c r="K386" s="30"/>
    </row>
    <row r="387" spans="4:11" x14ac:dyDescent="0.25">
      <c r="D387" s="34"/>
      <c r="F387" s="30"/>
      <c r="K387" s="30"/>
    </row>
    <row r="388" spans="4:11" x14ac:dyDescent="0.25">
      <c r="D388" s="34"/>
      <c r="F388" s="30"/>
      <c r="K388" s="30"/>
    </row>
    <row r="389" spans="4:11" x14ac:dyDescent="0.25">
      <c r="D389" s="34"/>
      <c r="F389" s="30"/>
      <c r="K389" s="30"/>
    </row>
    <row r="390" spans="4:11" x14ac:dyDescent="0.25">
      <c r="D390" s="34"/>
      <c r="F390" s="30"/>
      <c r="K390" s="30"/>
    </row>
    <row r="391" spans="4:11" x14ac:dyDescent="0.25">
      <c r="D391" s="34"/>
      <c r="F391" s="30"/>
      <c r="K391" s="30"/>
    </row>
    <row r="392" spans="4:11" x14ac:dyDescent="0.25">
      <c r="D392" s="34"/>
      <c r="F392" s="30"/>
      <c r="K392" s="30"/>
    </row>
    <row r="393" spans="4:11" x14ac:dyDescent="0.25">
      <c r="D393" s="34"/>
      <c r="F393" s="30"/>
      <c r="K393" s="30"/>
    </row>
    <row r="394" spans="4:11" x14ac:dyDescent="0.25">
      <c r="D394" s="34"/>
      <c r="F394" s="30"/>
      <c r="K394" s="30"/>
    </row>
    <row r="395" spans="4:11" x14ac:dyDescent="0.25">
      <c r="D395" s="34"/>
      <c r="F395" s="30"/>
      <c r="K395" s="30"/>
    </row>
    <row r="396" spans="4:11" x14ac:dyDescent="0.25">
      <c r="D396" s="34"/>
      <c r="F396" s="30"/>
      <c r="K396" s="30"/>
    </row>
    <row r="397" spans="4:11" x14ac:dyDescent="0.25">
      <c r="D397" s="34"/>
      <c r="F397" s="30"/>
      <c r="K397" s="30"/>
    </row>
    <row r="398" spans="4:11" x14ac:dyDescent="0.25">
      <c r="D398" s="34"/>
      <c r="F398" s="30"/>
      <c r="K398" s="30"/>
    </row>
    <row r="399" spans="4:11" x14ac:dyDescent="0.25">
      <c r="D399" s="34"/>
      <c r="F399" s="30"/>
      <c r="K399" s="30"/>
    </row>
    <row r="400" spans="4:11" x14ac:dyDescent="0.25">
      <c r="D400" s="34"/>
      <c r="F400" s="30"/>
      <c r="K400" s="30"/>
    </row>
    <row r="401" spans="4:11" x14ac:dyDescent="0.25">
      <c r="D401" s="34"/>
      <c r="F401" s="30"/>
      <c r="K401" s="30"/>
    </row>
    <row r="402" spans="4:11" x14ac:dyDescent="0.25">
      <c r="D402" s="34"/>
      <c r="F402" s="30"/>
      <c r="K402" s="30"/>
    </row>
    <row r="403" spans="4:11" x14ac:dyDescent="0.25">
      <c r="D403" s="34"/>
      <c r="F403" s="30"/>
      <c r="K403" s="30"/>
    </row>
    <row r="404" spans="4:11" x14ac:dyDescent="0.25">
      <c r="D404" s="34"/>
      <c r="F404" s="30"/>
      <c r="K404" s="30"/>
    </row>
    <row r="405" spans="4:11" x14ac:dyDescent="0.25">
      <c r="D405" s="34"/>
      <c r="F405" s="30"/>
      <c r="K405" s="30"/>
    </row>
    <row r="406" spans="4:11" x14ac:dyDescent="0.25">
      <c r="D406" s="34"/>
      <c r="F406" s="30"/>
      <c r="K406" s="30"/>
    </row>
    <row r="407" spans="4:11" x14ac:dyDescent="0.25">
      <c r="D407" s="34"/>
      <c r="F407" s="30"/>
      <c r="K407" s="30"/>
    </row>
    <row r="408" spans="4:11" x14ac:dyDescent="0.25">
      <c r="D408" s="34"/>
      <c r="F408" s="30"/>
      <c r="K408" s="30"/>
    </row>
    <row r="409" spans="4:11" x14ac:dyDescent="0.25">
      <c r="D409" s="34"/>
      <c r="F409" s="30"/>
      <c r="K409" s="30"/>
    </row>
    <row r="410" spans="4:11" x14ac:dyDescent="0.25">
      <c r="D410" s="34"/>
      <c r="F410" s="30"/>
      <c r="K410" s="30"/>
    </row>
    <row r="411" spans="4:11" x14ac:dyDescent="0.25">
      <c r="D411" s="34"/>
      <c r="F411" s="30"/>
      <c r="K411" s="30"/>
    </row>
    <row r="412" spans="4:11" x14ac:dyDescent="0.25">
      <c r="D412" s="34"/>
      <c r="F412" s="30"/>
      <c r="K412" s="30"/>
    </row>
    <row r="413" spans="4:11" x14ac:dyDescent="0.25">
      <c r="D413" s="34"/>
      <c r="F413" s="30"/>
      <c r="K413" s="30"/>
    </row>
    <row r="414" spans="4:11" x14ac:dyDescent="0.25">
      <c r="D414" s="34"/>
      <c r="F414" s="30"/>
      <c r="K414" s="30"/>
    </row>
    <row r="415" spans="4:11" x14ac:dyDescent="0.25">
      <c r="D415" s="34"/>
      <c r="F415" s="30"/>
      <c r="K415" s="30"/>
    </row>
    <row r="416" spans="4:11" x14ac:dyDescent="0.25">
      <c r="D416" s="34"/>
      <c r="F416" s="30"/>
      <c r="K416" s="30"/>
    </row>
    <row r="417" spans="4:11" x14ac:dyDescent="0.25">
      <c r="D417" s="34"/>
      <c r="F417" s="30"/>
      <c r="K417" s="30"/>
    </row>
    <row r="418" spans="4:11" x14ac:dyDescent="0.25">
      <c r="D418" s="34"/>
      <c r="F418" s="30"/>
      <c r="K418" s="30"/>
    </row>
    <row r="419" spans="4:11" x14ac:dyDescent="0.25">
      <c r="D419" s="34"/>
      <c r="F419" s="30"/>
      <c r="K419" s="30"/>
    </row>
    <row r="420" spans="4:11" x14ac:dyDescent="0.25">
      <c r="D420" s="34"/>
      <c r="F420" s="30"/>
      <c r="K420" s="30"/>
    </row>
    <row r="421" spans="4:11" x14ac:dyDescent="0.25">
      <c r="D421" s="34"/>
      <c r="F421" s="30"/>
      <c r="K421" s="30"/>
    </row>
    <row r="422" spans="4:11" x14ac:dyDescent="0.25">
      <c r="D422" s="34"/>
      <c r="F422" s="30"/>
      <c r="K422" s="30"/>
    </row>
    <row r="423" spans="4:11" x14ac:dyDescent="0.25">
      <c r="D423" s="34"/>
      <c r="F423" s="30"/>
      <c r="K423" s="30"/>
    </row>
    <row r="424" spans="4:11" x14ac:dyDescent="0.25">
      <c r="D424" s="34"/>
      <c r="F424" s="30"/>
      <c r="K424" s="30"/>
    </row>
    <row r="425" spans="4:11" x14ac:dyDescent="0.25">
      <c r="D425" s="34"/>
      <c r="F425" s="30"/>
      <c r="K425" s="30"/>
    </row>
    <row r="426" spans="4:11" x14ac:dyDescent="0.25">
      <c r="D426" s="34"/>
      <c r="F426" s="30"/>
      <c r="K426" s="30"/>
    </row>
    <row r="427" spans="4:11" x14ac:dyDescent="0.25">
      <c r="D427" s="34"/>
      <c r="F427" s="30"/>
      <c r="K427" s="30"/>
    </row>
    <row r="428" spans="4:11" x14ac:dyDescent="0.25">
      <c r="D428" s="34"/>
      <c r="F428" s="30"/>
      <c r="K428" s="30"/>
    </row>
    <row r="429" spans="4:11" x14ac:dyDescent="0.25">
      <c r="D429" s="34"/>
      <c r="F429" s="30"/>
      <c r="K429" s="30"/>
    </row>
    <row r="430" spans="4:11" x14ac:dyDescent="0.25">
      <c r="D430" s="34"/>
      <c r="F430" s="30"/>
      <c r="K430" s="30"/>
    </row>
    <row r="431" spans="4:11" x14ac:dyDescent="0.25">
      <c r="D431" s="34"/>
      <c r="F431" s="30"/>
      <c r="K431" s="30"/>
    </row>
    <row r="432" spans="4:11" x14ac:dyDescent="0.25">
      <c r="D432" s="34"/>
      <c r="F432" s="30"/>
      <c r="K432" s="30"/>
    </row>
    <row r="433" spans="4:11" x14ac:dyDescent="0.25">
      <c r="D433" s="34"/>
      <c r="F433" s="30"/>
      <c r="K433" s="30"/>
    </row>
    <row r="434" spans="4:11" x14ac:dyDescent="0.25">
      <c r="D434" s="34"/>
      <c r="F434" s="30"/>
      <c r="K434" s="30"/>
    </row>
    <row r="435" spans="4:11" x14ac:dyDescent="0.25">
      <c r="D435" s="34"/>
      <c r="F435" s="30"/>
      <c r="K435" s="30"/>
    </row>
    <row r="436" spans="4:11" x14ac:dyDescent="0.25">
      <c r="D436" s="34"/>
      <c r="F436" s="30"/>
      <c r="K436" s="30"/>
    </row>
    <row r="437" spans="4:11" x14ac:dyDescent="0.25">
      <c r="D437" s="34"/>
      <c r="F437" s="30"/>
      <c r="K437" s="30"/>
    </row>
    <row r="438" spans="4:11" x14ac:dyDescent="0.25">
      <c r="D438" s="34"/>
      <c r="F438" s="30"/>
      <c r="K438" s="30"/>
    </row>
    <row r="439" spans="4:11" x14ac:dyDescent="0.25">
      <c r="D439" s="34"/>
      <c r="F439" s="30"/>
      <c r="K439" s="30"/>
    </row>
    <row r="440" spans="4:11" x14ac:dyDescent="0.25">
      <c r="D440" s="34"/>
      <c r="F440" s="30"/>
      <c r="K440" s="30"/>
    </row>
    <row r="441" spans="4:11" x14ac:dyDescent="0.25">
      <c r="D441" s="34"/>
      <c r="F441" s="30"/>
      <c r="K441" s="30"/>
    </row>
    <row r="442" spans="4:11" x14ac:dyDescent="0.25">
      <c r="D442" s="34"/>
      <c r="F442" s="30"/>
      <c r="K442" s="30"/>
    </row>
    <row r="443" spans="4:11" x14ac:dyDescent="0.25">
      <c r="D443" s="34"/>
      <c r="F443" s="30"/>
      <c r="K443" s="30"/>
    </row>
    <row r="444" spans="4:11" x14ac:dyDescent="0.25">
      <c r="D444" s="34"/>
      <c r="F444" s="30"/>
      <c r="K444" s="30"/>
    </row>
    <row r="445" spans="4:11" x14ac:dyDescent="0.25">
      <c r="D445" s="34"/>
      <c r="F445" s="30"/>
      <c r="K445" s="30"/>
    </row>
    <row r="446" spans="4:11" x14ac:dyDescent="0.25">
      <c r="D446" s="34"/>
      <c r="F446" s="30"/>
      <c r="K446" s="30"/>
    </row>
    <row r="447" spans="4:11" x14ac:dyDescent="0.25">
      <c r="D447" s="34"/>
      <c r="F447" s="30"/>
      <c r="K447" s="30"/>
    </row>
    <row r="448" spans="4:11" x14ac:dyDescent="0.25">
      <c r="D448" s="34"/>
      <c r="F448" s="30"/>
      <c r="K448" s="30"/>
    </row>
    <row r="449" spans="4:11" x14ac:dyDescent="0.25">
      <c r="D449" s="34"/>
      <c r="F449" s="30"/>
      <c r="K449" s="30"/>
    </row>
    <row r="450" spans="4:11" x14ac:dyDescent="0.25">
      <c r="D450" s="34"/>
      <c r="F450" s="30"/>
      <c r="K450" s="30"/>
    </row>
    <row r="451" spans="4:11" x14ac:dyDescent="0.25">
      <c r="D451" s="34"/>
      <c r="F451" s="30"/>
      <c r="K451" s="30"/>
    </row>
    <row r="452" spans="4:11" x14ac:dyDescent="0.25">
      <c r="D452" s="34"/>
      <c r="F452" s="30"/>
      <c r="K452" s="30"/>
    </row>
    <row r="453" spans="4:11" x14ac:dyDescent="0.25">
      <c r="D453" s="34"/>
      <c r="F453" s="30"/>
      <c r="K453" s="30"/>
    </row>
    <row r="454" spans="4:11" x14ac:dyDescent="0.25">
      <c r="D454" s="34"/>
      <c r="F454" s="30"/>
      <c r="K454" s="30"/>
    </row>
    <row r="455" spans="4:11" x14ac:dyDescent="0.25">
      <c r="D455" s="34"/>
      <c r="F455" s="30"/>
      <c r="K455" s="30"/>
    </row>
    <row r="456" spans="4:11" x14ac:dyDescent="0.25">
      <c r="D456" s="34"/>
      <c r="F456" s="30"/>
      <c r="K456" s="30"/>
    </row>
    <row r="457" spans="4:11" x14ac:dyDescent="0.25">
      <c r="D457" s="34"/>
      <c r="F457" s="30"/>
      <c r="K457" s="30"/>
    </row>
    <row r="458" spans="4:11" x14ac:dyDescent="0.25">
      <c r="D458" s="34"/>
      <c r="F458" s="30"/>
      <c r="K458" s="30"/>
    </row>
    <row r="459" spans="4:11" x14ac:dyDescent="0.25">
      <c r="D459" s="34"/>
      <c r="F459" s="30"/>
      <c r="K459" s="30"/>
    </row>
    <row r="460" spans="4:11" x14ac:dyDescent="0.25">
      <c r="D460" s="34"/>
      <c r="F460" s="30"/>
      <c r="K460" s="30"/>
    </row>
    <row r="461" spans="4:11" x14ac:dyDescent="0.25">
      <c r="D461" s="34"/>
      <c r="F461" s="30"/>
      <c r="K461" s="30"/>
    </row>
    <row r="462" spans="4:11" x14ac:dyDescent="0.25">
      <c r="D462" s="34"/>
      <c r="F462" s="30"/>
      <c r="K462" s="30"/>
    </row>
    <row r="463" spans="4:11" x14ac:dyDescent="0.25">
      <c r="D463" s="34"/>
      <c r="F463" s="30"/>
      <c r="K463" s="30"/>
    </row>
    <row r="464" spans="4:11" x14ac:dyDescent="0.25">
      <c r="D464" s="34"/>
      <c r="F464" s="30"/>
      <c r="K464" s="30"/>
    </row>
    <row r="465" spans="4:11" x14ac:dyDescent="0.25">
      <c r="D465" s="34"/>
      <c r="F465" s="30"/>
      <c r="K465" s="30"/>
    </row>
    <row r="466" spans="4:11" x14ac:dyDescent="0.25">
      <c r="D466" s="34"/>
      <c r="F466" s="30"/>
      <c r="K466" s="30"/>
    </row>
    <row r="467" spans="4:11" x14ac:dyDescent="0.25">
      <c r="D467" s="34"/>
      <c r="F467" s="30"/>
      <c r="K467" s="30"/>
    </row>
    <row r="468" spans="4:11" x14ac:dyDescent="0.25">
      <c r="D468" s="34"/>
      <c r="F468" s="30"/>
      <c r="K468" s="30"/>
    </row>
    <row r="469" spans="4:11" x14ac:dyDescent="0.25">
      <c r="D469" s="34"/>
      <c r="F469" s="30"/>
      <c r="K469" s="30"/>
    </row>
    <row r="470" spans="4:11" x14ac:dyDescent="0.25">
      <c r="D470" s="34"/>
      <c r="F470" s="30"/>
      <c r="K470" s="30"/>
    </row>
    <row r="471" spans="4:11" x14ac:dyDescent="0.25">
      <c r="D471" s="34"/>
      <c r="F471" s="30"/>
      <c r="K471" s="30"/>
    </row>
    <row r="472" spans="4:11" x14ac:dyDescent="0.25">
      <c r="D472" s="34"/>
      <c r="F472" s="30"/>
      <c r="K472" s="30"/>
    </row>
    <row r="473" spans="4:11" x14ac:dyDescent="0.25">
      <c r="D473" s="34"/>
      <c r="F473" s="30"/>
      <c r="K473" s="30"/>
    </row>
    <row r="474" spans="4:11" x14ac:dyDescent="0.25">
      <c r="D474" s="34"/>
      <c r="F474" s="30"/>
      <c r="K474" s="30"/>
    </row>
    <row r="475" spans="4:11" x14ac:dyDescent="0.25">
      <c r="D475" s="34"/>
      <c r="F475" s="30"/>
      <c r="K475" s="30"/>
    </row>
    <row r="476" spans="4:11" x14ac:dyDescent="0.25">
      <c r="D476" s="34"/>
      <c r="F476" s="30"/>
      <c r="K476" s="30"/>
    </row>
    <row r="477" spans="4:11" x14ac:dyDescent="0.25">
      <c r="D477" s="34"/>
      <c r="F477" s="30"/>
      <c r="K477" s="30"/>
    </row>
    <row r="478" spans="4:11" x14ac:dyDescent="0.25">
      <c r="D478" s="34"/>
      <c r="F478" s="30"/>
      <c r="K478" s="30"/>
    </row>
    <row r="479" spans="4:11" x14ac:dyDescent="0.25">
      <c r="D479" s="34"/>
      <c r="F479" s="30"/>
      <c r="K479" s="30"/>
    </row>
    <row r="480" spans="4:11" x14ac:dyDescent="0.25">
      <c r="D480" s="34"/>
      <c r="F480" s="30"/>
      <c r="K480" s="30"/>
    </row>
    <row r="481" spans="4:11" x14ac:dyDescent="0.25">
      <c r="D481" s="34"/>
      <c r="F481" s="30"/>
      <c r="K481" s="30"/>
    </row>
    <row r="482" spans="4:11" x14ac:dyDescent="0.25">
      <c r="D482" s="34"/>
      <c r="F482" s="30"/>
      <c r="K482" s="30"/>
    </row>
    <row r="483" spans="4:11" x14ac:dyDescent="0.25">
      <c r="D483" s="34"/>
      <c r="F483" s="30"/>
      <c r="K483" s="30"/>
    </row>
    <row r="484" spans="4:11" x14ac:dyDescent="0.25">
      <c r="D484" s="34"/>
      <c r="F484" s="30"/>
      <c r="K484" s="30"/>
    </row>
    <row r="485" spans="4:11" x14ac:dyDescent="0.25">
      <c r="D485" s="34"/>
      <c r="F485" s="30"/>
      <c r="K485" s="30"/>
    </row>
    <row r="486" spans="4:11" x14ac:dyDescent="0.25">
      <c r="D486" s="34"/>
      <c r="F486" s="30"/>
      <c r="K486" s="30"/>
    </row>
    <row r="487" spans="4:11" x14ac:dyDescent="0.25">
      <c r="D487" s="34"/>
      <c r="F487" s="30"/>
      <c r="K487" s="30"/>
    </row>
    <row r="488" spans="4:11" x14ac:dyDescent="0.25">
      <c r="D488" s="34"/>
      <c r="F488" s="30"/>
      <c r="K488" s="30"/>
    </row>
    <row r="489" spans="4:11" x14ac:dyDescent="0.25">
      <c r="D489" s="34"/>
      <c r="F489" s="30"/>
      <c r="K489" s="30"/>
    </row>
    <row r="490" spans="4:11" x14ac:dyDescent="0.25">
      <c r="D490" s="34"/>
      <c r="F490" s="30"/>
      <c r="K490" s="30"/>
    </row>
    <row r="491" spans="4:11" x14ac:dyDescent="0.25">
      <c r="D491" s="34"/>
      <c r="F491" s="30"/>
      <c r="K491" s="30"/>
    </row>
    <row r="492" spans="4:11" x14ac:dyDescent="0.25">
      <c r="D492" s="34"/>
      <c r="F492" s="30"/>
      <c r="K492" s="30"/>
    </row>
    <row r="493" spans="4:11" x14ac:dyDescent="0.25">
      <c r="D493" s="34"/>
      <c r="F493" s="30"/>
      <c r="K493" s="30"/>
    </row>
    <row r="494" spans="4:11" x14ac:dyDescent="0.25">
      <c r="D494" s="34"/>
      <c r="F494" s="30"/>
      <c r="K494" s="30"/>
    </row>
    <row r="495" spans="4:11" x14ac:dyDescent="0.25">
      <c r="D495" s="34"/>
      <c r="F495" s="30"/>
      <c r="K495" s="30"/>
    </row>
    <row r="496" spans="4:11" x14ac:dyDescent="0.25">
      <c r="D496" s="34"/>
      <c r="F496" s="30"/>
      <c r="K496" s="30"/>
    </row>
    <row r="497" spans="4:11" x14ac:dyDescent="0.25">
      <c r="D497" s="34"/>
      <c r="F497" s="30"/>
      <c r="K497" s="30"/>
    </row>
    <row r="498" spans="4:11" x14ac:dyDescent="0.25">
      <c r="D498" s="34"/>
      <c r="F498" s="30"/>
      <c r="K498" s="30"/>
    </row>
    <row r="499" spans="4:11" x14ac:dyDescent="0.25">
      <c r="D499" s="34"/>
      <c r="F499" s="30"/>
      <c r="K499" s="30"/>
    </row>
    <row r="500" spans="4:11" x14ac:dyDescent="0.25">
      <c r="D500" s="34"/>
      <c r="F500" s="30"/>
      <c r="K500" s="30"/>
    </row>
    <row r="501" spans="4:11" x14ac:dyDescent="0.25">
      <c r="D501" s="34"/>
      <c r="F501" s="30"/>
      <c r="K501" s="30"/>
    </row>
    <row r="502" spans="4:11" x14ac:dyDescent="0.25">
      <c r="D502" s="34"/>
      <c r="F502" s="30"/>
      <c r="K502" s="30"/>
    </row>
    <row r="503" spans="4:11" x14ac:dyDescent="0.25">
      <c r="D503" s="34"/>
      <c r="F503" s="30"/>
      <c r="K503" s="30"/>
    </row>
    <row r="504" spans="4:11" x14ac:dyDescent="0.25">
      <c r="D504" s="34"/>
      <c r="F504" s="30"/>
      <c r="K504" s="30"/>
    </row>
    <row r="505" spans="4:11" x14ac:dyDescent="0.25">
      <c r="D505" s="34"/>
      <c r="F505" s="30"/>
      <c r="K505" s="30"/>
    </row>
    <row r="506" spans="4:11" x14ac:dyDescent="0.25">
      <c r="D506" s="34"/>
      <c r="F506" s="30"/>
      <c r="K506" s="30"/>
    </row>
    <row r="507" spans="4:11" x14ac:dyDescent="0.25">
      <c r="D507" s="34"/>
      <c r="F507" s="30"/>
      <c r="K507" s="30"/>
    </row>
    <row r="508" spans="4:11" x14ac:dyDescent="0.25">
      <c r="D508" s="34"/>
      <c r="F508" s="30"/>
      <c r="K508" s="30"/>
    </row>
    <row r="509" spans="4:11" x14ac:dyDescent="0.25">
      <c r="D509" s="34"/>
      <c r="F509" s="30"/>
      <c r="K509" s="30"/>
    </row>
    <row r="510" spans="4:11" x14ac:dyDescent="0.25">
      <c r="D510" s="34"/>
      <c r="F510" s="30"/>
      <c r="K510" s="30"/>
    </row>
    <row r="511" spans="4:11" x14ac:dyDescent="0.25">
      <c r="D511" s="34"/>
      <c r="F511" s="30"/>
      <c r="K511" s="30"/>
    </row>
    <row r="512" spans="4:11" x14ac:dyDescent="0.25">
      <c r="D512" s="34"/>
      <c r="F512" s="30"/>
      <c r="K512" s="30"/>
    </row>
    <row r="513" spans="4:11" x14ac:dyDescent="0.25">
      <c r="D513" s="34"/>
      <c r="F513" s="30"/>
      <c r="K513" s="30"/>
    </row>
    <row r="514" spans="4:11" x14ac:dyDescent="0.25">
      <c r="D514" s="34"/>
      <c r="F514" s="30"/>
      <c r="K514" s="30"/>
    </row>
    <row r="515" spans="4:11" x14ac:dyDescent="0.25">
      <c r="D515" s="34"/>
      <c r="F515" s="30"/>
      <c r="K515" s="30"/>
    </row>
    <row r="516" spans="4:11" x14ac:dyDescent="0.25">
      <c r="D516" s="34"/>
      <c r="F516" s="30"/>
      <c r="K516" s="30"/>
    </row>
    <row r="517" spans="4:11" x14ac:dyDescent="0.25">
      <c r="D517" s="34"/>
      <c r="F517" s="30"/>
      <c r="K517" s="30"/>
    </row>
    <row r="518" spans="4:11" x14ac:dyDescent="0.25">
      <c r="D518" s="34"/>
      <c r="F518" s="30"/>
      <c r="K518" s="30"/>
    </row>
    <row r="519" spans="4:11" x14ac:dyDescent="0.25">
      <c r="D519" s="34"/>
      <c r="F519" s="30"/>
      <c r="K519" s="30"/>
    </row>
    <row r="520" spans="4:11" x14ac:dyDescent="0.25">
      <c r="D520" s="34"/>
      <c r="F520" s="30"/>
      <c r="K520" s="30"/>
    </row>
    <row r="521" spans="4:11" x14ac:dyDescent="0.25">
      <c r="D521" s="34"/>
      <c r="F521" s="30"/>
      <c r="K521" s="30"/>
    </row>
    <row r="522" spans="4:11" x14ac:dyDescent="0.25">
      <c r="D522" s="34"/>
      <c r="F522" s="30"/>
      <c r="K522" s="30"/>
    </row>
    <row r="523" spans="4:11" x14ac:dyDescent="0.25">
      <c r="D523" s="34"/>
      <c r="F523" s="30"/>
      <c r="K523" s="30"/>
    </row>
    <row r="524" spans="4:11" x14ac:dyDescent="0.25">
      <c r="D524" s="34"/>
      <c r="F524" s="30"/>
      <c r="K524" s="30"/>
    </row>
    <row r="525" spans="4:11" x14ac:dyDescent="0.25">
      <c r="D525" s="34"/>
      <c r="F525" s="30"/>
      <c r="K525" s="30"/>
    </row>
    <row r="526" spans="4:11" x14ac:dyDescent="0.25">
      <c r="D526" s="34"/>
      <c r="F526" s="30"/>
      <c r="K526" s="30"/>
    </row>
    <row r="527" spans="4:11" x14ac:dyDescent="0.25">
      <c r="D527" s="34"/>
      <c r="F527" s="30"/>
      <c r="K527" s="30"/>
    </row>
    <row r="528" spans="4:11" x14ac:dyDescent="0.25">
      <c r="D528" s="34"/>
      <c r="F528" s="30"/>
      <c r="K528" s="30"/>
    </row>
    <row r="529" spans="4:11" x14ac:dyDescent="0.25">
      <c r="D529" s="34"/>
      <c r="F529" s="30"/>
      <c r="K529" s="30"/>
    </row>
    <row r="530" spans="4:11" x14ac:dyDescent="0.25">
      <c r="D530" s="34"/>
      <c r="F530" s="30"/>
      <c r="K530" s="30"/>
    </row>
    <row r="531" spans="4:11" x14ac:dyDescent="0.25">
      <c r="D531" s="34"/>
      <c r="F531" s="30"/>
      <c r="K531" s="30"/>
    </row>
    <row r="532" spans="4:11" x14ac:dyDescent="0.25">
      <c r="D532" s="34"/>
      <c r="F532" s="30"/>
      <c r="K532" s="30"/>
    </row>
    <row r="533" spans="4:11" x14ac:dyDescent="0.25">
      <c r="D533" s="34"/>
      <c r="F533" s="30"/>
      <c r="K533" s="30"/>
    </row>
    <row r="534" spans="4:11" x14ac:dyDescent="0.25">
      <c r="D534" s="34"/>
      <c r="F534" s="30"/>
      <c r="K534" s="30"/>
    </row>
    <row r="535" spans="4:11" x14ac:dyDescent="0.25">
      <c r="D535" s="34"/>
      <c r="F535" s="30"/>
      <c r="K535" s="30"/>
    </row>
    <row r="536" spans="4:11" x14ac:dyDescent="0.25">
      <c r="D536" s="34"/>
      <c r="F536" s="30"/>
      <c r="K536" s="30"/>
    </row>
    <row r="537" spans="4:11" x14ac:dyDescent="0.25">
      <c r="D537" s="34"/>
      <c r="F537" s="30"/>
      <c r="K537" s="30"/>
    </row>
    <row r="538" spans="4:11" x14ac:dyDescent="0.25">
      <c r="D538" s="34"/>
      <c r="F538" s="30"/>
      <c r="K538" s="30"/>
    </row>
    <row r="539" spans="4:11" x14ac:dyDescent="0.25">
      <c r="D539" s="34"/>
      <c r="F539" s="30"/>
      <c r="K539" s="30"/>
    </row>
    <row r="540" spans="4:11" x14ac:dyDescent="0.25">
      <c r="D540" s="34"/>
      <c r="F540" s="30"/>
      <c r="K540" s="30"/>
    </row>
    <row r="541" spans="4:11" x14ac:dyDescent="0.25">
      <c r="D541" s="34"/>
      <c r="F541" s="30"/>
      <c r="K541" s="30"/>
    </row>
    <row r="542" spans="4:11" x14ac:dyDescent="0.25">
      <c r="D542" s="34"/>
      <c r="F542" s="30"/>
      <c r="K542" s="30"/>
    </row>
    <row r="543" spans="4:11" x14ac:dyDescent="0.25">
      <c r="D543" s="34"/>
      <c r="F543" s="30"/>
      <c r="K543" s="30"/>
    </row>
    <row r="544" spans="4:11" x14ac:dyDescent="0.25">
      <c r="D544" s="34"/>
      <c r="F544" s="30"/>
      <c r="K544" s="30"/>
    </row>
    <row r="545" spans="4:11" x14ac:dyDescent="0.25">
      <c r="D545" s="34"/>
      <c r="F545" s="30"/>
      <c r="K545" s="30"/>
    </row>
    <row r="546" spans="4:11" x14ac:dyDescent="0.25">
      <c r="D546" s="34"/>
      <c r="F546" s="30"/>
      <c r="K546" s="30"/>
    </row>
    <row r="547" spans="4:11" x14ac:dyDescent="0.25">
      <c r="D547" s="34"/>
      <c r="F547" s="30"/>
      <c r="K547" s="30"/>
    </row>
    <row r="548" spans="4:11" x14ac:dyDescent="0.25">
      <c r="D548" s="34"/>
      <c r="F548" s="30"/>
      <c r="K548" s="30"/>
    </row>
    <row r="549" spans="4:11" x14ac:dyDescent="0.25">
      <c r="D549" s="34"/>
      <c r="F549" s="30"/>
      <c r="K549" s="30"/>
    </row>
    <row r="550" spans="4:11" x14ac:dyDescent="0.25">
      <c r="D550" s="34"/>
      <c r="F550" s="30"/>
      <c r="K550" s="30"/>
    </row>
    <row r="551" spans="4:11" x14ac:dyDescent="0.25">
      <c r="D551" s="34"/>
      <c r="F551" s="30"/>
      <c r="K551" s="30"/>
    </row>
    <row r="552" spans="4:11" x14ac:dyDescent="0.25">
      <c r="D552" s="34"/>
      <c r="F552" s="30"/>
      <c r="K552" s="30"/>
    </row>
    <row r="553" spans="4:11" x14ac:dyDescent="0.25">
      <c r="D553" s="34"/>
      <c r="F553" s="30"/>
      <c r="K553" s="30"/>
    </row>
    <row r="554" spans="4:11" x14ac:dyDescent="0.25">
      <c r="D554" s="34"/>
      <c r="F554" s="30"/>
      <c r="K554" s="30"/>
    </row>
    <row r="555" spans="4:11" x14ac:dyDescent="0.25">
      <c r="D555" s="34"/>
      <c r="F555" s="30"/>
      <c r="K555" s="30"/>
    </row>
    <row r="556" spans="4:11" x14ac:dyDescent="0.25">
      <c r="D556" s="34"/>
      <c r="F556" s="30"/>
      <c r="K556" s="30"/>
    </row>
    <row r="557" spans="4:11" x14ac:dyDescent="0.25">
      <c r="D557" s="34"/>
      <c r="F557" s="30"/>
      <c r="K557" s="30"/>
    </row>
    <row r="558" spans="4:11" x14ac:dyDescent="0.25">
      <c r="D558" s="34"/>
      <c r="F558" s="30"/>
      <c r="K558" s="30"/>
    </row>
    <row r="559" spans="4:11" x14ac:dyDescent="0.25">
      <c r="D559" s="34"/>
      <c r="F559" s="30"/>
      <c r="K559" s="30"/>
    </row>
    <row r="560" spans="4:11" x14ac:dyDescent="0.25">
      <c r="D560" s="34"/>
      <c r="F560" s="30"/>
      <c r="K560" s="30"/>
    </row>
    <row r="561" spans="4:11" x14ac:dyDescent="0.25">
      <c r="D561" s="34"/>
      <c r="F561" s="30"/>
      <c r="K561" s="30"/>
    </row>
    <row r="562" spans="4:11" x14ac:dyDescent="0.25">
      <c r="D562" s="34"/>
      <c r="F562" s="30"/>
      <c r="K562" s="30"/>
    </row>
    <row r="563" spans="4:11" x14ac:dyDescent="0.25">
      <c r="D563" s="34"/>
      <c r="F563" s="30"/>
      <c r="K563" s="30"/>
    </row>
    <row r="564" spans="4:11" x14ac:dyDescent="0.25">
      <c r="D564" s="34"/>
      <c r="F564" s="30"/>
      <c r="K564" s="30"/>
    </row>
    <row r="565" spans="4:11" x14ac:dyDescent="0.25">
      <c r="D565" s="34"/>
      <c r="F565" s="30"/>
      <c r="K565" s="30"/>
    </row>
    <row r="566" spans="4:11" x14ac:dyDescent="0.25">
      <c r="D566" s="34"/>
      <c r="F566" s="30"/>
      <c r="K566" s="30"/>
    </row>
    <row r="567" spans="4:11" x14ac:dyDescent="0.25">
      <c r="D567" s="34"/>
      <c r="F567" s="30"/>
      <c r="K567" s="30"/>
    </row>
    <row r="568" spans="4:11" x14ac:dyDescent="0.25">
      <c r="D568" s="34"/>
      <c r="F568" s="30"/>
      <c r="K568" s="30"/>
    </row>
    <row r="569" spans="4:11" x14ac:dyDescent="0.25">
      <c r="D569" s="34"/>
      <c r="F569" s="30"/>
      <c r="K569" s="30"/>
    </row>
    <row r="570" spans="4:11" x14ac:dyDescent="0.25">
      <c r="D570" s="34"/>
      <c r="F570" s="30"/>
      <c r="K570" s="30"/>
    </row>
    <row r="571" spans="4:11" x14ac:dyDescent="0.25">
      <c r="D571" s="34"/>
      <c r="F571" s="30"/>
      <c r="K571" s="30"/>
    </row>
    <row r="572" spans="4:11" x14ac:dyDescent="0.25">
      <c r="D572" s="34"/>
      <c r="F572" s="30"/>
      <c r="K572" s="30"/>
    </row>
    <row r="573" spans="4:11" x14ac:dyDescent="0.25">
      <c r="D573" s="34"/>
      <c r="F573" s="30"/>
      <c r="K573" s="30"/>
    </row>
    <row r="574" spans="4:11" x14ac:dyDescent="0.25">
      <c r="D574" s="34"/>
      <c r="F574" s="30"/>
      <c r="K574" s="30"/>
    </row>
    <row r="575" spans="4:11" x14ac:dyDescent="0.25">
      <c r="D575" s="34"/>
      <c r="F575" s="30"/>
      <c r="K575" s="30"/>
    </row>
    <row r="576" spans="4:11" x14ac:dyDescent="0.25">
      <c r="D576" s="34"/>
      <c r="F576" s="30"/>
      <c r="K576" s="30"/>
    </row>
    <row r="577" spans="4:11" x14ac:dyDescent="0.25">
      <c r="D577" s="34"/>
      <c r="F577" s="30"/>
      <c r="K577" s="30"/>
    </row>
    <row r="578" spans="4:11" x14ac:dyDescent="0.25">
      <c r="D578" s="34"/>
      <c r="F578" s="30"/>
      <c r="K578" s="30"/>
    </row>
    <row r="579" spans="4:11" x14ac:dyDescent="0.25">
      <c r="D579" s="34"/>
      <c r="F579" s="30"/>
      <c r="K579" s="30"/>
    </row>
    <row r="580" spans="4:11" x14ac:dyDescent="0.25">
      <c r="D580" s="34"/>
      <c r="F580" s="30"/>
      <c r="K580" s="30"/>
    </row>
    <row r="581" spans="4:11" x14ac:dyDescent="0.25">
      <c r="D581" s="34"/>
      <c r="F581" s="30"/>
      <c r="K581" s="30"/>
    </row>
    <row r="582" spans="4:11" x14ac:dyDescent="0.25">
      <c r="D582" s="34"/>
      <c r="F582" s="30"/>
      <c r="K582" s="30"/>
    </row>
    <row r="583" spans="4:11" x14ac:dyDescent="0.25">
      <c r="D583" s="34"/>
      <c r="F583" s="30"/>
      <c r="K583" s="30"/>
    </row>
    <row r="584" spans="4:11" x14ac:dyDescent="0.25">
      <c r="D584" s="34"/>
      <c r="F584" s="30"/>
      <c r="K584" s="30"/>
    </row>
    <row r="585" spans="4:11" x14ac:dyDescent="0.25">
      <c r="D585" s="34"/>
      <c r="F585" s="30"/>
      <c r="K585" s="30"/>
    </row>
    <row r="586" spans="4:11" x14ac:dyDescent="0.25">
      <c r="D586" s="34"/>
      <c r="F586" s="30"/>
      <c r="K586" s="30"/>
    </row>
    <row r="587" spans="4:11" x14ac:dyDescent="0.25">
      <c r="D587" s="34"/>
      <c r="F587" s="30"/>
      <c r="K587" s="30"/>
    </row>
    <row r="588" spans="4:11" x14ac:dyDescent="0.25">
      <c r="D588" s="34"/>
      <c r="F588" s="30"/>
      <c r="K588" s="30"/>
    </row>
    <row r="589" spans="4:11" x14ac:dyDescent="0.25">
      <c r="D589" s="34"/>
      <c r="F589" s="30"/>
      <c r="K589" s="30"/>
    </row>
    <row r="590" spans="4:11" x14ac:dyDescent="0.25">
      <c r="D590" s="34"/>
      <c r="F590" s="30"/>
      <c r="K590" s="30"/>
    </row>
    <row r="591" spans="4:11" x14ac:dyDescent="0.25">
      <c r="D591" s="34"/>
      <c r="F591" s="30"/>
      <c r="K591" s="30"/>
    </row>
    <row r="592" spans="4:11" x14ac:dyDescent="0.25">
      <c r="D592" s="34"/>
      <c r="F592" s="30"/>
      <c r="K592" s="30"/>
    </row>
    <row r="593" spans="4:11" x14ac:dyDescent="0.25">
      <c r="D593" s="34"/>
      <c r="F593" s="30"/>
      <c r="K593" s="30"/>
    </row>
  </sheetData>
  <autoFilter ref="A2:R288" xr:uid="{00000000-0001-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1"/>
  <sheetViews>
    <sheetView zoomScale="80" zoomScaleNormal="80" workbookViewId="0">
      <pane xSplit="2" ySplit="2" topLeftCell="C16" activePane="bottomRight" state="frozen"/>
      <selection activeCell="A3" sqref="A3"/>
      <selection pane="topRight" activeCell="A3" sqref="A3"/>
      <selection pane="bottomLeft" activeCell="A3" sqref="A3"/>
      <selection pane="bottomRight" activeCell="A16" sqref="A16:XFD20"/>
    </sheetView>
  </sheetViews>
  <sheetFormatPr defaultRowHeight="13.2" x14ac:dyDescent="0.25"/>
  <cols>
    <col min="1" max="1" width="12.6640625" bestFit="1" customWidth="1"/>
    <col min="2" max="2" width="39.44140625" bestFit="1" customWidth="1"/>
    <col min="3" max="3" width="18.3320312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2"/>
      <c r="D1" s="1">
        <f>SUBTOTAL(9,D3:D995)</f>
        <v>6984269.29</v>
      </c>
      <c r="E1" s="1"/>
      <c r="R1" s="3">
        <v>46136</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8" x14ac:dyDescent="0.25">
      <c r="A3" s="410">
        <v>3297</v>
      </c>
      <c r="B3" s="410" t="s">
        <v>648</v>
      </c>
      <c r="C3" s="410" t="s">
        <v>31</v>
      </c>
      <c r="D3" s="411">
        <v>49956.68</v>
      </c>
      <c r="E3" s="410">
        <v>1246271355</v>
      </c>
      <c r="F3" s="412">
        <v>46186</v>
      </c>
      <c r="G3" s="410"/>
      <c r="H3" s="410" t="s">
        <v>28</v>
      </c>
      <c r="I3" s="410" t="s">
        <v>29</v>
      </c>
      <c r="J3" s="410">
        <v>11123</v>
      </c>
      <c r="K3" s="412">
        <v>46126</v>
      </c>
      <c r="L3" s="410">
        <v>1010200</v>
      </c>
      <c r="M3" s="410" t="s">
        <v>125</v>
      </c>
      <c r="N3" s="410">
        <v>40</v>
      </c>
      <c r="O3" s="410" t="s">
        <v>171</v>
      </c>
      <c r="P3" s="410" t="s">
        <v>648</v>
      </c>
      <c r="Q3">
        <f t="shared" ref="Q3:Q36" si="0">$R$1-F3</f>
        <v>-50</v>
      </c>
      <c r="R3" t="str">
        <f>_xlfn.XLOOKUP(P3,'Painel International'!$B:$B,'Painel International'!$B:$B,0)</f>
        <v>MACROSOURCE PERU S.R.L.</v>
      </c>
    </row>
    <row r="4" spans="1:18" x14ac:dyDescent="0.25">
      <c r="A4" s="410">
        <v>3426</v>
      </c>
      <c r="B4" s="410" t="s">
        <v>403</v>
      </c>
      <c r="C4" s="410" t="s">
        <v>32</v>
      </c>
      <c r="D4" s="411">
        <v>250261.53</v>
      </c>
      <c r="E4" s="410">
        <v>1246272081</v>
      </c>
      <c r="F4" s="412">
        <v>46194</v>
      </c>
      <c r="G4" s="410"/>
      <c r="H4" s="410" t="s">
        <v>28</v>
      </c>
      <c r="I4" s="410" t="s">
        <v>29</v>
      </c>
      <c r="J4" s="410">
        <v>2886</v>
      </c>
      <c r="K4" s="412">
        <v>46134</v>
      </c>
      <c r="L4" s="410">
        <v>1010200</v>
      </c>
      <c r="M4" s="410" t="s">
        <v>125</v>
      </c>
      <c r="N4" s="410">
        <v>40</v>
      </c>
      <c r="O4" s="410" t="s">
        <v>171</v>
      </c>
      <c r="P4" s="410" t="s">
        <v>403</v>
      </c>
      <c r="Q4">
        <f t="shared" si="0"/>
        <v>-58</v>
      </c>
      <c r="R4" t="str">
        <f>_xlfn.XLOOKUP(P4,'Painel International'!$B:$B,'Painel International'!$B:$B,0)</f>
        <v>C I ACEPALMA SA - COLOMBIA</v>
      </c>
    </row>
    <row r="5" spans="1:18" x14ac:dyDescent="0.25">
      <c r="A5" s="410">
        <v>2680</v>
      </c>
      <c r="B5" s="410" t="s">
        <v>355</v>
      </c>
      <c r="C5" s="410" t="s">
        <v>31</v>
      </c>
      <c r="D5" s="411">
        <v>224812.61</v>
      </c>
      <c r="E5" s="410">
        <v>1246263810</v>
      </c>
      <c r="F5" s="412">
        <v>46144</v>
      </c>
      <c r="G5" s="410"/>
      <c r="H5" s="410" t="s">
        <v>28</v>
      </c>
      <c r="I5" s="410" t="s">
        <v>29</v>
      </c>
      <c r="J5" s="410">
        <v>2743</v>
      </c>
      <c r="K5" s="412">
        <v>46069</v>
      </c>
      <c r="L5" s="410">
        <v>1010200</v>
      </c>
      <c r="M5" s="410" t="s">
        <v>125</v>
      </c>
      <c r="N5" s="410">
        <v>40</v>
      </c>
      <c r="O5" s="410" t="s">
        <v>171</v>
      </c>
      <c r="P5" s="410" t="s">
        <v>355</v>
      </c>
      <c r="Q5">
        <f t="shared" si="0"/>
        <v>-8</v>
      </c>
      <c r="R5" t="str">
        <f>_xlfn.XLOOKUP(P5,'Painel International'!$B:$B,'Painel International'!$B:$B,0)</f>
        <v>FERMAGRI S.A - EQUADOR</v>
      </c>
    </row>
    <row r="6" spans="1:18" x14ac:dyDescent="0.25">
      <c r="A6" s="410">
        <v>2680</v>
      </c>
      <c r="B6" s="410" t="s">
        <v>355</v>
      </c>
      <c r="C6" s="410" t="s">
        <v>31</v>
      </c>
      <c r="D6" s="411">
        <v>175275.24</v>
      </c>
      <c r="E6" s="410">
        <v>1246272069</v>
      </c>
      <c r="F6" s="412">
        <v>46194</v>
      </c>
      <c r="G6" s="410"/>
      <c r="H6" s="410" t="s">
        <v>28</v>
      </c>
      <c r="I6" s="410" t="s">
        <v>29</v>
      </c>
      <c r="J6" s="410">
        <v>11191</v>
      </c>
      <c r="K6" s="412">
        <v>46134</v>
      </c>
      <c r="L6" s="410">
        <v>1010200</v>
      </c>
      <c r="M6" s="410" t="s">
        <v>125</v>
      </c>
      <c r="N6" s="410">
        <v>40</v>
      </c>
      <c r="O6" s="410" t="s">
        <v>171</v>
      </c>
      <c r="P6" s="410" t="s">
        <v>355</v>
      </c>
      <c r="Q6">
        <f t="shared" si="0"/>
        <v>-58</v>
      </c>
      <c r="R6" t="str">
        <f>_xlfn.XLOOKUP(P6,'Painel International'!$B:$B,'Painel International'!$B:$B,0)</f>
        <v>FERMAGRI S.A - EQUADOR</v>
      </c>
    </row>
    <row r="7" spans="1:18" x14ac:dyDescent="0.25">
      <c r="A7" s="410">
        <v>2346</v>
      </c>
      <c r="B7" s="410" t="s">
        <v>535</v>
      </c>
      <c r="C7" s="410" t="s">
        <v>811</v>
      </c>
      <c r="D7" s="411">
        <v>103419.88999999998</v>
      </c>
      <c r="E7" s="410">
        <v>1246265843</v>
      </c>
      <c r="F7" s="412">
        <v>46170</v>
      </c>
      <c r="G7" s="410"/>
      <c r="H7" s="410" t="s">
        <v>28</v>
      </c>
      <c r="I7" s="410" t="s">
        <v>29</v>
      </c>
      <c r="J7" s="410">
        <v>2789</v>
      </c>
      <c r="K7" s="412">
        <v>46080</v>
      </c>
      <c r="L7" s="410">
        <v>1010200</v>
      </c>
      <c r="M7" s="410" t="s">
        <v>125</v>
      </c>
      <c r="N7" s="410">
        <v>40</v>
      </c>
      <c r="O7" s="410" t="s">
        <v>171</v>
      </c>
      <c r="P7" s="410" t="s">
        <v>535</v>
      </c>
      <c r="Q7">
        <f t="shared" si="0"/>
        <v>-34</v>
      </c>
      <c r="R7" t="str">
        <f>_xlfn.XLOOKUP(P7,'Painel International'!$B:$B,'Painel International'!$B:$B,0)</f>
        <v>TEPEYAC - MÉXICO</v>
      </c>
    </row>
    <row r="8" spans="1:18" x14ac:dyDescent="0.25">
      <c r="A8" s="410">
        <v>2651</v>
      </c>
      <c r="B8" s="410" t="s">
        <v>128</v>
      </c>
      <c r="C8" s="410" t="s">
        <v>31</v>
      </c>
      <c r="D8" s="411">
        <v>252226.12</v>
      </c>
      <c r="E8" s="410">
        <v>1246223341</v>
      </c>
      <c r="F8" s="412">
        <v>45935</v>
      </c>
      <c r="G8" s="410"/>
      <c r="H8" s="410" t="s">
        <v>28</v>
      </c>
      <c r="I8" s="410" t="s">
        <v>29</v>
      </c>
      <c r="J8" s="410">
        <v>8388</v>
      </c>
      <c r="K8" s="412">
        <v>45845</v>
      </c>
      <c r="L8" s="410">
        <v>1010200</v>
      </c>
      <c r="M8" s="410" t="s">
        <v>125</v>
      </c>
      <c r="N8" s="410">
        <v>40</v>
      </c>
      <c r="O8" s="410" t="s">
        <v>171</v>
      </c>
      <c r="P8" s="410" t="s">
        <v>128</v>
      </c>
      <c r="Q8">
        <f t="shared" si="0"/>
        <v>201</v>
      </c>
      <c r="R8" t="str">
        <f>_xlfn.XLOOKUP(P8,'Painel International'!$B:$B,'Painel International'!$B:$B,0)</f>
        <v>AGROBROKERS - COLÔMBIA</v>
      </c>
    </row>
    <row r="9" spans="1:18" x14ac:dyDescent="0.25">
      <c r="A9" s="410">
        <v>2651</v>
      </c>
      <c r="B9" s="410" t="s">
        <v>128</v>
      </c>
      <c r="C9" s="410" t="s">
        <v>31</v>
      </c>
      <c r="D9" s="411">
        <v>197281.56999999998</v>
      </c>
      <c r="E9" s="410">
        <v>1246213269</v>
      </c>
      <c r="F9" s="412">
        <v>45849</v>
      </c>
      <c r="G9" s="410"/>
      <c r="H9" s="410" t="s">
        <v>28</v>
      </c>
      <c r="I9" s="410" t="s">
        <v>29</v>
      </c>
      <c r="J9" s="410">
        <v>1965</v>
      </c>
      <c r="K9" s="412">
        <v>45789</v>
      </c>
      <c r="L9" s="410">
        <v>1010200</v>
      </c>
      <c r="M9" s="410" t="s">
        <v>125</v>
      </c>
      <c r="N9" s="410">
        <v>40</v>
      </c>
      <c r="O9" s="410" t="s">
        <v>171</v>
      </c>
      <c r="P9" s="410" t="s">
        <v>128</v>
      </c>
      <c r="Q9">
        <f t="shared" si="0"/>
        <v>287</v>
      </c>
      <c r="R9" t="str">
        <f>_xlfn.XLOOKUP(P9,'Painel International'!$B:$B,'Painel International'!$B:$B,0)</f>
        <v>AGROBROKERS - COLÔMBIA</v>
      </c>
    </row>
    <row r="10" spans="1:18" x14ac:dyDescent="0.25">
      <c r="A10" s="410">
        <v>2652</v>
      </c>
      <c r="B10" s="410" t="s">
        <v>129</v>
      </c>
      <c r="C10" s="410" t="s">
        <v>31</v>
      </c>
      <c r="D10" s="411">
        <v>157149.47</v>
      </c>
      <c r="E10" s="410">
        <v>1246271559</v>
      </c>
      <c r="F10" s="412">
        <v>46158</v>
      </c>
      <c r="G10" s="410"/>
      <c r="H10" s="410" t="s">
        <v>28</v>
      </c>
      <c r="I10" s="410" t="s">
        <v>29</v>
      </c>
      <c r="J10" s="410">
        <v>11137</v>
      </c>
      <c r="K10" s="412">
        <v>46128</v>
      </c>
      <c r="L10" s="410">
        <v>1010200</v>
      </c>
      <c r="M10" s="410" t="s">
        <v>125</v>
      </c>
      <c r="N10" s="410">
        <v>40</v>
      </c>
      <c r="O10" s="410" t="s">
        <v>171</v>
      </c>
      <c r="P10" s="410" t="s">
        <v>129</v>
      </c>
      <c r="Q10">
        <f t="shared" si="0"/>
        <v>-22</v>
      </c>
      <c r="R10" t="str">
        <f>_xlfn.XLOOKUP(P10,'Painel International'!$B:$B,'Painel International'!$B:$B,0)</f>
        <v>FERTIMAX PARAGUAY</v>
      </c>
    </row>
    <row r="11" spans="1:18" x14ac:dyDescent="0.25">
      <c r="A11" s="410">
        <v>2287</v>
      </c>
      <c r="B11" s="410" t="s">
        <v>126</v>
      </c>
      <c r="C11" s="410" t="s">
        <v>127</v>
      </c>
      <c r="D11" s="411">
        <v>149613.56999999998</v>
      </c>
      <c r="E11" s="410">
        <v>1246271939</v>
      </c>
      <c r="F11" s="412">
        <v>46162</v>
      </c>
      <c r="G11" s="410"/>
      <c r="H11" s="410" t="s">
        <v>28</v>
      </c>
      <c r="I11" s="410" t="s">
        <v>29</v>
      </c>
      <c r="J11" s="410">
        <v>11183</v>
      </c>
      <c r="K11" s="412">
        <v>46132</v>
      </c>
      <c r="L11" s="410">
        <v>1010200</v>
      </c>
      <c r="M11" s="410" t="s">
        <v>125</v>
      </c>
      <c r="N11" s="410">
        <v>40</v>
      </c>
      <c r="O11" s="410" t="s">
        <v>171</v>
      </c>
      <c r="P11" s="410" t="s">
        <v>126</v>
      </c>
      <c r="Q11">
        <f t="shared" si="0"/>
        <v>-26</v>
      </c>
      <c r="R11" t="str">
        <f>_xlfn.XLOOKUP(P11,'Painel International'!$B:$B,'Painel International'!$B:$B,0)</f>
        <v>BUNGE PARAGUAY S.A</v>
      </c>
    </row>
    <row r="12" spans="1:18" x14ac:dyDescent="0.25">
      <c r="A12" s="410">
        <v>2287</v>
      </c>
      <c r="B12" s="410" t="s">
        <v>126</v>
      </c>
      <c r="C12" s="410" t="s">
        <v>127</v>
      </c>
      <c r="D12" s="411">
        <v>151987.66</v>
      </c>
      <c r="E12" s="410">
        <v>1246270954</v>
      </c>
      <c r="F12" s="412">
        <v>46152</v>
      </c>
      <c r="G12" s="410"/>
      <c r="H12" s="410" t="s">
        <v>28</v>
      </c>
      <c r="I12" s="410" t="s">
        <v>29</v>
      </c>
      <c r="J12" s="410">
        <v>11086</v>
      </c>
      <c r="K12" s="412">
        <v>46122</v>
      </c>
      <c r="L12" s="410">
        <v>1010200</v>
      </c>
      <c r="M12" s="410" t="s">
        <v>125</v>
      </c>
      <c r="N12" s="410">
        <v>40</v>
      </c>
      <c r="O12" s="410" t="s">
        <v>171</v>
      </c>
      <c r="P12" s="410" t="s">
        <v>126</v>
      </c>
      <c r="Q12">
        <f t="shared" si="0"/>
        <v>-16</v>
      </c>
      <c r="R12" t="str">
        <f>_xlfn.XLOOKUP(P12,'Painel International'!$B:$B,'Painel International'!$B:$B,0)</f>
        <v>BUNGE PARAGUAY S.A</v>
      </c>
    </row>
    <row r="13" spans="1:18" x14ac:dyDescent="0.25">
      <c r="A13" s="410">
        <v>2287</v>
      </c>
      <c r="B13" s="410" t="s">
        <v>126</v>
      </c>
      <c r="C13" s="410" t="s">
        <v>127</v>
      </c>
      <c r="D13" s="411">
        <v>157607.13</v>
      </c>
      <c r="E13" s="410">
        <v>1246268026</v>
      </c>
      <c r="F13" s="412">
        <v>46128</v>
      </c>
      <c r="G13" s="410"/>
      <c r="H13" s="410" t="s">
        <v>28</v>
      </c>
      <c r="I13" s="410" t="s">
        <v>29</v>
      </c>
      <c r="J13" s="410">
        <v>10909</v>
      </c>
      <c r="K13" s="412">
        <v>46098</v>
      </c>
      <c r="L13" s="410">
        <v>1010200</v>
      </c>
      <c r="M13" s="410" t="s">
        <v>125</v>
      </c>
      <c r="N13" s="410">
        <v>40</v>
      </c>
      <c r="O13" s="410" t="s">
        <v>171</v>
      </c>
      <c r="P13" s="410" t="s">
        <v>126</v>
      </c>
      <c r="Q13">
        <f t="shared" si="0"/>
        <v>8</v>
      </c>
      <c r="R13" t="str">
        <f>_xlfn.XLOOKUP(P13,'Painel International'!$B:$B,'Painel International'!$B:$B,0)</f>
        <v>BUNGE PARAGUAY S.A</v>
      </c>
    </row>
    <row r="14" spans="1:18" x14ac:dyDescent="0.25">
      <c r="A14" s="410">
        <v>2655</v>
      </c>
      <c r="B14" s="410" t="s">
        <v>360</v>
      </c>
      <c r="C14" s="410" t="s">
        <v>31</v>
      </c>
      <c r="D14" s="411">
        <v>40017.64</v>
      </c>
      <c r="E14" s="410">
        <v>1246268741</v>
      </c>
      <c r="F14" s="412">
        <v>46165</v>
      </c>
      <c r="G14" s="410"/>
      <c r="H14" s="410" t="s">
        <v>28</v>
      </c>
      <c r="I14" s="410" t="s">
        <v>29</v>
      </c>
      <c r="J14" s="410">
        <v>10964</v>
      </c>
      <c r="K14" s="412">
        <v>46105</v>
      </c>
      <c r="L14" s="410">
        <v>1010200</v>
      </c>
      <c r="M14" s="410" t="s">
        <v>125</v>
      </c>
      <c r="N14" s="410">
        <v>40</v>
      </c>
      <c r="O14" s="410" t="s">
        <v>171</v>
      </c>
      <c r="P14" s="410" t="s">
        <v>360</v>
      </c>
      <c r="Q14">
        <f t="shared" si="0"/>
        <v>-29</v>
      </c>
      <c r="R14" t="str">
        <f>_xlfn.XLOOKUP(P14,'Painel International'!$B:$B,'Painel International'!$B:$B,0)</f>
        <v>EQUILIBRA PERU S.A</v>
      </c>
    </row>
    <row r="15" spans="1:18" x14ac:dyDescent="0.25">
      <c r="A15" s="410">
        <v>2656</v>
      </c>
      <c r="B15" s="410" t="s">
        <v>130</v>
      </c>
      <c r="C15" s="410" t="s">
        <v>31</v>
      </c>
      <c r="D15" s="411">
        <v>131960.06</v>
      </c>
      <c r="E15" s="410">
        <v>1246271948</v>
      </c>
      <c r="F15" s="412">
        <v>46162</v>
      </c>
      <c r="G15" s="410"/>
      <c r="H15" s="410" t="s">
        <v>28</v>
      </c>
      <c r="I15" s="410" t="s">
        <v>29</v>
      </c>
      <c r="J15" s="410">
        <v>11185</v>
      </c>
      <c r="K15" s="412">
        <v>46132</v>
      </c>
      <c r="L15" s="410">
        <v>1010200</v>
      </c>
      <c r="M15" s="410" t="s">
        <v>125</v>
      </c>
      <c r="N15" s="410">
        <v>40</v>
      </c>
      <c r="O15" s="410" t="s">
        <v>171</v>
      </c>
      <c r="P15" s="410" t="s">
        <v>130</v>
      </c>
      <c r="Q15">
        <f t="shared" si="0"/>
        <v>-26</v>
      </c>
      <c r="R15" t="str">
        <f>_xlfn.XLOOKUP(P15,'Painel International'!$B:$B,'Painel International'!$B:$B,0)</f>
        <v>ISUSA - URUGUAI</v>
      </c>
    </row>
    <row r="16" spans="1:18" x14ac:dyDescent="0.25">
      <c r="A16" s="410">
        <v>6370</v>
      </c>
      <c r="B16" s="410" t="s">
        <v>295</v>
      </c>
      <c r="C16" s="410" t="s">
        <v>32</v>
      </c>
      <c r="D16" s="411">
        <v>177202.68</v>
      </c>
      <c r="E16" s="410">
        <v>1246270149</v>
      </c>
      <c r="F16" s="412">
        <v>46144</v>
      </c>
      <c r="G16" s="410"/>
      <c r="H16" s="410" t="s">
        <v>28</v>
      </c>
      <c r="I16" s="410" t="s">
        <v>29</v>
      </c>
      <c r="J16" s="410">
        <v>11042</v>
      </c>
      <c r="K16" s="412">
        <v>46114</v>
      </c>
      <c r="L16" s="410">
        <v>1010200</v>
      </c>
      <c r="M16" s="410" t="s">
        <v>125</v>
      </c>
      <c r="N16" s="410">
        <v>40</v>
      </c>
      <c r="O16" s="410" t="s">
        <v>171</v>
      </c>
      <c r="P16" s="410" t="s">
        <v>295</v>
      </c>
      <c r="Q16">
        <f t="shared" si="0"/>
        <v>-8</v>
      </c>
      <c r="R16" t="str">
        <f>_xlfn.XLOOKUP(P16,'Painel International'!$B:$B,'Painel International'!$B:$B,0)</f>
        <v>YTL S.A. - PARAGUAI</v>
      </c>
    </row>
    <row r="17" spans="1:18" x14ac:dyDescent="0.25">
      <c r="A17" s="410">
        <v>6370</v>
      </c>
      <c r="B17" s="410" t="s">
        <v>295</v>
      </c>
      <c r="C17" s="410" t="s">
        <v>32</v>
      </c>
      <c r="D17" s="411">
        <v>172806.77</v>
      </c>
      <c r="E17" s="410">
        <v>1246272162</v>
      </c>
      <c r="F17" s="412">
        <v>46164</v>
      </c>
      <c r="G17" s="410"/>
      <c r="H17" s="410" t="s">
        <v>28</v>
      </c>
      <c r="I17" s="410" t="s">
        <v>29</v>
      </c>
      <c r="J17" s="410">
        <v>11193</v>
      </c>
      <c r="K17" s="412">
        <v>46134</v>
      </c>
      <c r="L17" s="410">
        <v>1010200</v>
      </c>
      <c r="M17" s="410" t="s">
        <v>125</v>
      </c>
      <c r="N17" s="410">
        <v>40</v>
      </c>
      <c r="O17" s="410" t="s">
        <v>171</v>
      </c>
      <c r="P17" s="410" t="s">
        <v>295</v>
      </c>
      <c r="Q17">
        <f t="shared" si="0"/>
        <v>-28</v>
      </c>
      <c r="R17" t="str">
        <f>_xlfn.XLOOKUP(P17,'Painel International'!$B:$B,'Painel International'!$B:$B,0)</f>
        <v>YTL S.A. - PARAGUAI</v>
      </c>
    </row>
    <row r="18" spans="1:18" x14ac:dyDescent="0.25">
      <c r="A18" s="410">
        <v>9708</v>
      </c>
      <c r="B18" s="410" t="s">
        <v>635</v>
      </c>
      <c r="C18" s="410" t="s">
        <v>31</v>
      </c>
      <c r="D18" s="411">
        <v>687688.91</v>
      </c>
      <c r="E18" s="410">
        <v>1246271322</v>
      </c>
      <c r="F18" s="412">
        <v>46186</v>
      </c>
      <c r="G18" s="410"/>
      <c r="H18" s="410"/>
      <c r="I18" s="410" t="s">
        <v>373</v>
      </c>
      <c r="J18" s="410">
        <v>11122</v>
      </c>
      <c r="K18" s="412">
        <v>46126</v>
      </c>
      <c r="L18" s="410">
        <v>1010200</v>
      </c>
      <c r="M18" s="410" t="s">
        <v>125</v>
      </c>
      <c r="N18" s="410">
        <v>40</v>
      </c>
      <c r="O18" s="410" t="s">
        <v>171</v>
      </c>
      <c r="P18" s="410" t="s">
        <v>635</v>
      </c>
      <c r="Q18">
        <f t="shared" si="0"/>
        <v>-50</v>
      </c>
      <c r="R18" t="str">
        <f>_xlfn.XLOOKUP(P18,'Painel International'!$B:$B,'Painel International'!$B:$B,0)</f>
        <v>CARGILL ARGENTINA</v>
      </c>
    </row>
    <row r="19" spans="1:18" x14ac:dyDescent="0.25">
      <c r="A19" s="410">
        <v>9295</v>
      </c>
      <c r="B19" s="410" t="s">
        <v>382</v>
      </c>
      <c r="C19" s="410" t="s">
        <v>127</v>
      </c>
      <c r="D19" s="411">
        <v>130127.06</v>
      </c>
      <c r="E19" s="410">
        <v>1246270982</v>
      </c>
      <c r="F19" s="412">
        <v>46152</v>
      </c>
      <c r="G19" s="410"/>
      <c r="H19" s="410" t="s">
        <v>28</v>
      </c>
      <c r="I19" s="410" t="s">
        <v>29</v>
      </c>
      <c r="J19" s="410">
        <v>11090</v>
      </c>
      <c r="K19" s="412">
        <v>46122</v>
      </c>
      <c r="L19" s="410">
        <v>1010200</v>
      </c>
      <c r="M19" s="410" t="s">
        <v>125</v>
      </c>
      <c r="N19" s="410">
        <v>40</v>
      </c>
      <c r="O19" s="410" t="s">
        <v>171</v>
      </c>
      <c r="P19" s="410" t="s">
        <v>382</v>
      </c>
      <c r="Q19">
        <f t="shared" si="0"/>
        <v>-16</v>
      </c>
      <c r="R19" t="str">
        <f>_xlfn.XLOOKUP(P19,'Painel International'!$B:$B,'Painel International'!$B:$B,0)</f>
        <v>TECNOMYL S.A. - PARAGUAY</v>
      </c>
    </row>
    <row r="20" spans="1:18" x14ac:dyDescent="0.25">
      <c r="A20" s="410">
        <v>9295</v>
      </c>
      <c r="B20" s="410" t="s">
        <v>382</v>
      </c>
      <c r="C20" s="410" t="s">
        <v>127</v>
      </c>
      <c r="D20" s="411">
        <v>132185.95000000001</v>
      </c>
      <c r="E20" s="410">
        <v>1246270621</v>
      </c>
      <c r="F20" s="412">
        <v>46150</v>
      </c>
      <c r="G20" s="410"/>
      <c r="H20" s="410" t="s">
        <v>28</v>
      </c>
      <c r="I20" s="410" t="s">
        <v>29</v>
      </c>
      <c r="J20" s="410">
        <v>11071</v>
      </c>
      <c r="K20" s="412">
        <v>46120</v>
      </c>
      <c r="L20" s="410">
        <v>1010200</v>
      </c>
      <c r="M20" s="410" t="s">
        <v>125</v>
      </c>
      <c r="N20" s="410">
        <v>40</v>
      </c>
      <c r="O20" s="410" t="s">
        <v>171</v>
      </c>
      <c r="P20" s="410" t="s">
        <v>382</v>
      </c>
      <c r="Q20">
        <f t="shared" si="0"/>
        <v>-14</v>
      </c>
      <c r="R20" t="str">
        <f>_xlfn.XLOOKUP(P20,'Painel International'!$B:$B,'Painel International'!$B:$B,0)</f>
        <v>TECNOMYL S.A. - PARAGUAY</v>
      </c>
    </row>
    <row r="21" spans="1:18" x14ac:dyDescent="0.25">
      <c r="A21" s="410">
        <v>9355</v>
      </c>
      <c r="B21" s="410" t="s">
        <v>337</v>
      </c>
      <c r="C21" s="410" t="s">
        <v>31</v>
      </c>
      <c r="D21" s="411">
        <v>604265.81999999983</v>
      </c>
      <c r="E21" s="410">
        <v>1246264749</v>
      </c>
      <c r="F21" s="412">
        <v>46177</v>
      </c>
      <c r="G21" s="410"/>
      <c r="H21" s="410" t="s">
        <v>28</v>
      </c>
      <c r="I21" s="410" t="s">
        <v>29</v>
      </c>
      <c r="J21" s="410">
        <v>2768</v>
      </c>
      <c r="K21" s="412">
        <v>46077</v>
      </c>
      <c r="L21" s="410">
        <v>1010200</v>
      </c>
      <c r="M21" s="410" t="s">
        <v>125</v>
      </c>
      <c r="N21" s="410">
        <v>40</v>
      </c>
      <c r="O21" s="410" t="s">
        <v>171</v>
      </c>
      <c r="P21" s="410" t="s">
        <v>337</v>
      </c>
      <c r="Q21">
        <f t="shared" si="0"/>
        <v>-41</v>
      </c>
      <c r="R21" t="str">
        <f>_xlfn.XLOOKUP(P21,'Painel International'!$B:$B,'Painel International'!$B:$B,0)</f>
        <v>NITROFERT SAS - COLOMBIA</v>
      </c>
    </row>
    <row r="22" spans="1:18" x14ac:dyDescent="0.25">
      <c r="A22" s="410">
        <v>9355</v>
      </c>
      <c r="B22" s="410" t="s">
        <v>337</v>
      </c>
      <c r="C22" s="410" t="s">
        <v>31</v>
      </c>
      <c r="D22" s="411">
        <v>1191855.2599999998</v>
      </c>
      <c r="E22" s="410">
        <v>1246265046</v>
      </c>
      <c r="F22" s="412">
        <v>46180</v>
      </c>
      <c r="G22" s="410"/>
      <c r="H22" s="410" t="s">
        <v>28</v>
      </c>
      <c r="I22" s="410" t="s">
        <v>29</v>
      </c>
      <c r="J22" s="410">
        <v>10762</v>
      </c>
      <c r="K22" s="412">
        <v>46078</v>
      </c>
      <c r="L22" s="410">
        <v>1010200</v>
      </c>
      <c r="M22" s="410" t="s">
        <v>125</v>
      </c>
      <c r="N22" s="410">
        <v>40</v>
      </c>
      <c r="O22" s="410" t="s">
        <v>171</v>
      </c>
      <c r="P22" s="410" t="s">
        <v>337</v>
      </c>
      <c r="Q22">
        <f t="shared" si="0"/>
        <v>-44</v>
      </c>
      <c r="R22" t="str">
        <f>_xlfn.XLOOKUP(P22,'Painel International'!$B:$B,'Painel International'!$B:$B,0)</f>
        <v>NITROFERT SAS - COLOMBIA</v>
      </c>
    </row>
    <row r="23" spans="1:18" x14ac:dyDescent="0.25">
      <c r="A23" s="410">
        <v>9355</v>
      </c>
      <c r="B23" s="410" t="s">
        <v>337</v>
      </c>
      <c r="C23" s="410" t="s">
        <v>31</v>
      </c>
      <c r="D23" s="411">
        <v>292178.84000000003</v>
      </c>
      <c r="E23" s="410">
        <v>1246264769</v>
      </c>
      <c r="F23" s="412">
        <v>46180</v>
      </c>
      <c r="G23" s="410"/>
      <c r="H23" s="410" t="s">
        <v>28</v>
      </c>
      <c r="I23" s="410" t="s">
        <v>29</v>
      </c>
      <c r="J23" s="410">
        <v>10753</v>
      </c>
      <c r="K23" s="412">
        <v>46077</v>
      </c>
      <c r="L23" s="410">
        <v>1010200</v>
      </c>
      <c r="M23" s="410" t="s">
        <v>125</v>
      </c>
      <c r="N23" s="410">
        <v>40</v>
      </c>
      <c r="O23" s="410" t="s">
        <v>171</v>
      </c>
      <c r="P23" s="410" t="s">
        <v>337</v>
      </c>
      <c r="Q23">
        <f t="shared" si="0"/>
        <v>-44</v>
      </c>
      <c r="R23" t="str">
        <f>_xlfn.XLOOKUP(P23,'Painel International'!$B:$B,'Painel International'!$B:$B,0)</f>
        <v>NITROFERT SAS - COLOMBIA</v>
      </c>
    </row>
    <row r="24" spans="1:18" x14ac:dyDescent="0.25">
      <c r="A24" s="410">
        <v>9355</v>
      </c>
      <c r="B24" s="410" t="s">
        <v>337</v>
      </c>
      <c r="C24" s="410" t="s">
        <v>31</v>
      </c>
      <c r="D24" s="411">
        <v>1191855.2599999998</v>
      </c>
      <c r="E24" s="410">
        <v>1246265200</v>
      </c>
      <c r="F24" s="412">
        <v>46177</v>
      </c>
      <c r="G24" s="410"/>
      <c r="H24" s="410" t="s">
        <v>28</v>
      </c>
      <c r="I24" s="410" t="s">
        <v>29</v>
      </c>
      <c r="J24" s="410">
        <v>2778</v>
      </c>
      <c r="K24" s="412">
        <v>46078</v>
      </c>
      <c r="L24" s="410">
        <v>1010200</v>
      </c>
      <c r="M24" s="410" t="s">
        <v>125</v>
      </c>
      <c r="N24" s="410">
        <v>40</v>
      </c>
      <c r="O24" s="410" t="s">
        <v>171</v>
      </c>
      <c r="P24" s="410" t="s">
        <v>337</v>
      </c>
      <c r="Q24">
        <f t="shared" si="0"/>
        <v>-41</v>
      </c>
      <c r="R24" t="str">
        <f>_xlfn.XLOOKUP(P24,'Painel International'!$B:$B,'Painel International'!$B:$B,0)</f>
        <v>NITROFERT SAS - COLOMBIA</v>
      </c>
    </row>
    <row r="25" spans="1:18" x14ac:dyDescent="0.25">
      <c r="A25" s="410">
        <v>11768</v>
      </c>
      <c r="B25" s="410" t="s">
        <v>305</v>
      </c>
      <c r="C25" s="410" t="s">
        <v>31</v>
      </c>
      <c r="D25" s="411">
        <v>86689.1</v>
      </c>
      <c r="E25" s="410">
        <v>1246264534</v>
      </c>
      <c r="F25" s="412">
        <v>46136</v>
      </c>
      <c r="G25" s="410"/>
      <c r="H25" s="410" t="s">
        <v>28</v>
      </c>
      <c r="I25" s="410" t="s">
        <v>29</v>
      </c>
      <c r="J25" s="410">
        <v>10744</v>
      </c>
      <c r="K25" s="412">
        <v>46076</v>
      </c>
      <c r="L25" s="410">
        <v>1010200</v>
      </c>
      <c r="M25" s="410" t="s">
        <v>125</v>
      </c>
      <c r="N25" s="410">
        <v>40</v>
      </c>
      <c r="O25" s="410" t="s">
        <v>171</v>
      </c>
      <c r="P25" s="410" t="s">
        <v>305</v>
      </c>
      <c r="Q25">
        <f t="shared" si="0"/>
        <v>0</v>
      </c>
      <c r="R25" t="str">
        <f>_xlfn.XLOOKUP(P25,'Painel International'!$B:$B,'Painel International'!$B:$B,0)</f>
        <v>CERES PERU S.A</v>
      </c>
    </row>
    <row r="26" spans="1:18" x14ac:dyDescent="0.25">
      <c r="A26" s="410">
        <v>11770</v>
      </c>
      <c r="B26" s="410" t="s">
        <v>438</v>
      </c>
      <c r="C26" s="410" t="s">
        <v>31</v>
      </c>
      <c r="D26" s="411">
        <v>14548.35</v>
      </c>
      <c r="E26" s="410">
        <v>1246263524</v>
      </c>
      <c r="F26" s="412">
        <v>46039</v>
      </c>
      <c r="G26" s="410"/>
      <c r="H26" s="410" t="s">
        <v>28</v>
      </c>
      <c r="I26" s="410" t="s">
        <v>29</v>
      </c>
      <c r="J26" s="410">
        <v>9853</v>
      </c>
      <c r="K26" s="412">
        <v>45959</v>
      </c>
      <c r="L26" s="410">
        <v>1010200</v>
      </c>
      <c r="M26" s="410" t="s">
        <v>125</v>
      </c>
      <c r="N26" s="410">
        <v>40</v>
      </c>
      <c r="O26" s="410" t="s">
        <v>171</v>
      </c>
      <c r="P26" s="410" t="s">
        <v>438</v>
      </c>
      <c r="Q26">
        <f t="shared" si="0"/>
        <v>97</v>
      </c>
      <c r="R26" t="str">
        <f>_xlfn.XLOOKUP(P26,'Painel International'!$B:$B,'Painel International'!$B:$B,0)</f>
        <v>FERTIBAL - EQUADOR</v>
      </c>
    </row>
    <row r="27" spans="1:18" x14ac:dyDescent="0.25">
      <c r="A27" s="410">
        <v>11580</v>
      </c>
      <c r="B27" s="410" t="s">
        <v>492</v>
      </c>
      <c r="C27" s="410" t="s">
        <v>31</v>
      </c>
      <c r="D27" s="411">
        <v>76480.23</v>
      </c>
      <c r="E27" s="410">
        <v>1246268734</v>
      </c>
      <c r="F27" s="412">
        <v>46440</v>
      </c>
      <c r="G27" s="410"/>
      <c r="H27" s="410" t="s">
        <v>28</v>
      </c>
      <c r="I27" s="410" t="s">
        <v>29</v>
      </c>
      <c r="J27" s="410">
        <v>2837</v>
      </c>
      <c r="K27" s="412">
        <v>46105</v>
      </c>
      <c r="L27" s="410">
        <v>1010200</v>
      </c>
      <c r="M27" s="410" t="s">
        <v>125</v>
      </c>
      <c r="N27" s="410">
        <v>40</v>
      </c>
      <c r="O27" s="410" t="s">
        <v>171</v>
      </c>
      <c r="P27" s="410" t="s">
        <v>492</v>
      </c>
      <c r="Q27">
        <f t="shared" si="0"/>
        <v>-304</v>
      </c>
      <c r="R27" t="str">
        <f>_xlfn.XLOOKUP(P27,'Painel International'!$B:$B,'Painel International'!$B:$B,0)</f>
        <v>AGRO MIL AGROS SAS - COLOMBIA</v>
      </c>
    </row>
    <row r="28" spans="1:18" x14ac:dyDescent="0.25">
      <c r="A28" s="410">
        <v>13330</v>
      </c>
      <c r="B28" s="410" t="s">
        <v>679</v>
      </c>
      <c r="C28" s="410" t="s">
        <v>680</v>
      </c>
      <c r="D28" s="411">
        <v>853.24</v>
      </c>
      <c r="E28" s="410">
        <v>1246272264</v>
      </c>
      <c r="F28" s="412">
        <v>46148</v>
      </c>
      <c r="G28" s="410"/>
      <c r="H28" s="410"/>
      <c r="I28" s="410" t="s">
        <v>373</v>
      </c>
      <c r="J28" s="410">
        <v>11057</v>
      </c>
      <c r="K28" s="412">
        <v>46118</v>
      </c>
      <c r="L28" s="410">
        <v>1010200</v>
      </c>
      <c r="M28" s="410" t="s">
        <v>125</v>
      </c>
      <c r="N28" s="410">
        <v>40</v>
      </c>
      <c r="O28" s="410" t="s">
        <v>171</v>
      </c>
      <c r="P28" s="410" t="s">
        <v>679</v>
      </c>
      <c r="Q28">
        <f t="shared" si="0"/>
        <v>-12</v>
      </c>
      <c r="R28" t="str">
        <f>_xlfn.XLOOKUP(P28,'Painel International'!$B:$B,'Painel International'!$B:$B,0)</f>
        <v>ORGANITEC - PARAGUAY</v>
      </c>
    </row>
    <row r="29" spans="1:18" x14ac:dyDescent="0.25">
      <c r="A29" s="410">
        <v>13330</v>
      </c>
      <c r="B29" s="410" t="s">
        <v>679</v>
      </c>
      <c r="C29" s="410" t="s">
        <v>680</v>
      </c>
      <c r="D29" s="411">
        <v>527.28</v>
      </c>
      <c r="E29" s="410">
        <v>1246238356</v>
      </c>
      <c r="F29" s="412">
        <v>45927</v>
      </c>
      <c r="G29" s="410"/>
      <c r="H29" s="410"/>
      <c r="I29" s="410" t="s">
        <v>373</v>
      </c>
      <c r="J29" s="410">
        <v>9092</v>
      </c>
      <c r="K29" s="412">
        <v>45897</v>
      </c>
      <c r="L29" s="410">
        <v>1010200</v>
      </c>
      <c r="M29" s="410" t="s">
        <v>125</v>
      </c>
      <c r="N29" s="410">
        <v>40</v>
      </c>
      <c r="O29" s="410" t="s">
        <v>171</v>
      </c>
      <c r="P29" s="410" t="s">
        <v>679</v>
      </c>
      <c r="Q29">
        <f t="shared" si="0"/>
        <v>209</v>
      </c>
      <c r="R29" t="str">
        <f>_xlfn.XLOOKUP(P29,'Painel International'!$B:$B,'Painel International'!$B:$B,0)</f>
        <v>ORGANITEC - PARAGUAY</v>
      </c>
    </row>
    <row r="30" spans="1:18" x14ac:dyDescent="0.25">
      <c r="A30" s="410">
        <v>15508</v>
      </c>
      <c r="B30" s="410" t="s">
        <v>571</v>
      </c>
      <c r="C30" s="410" t="s">
        <v>924</v>
      </c>
      <c r="D30" s="411">
        <v>137716.91</v>
      </c>
      <c r="E30" s="410">
        <v>1246270312</v>
      </c>
      <c r="F30" s="412">
        <v>46148</v>
      </c>
      <c r="G30" s="410"/>
      <c r="H30" s="410" t="s">
        <v>28</v>
      </c>
      <c r="I30" s="410" t="s">
        <v>29</v>
      </c>
      <c r="J30" s="410">
        <v>11050</v>
      </c>
      <c r="K30" s="412">
        <v>46118</v>
      </c>
      <c r="L30" s="410">
        <v>1010200</v>
      </c>
      <c r="M30" s="410" t="s">
        <v>125</v>
      </c>
      <c r="N30" s="410">
        <v>40</v>
      </c>
      <c r="O30" s="410" t="s">
        <v>171</v>
      </c>
      <c r="P30" s="410" t="s">
        <v>571</v>
      </c>
      <c r="Q30">
        <f t="shared" si="0"/>
        <v>-12</v>
      </c>
      <c r="R30" t="str">
        <f>_xlfn.XLOOKUP(P30,'Painel International'!$B:$B,'Painel International'!$B:$B,0)</f>
        <v>SOMAX - PARAGUAI</v>
      </c>
    </row>
    <row r="31" spans="1:18" x14ac:dyDescent="0.25">
      <c r="A31" s="410">
        <v>15543</v>
      </c>
      <c r="B31" s="410" t="s">
        <v>852</v>
      </c>
      <c r="C31" s="410" t="s">
        <v>853</v>
      </c>
      <c r="D31" s="411">
        <v>45718.46</v>
      </c>
      <c r="E31" s="410">
        <v>1246264533</v>
      </c>
      <c r="F31" s="412">
        <v>46181</v>
      </c>
      <c r="G31" s="410"/>
      <c r="H31" s="410"/>
      <c r="I31" s="410" t="s">
        <v>373</v>
      </c>
      <c r="J31" s="410">
        <v>10745</v>
      </c>
      <c r="K31" s="412">
        <v>46076</v>
      </c>
      <c r="L31" s="410">
        <v>1010200</v>
      </c>
      <c r="M31" s="410" t="s">
        <v>125</v>
      </c>
      <c r="N31" s="410">
        <v>40</v>
      </c>
      <c r="O31" s="410" t="s">
        <v>171</v>
      </c>
      <c r="P31" s="410" t="s">
        <v>852</v>
      </c>
      <c r="Q31">
        <f t="shared" si="0"/>
        <v>-45</v>
      </c>
      <c r="R31" t="str">
        <f>_xlfn.XLOOKUP(P31,'Painel International'!$B:$B,'Painel International'!$B:$B,0)</f>
        <v>GOTLAND EQUADOR (SOLINAG)</v>
      </c>
    </row>
    <row r="32" spans="1:18" x14ac:dyDescent="0.25">
      <c r="A32" s="410"/>
      <c r="B32" s="410"/>
      <c r="C32" s="410"/>
      <c r="D32" s="411"/>
      <c r="E32" s="410"/>
      <c r="F32" s="412"/>
      <c r="G32" s="410"/>
      <c r="H32" s="410"/>
      <c r="I32" s="410"/>
      <c r="J32" s="410"/>
      <c r="K32" s="412"/>
      <c r="L32" s="410"/>
      <c r="M32" s="410"/>
      <c r="N32" s="410"/>
      <c r="O32" s="410"/>
      <c r="P32" s="410"/>
      <c r="Q32">
        <f t="shared" si="0"/>
        <v>46136</v>
      </c>
      <c r="R32">
        <f>_xlfn.XLOOKUP(P32,'Painel International'!$B:$B,'Painel International'!$B:$B,0)</f>
        <v>0</v>
      </c>
    </row>
    <row r="33" spans="4:18" x14ac:dyDescent="0.25">
      <c r="D33" s="34"/>
      <c r="F33" s="30"/>
      <c r="K33" s="30"/>
      <c r="Q33">
        <f t="shared" si="0"/>
        <v>46136</v>
      </c>
      <c r="R33">
        <f>_xlfn.XLOOKUP(P33,'Painel International'!$B:$B,'Painel International'!$B:$B,0)</f>
        <v>0</v>
      </c>
    </row>
    <row r="34" spans="4:18" x14ac:dyDescent="0.25">
      <c r="D34" s="34"/>
      <c r="F34" s="30"/>
      <c r="K34" s="30"/>
      <c r="Q34">
        <f t="shared" si="0"/>
        <v>46136</v>
      </c>
      <c r="R34">
        <f>_xlfn.XLOOKUP(P34,'Painel International'!$B:$B,'Painel International'!$B:$B,0)</f>
        <v>0</v>
      </c>
    </row>
    <row r="35" spans="4:18" x14ac:dyDescent="0.25">
      <c r="D35" s="34"/>
      <c r="F35" s="30"/>
      <c r="K35" s="30"/>
      <c r="Q35">
        <f t="shared" si="0"/>
        <v>46136</v>
      </c>
      <c r="R35">
        <f>_xlfn.XLOOKUP(P35,'Painel International'!$B:$B,'Painel International'!$B:$B,0)</f>
        <v>0</v>
      </c>
    </row>
    <row r="36" spans="4:18" x14ac:dyDescent="0.25">
      <c r="D36" s="34"/>
      <c r="F36" s="30"/>
      <c r="K36" s="30"/>
      <c r="Q36">
        <f t="shared" si="0"/>
        <v>46136</v>
      </c>
      <c r="R36">
        <f>_xlfn.XLOOKUP(P36,'Painel International'!$B:$B,'Painel International'!$B:$B,0)</f>
        <v>0</v>
      </c>
    </row>
    <row r="37" spans="4:18" x14ac:dyDescent="0.25">
      <c r="D37" s="34"/>
      <c r="F37" s="30"/>
      <c r="K37" s="30"/>
      <c r="Q37">
        <f t="shared" ref="Q37" si="1">$R$1-F37</f>
        <v>46136</v>
      </c>
      <c r="R37">
        <f>_xlfn.XLOOKUP(P37,'Painel International'!$B:$B,'Painel International'!$B:$B,0)</f>
        <v>0</v>
      </c>
    </row>
    <row r="38" spans="4:18" x14ac:dyDescent="0.25">
      <c r="D38" s="34"/>
      <c r="F38" s="30"/>
      <c r="K38" s="30"/>
      <c r="Q38">
        <f t="shared" ref="Q38" si="2">$R$1-F38</f>
        <v>46136</v>
      </c>
      <c r="R38">
        <f>_xlfn.XLOOKUP(P38,'Painel International'!$B:$B,'Painel International'!$B:$B,0)</f>
        <v>0</v>
      </c>
    </row>
    <row r="39" spans="4:18" x14ac:dyDescent="0.25">
      <c r="D39" s="34"/>
      <c r="F39" s="30"/>
      <c r="K39" s="30"/>
      <c r="Q39">
        <f>$R$1-F39</f>
        <v>46136</v>
      </c>
      <c r="R39">
        <f>_xlfn.XLOOKUP(P39,'Painel International'!$B:$B,'Painel International'!$B:$B,0)</f>
        <v>0</v>
      </c>
    </row>
    <row r="40" spans="4:18" x14ac:dyDescent="0.25">
      <c r="D40" s="34"/>
      <c r="F40" s="30"/>
      <c r="K40" s="30"/>
      <c r="Q40">
        <f t="shared" ref="Q40:Q41" si="3">$R$1-F40</f>
        <v>46136</v>
      </c>
      <c r="R40">
        <f>_xlfn.XLOOKUP(P40,'Painel International'!$B:$B,'Painel International'!$B:$B,0)</f>
        <v>0</v>
      </c>
    </row>
    <row r="41" spans="4:18" x14ac:dyDescent="0.25">
      <c r="D41" s="34"/>
      <c r="F41" s="30"/>
      <c r="K41" s="30"/>
      <c r="Q41">
        <f t="shared" si="3"/>
        <v>46136</v>
      </c>
      <c r="R41">
        <f>_xlfn.XLOOKUP(P41,'Painel International'!$B:$B,'Painel International'!$B:$B,0)</f>
        <v>0</v>
      </c>
    </row>
  </sheetData>
  <autoFilter ref="A2:S41" xr:uid="{D22997FA-10A2-4C0A-9CCA-48F9A22A414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392"/>
  <sheetViews>
    <sheetView zoomScale="80" zoomScaleNormal="80" workbookViewId="0">
      <pane xSplit="2" ySplit="2" topLeftCell="C3" activePane="bottomRight" state="frozen"/>
      <selection activeCell="A3" sqref="A3"/>
      <selection pane="topRight" activeCell="A3" sqref="A3"/>
      <selection pane="bottomLeft" activeCell="A3" sqref="A3"/>
      <selection pane="bottomRight" activeCell="R1" sqref="R1"/>
    </sheetView>
  </sheetViews>
  <sheetFormatPr defaultRowHeight="13.2" x14ac:dyDescent="0.25"/>
  <cols>
    <col min="1" max="1" width="12.6640625" bestFit="1" customWidth="1"/>
    <col min="2" max="2" width="43.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2.6640625"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2">
        <f>SUBTOTAL(9,D3:D995)</f>
        <v>27543516.399999999</v>
      </c>
      <c r="E1" s="35"/>
      <c r="F1" s="35"/>
      <c r="G1" s="35"/>
      <c r="R1" s="3">
        <v>46135</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409</v>
      </c>
      <c r="Q2" s="4" t="s">
        <v>5</v>
      </c>
    </row>
    <row r="3" spans="1:18" x14ac:dyDescent="0.25">
      <c r="A3" s="410">
        <v>9824</v>
      </c>
      <c r="B3" s="410" t="s">
        <v>728</v>
      </c>
      <c r="C3" s="410" t="s">
        <v>190</v>
      </c>
      <c r="D3" s="411">
        <v>69971.199999999997</v>
      </c>
      <c r="E3" s="410">
        <v>1246154720</v>
      </c>
      <c r="F3" s="412">
        <v>45738</v>
      </c>
      <c r="G3" s="410"/>
      <c r="H3" s="410" t="s">
        <v>173</v>
      </c>
      <c r="I3" s="410" t="s">
        <v>174</v>
      </c>
      <c r="J3" s="410">
        <v>4113</v>
      </c>
      <c r="K3" s="412">
        <v>45475</v>
      </c>
      <c r="L3" s="410">
        <v>1010100</v>
      </c>
      <c r="M3" s="410" t="s">
        <v>35</v>
      </c>
      <c r="N3" s="410">
        <v>161</v>
      </c>
      <c r="O3" s="410" t="s">
        <v>161</v>
      </c>
      <c r="P3" s="410" t="s">
        <v>427</v>
      </c>
      <c r="Q3">
        <f t="shared" ref="Q3:Q65" si="0">$R$1-F3</f>
        <v>397</v>
      </c>
      <c r="R3" t="str">
        <f>_xlfn.XLOOKUP(P3,'Painel Fertilizers'!$B:$B,'Painel Fertilizers'!$B:$B,0)</f>
        <v>GRUPO TRIANGULO AGRO</v>
      </c>
    </row>
    <row r="4" spans="1:18" x14ac:dyDescent="0.25">
      <c r="A4" s="410">
        <v>9824</v>
      </c>
      <c r="B4" s="410" t="s">
        <v>728</v>
      </c>
      <c r="C4" s="410" t="s">
        <v>190</v>
      </c>
      <c r="D4" s="411">
        <v>60656</v>
      </c>
      <c r="E4" s="410">
        <v>1246154724</v>
      </c>
      <c r="F4" s="412">
        <v>45738</v>
      </c>
      <c r="G4" s="410"/>
      <c r="H4" s="410" t="s">
        <v>173</v>
      </c>
      <c r="I4" s="410" t="s">
        <v>174</v>
      </c>
      <c r="J4" s="410">
        <v>4114</v>
      </c>
      <c r="K4" s="412">
        <v>45475</v>
      </c>
      <c r="L4" s="410">
        <v>1010100</v>
      </c>
      <c r="M4" s="410" t="s">
        <v>35</v>
      </c>
      <c r="N4" s="410">
        <v>161</v>
      </c>
      <c r="O4" s="410" t="s">
        <v>161</v>
      </c>
      <c r="P4" s="410" t="s">
        <v>427</v>
      </c>
      <c r="Q4">
        <f t="shared" si="0"/>
        <v>397</v>
      </c>
      <c r="R4" t="str">
        <f>_xlfn.XLOOKUP(P4,'Painel Fertilizers'!$B:$B,'Painel Fertilizers'!$B:$B,0)</f>
        <v>GRUPO TRIANGULO AGRO</v>
      </c>
    </row>
    <row r="5" spans="1:18" x14ac:dyDescent="0.25">
      <c r="A5" s="410">
        <v>10371</v>
      </c>
      <c r="B5" s="410" t="s">
        <v>255</v>
      </c>
      <c r="C5" s="410" t="s">
        <v>256</v>
      </c>
      <c r="D5" s="411">
        <v>56674.77</v>
      </c>
      <c r="E5" s="410">
        <v>1246161059</v>
      </c>
      <c r="F5" s="412">
        <v>45736</v>
      </c>
      <c r="G5" s="410"/>
      <c r="H5" s="410" t="s">
        <v>173</v>
      </c>
      <c r="I5" s="410" t="s">
        <v>174</v>
      </c>
      <c r="J5" s="410">
        <v>4516</v>
      </c>
      <c r="K5" s="412">
        <v>45502</v>
      </c>
      <c r="L5" s="410">
        <v>1010100</v>
      </c>
      <c r="M5" s="410" t="s">
        <v>35</v>
      </c>
      <c r="N5" s="410">
        <v>161</v>
      </c>
      <c r="O5" s="410" t="s">
        <v>161</v>
      </c>
      <c r="P5" s="410" t="s">
        <v>427</v>
      </c>
      <c r="Q5">
        <f t="shared" si="0"/>
        <v>399</v>
      </c>
      <c r="R5" t="str">
        <f>_xlfn.XLOOKUP(P5,'Painel Fertilizers'!$B:$B,'Painel Fertilizers'!$B:$B,0)</f>
        <v>GRUPO TRIANGULO AGRO</v>
      </c>
    </row>
    <row r="6" spans="1:18" x14ac:dyDescent="0.25">
      <c r="A6" s="410">
        <v>10371</v>
      </c>
      <c r="B6" s="410" t="s">
        <v>255</v>
      </c>
      <c r="C6" s="410" t="s">
        <v>256</v>
      </c>
      <c r="D6" s="411">
        <v>50007.15</v>
      </c>
      <c r="E6" s="410">
        <v>1246161057</v>
      </c>
      <c r="F6" s="412">
        <v>45736</v>
      </c>
      <c r="G6" s="410"/>
      <c r="H6" s="410" t="s">
        <v>173</v>
      </c>
      <c r="I6" s="410" t="s">
        <v>174</v>
      </c>
      <c r="J6" s="410">
        <v>4515</v>
      </c>
      <c r="K6" s="412">
        <v>45502</v>
      </c>
      <c r="L6" s="410">
        <v>1010100</v>
      </c>
      <c r="M6" s="410" t="s">
        <v>35</v>
      </c>
      <c r="N6" s="410">
        <v>161</v>
      </c>
      <c r="O6" s="410" t="s">
        <v>161</v>
      </c>
      <c r="P6" s="410" t="s">
        <v>427</v>
      </c>
      <c r="Q6">
        <f t="shared" si="0"/>
        <v>399</v>
      </c>
      <c r="R6" t="str">
        <f>_xlfn.XLOOKUP(P6,'Painel Fertilizers'!$B:$B,'Painel Fertilizers'!$B:$B,0)</f>
        <v>GRUPO TRIANGULO AGRO</v>
      </c>
    </row>
    <row r="7" spans="1:18" x14ac:dyDescent="0.25">
      <c r="A7" s="410">
        <v>11207</v>
      </c>
      <c r="B7" s="410" t="s">
        <v>729</v>
      </c>
      <c r="C7" s="410" t="s">
        <v>194</v>
      </c>
      <c r="D7" s="411">
        <v>153825.49</v>
      </c>
      <c r="E7" s="410">
        <v>1246067872</v>
      </c>
      <c r="F7" s="412">
        <v>45412</v>
      </c>
      <c r="G7" s="410"/>
      <c r="H7" s="410" t="s">
        <v>173</v>
      </c>
      <c r="I7" s="410" t="s">
        <v>174</v>
      </c>
      <c r="J7" s="410">
        <v>20696</v>
      </c>
      <c r="K7" s="412">
        <v>44973</v>
      </c>
      <c r="L7" s="410">
        <v>1010100</v>
      </c>
      <c r="M7" s="410" t="s">
        <v>35</v>
      </c>
      <c r="N7" s="410">
        <v>161</v>
      </c>
      <c r="O7" s="410" t="s">
        <v>161</v>
      </c>
      <c r="P7" s="410" t="s">
        <v>429</v>
      </c>
      <c r="Q7">
        <f t="shared" si="0"/>
        <v>723</v>
      </c>
      <c r="R7" t="str">
        <f>_xlfn.XLOOKUP(P7,'Painel Fertilizers'!$B:$B,'Painel Fertilizers'!$B:$B,0)</f>
        <v>GRUPO LEANDRO SARTI</v>
      </c>
    </row>
    <row r="8" spans="1:18" x14ac:dyDescent="0.25">
      <c r="A8" s="410">
        <v>11207</v>
      </c>
      <c r="B8" s="410" t="s">
        <v>729</v>
      </c>
      <c r="C8" s="410" t="s">
        <v>194</v>
      </c>
      <c r="D8" s="411">
        <v>118231.86</v>
      </c>
      <c r="E8" s="410">
        <v>1246074301</v>
      </c>
      <c r="F8" s="412">
        <v>45412</v>
      </c>
      <c r="G8" s="410"/>
      <c r="H8" s="410" t="s">
        <v>173</v>
      </c>
      <c r="I8" s="410" t="s">
        <v>174</v>
      </c>
      <c r="J8" s="410">
        <v>21005</v>
      </c>
      <c r="K8" s="412">
        <v>45015</v>
      </c>
      <c r="L8" s="410">
        <v>1010100</v>
      </c>
      <c r="M8" s="410" t="s">
        <v>35</v>
      </c>
      <c r="N8" s="410">
        <v>161</v>
      </c>
      <c r="O8" s="410" t="s">
        <v>161</v>
      </c>
      <c r="P8" s="410" t="s">
        <v>429</v>
      </c>
      <c r="Q8">
        <f t="shared" si="0"/>
        <v>723</v>
      </c>
      <c r="R8" t="str">
        <f>_xlfn.XLOOKUP(P8,'Painel Fertilizers'!$B:$B,'Painel Fertilizers'!$B:$B,0)</f>
        <v>GRUPO LEANDRO SARTI</v>
      </c>
    </row>
    <row r="9" spans="1:18" x14ac:dyDescent="0.25">
      <c r="A9" s="410">
        <v>11207</v>
      </c>
      <c r="B9" s="410" t="s">
        <v>729</v>
      </c>
      <c r="C9" s="410" t="s">
        <v>194</v>
      </c>
      <c r="D9" s="411">
        <v>91167.15</v>
      </c>
      <c r="E9" s="410">
        <v>1246075550</v>
      </c>
      <c r="F9" s="412">
        <v>45412</v>
      </c>
      <c r="G9" s="410"/>
      <c r="H9" s="410" t="s">
        <v>173</v>
      </c>
      <c r="I9" s="410" t="s">
        <v>174</v>
      </c>
      <c r="J9" s="410">
        <v>21053</v>
      </c>
      <c r="K9" s="412">
        <v>45022</v>
      </c>
      <c r="L9" s="410">
        <v>1010100</v>
      </c>
      <c r="M9" s="410" t="s">
        <v>35</v>
      </c>
      <c r="N9" s="410">
        <v>161</v>
      </c>
      <c r="O9" s="410" t="s">
        <v>161</v>
      </c>
      <c r="P9" s="410" t="s">
        <v>429</v>
      </c>
      <c r="Q9">
        <f t="shared" si="0"/>
        <v>723</v>
      </c>
      <c r="R9" t="str">
        <f>_xlfn.XLOOKUP(P9,'Painel Fertilizers'!$B:$B,'Painel Fertilizers'!$B:$B,0)</f>
        <v>GRUPO LEANDRO SARTI</v>
      </c>
    </row>
    <row r="10" spans="1:18" x14ac:dyDescent="0.25">
      <c r="A10" s="410">
        <v>11207</v>
      </c>
      <c r="B10" s="410" t="s">
        <v>729</v>
      </c>
      <c r="C10" s="410" t="s">
        <v>194</v>
      </c>
      <c r="D10" s="411">
        <v>43771.16</v>
      </c>
      <c r="E10" s="410">
        <v>1246094423</v>
      </c>
      <c r="F10" s="412">
        <v>45423</v>
      </c>
      <c r="G10" s="410"/>
      <c r="H10" s="410" t="s">
        <v>173</v>
      </c>
      <c r="I10" s="410" t="s">
        <v>174</v>
      </c>
      <c r="J10" s="410">
        <v>356</v>
      </c>
      <c r="K10" s="412">
        <v>45133</v>
      </c>
      <c r="L10" s="410">
        <v>1010100</v>
      </c>
      <c r="M10" s="410" t="s">
        <v>35</v>
      </c>
      <c r="N10" s="410">
        <v>161</v>
      </c>
      <c r="O10" s="410" t="s">
        <v>161</v>
      </c>
      <c r="P10" s="410" t="s">
        <v>429</v>
      </c>
      <c r="Q10">
        <f t="shared" si="0"/>
        <v>712</v>
      </c>
      <c r="R10" t="str">
        <f>_xlfn.XLOOKUP(P10,'Painel Fertilizers'!$B:$B,'Painel Fertilizers'!$B:$B,0)</f>
        <v>GRUPO LEANDRO SARTI</v>
      </c>
    </row>
    <row r="11" spans="1:18" x14ac:dyDescent="0.25">
      <c r="A11" s="410">
        <v>11207</v>
      </c>
      <c r="B11" s="410" t="s">
        <v>729</v>
      </c>
      <c r="C11" s="410" t="s">
        <v>194</v>
      </c>
      <c r="D11" s="411">
        <v>44760.26</v>
      </c>
      <c r="E11" s="410">
        <v>1246092027</v>
      </c>
      <c r="F11" s="412">
        <v>45504</v>
      </c>
      <c r="G11" s="410"/>
      <c r="H11" s="410" t="s">
        <v>173</v>
      </c>
      <c r="I11" s="410" t="s">
        <v>174</v>
      </c>
      <c r="J11" s="410">
        <v>138</v>
      </c>
      <c r="K11" s="412">
        <v>45119</v>
      </c>
      <c r="L11" s="410">
        <v>1010100</v>
      </c>
      <c r="M11" s="410" t="s">
        <v>35</v>
      </c>
      <c r="N11" s="410">
        <v>161</v>
      </c>
      <c r="O11" s="410" t="s">
        <v>161</v>
      </c>
      <c r="P11" s="410" t="s">
        <v>429</v>
      </c>
      <c r="Q11">
        <f t="shared" si="0"/>
        <v>631</v>
      </c>
      <c r="R11" t="str">
        <f>_xlfn.XLOOKUP(P11,'Painel Fertilizers'!$B:$B,'Painel Fertilizers'!$B:$B,0)</f>
        <v>GRUPO LEANDRO SARTI</v>
      </c>
    </row>
    <row r="12" spans="1:18" x14ac:dyDescent="0.25">
      <c r="A12" s="410">
        <v>11207</v>
      </c>
      <c r="B12" s="410" t="s">
        <v>729</v>
      </c>
      <c r="C12" s="410" t="s">
        <v>194</v>
      </c>
      <c r="D12" s="411">
        <v>43771.16</v>
      </c>
      <c r="E12" s="410">
        <v>1246093362</v>
      </c>
      <c r="F12" s="412">
        <v>45417</v>
      </c>
      <c r="G12" s="410"/>
      <c r="H12" s="410" t="s">
        <v>173</v>
      </c>
      <c r="I12" s="410" t="s">
        <v>174</v>
      </c>
      <c r="J12" s="410">
        <v>253</v>
      </c>
      <c r="K12" s="412">
        <v>45127</v>
      </c>
      <c r="L12" s="410">
        <v>1010100</v>
      </c>
      <c r="M12" s="410" t="s">
        <v>35</v>
      </c>
      <c r="N12" s="410">
        <v>161</v>
      </c>
      <c r="O12" s="410" t="s">
        <v>161</v>
      </c>
      <c r="P12" s="410" t="s">
        <v>429</v>
      </c>
      <c r="Q12">
        <f t="shared" si="0"/>
        <v>718</v>
      </c>
      <c r="R12" t="str">
        <f>_xlfn.XLOOKUP(P12,'Painel Fertilizers'!$B:$B,'Painel Fertilizers'!$B:$B,0)</f>
        <v>GRUPO LEANDRO SARTI</v>
      </c>
    </row>
    <row r="13" spans="1:18" x14ac:dyDescent="0.25">
      <c r="A13" s="410">
        <v>11207</v>
      </c>
      <c r="B13" s="410" t="s">
        <v>729</v>
      </c>
      <c r="C13" s="410" t="s">
        <v>194</v>
      </c>
      <c r="D13" s="411">
        <v>47925.4</v>
      </c>
      <c r="E13" s="410">
        <v>1246094864</v>
      </c>
      <c r="F13" s="412">
        <v>45544</v>
      </c>
      <c r="G13" s="410"/>
      <c r="H13" s="410" t="s">
        <v>173</v>
      </c>
      <c r="I13" s="410" t="s">
        <v>174</v>
      </c>
      <c r="J13" s="410">
        <v>407</v>
      </c>
      <c r="K13" s="412">
        <v>45135</v>
      </c>
      <c r="L13" s="410">
        <v>1010100</v>
      </c>
      <c r="M13" s="410" t="s">
        <v>35</v>
      </c>
      <c r="N13" s="410">
        <v>161</v>
      </c>
      <c r="O13" s="410" t="s">
        <v>161</v>
      </c>
      <c r="P13" s="410" t="s">
        <v>429</v>
      </c>
      <c r="Q13">
        <f t="shared" si="0"/>
        <v>591</v>
      </c>
      <c r="R13" t="str">
        <f>_xlfn.XLOOKUP(P13,'Painel Fertilizers'!$B:$B,'Painel Fertilizers'!$B:$B,0)</f>
        <v>GRUPO LEANDRO SARTI</v>
      </c>
    </row>
    <row r="14" spans="1:18" x14ac:dyDescent="0.25">
      <c r="A14" s="410">
        <v>11207</v>
      </c>
      <c r="B14" s="410" t="s">
        <v>729</v>
      </c>
      <c r="C14" s="410" t="s">
        <v>194</v>
      </c>
      <c r="D14" s="411">
        <v>106301.38</v>
      </c>
      <c r="E14" s="410">
        <v>1246094863</v>
      </c>
      <c r="F14" s="412">
        <v>45425</v>
      </c>
      <c r="G14" s="410"/>
      <c r="H14" s="410" t="s">
        <v>173</v>
      </c>
      <c r="I14" s="410" t="s">
        <v>174</v>
      </c>
      <c r="J14" s="410">
        <v>406</v>
      </c>
      <c r="K14" s="412">
        <v>45135</v>
      </c>
      <c r="L14" s="410">
        <v>1010100</v>
      </c>
      <c r="M14" s="410" t="s">
        <v>35</v>
      </c>
      <c r="N14" s="410">
        <v>161</v>
      </c>
      <c r="O14" s="410" t="s">
        <v>161</v>
      </c>
      <c r="P14" s="410" t="s">
        <v>429</v>
      </c>
      <c r="Q14">
        <f t="shared" si="0"/>
        <v>710</v>
      </c>
      <c r="R14" t="str">
        <f>_xlfn.XLOOKUP(P14,'Painel Fertilizers'!$B:$B,'Painel Fertilizers'!$B:$B,0)</f>
        <v>GRUPO LEANDRO SARTI</v>
      </c>
    </row>
    <row r="15" spans="1:18" x14ac:dyDescent="0.25">
      <c r="A15" s="410">
        <v>11207</v>
      </c>
      <c r="B15" s="410" t="s">
        <v>729</v>
      </c>
      <c r="C15" s="410" t="s">
        <v>194</v>
      </c>
      <c r="D15" s="411">
        <v>150072.54</v>
      </c>
      <c r="E15" s="410">
        <v>1246095554</v>
      </c>
      <c r="F15" s="412">
        <v>45415</v>
      </c>
      <c r="G15" s="410"/>
      <c r="H15" s="410" t="s">
        <v>173</v>
      </c>
      <c r="I15" s="410" t="s">
        <v>174</v>
      </c>
      <c r="J15" s="410">
        <v>485</v>
      </c>
      <c r="K15" s="412">
        <v>45140</v>
      </c>
      <c r="L15" s="410">
        <v>1010100</v>
      </c>
      <c r="M15" s="410" t="s">
        <v>35</v>
      </c>
      <c r="N15" s="410">
        <v>161</v>
      </c>
      <c r="O15" s="410" t="s">
        <v>161</v>
      </c>
      <c r="P15" s="410" t="s">
        <v>429</v>
      </c>
      <c r="Q15">
        <f t="shared" si="0"/>
        <v>720</v>
      </c>
      <c r="R15" t="str">
        <f>_xlfn.XLOOKUP(P15,'Painel Fertilizers'!$B:$B,'Painel Fertilizers'!$B:$B,0)</f>
        <v>GRUPO LEANDRO SARTI</v>
      </c>
    </row>
    <row r="16" spans="1:18" x14ac:dyDescent="0.25">
      <c r="A16" s="410">
        <v>11207</v>
      </c>
      <c r="B16" s="410" t="s">
        <v>729</v>
      </c>
      <c r="C16" s="410" t="s">
        <v>194</v>
      </c>
      <c r="D16" s="411">
        <v>150072.54999999999</v>
      </c>
      <c r="E16" s="410">
        <v>1246098101</v>
      </c>
      <c r="F16" s="412">
        <v>45414</v>
      </c>
      <c r="G16" s="410"/>
      <c r="H16" s="410" t="s">
        <v>173</v>
      </c>
      <c r="I16" s="410" t="s">
        <v>174</v>
      </c>
      <c r="J16" s="410">
        <v>151</v>
      </c>
      <c r="K16" s="412">
        <v>45154</v>
      </c>
      <c r="L16" s="410">
        <v>1010100</v>
      </c>
      <c r="M16" s="410" t="s">
        <v>35</v>
      </c>
      <c r="N16" s="410">
        <v>161</v>
      </c>
      <c r="O16" s="410" t="s">
        <v>161</v>
      </c>
      <c r="P16" s="410" t="s">
        <v>429</v>
      </c>
      <c r="Q16">
        <f t="shared" si="0"/>
        <v>721</v>
      </c>
      <c r="R16" t="str">
        <f>_xlfn.XLOOKUP(P16,'Painel Fertilizers'!$B:$B,'Painel Fertilizers'!$B:$B,0)</f>
        <v>GRUPO LEANDRO SARTI</v>
      </c>
    </row>
    <row r="17" spans="1:18" x14ac:dyDescent="0.25">
      <c r="A17" s="410">
        <v>11207</v>
      </c>
      <c r="B17" s="410" t="s">
        <v>729</v>
      </c>
      <c r="C17" s="410" t="s">
        <v>194</v>
      </c>
      <c r="D17" s="411">
        <v>43771.16</v>
      </c>
      <c r="E17" s="410">
        <v>1246098102</v>
      </c>
      <c r="F17" s="412">
        <v>45414</v>
      </c>
      <c r="G17" s="410"/>
      <c r="H17" s="410" t="s">
        <v>173</v>
      </c>
      <c r="I17" s="410" t="s">
        <v>174</v>
      </c>
      <c r="J17" s="410">
        <v>152</v>
      </c>
      <c r="K17" s="412">
        <v>45154</v>
      </c>
      <c r="L17" s="410">
        <v>1010100</v>
      </c>
      <c r="M17" s="410" t="s">
        <v>35</v>
      </c>
      <c r="N17" s="410">
        <v>161</v>
      </c>
      <c r="O17" s="410" t="s">
        <v>161</v>
      </c>
      <c r="P17" s="410" t="s">
        <v>429</v>
      </c>
      <c r="Q17">
        <f t="shared" si="0"/>
        <v>721</v>
      </c>
      <c r="R17" t="str">
        <f>_xlfn.XLOOKUP(P17,'Painel Fertilizers'!$B:$B,'Painel Fertilizers'!$B:$B,0)</f>
        <v>GRUPO LEANDRO SARTI</v>
      </c>
    </row>
    <row r="18" spans="1:18" x14ac:dyDescent="0.25">
      <c r="A18" s="410">
        <v>11207</v>
      </c>
      <c r="B18" s="410" t="s">
        <v>729</v>
      </c>
      <c r="C18" s="410" t="s">
        <v>194</v>
      </c>
      <c r="D18" s="411">
        <v>150072.54</v>
      </c>
      <c r="E18" s="410">
        <v>1246096042</v>
      </c>
      <c r="F18" s="412">
        <v>45417</v>
      </c>
      <c r="G18" s="410"/>
      <c r="H18" s="410" t="s">
        <v>173</v>
      </c>
      <c r="I18" s="410" t="s">
        <v>174</v>
      </c>
      <c r="J18" s="410">
        <v>520</v>
      </c>
      <c r="K18" s="412">
        <v>45142</v>
      </c>
      <c r="L18" s="410">
        <v>1010100</v>
      </c>
      <c r="M18" s="410" t="s">
        <v>35</v>
      </c>
      <c r="N18" s="410">
        <v>161</v>
      </c>
      <c r="O18" s="410" t="s">
        <v>161</v>
      </c>
      <c r="P18" s="410" t="s">
        <v>429</v>
      </c>
      <c r="Q18">
        <f t="shared" si="0"/>
        <v>718</v>
      </c>
      <c r="R18" t="str">
        <f>_xlfn.XLOOKUP(P18,'Painel Fertilizers'!$B:$B,'Painel Fertilizers'!$B:$B,0)</f>
        <v>GRUPO LEANDRO SARTI</v>
      </c>
    </row>
    <row r="19" spans="1:18" x14ac:dyDescent="0.25">
      <c r="A19" s="410">
        <v>11207</v>
      </c>
      <c r="B19" s="410" t="s">
        <v>729</v>
      </c>
      <c r="C19" s="410" t="s">
        <v>194</v>
      </c>
      <c r="D19" s="411">
        <v>150072.54999999999</v>
      </c>
      <c r="E19" s="410">
        <v>1246098739</v>
      </c>
      <c r="F19" s="412">
        <v>45446</v>
      </c>
      <c r="G19" s="410"/>
      <c r="H19" s="410" t="s">
        <v>173</v>
      </c>
      <c r="I19" s="410" t="s">
        <v>174</v>
      </c>
      <c r="J19" s="410">
        <v>161</v>
      </c>
      <c r="K19" s="412">
        <v>45156</v>
      </c>
      <c r="L19" s="410">
        <v>1010100</v>
      </c>
      <c r="M19" s="410" t="s">
        <v>35</v>
      </c>
      <c r="N19" s="410">
        <v>161</v>
      </c>
      <c r="O19" s="410" t="s">
        <v>161</v>
      </c>
      <c r="P19" s="410" t="s">
        <v>429</v>
      </c>
      <c r="Q19">
        <f t="shared" si="0"/>
        <v>689</v>
      </c>
      <c r="R19" t="str">
        <f>_xlfn.XLOOKUP(P19,'Painel Fertilizers'!$B:$B,'Painel Fertilizers'!$B:$B,0)</f>
        <v>GRUPO LEANDRO SARTI</v>
      </c>
    </row>
    <row r="20" spans="1:18" x14ac:dyDescent="0.25">
      <c r="A20" s="410">
        <v>11207</v>
      </c>
      <c r="B20" s="410" t="s">
        <v>729</v>
      </c>
      <c r="C20" s="410" t="s">
        <v>194</v>
      </c>
      <c r="D20" s="411">
        <v>150072.54</v>
      </c>
      <c r="E20" s="410">
        <v>1246103409</v>
      </c>
      <c r="F20" s="412">
        <v>45421</v>
      </c>
      <c r="G20" s="410"/>
      <c r="H20" s="410" t="s">
        <v>173</v>
      </c>
      <c r="I20" s="410" t="s">
        <v>174</v>
      </c>
      <c r="J20" s="410">
        <v>231</v>
      </c>
      <c r="K20" s="412">
        <v>45181</v>
      </c>
      <c r="L20" s="410">
        <v>1010100</v>
      </c>
      <c r="M20" s="410" t="s">
        <v>35</v>
      </c>
      <c r="N20" s="410">
        <v>161</v>
      </c>
      <c r="O20" s="410" t="s">
        <v>161</v>
      </c>
      <c r="P20" s="410" t="s">
        <v>429</v>
      </c>
      <c r="Q20">
        <f t="shared" si="0"/>
        <v>714</v>
      </c>
      <c r="R20" t="str">
        <f>_xlfn.XLOOKUP(P20,'Painel Fertilizers'!$B:$B,'Painel Fertilizers'!$B:$B,0)</f>
        <v>GRUPO LEANDRO SARTI</v>
      </c>
    </row>
    <row r="21" spans="1:18" x14ac:dyDescent="0.25">
      <c r="A21" s="410">
        <v>11207</v>
      </c>
      <c r="B21" s="410" t="s">
        <v>729</v>
      </c>
      <c r="C21" s="410" t="s">
        <v>194</v>
      </c>
      <c r="D21" s="411">
        <v>150072.54999999999</v>
      </c>
      <c r="E21" s="410">
        <v>1246104480</v>
      </c>
      <c r="F21" s="412">
        <v>45427</v>
      </c>
      <c r="G21" s="410"/>
      <c r="H21" s="410" t="s">
        <v>173</v>
      </c>
      <c r="I21" s="410" t="s">
        <v>174</v>
      </c>
      <c r="J21" s="410">
        <v>1209</v>
      </c>
      <c r="K21" s="412">
        <v>45187</v>
      </c>
      <c r="L21" s="410">
        <v>1010100</v>
      </c>
      <c r="M21" s="410" t="s">
        <v>35</v>
      </c>
      <c r="N21" s="410">
        <v>161</v>
      </c>
      <c r="O21" s="410" t="s">
        <v>161</v>
      </c>
      <c r="P21" s="410" t="s">
        <v>429</v>
      </c>
      <c r="Q21">
        <f t="shared" si="0"/>
        <v>708</v>
      </c>
      <c r="R21" t="str">
        <f>_xlfn.XLOOKUP(P21,'Painel Fertilizers'!$B:$B,'Painel Fertilizers'!$B:$B,0)</f>
        <v>GRUPO LEANDRO SARTI</v>
      </c>
    </row>
    <row r="22" spans="1:18" x14ac:dyDescent="0.25">
      <c r="A22" s="410">
        <v>11207</v>
      </c>
      <c r="B22" s="410" t="s">
        <v>729</v>
      </c>
      <c r="C22" s="410" t="s">
        <v>194</v>
      </c>
      <c r="D22" s="411">
        <v>98152.42</v>
      </c>
      <c r="E22" s="410">
        <v>1246128194</v>
      </c>
      <c r="F22" s="412">
        <v>45595</v>
      </c>
      <c r="G22" s="410"/>
      <c r="H22" s="410" t="s">
        <v>173</v>
      </c>
      <c r="I22" s="410" t="s">
        <v>174</v>
      </c>
      <c r="J22" s="410">
        <v>2705</v>
      </c>
      <c r="K22" s="412">
        <v>45327</v>
      </c>
      <c r="L22" s="410">
        <v>1010100</v>
      </c>
      <c r="M22" s="410" t="s">
        <v>35</v>
      </c>
      <c r="N22" s="410">
        <v>161</v>
      </c>
      <c r="O22" s="410" t="s">
        <v>161</v>
      </c>
      <c r="P22" s="410" t="s">
        <v>429</v>
      </c>
      <c r="Q22">
        <f t="shared" si="0"/>
        <v>540</v>
      </c>
      <c r="R22" t="str">
        <f>_xlfn.XLOOKUP(P22,'Painel Fertilizers'!$B:$B,'Painel Fertilizers'!$B:$B,0)</f>
        <v>GRUPO LEANDRO SARTI</v>
      </c>
    </row>
    <row r="23" spans="1:18" x14ac:dyDescent="0.25">
      <c r="A23" s="410">
        <v>11207</v>
      </c>
      <c r="B23" s="410" t="s">
        <v>729</v>
      </c>
      <c r="C23" s="410" t="s">
        <v>194</v>
      </c>
      <c r="D23" s="411">
        <v>98152.43</v>
      </c>
      <c r="E23" s="410">
        <v>1246128212</v>
      </c>
      <c r="F23" s="412">
        <v>45595</v>
      </c>
      <c r="G23" s="410"/>
      <c r="H23" s="410" t="s">
        <v>173</v>
      </c>
      <c r="I23" s="410" t="s">
        <v>174</v>
      </c>
      <c r="J23" s="410">
        <v>2708</v>
      </c>
      <c r="K23" s="412">
        <v>45327</v>
      </c>
      <c r="L23" s="410">
        <v>1010100</v>
      </c>
      <c r="M23" s="410" t="s">
        <v>35</v>
      </c>
      <c r="N23" s="410">
        <v>161</v>
      </c>
      <c r="O23" s="410" t="s">
        <v>161</v>
      </c>
      <c r="P23" s="410" t="s">
        <v>429</v>
      </c>
      <c r="Q23">
        <f t="shared" si="0"/>
        <v>540</v>
      </c>
      <c r="R23" t="str">
        <f>_xlfn.XLOOKUP(P23,'Painel Fertilizers'!$B:$B,'Painel Fertilizers'!$B:$B,0)</f>
        <v>GRUPO LEANDRO SARTI</v>
      </c>
    </row>
    <row r="24" spans="1:18" x14ac:dyDescent="0.25">
      <c r="A24" s="410">
        <v>11207</v>
      </c>
      <c r="B24" s="410" t="s">
        <v>729</v>
      </c>
      <c r="C24" s="410" t="s">
        <v>194</v>
      </c>
      <c r="D24" s="411">
        <v>43771.16</v>
      </c>
      <c r="E24" s="410">
        <v>1246102312</v>
      </c>
      <c r="F24" s="412">
        <v>45414</v>
      </c>
      <c r="G24" s="410"/>
      <c r="H24" s="410" t="s">
        <v>173</v>
      </c>
      <c r="I24" s="410" t="s">
        <v>174</v>
      </c>
      <c r="J24" s="410">
        <v>1038</v>
      </c>
      <c r="K24" s="412">
        <v>45174</v>
      </c>
      <c r="L24" s="410">
        <v>1010100</v>
      </c>
      <c r="M24" s="410" t="s">
        <v>35</v>
      </c>
      <c r="N24" s="410">
        <v>161</v>
      </c>
      <c r="O24" s="410" t="s">
        <v>161</v>
      </c>
      <c r="P24" s="410" t="s">
        <v>429</v>
      </c>
      <c r="Q24">
        <f t="shared" si="0"/>
        <v>721</v>
      </c>
      <c r="R24" t="str">
        <f>_xlfn.XLOOKUP(P24,'Painel Fertilizers'!$B:$B,'Painel Fertilizers'!$B:$B,0)</f>
        <v>GRUPO LEANDRO SARTI</v>
      </c>
    </row>
    <row r="25" spans="1:18" x14ac:dyDescent="0.25">
      <c r="A25" s="410">
        <v>11207</v>
      </c>
      <c r="B25" s="410" t="s">
        <v>729</v>
      </c>
      <c r="C25" s="410" t="s">
        <v>194</v>
      </c>
      <c r="D25" s="411">
        <v>43771.16</v>
      </c>
      <c r="E25" s="410">
        <v>1246103425</v>
      </c>
      <c r="F25" s="412">
        <v>45421</v>
      </c>
      <c r="G25" s="410"/>
      <c r="H25" s="410" t="s">
        <v>173</v>
      </c>
      <c r="I25" s="410" t="s">
        <v>174</v>
      </c>
      <c r="J25" s="410">
        <v>232</v>
      </c>
      <c r="K25" s="412">
        <v>45181</v>
      </c>
      <c r="L25" s="410">
        <v>1010100</v>
      </c>
      <c r="M25" s="410" t="s">
        <v>35</v>
      </c>
      <c r="N25" s="410">
        <v>161</v>
      </c>
      <c r="O25" s="410" t="s">
        <v>161</v>
      </c>
      <c r="P25" s="410" t="s">
        <v>429</v>
      </c>
      <c r="Q25">
        <f t="shared" si="0"/>
        <v>714</v>
      </c>
      <c r="R25" t="str">
        <f>_xlfn.XLOOKUP(P25,'Painel Fertilizers'!$B:$B,'Painel Fertilizers'!$B:$B,0)</f>
        <v>GRUPO LEANDRO SARTI</v>
      </c>
    </row>
    <row r="26" spans="1:18" x14ac:dyDescent="0.25">
      <c r="A26" s="410">
        <v>11207</v>
      </c>
      <c r="B26" s="410" t="s">
        <v>729</v>
      </c>
      <c r="C26" s="410" t="s">
        <v>194</v>
      </c>
      <c r="D26" s="411">
        <v>85883.37</v>
      </c>
      <c r="E26" s="410">
        <v>1246128634</v>
      </c>
      <c r="F26" s="412">
        <v>45597</v>
      </c>
      <c r="G26" s="410"/>
      <c r="H26" s="410" t="s">
        <v>173</v>
      </c>
      <c r="I26" s="410" t="s">
        <v>174</v>
      </c>
      <c r="J26" s="410">
        <v>2731</v>
      </c>
      <c r="K26" s="412">
        <v>45329</v>
      </c>
      <c r="L26" s="410">
        <v>1010100</v>
      </c>
      <c r="M26" s="410" t="s">
        <v>35</v>
      </c>
      <c r="N26" s="410">
        <v>161</v>
      </c>
      <c r="O26" s="410" t="s">
        <v>161</v>
      </c>
      <c r="P26" s="410" t="s">
        <v>429</v>
      </c>
      <c r="Q26">
        <f t="shared" si="0"/>
        <v>538</v>
      </c>
      <c r="R26" t="str">
        <f>_xlfn.XLOOKUP(P26,'Painel Fertilizers'!$B:$B,'Painel Fertilizers'!$B:$B,0)</f>
        <v>GRUPO LEANDRO SARTI</v>
      </c>
    </row>
    <row r="27" spans="1:18" x14ac:dyDescent="0.25">
      <c r="A27" s="410">
        <v>11207</v>
      </c>
      <c r="B27" s="410" t="s">
        <v>729</v>
      </c>
      <c r="C27" s="410" t="s">
        <v>194</v>
      </c>
      <c r="D27" s="411">
        <v>150072.54</v>
      </c>
      <c r="E27" s="410">
        <v>1246106013</v>
      </c>
      <c r="F27" s="412">
        <v>45416</v>
      </c>
      <c r="G27" s="410"/>
      <c r="H27" s="410" t="s">
        <v>173</v>
      </c>
      <c r="I27" s="410" t="s">
        <v>174</v>
      </c>
      <c r="J27" s="410">
        <v>1329</v>
      </c>
      <c r="K27" s="412">
        <v>45194</v>
      </c>
      <c r="L27" s="410">
        <v>1010100</v>
      </c>
      <c r="M27" s="410" t="s">
        <v>35</v>
      </c>
      <c r="N27" s="410">
        <v>161</v>
      </c>
      <c r="O27" s="410" t="s">
        <v>161</v>
      </c>
      <c r="P27" s="410" t="s">
        <v>429</v>
      </c>
      <c r="Q27">
        <f t="shared" si="0"/>
        <v>719</v>
      </c>
      <c r="R27" t="str">
        <f>_xlfn.XLOOKUP(P27,'Painel Fertilizers'!$B:$B,'Painel Fertilizers'!$B:$B,0)</f>
        <v>GRUPO LEANDRO SARTI</v>
      </c>
    </row>
    <row r="28" spans="1:18" x14ac:dyDescent="0.25">
      <c r="A28" s="410">
        <v>11207</v>
      </c>
      <c r="B28" s="410" t="s">
        <v>729</v>
      </c>
      <c r="C28" s="410" t="s">
        <v>194</v>
      </c>
      <c r="D28" s="411">
        <v>150072.54</v>
      </c>
      <c r="E28" s="410">
        <v>1246102752</v>
      </c>
      <c r="F28" s="412">
        <v>45415</v>
      </c>
      <c r="G28" s="410"/>
      <c r="H28" s="410" t="s">
        <v>173</v>
      </c>
      <c r="I28" s="410" t="s">
        <v>174</v>
      </c>
      <c r="J28" s="410">
        <v>1071</v>
      </c>
      <c r="K28" s="412">
        <v>45175</v>
      </c>
      <c r="L28" s="410">
        <v>1010100</v>
      </c>
      <c r="M28" s="410" t="s">
        <v>35</v>
      </c>
      <c r="N28" s="410">
        <v>161</v>
      </c>
      <c r="O28" s="410" t="s">
        <v>161</v>
      </c>
      <c r="P28" s="410" t="s">
        <v>429</v>
      </c>
      <c r="Q28">
        <f t="shared" si="0"/>
        <v>720</v>
      </c>
      <c r="R28" t="str">
        <f>_xlfn.XLOOKUP(P28,'Painel Fertilizers'!$B:$B,'Painel Fertilizers'!$B:$B,0)</f>
        <v>GRUPO LEANDRO SARTI</v>
      </c>
    </row>
    <row r="29" spans="1:18" x14ac:dyDescent="0.25">
      <c r="A29" s="410">
        <v>11207</v>
      </c>
      <c r="B29" s="410" t="s">
        <v>729</v>
      </c>
      <c r="C29" s="410" t="s">
        <v>194</v>
      </c>
      <c r="D29" s="411">
        <v>43771.16</v>
      </c>
      <c r="E29" s="410">
        <v>1246103933</v>
      </c>
      <c r="F29" s="412">
        <v>45423</v>
      </c>
      <c r="G29" s="410"/>
      <c r="H29" s="410" t="s">
        <v>173</v>
      </c>
      <c r="I29" s="410" t="s">
        <v>174</v>
      </c>
      <c r="J29" s="410">
        <v>1167</v>
      </c>
      <c r="K29" s="412">
        <v>45183</v>
      </c>
      <c r="L29" s="410">
        <v>1010100</v>
      </c>
      <c r="M29" s="410" t="s">
        <v>35</v>
      </c>
      <c r="N29" s="410">
        <v>161</v>
      </c>
      <c r="O29" s="410" t="s">
        <v>161</v>
      </c>
      <c r="P29" s="410" t="s">
        <v>429</v>
      </c>
      <c r="Q29">
        <f t="shared" si="0"/>
        <v>712</v>
      </c>
      <c r="R29" t="str">
        <f>_xlfn.XLOOKUP(P29,'Painel Fertilizers'!$B:$B,'Painel Fertilizers'!$B:$B,0)</f>
        <v>GRUPO LEANDRO SARTI</v>
      </c>
    </row>
    <row r="30" spans="1:18" x14ac:dyDescent="0.25">
      <c r="A30" s="410">
        <v>11207</v>
      </c>
      <c r="B30" s="410" t="s">
        <v>729</v>
      </c>
      <c r="C30" s="410" t="s">
        <v>194</v>
      </c>
      <c r="D30" s="411">
        <v>150072.54</v>
      </c>
      <c r="E30" s="410">
        <v>1246105096</v>
      </c>
      <c r="F30" s="412">
        <v>45429</v>
      </c>
      <c r="G30" s="410"/>
      <c r="H30" s="410" t="s">
        <v>173</v>
      </c>
      <c r="I30" s="410" t="s">
        <v>174</v>
      </c>
      <c r="J30" s="410">
        <v>1263</v>
      </c>
      <c r="K30" s="412">
        <v>45189</v>
      </c>
      <c r="L30" s="410">
        <v>1010100</v>
      </c>
      <c r="M30" s="410" t="s">
        <v>35</v>
      </c>
      <c r="N30" s="410">
        <v>161</v>
      </c>
      <c r="O30" s="410" t="s">
        <v>161</v>
      </c>
      <c r="P30" s="410" t="s">
        <v>429</v>
      </c>
      <c r="Q30">
        <f t="shared" si="0"/>
        <v>706</v>
      </c>
      <c r="R30" t="str">
        <f>_xlfn.XLOOKUP(P30,'Painel Fertilizers'!$B:$B,'Painel Fertilizers'!$B:$B,0)</f>
        <v>GRUPO LEANDRO SARTI</v>
      </c>
    </row>
    <row r="31" spans="1:18" x14ac:dyDescent="0.25">
      <c r="A31" s="410">
        <v>11207</v>
      </c>
      <c r="B31" s="410" t="s">
        <v>729</v>
      </c>
      <c r="C31" s="410" t="s">
        <v>194</v>
      </c>
      <c r="D31" s="411">
        <v>85883.37</v>
      </c>
      <c r="E31" s="410">
        <v>1246131973</v>
      </c>
      <c r="F31" s="412">
        <v>45595</v>
      </c>
      <c r="G31" s="410"/>
      <c r="H31" s="410" t="s">
        <v>173</v>
      </c>
      <c r="I31" s="410" t="s">
        <v>174</v>
      </c>
      <c r="J31" s="410">
        <v>2972</v>
      </c>
      <c r="K31" s="412">
        <v>45352</v>
      </c>
      <c r="L31" s="410">
        <v>1010100</v>
      </c>
      <c r="M31" s="410" t="s">
        <v>35</v>
      </c>
      <c r="N31" s="410">
        <v>161</v>
      </c>
      <c r="O31" s="410" t="s">
        <v>161</v>
      </c>
      <c r="P31" s="410" t="s">
        <v>429</v>
      </c>
      <c r="Q31">
        <f t="shared" si="0"/>
        <v>540</v>
      </c>
      <c r="R31" t="str">
        <f>_xlfn.XLOOKUP(P31,'Painel Fertilizers'!$B:$B,'Painel Fertilizers'!$B:$B,0)</f>
        <v>GRUPO LEANDRO SARTI</v>
      </c>
    </row>
    <row r="32" spans="1:18" x14ac:dyDescent="0.25">
      <c r="A32" s="410">
        <v>11456</v>
      </c>
      <c r="B32" s="410" t="s">
        <v>201</v>
      </c>
      <c r="C32" s="410" t="s">
        <v>202</v>
      </c>
      <c r="D32" s="411">
        <v>108608.88999999998</v>
      </c>
      <c r="E32" s="410">
        <v>1246074872</v>
      </c>
      <c r="F32" s="412">
        <v>45412</v>
      </c>
      <c r="G32" s="410"/>
      <c r="H32" s="410" t="s">
        <v>173</v>
      </c>
      <c r="I32" s="410" t="s">
        <v>174</v>
      </c>
      <c r="J32" s="410">
        <v>21029</v>
      </c>
      <c r="K32" s="412">
        <v>45019</v>
      </c>
      <c r="L32" s="410">
        <v>1010100</v>
      </c>
      <c r="M32" s="410" t="s">
        <v>35</v>
      </c>
      <c r="N32" s="410">
        <v>161</v>
      </c>
      <c r="O32" s="410" t="s">
        <v>161</v>
      </c>
      <c r="P32" s="410" t="s">
        <v>429</v>
      </c>
      <c r="Q32">
        <f t="shared" si="0"/>
        <v>723</v>
      </c>
      <c r="R32" t="str">
        <f>_xlfn.XLOOKUP(P32,'Painel Fertilizers'!$B:$B,'Painel Fertilizers'!$B:$B,0)</f>
        <v>GRUPO LEANDRO SARTI</v>
      </c>
    </row>
    <row r="33" spans="1:18" x14ac:dyDescent="0.25">
      <c r="A33" s="410">
        <v>11456</v>
      </c>
      <c r="B33" s="410" t="s">
        <v>201</v>
      </c>
      <c r="C33" s="410" t="s">
        <v>202</v>
      </c>
      <c r="D33" s="411">
        <v>136139</v>
      </c>
      <c r="E33" s="410">
        <v>1246074571</v>
      </c>
      <c r="F33" s="412">
        <v>45412</v>
      </c>
      <c r="G33" s="410"/>
      <c r="H33" s="410" t="s">
        <v>173</v>
      </c>
      <c r="I33" s="410" t="s">
        <v>174</v>
      </c>
      <c r="J33" s="410">
        <v>21023</v>
      </c>
      <c r="K33" s="412">
        <v>45017</v>
      </c>
      <c r="L33" s="410">
        <v>1010100</v>
      </c>
      <c r="M33" s="410" t="s">
        <v>35</v>
      </c>
      <c r="N33" s="410">
        <v>161</v>
      </c>
      <c r="O33" s="410" t="s">
        <v>161</v>
      </c>
      <c r="P33" s="410" t="s">
        <v>429</v>
      </c>
      <c r="Q33">
        <f t="shared" si="0"/>
        <v>723</v>
      </c>
      <c r="R33" t="str">
        <f>_xlfn.XLOOKUP(P33,'Painel Fertilizers'!$B:$B,'Painel Fertilizers'!$B:$B,0)</f>
        <v>GRUPO LEANDRO SARTI</v>
      </c>
    </row>
    <row r="34" spans="1:18" x14ac:dyDescent="0.25">
      <c r="A34" s="410">
        <v>11456</v>
      </c>
      <c r="B34" s="410" t="s">
        <v>201</v>
      </c>
      <c r="C34" s="410" t="s">
        <v>202</v>
      </c>
      <c r="D34" s="411">
        <v>150110.1</v>
      </c>
      <c r="E34" s="410">
        <v>1246127149</v>
      </c>
      <c r="F34" s="412">
        <v>45615</v>
      </c>
      <c r="G34" s="410"/>
      <c r="H34" s="410" t="s">
        <v>173</v>
      </c>
      <c r="I34" s="410" t="s">
        <v>174</v>
      </c>
      <c r="J34" s="410">
        <v>2634</v>
      </c>
      <c r="K34" s="412">
        <v>45320</v>
      </c>
      <c r="L34" s="410">
        <v>1010100</v>
      </c>
      <c r="M34" s="410" t="s">
        <v>35</v>
      </c>
      <c r="N34" s="410">
        <v>161</v>
      </c>
      <c r="O34" s="410" t="s">
        <v>161</v>
      </c>
      <c r="P34" s="410" t="s">
        <v>429</v>
      </c>
      <c r="Q34">
        <f t="shared" si="0"/>
        <v>520</v>
      </c>
      <c r="R34" t="str">
        <f>_xlfn.XLOOKUP(P34,'Painel Fertilizers'!$B:$B,'Painel Fertilizers'!$B:$B,0)</f>
        <v>GRUPO LEANDRO SARTI</v>
      </c>
    </row>
    <row r="35" spans="1:18" x14ac:dyDescent="0.25">
      <c r="A35" s="410">
        <v>11456</v>
      </c>
      <c r="B35" s="410" t="s">
        <v>201</v>
      </c>
      <c r="C35" s="410" t="s">
        <v>202</v>
      </c>
      <c r="D35" s="411">
        <v>150110.1</v>
      </c>
      <c r="E35" s="410">
        <v>1246128463</v>
      </c>
      <c r="F35" s="412">
        <v>45623</v>
      </c>
      <c r="G35" s="410"/>
      <c r="H35" s="410" t="s">
        <v>173</v>
      </c>
      <c r="I35" s="410" t="s">
        <v>174</v>
      </c>
      <c r="J35" s="410">
        <v>2720</v>
      </c>
      <c r="K35" s="412">
        <v>45328</v>
      </c>
      <c r="L35" s="410">
        <v>1010100</v>
      </c>
      <c r="M35" s="410" t="s">
        <v>35</v>
      </c>
      <c r="N35" s="410">
        <v>161</v>
      </c>
      <c r="O35" s="410" t="s">
        <v>161</v>
      </c>
      <c r="P35" s="410" t="s">
        <v>429</v>
      </c>
      <c r="Q35">
        <f t="shared" si="0"/>
        <v>512</v>
      </c>
      <c r="R35" t="str">
        <f>_xlfn.XLOOKUP(P35,'Painel Fertilizers'!$B:$B,'Painel Fertilizers'!$B:$B,0)</f>
        <v>GRUPO LEANDRO SARTI</v>
      </c>
    </row>
    <row r="36" spans="1:18" x14ac:dyDescent="0.25">
      <c r="A36" s="410">
        <v>14166</v>
      </c>
      <c r="B36" s="410" t="s">
        <v>123</v>
      </c>
      <c r="C36" s="410" t="s">
        <v>124</v>
      </c>
      <c r="D36" s="411">
        <v>82152</v>
      </c>
      <c r="E36" s="410">
        <v>1246231876</v>
      </c>
      <c r="F36" s="412">
        <v>46144</v>
      </c>
      <c r="G36" s="410"/>
      <c r="H36" s="410" t="s">
        <v>173</v>
      </c>
      <c r="I36" s="410" t="s">
        <v>174</v>
      </c>
      <c r="J36" s="410">
        <v>8933</v>
      </c>
      <c r="K36" s="412">
        <v>45888</v>
      </c>
      <c r="L36" s="410">
        <v>1010100</v>
      </c>
      <c r="M36" s="410" t="s">
        <v>35</v>
      </c>
      <c r="N36" s="410">
        <v>161</v>
      </c>
      <c r="O36" s="410" t="s">
        <v>161</v>
      </c>
      <c r="P36" s="410" t="s">
        <v>432</v>
      </c>
      <c r="Q36">
        <f t="shared" si="0"/>
        <v>-9</v>
      </c>
      <c r="R36" t="str">
        <f>_xlfn.XLOOKUP(P36,'Painel Fertilizers'!$B:$B,'Painel Fertilizers'!$B:$B,0)</f>
        <v>GRUPO TAKI AGRO</v>
      </c>
    </row>
    <row r="37" spans="1:18" x14ac:dyDescent="0.25">
      <c r="A37" s="410">
        <v>14166</v>
      </c>
      <c r="B37" s="410" t="s">
        <v>123</v>
      </c>
      <c r="C37" s="410" t="s">
        <v>124</v>
      </c>
      <c r="D37" s="411">
        <v>93462.6</v>
      </c>
      <c r="E37" s="410">
        <v>1246231878</v>
      </c>
      <c r="F37" s="412">
        <v>46144</v>
      </c>
      <c r="G37" s="410"/>
      <c r="H37" s="410" t="s">
        <v>173</v>
      </c>
      <c r="I37" s="410" t="s">
        <v>174</v>
      </c>
      <c r="J37" s="410">
        <v>8934</v>
      </c>
      <c r="K37" s="412">
        <v>45888</v>
      </c>
      <c r="L37" s="410">
        <v>1010100</v>
      </c>
      <c r="M37" s="410" t="s">
        <v>35</v>
      </c>
      <c r="N37" s="410">
        <v>161</v>
      </c>
      <c r="O37" s="410" t="s">
        <v>161</v>
      </c>
      <c r="P37" s="410" t="s">
        <v>432</v>
      </c>
      <c r="Q37">
        <f t="shared" si="0"/>
        <v>-9</v>
      </c>
      <c r="R37" t="str">
        <f>_xlfn.XLOOKUP(P37,'Painel Fertilizers'!$B:$B,'Painel Fertilizers'!$B:$B,0)</f>
        <v>GRUPO TAKI AGRO</v>
      </c>
    </row>
    <row r="38" spans="1:18" x14ac:dyDescent="0.25">
      <c r="A38" s="410">
        <v>14166</v>
      </c>
      <c r="B38" s="410" t="s">
        <v>123</v>
      </c>
      <c r="C38" s="410" t="s">
        <v>124</v>
      </c>
      <c r="D38" s="411">
        <v>131112.51999999999</v>
      </c>
      <c r="E38" s="410">
        <v>1246231981</v>
      </c>
      <c r="F38" s="412">
        <v>46143</v>
      </c>
      <c r="G38" s="410"/>
      <c r="H38" s="410" t="s">
        <v>173</v>
      </c>
      <c r="I38" s="410" t="s">
        <v>174</v>
      </c>
      <c r="J38" s="410">
        <v>8941</v>
      </c>
      <c r="K38" s="412">
        <v>45889</v>
      </c>
      <c r="L38" s="410">
        <v>1010100</v>
      </c>
      <c r="M38" s="410" t="s">
        <v>35</v>
      </c>
      <c r="N38" s="410">
        <v>56</v>
      </c>
      <c r="O38" s="410" t="s">
        <v>162</v>
      </c>
      <c r="P38" s="410" t="s">
        <v>432</v>
      </c>
      <c r="Q38">
        <f t="shared" si="0"/>
        <v>-8</v>
      </c>
      <c r="R38" t="str">
        <f>_xlfn.XLOOKUP(P38,'Painel Fertilizers'!$B:$B,'Painel Fertilizers'!$B:$B,0)</f>
        <v>GRUPO TAKI AGRO</v>
      </c>
    </row>
    <row r="39" spans="1:18" x14ac:dyDescent="0.25">
      <c r="A39" s="410">
        <v>14166</v>
      </c>
      <c r="B39" s="410" t="s">
        <v>123</v>
      </c>
      <c r="C39" s="410" t="s">
        <v>124</v>
      </c>
      <c r="D39" s="411">
        <v>191491.28</v>
      </c>
      <c r="E39" s="410">
        <v>1246221981</v>
      </c>
      <c r="F39" s="412">
        <v>46140</v>
      </c>
      <c r="G39" s="410"/>
      <c r="H39" s="410" t="s">
        <v>173</v>
      </c>
      <c r="I39" s="410" t="s">
        <v>174</v>
      </c>
      <c r="J39" s="410">
        <v>8305</v>
      </c>
      <c r="K39" s="412">
        <v>45838</v>
      </c>
      <c r="L39" s="410">
        <v>1010100</v>
      </c>
      <c r="M39" s="410" t="s">
        <v>35</v>
      </c>
      <c r="N39" s="410">
        <v>161</v>
      </c>
      <c r="O39" s="410" t="s">
        <v>161</v>
      </c>
      <c r="P39" s="410" t="s">
        <v>432</v>
      </c>
      <c r="Q39">
        <f t="shared" si="0"/>
        <v>-5</v>
      </c>
      <c r="R39" t="str">
        <f>_xlfn.XLOOKUP(P39,'Painel Fertilizers'!$B:$B,'Painel Fertilizers'!$B:$B,0)</f>
        <v>GRUPO TAKI AGRO</v>
      </c>
    </row>
    <row r="40" spans="1:18" x14ac:dyDescent="0.25">
      <c r="A40" s="410">
        <v>14849</v>
      </c>
      <c r="B40" s="410" t="s">
        <v>353</v>
      </c>
      <c r="C40" s="410" t="s">
        <v>619</v>
      </c>
      <c r="D40" s="411">
        <v>133718</v>
      </c>
      <c r="E40" s="410">
        <v>1246222953</v>
      </c>
      <c r="F40" s="412">
        <v>46143</v>
      </c>
      <c r="G40" s="410"/>
      <c r="H40" s="410" t="s">
        <v>173</v>
      </c>
      <c r="I40" s="410" t="s">
        <v>174</v>
      </c>
      <c r="J40" s="410">
        <v>8360</v>
      </c>
      <c r="K40" s="412">
        <v>45841</v>
      </c>
      <c r="L40" s="410">
        <v>1010100</v>
      </c>
      <c r="M40" s="410" t="s">
        <v>35</v>
      </c>
      <c r="N40" s="410">
        <v>161</v>
      </c>
      <c r="O40" s="410" t="s">
        <v>161</v>
      </c>
      <c r="P40" s="410" t="s">
        <v>433</v>
      </c>
      <c r="Q40">
        <f t="shared" si="0"/>
        <v>-8</v>
      </c>
      <c r="R40" t="str">
        <f>_xlfn.XLOOKUP(P40,'Painel Fertilizers'!$B:$B,'Painel Fertilizers'!$B:$B,0)</f>
        <v>GRUPO BOLSA AGRONEGOCIO</v>
      </c>
    </row>
    <row r="41" spans="1:18" x14ac:dyDescent="0.25">
      <c r="A41" s="410">
        <v>15908</v>
      </c>
      <c r="B41" s="410" t="s">
        <v>897</v>
      </c>
      <c r="C41" s="410" t="s">
        <v>898</v>
      </c>
      <c r="D41" s="411">
        <v>152185.74</v>
      </c>
      <c r="E41" s="410">
        <v>1246268845</v>
      </c>
      <c r="F41" s="412">
        <v>46195</v>
      </c>
      <c r="G41" s="410"/>
      <c r="H41" s="410" t="s">
        <v>173</v>
      </c>
      <c r="I41" s="410" t="s">
        <v>174</v>
      </c>
      <c r="J41" s="410">
        <v>10968</v>
      </c>
      <c r="K41" s="412">
        <v>46105</v>
      </c>
      <c r="L41" s="410">
        <v>1010100</v>
      </c>
      <c r="M41" s="410" t="s">
        <v>35</v>
      </c>
      <c r="N41" s="410">
        <v>161</v>
      </c>
      <c r="O41" s="410" t="s">
        <v>161</v>
      </c>
      <c r="P41" s="410" t="s">
        <v>83</v>
      </c>
      <c r="Q41">
        <f t="shared" si="0"/>
        <v>-60</v>
      </c>
      <c r="R41" t="str">
        <f>_xlfn.XLOOKUP(P41,'Painel Fertilizers'!$B:$B,'Painel Fertilizers'!$B:$B,0)</f>
        <v>ADUFERTIL JUNDIAI</v>
      </c>
    </row>
    <row r="42" spans="1:18" x14ac:dyDescent="0.25">
      <c r="A42" s="410">
        <v>15908</v>
      </c>
      <c r="B42" s="410" t="s">
        <v>897</v>
      </c>
      <c r="C42" s="410" t="s">
        <v>898</v>
      </c>
      <c r="D42" s="411">
        <v>38698.71</v>
      </c>
      <c r="E42" s="410">
        <v>1246268455</v>
      </c>
      <c r="F42" s="412">
        <v>46190</v>
      </c>
      <c r="G42" s="410"/>
      <c r="H42" s="410" t="s">
        <v>173</v>
      </c>
      <c r="I42" s="410" t="s">
        <v>174</v>
      </c>
      <c r="J42" s="410">
        <v>10935</v>
      </c>
      <c r="K42" s="412">
        <v>46100</v>
      </c>
      <c r="L42" s="410">
        <v>1010100</v>
      </c>
      <c r="M42" s="410" t="s">
        <v>35</v>
      </c>
      <c r="N42" s="410">
        <v>161</v>
      </c>
      <c r="O42" s="410" t="s">
        <v>161</v>
      </c>
      <c r="P42" s="410" t="s">
        <v>83</v>
      </c>
      <c r="Q42">
        <f t="shared" si="0"/>
        <v>-55</v>
      </c>
      <c r="R42" t="str">
        <f>_xlfn.XLOOKUP(P42,'Painel Fertilizers'!$B:$B,'Painel Fertilizers'!$B:$B,0)</f>
        <v>ADUFERTIL JUNDIAI</v>
      </c>
    </row>
    <row r="43" spans="1:18" x14ac:dyDescent="0.25">
      <c r="A43" s="410">
        <v>15905</v>
      </c>
      <c r="B43" s="410" t="s">
        <v>899</v>
      </c>
      <c r="C43" s="410" t="s">
        <v>900</v>
      </c>
      <c r="D43" s="411">
        <v>51551.06</v>
      </c>
      <c r="E43" s="410">
        <v>1246268473</v>
      </c>
      <c r="F43" s="412">
        <v>46190</v>
      </c>
      <c r="G43" s="410"/>
      <c r="H43" s="410" t="s">
        <v>173</v>
      </c>
      <c r="I43" s="410" t="s">
        <v>174</v>
      </c>
      <c r="J43" s="410">
        <v>10938</v>
      </c>
      <c r="K43" s="412">
        <v>46100</v>
      </c>
      <c r="L43" s="410">
        <v>1010100</v>
      </c>
      <c r="M43" s="410" t="s">
        <v>35</v>
      </c>
      <c r="N43" s="410">
        <v>161</v>
      </c>
      <c r="O43" s="410" t="s">
        <v>161</v>
      </c>
      <c r="P43" s="410" t="s">
        <v>83</v>
      </c>
      <c r="Q43">
        <f t="shared" si="0"/>
        <v>-55</v>
      </c>
      <c r="R43" t="str">
        <f>_xlfn.XLOOKUP(P43,'Painel Fertilizers'!$B:$B,'Painel Fertilizers'!$B:$B,0)</f>
        <v>ADUFERTIL JUNDIAI</v>
      </c>
    </row>
    <row r="44" spans="1:18" x14ac:dyDescent="0.25">
      <c r="A44" s="410">
        <v>15905</v>
      </c>
      <c r="B44" s="410" t="s">
        <v>899</v>
      </c>
      <c r="C44" s="410" t="s">
        <v>900</v>
      </c>
      <c r="D44" s="411">
        <v>177522.26</v>
      </c>
      <c r="E44" s="410">
        <v>1246268967</v>
      </c>
      <c r="F44" s="412">
        <v>46196</v>
      </c>
      <c r="G44" s="410"/>
      <c r="H44" s="410" t="s">
        <v>173</v>
      </c>
      <c r="I44" s="410" t="s">
        <v>174</v>
      </c>
      <c r="J44" s="410">
        <v>10973</v>
      </c>
      <c r="K44" s="412">
        <v>46106</v>
      </c>
      <c r="L44" s="410">
        <v>1010100</v>
      </c>
      <c r="M44" s="410" t="s">
        <v>35</v>
      </c>
      <c r="N44" s="410">
        <v>161</v>
      </c>
      <c r="O44" s="410" t="s">
        <v>161</v>
      </c>
      <c r="P44" s="410" t="s">
        <v>83</v>
      </c>
      <c r="Q44">
        <f t="shared" si="0"/>
        <v>-61</v>
      </c>
      <c r="R44" t="str">
        <f>_xlfn.XLOOKUP(P44,'Painel Fertilizers'!$B:$B,'Painel Fertilizers'!$B:$B,0)</f>
        <v>ADUFERTIL JUNDIAI</v>
      </c>
    </row>
    <row r="45" spans="1:18" x14ac:dyDescent="0.25">
      <c r="A45" s="410">
        <v>15905</v>
      </c>
      <c r="B45" s="410" t="s">
        <v>899</v>
      </c>
      <c r="C45" s="410" t="s">
        <v>900</v>
      </c>
      <c r="D45" s="411">
        <v>72587.789999999994</v>
      </c>
      <c r="E45" s="410">
        <v>1246271194</v>
      </c>
      <c r="F45" s="412">
        <v>46215</v>
      </c>
      <c r="G45" s="410"/>
      <c r="H45" s="410" t="s">
        <v>173</v>
      </c>
      <c r="I45" s="410" t="s">
        <v>174</v>
      </c>
      <c r="J45" s="410">
        <v>11111</v>
      </c>
      <c r="K45" s="412">
        <v>46125</v>
      </c>
      <c r="L45" s="410">
        <v>1010100</v>
      </c>
      <c r="M45" s="410" t="s">
        <v>35</v>
      </c>
      <c r="N45" s="410">
        <v>161</v>
      </c>
      <c r="O45" s="410" t="s">
        <v>161</v>
      </c>
      <c r="P45" s="410" t="s">
        <v>83</v>
      </c>
      <c r="Q45">
        <f t="shared" si="0"/>
        <v>-80</v>
      </c>
      <c r="R45" t="str">
        <f>_xlfn.XLOOKUP(P45,'Painel Fertilizers'!$B:$B,'Painel Fertilizers'!$B:$B,0)</f>
        <v>ADUFERTIL JUNDIAI</v>
      </c>
    </row>
    <row r="46" spans="1:18" x14ac:dyDescent="0.25">
      <c r="A46" s="410">
        <v>16387</v>
      </c>
      <c r="B46" s="410" t="s">
        <v>745</v>
      </c>
      <c r="C46" s="410" t="s">
        <v>746</v>
      </c>
      <c r="D46" s="411">
        <v>5030.5</v>
      </c>
      <c r="E46" s="410">
        <v>1246250305</v>
      </c>
      <c r="F46" s="412">
        <v>46254</v>
      </c>
      <c r="G46" s="410"/>
      <c r="H46" s="410" t="s">
        <v>173</v>
      </c>
      <c r="I46" s="410" t="s">
        <v>174</v>
      </c>
      <c r="J46" s="410">
        <v>10088</v>
      </c>
      <c r="K46" s="412">
        <v>45982</v>
      </c>
      <c r="L46" s="410">
        <v>1010100</v>
      </c>
      <c r="M46" s="410" t="s">
        <v>35</v>
      </c>
      <c r="N46" s="410">
        <v>161</v>
      </c>
      <c r="O46" s="410" t="s">
        <v>161</v>
      </c>
      <c r="P46" s="410" t="s">
        <v>426</v>
      </c>
      <c r="Q46">
        <f t="shared" si="0"/>
        <v>-119</v>
      </c>
      <c r="R46" t="str">
        <f>_xlfn.XLOOKUP(P46,'Painel Fertilizers'!$B:$B,'Painel Fertilizers'!$B:$B,0)</f>
        <v>GRUPO SAGRA</v>
      </c>
    </row>
    <row r="47" spans="1:18" x14ac:dyDescent="0.25">
      <c r="A47" s="410">
        <v>15906</v>
      </c>
      <c r="B47" s="410" t="s">
        <v>901</v>
      </c>
      <c r="C47" s="410" t="s">
        <v>902</v>
      </c>
      <c r="D47" s="411">
        <v>51551.06</v>
      </c>
      <c r="E47" s="410">
        <v>1246268468</v>
      </c>
      <c r="F47" s="412">
        <v>46190</v>
      </c>
      <c r="G47" s="410"/>
      <c r="H47" s="410" t="s">
        <v>173</v>
      </c>
      <c r="I47" s="410" t="s">
        <v>174</v>
      </c>
      <c r="J47" s="410">
        <v>10937</v>
      </c>
      <c r="K47" s="412">
        <v>46100</v>
      </c>
      <c r="L47" s="410">
        <v>1010100</v>
      </c>
      <c r="M47" s="410" t="s">
        <v>35</v>
      </c>
      <c r="N47" s="410">
        <v>161</v>
      </c>
      <c r="O47" s="410" t="s">
        <v>161</v>
      </c>
      <c r="P47" s="410" t="s">
        <v>83</v>
      </c>
      <c r="Q47">
        <f t="shared" si="0"/>
        <v>-55</v>
      </c>
      <c r="R47" t="str">
        <f>_xlfn.XLOOKUP(P47,'Painel Fertilizers'!$B:$B,'Painel Fertilizers'!$B:$B,0)</f>
        <v>ADUFERTIL JUNDIAI</v>
      </c>
    </row>
    <row r="48" spans="1:18" x14ac:dyDescent="0.25">
      <c r="A48" s="410">
        <v>15904</v>
      </c>
      <c r="B48" s="410" t="s">
        <v>903</v>
      </c>
      <c r="C48" s="410" t="s">
        <v>904</v>
      </c>
      <c r="D48" s="411">
        <v>38698.71</v>
      </c>
      <c r="E48" s="410">
        <v>1246268475</v>
      </c>
      <c r="F48" s="412">
        <v>46190</v>
      </c>
      <c r="G48" s="410"/>
      <c r="H48" s="410" t="s">
        <v>173</v>
      </c>
      <c r="I48" s="410" t="s">
        <v>174</v>
      </c>
      <c r="J48" s="410">
        <v>10939</v>
      </c>
      <c r="K48" s="412">
        <v>46100</v>
      </c>
      <c r="L48" s="410">
        <v>1010100</v>
      </c>
      <c r="M48" s="410" t="s">
        <v>35</v>
      </c>
      <c r="N48" s="410">
        <v>161</v>
      </c>
      <c r="O48" s="410" t="s">
        <v>161</v>
      </c>
      <c r="P48" s="410" t="s">
        <v>83</v>
      </c>
      <c r="Q48">
        <f t="shared" si="0"/>
        <v>-55</v>
      </c>
      <c r="R48" t="str">
        <f>_xlfn.XLOOKUP(P48,'Painel Fertilizers'!$B:$B,'Painel Fertilizers'!$B:$B,0)</f>
        <v>ADUFERTIL JUNDIAI</v>
      </c>
    </row>
    <row r="49" spans="1:18" x14ac:dyDescent="0.25">
      <c r="A49" s="410">
        <v>15904</v>
      </c>
      <c r="B49" s="410" t="s">
        <v>903</v>
      </c>
      <c r="C49" s="410" t="s">
        <v>904</v>
      </c>
      <c r="D49" s="411">
        <v>152158.14000000001</v>
      </c>
      <c r="E49" s="410">
        <v>1246269114</v>
      </c>
      <c r="F49" s="412">
        <v>46196</v>
      </c>
      <c r="G49" s="410"/>
      <c r="H49" s="410" t="s">
        <v>173</v>
      </c>
      <c r="I49" s="410" t="s">
        <v>174</v>
      </c>
      <c r="J49" s="410">
        <v>10978</v>
      </c>
      <c r="K49" s="412">
        <v>46106</v>
      </c>
      <c r="L49" s="410">
        <v>1010100</v>
      </c>
      <c r="M49" s="410" t="s">
        <v>35</v>
      </c>
      <c r="N49" s="410">
        <v>161</v>
      </c>
      <c r="O49" s="410" t="s">
        <v>161</v>
      </c>
      <c r="P49" s="410" t="s">
        <v>83</v>
      </c>
      <c r="Q49">
        <f t="shared" si="0"/>
        <v>-61</v>
      </c>
      <c r="R49" t="str">
        <f>_xlfn.XLOOKUP(P49,'Painel Fertilizers'!$B:$B,'Painel Fertilizers'!$B:$B,0)</f>
        <v>ADUFERTIL JUNDIAI</v>
      </c>
    </row>
    <row r="50" spans="1:18" x14ac:dyDescent="0.25">
      <c r="A50" s="410">
        <v>6132</v>
      </c>
      <c r="B50" s="410" t="s">
        <v>177</v>
      </c>
      <c r="C50" s="410" t="s">
        <v>178</v>
      </c>
      <c r="D50" s="411">
        <v>131993.79999999999</v>
      </c>
      <c r="E50" s="410">
        <v>1246090615</v>
      </c>
      <c r="F50" s="412">
        <v>45471</v>
      </c>
      <c r="G50" s="410"/>
      <c r="H50" s="410" t="s">
        <v>173</v>
      </c>
      <c r="I50" s="410" t="s">
        <v>174</v>
      </c>
      <c r="J50" s="410">
        <v>33</v>
      </c>
      <c r="K50" s="412">
        <v>45111</v>
      </c>
      <c r="L50" s="410">
        <v>1010100</v>
      </c>
      <c r="M50" s="410" t="s">
        <v>35</v>
      </c>
      <c r="N50" s="410">
        <v>161</v>
      </c>
      <c r="O50" s="410" t="s">
        <v>161</v>
      </c>
      <c r="P50" s="410" t="s">
        <v>177</v>
      </c>
      <c r="Q50">
        <f t="shared" si="0"/>
        <v>664</v>
      </c>
      <c r="R50" t="str">
        <f>_xlfn.XLOOKUP(P50,'Painel Fertilizers'!$B:$B,'Painel Fertilizers'!$B:$B,0)</f>
        <v>CENTRAL DO ADUBO COM E REPRESENTACAO LTD</v>
      </c>
    </row>
    <row r="51" spans="1:18" x14ac:dyDescent="0.25">
      <c r="A51" s="410">
        <v>6132</v>
      </c>
      <c r="B51" s="410" t="s">
        <v>177</v>
      </c>
      <c r="C51" s="410" t="s">
        <v>178</v>
      </c>
      <c r="D51" s="411">
        <v>178370</v>
      </c>
      <c r="E51" s="410">
        <v>1246091907</v>
      </c>
      <c r="F51" s="412">
        <v>45437</v>
      </c>
      <c r="G51" s="410"/>
      <c r="H51" s="410" t="s">
        <v>173</v>
      </c>
      <c r="I51" s="410" t="s">
        <v>174</v>
      </c>
      <c r="J51" s="410">
        <v>129</v>
      </c>
      <c r="K51" s="412">
        <v>45119</v>
      </c>
      <c r="L51" s="410">
        <v>1010100</v>
      </c>
      <c r="M51" s="410" t="s">
        <v>35</v>
      </c>
      <c r="N51" s="410">
        <v>161</v>
      </c>
      <c r="O51" s="410" t="s">
        <v>161</v>
      </c>
      <c r="P51" s="410" t="s">
        <v>177</v>
      </c>
      <c r="Q51">
        <f t="shared" si="0"/>
        <v>698</v>
      </c>
      <c r="R51" t="str">
        <f>_xlfn.XLOOKUP(P51,'Painel Fertilizers'!$B:$B,'Painel Fertilizers'!$B:$B,0)</f>
        <v>CENTRAL DO ADUBO COM E REPRESENTACAO LTD</v>
      </c>
    </row>
    <row r="52" spans="1:18" x14ac:dyDescent="0.25">
      <c r="A52" s="410">
        <v>6132</v>
      </c>
      <c r="B52" s="410" t="s">
        <v>177</v>
      </c>
      <c r="C52" s="410" t="s">
        <v>178</v>
      </c>
      <c r="D52" s="411">
        <v>178370</v>
      </c>
      <c r="E52" s="410">
        <v>1246090579</v>
      </c>
      <c r="F52" s="412">
        <v>45470</v>
      </c>
      <c r="G52" s="410"/>
      <c r="H52" s="410" t="s">
        <v>173</v>
      </c>
      <c r="I52" s="410" t="s">
        <v>174</v>
      </c>
      <c r="J52" s="410">
        <v>28</v>
      </c>
      <c r="K52" s="412">
        <v>45110</v>
      </c>
      <c r="L52" s="410">
        <v>1010100</v>
      </c>
      <c r="M52" s="410" t="s">
        <v>35</v>
      </c>
      <c r="N52" s="410">
        <v>161</v>
      </c>
      <c r="O52" s="410" t="s">
        <v>161</v>
      </c>
      <c r="P52" s="410" t="s">
        <v>177</v>
      </c>
      <c r="Q52">
        <f t="shared" si="0"/>
        <v>665</v>
      </c>
      <c r="R52" t="str">
        <f>_xlfn.XLOOKUP(P52,'Painel Fertilizers'!$B:$B,'Painel Fertilizers'!$B:$B,0)</f>
        <v>CENTRAL DO ADUBO COM E REPRESENTACAO LTD</v>
      </c>
    </row>
    <row r="53" spans="1:18" x14ac:dyDescent="0.25">
      <c r="A53" s="410">
        <v>6132</v>
      </c>
      <c r="B53" s="410" t="s">
        <v>177</v>
      </c>
      <c r="C53" s="410" t="s">
        <v>178</v>
      </c>
      <c r="D53" s="411">
        <v>142696</v>
      </c>
      <c r="E53" s="410">
        <v>1246091833</v>
      </c>
      <c r="F53" s="412">
        <v>45436</v>
      </c>
      <c r="G53" s="410"/>
      <c r="H53" s="410" t="s">
        <v>173</v>
      </c>
      <c r="I53" s="410" t="s">
        <v>174</v>
      </c>
      <c r="J53" s="410">
        <v>116</v>
      </c>
      <c r="K53" s="412">
        <v>45118</v>
      </c>
      <c r="L53" s="410">
        <v>1010100</v>
      </c>
      <c r="M53" s="410" t="s">
        <v>35</v>
      </c>
      <c r="N53" s="410">
        <v>161</v>
      </c>
      <c r="O53" s="410" t="s">
        <v>161</v>
      </c>
      <c r="P53" s="410" t="s">
        <v>177</v>
      </c>
      <c r="Q53">
        <f t="shared" si="0"/>
        <v>699</v>
      </c>
      <c r="R53" t="str">
        <f>_xlfn.XLOOKUP(P53,'Painel Fertilizers'!$B:$B,'Painel Fertilizers'!$B:$B,0)</f>
        <v>CENTRAL DO ADUBO COM E REPRESENTACAO LTD</v>
      </c>
    </row>
    <row r="54" spans="1:18" x14ac:dyDescent="0.25">
      <c r="A54" s="410">
        <v>6132</v>
      </c>
      <c r="B54" s="410" t="s">
        <v>177</v>
      </c>
      <c r="C54" s="410" t="s">
        <v>178</v>
      </c>
      <c r="D54" s="411">
        <v>60766.2</v>
      </c>
      <c r="E54" s="410">
        <v>1246095119</v>
      </c>
      <c r="F54" s="412">
        <v>45447</v>
      </c>
      <c r="G54" s="410"/>
      <c r="H54" s="410" t="s">
        <v>173</v>
      </c>
      <c r="I54" s="410" t="s">
        <v>174</v>
      </c>
      <c r="J54" s="410">
        <v>93</v>
      </c>
      <c r="K54" s="412">
        <v>45138</v>
      </c>
      <c r="L54" s="410">
        <v>1010100</v>
      </c>
      <c r="M54" s="410" t="s">
        <v>35</v>
      </c>
      <c r="N54" s="410">
        <v>161</v>
      </c>
      <c r="O54" s="410" t="s">
        <v>161</v>
      </c>
      <c r="P54" s="410" t="s">
        <v>177</v>
      </c>
      <c r="Q54">
        <f t="shared" si="0"/>
        <v>688</v>
      </c>
      <c r="R54" t="str">
        <f>_xlfn.XLOOKUP(P54,'Painel Fertilizers'!$B:$B,'Painel Fertilizers'!$B:$B,0)</f>
        <v>CENTRAL DO ADUBO COM E REPRESENTACAO LTD</v>
      </c>
    </row>
    <row r="55" spans="1:18" x14ac:dyDescent="0.25">
      <c r="A55" s="410">
        <v>6132</v>
      </c>
      <c r="B55" s="410" t="s">
        <v>177</v>
      </c>
      <c r="C55" s="410" t="s">
        <v>178</v>
      </c>
      <c r="D55" s="411">
        <v>178260</v>
      </c>
      <c r="E55" s="410">
        <v>1246091832</v>
      </c>
      <c r="F55" s="412">
        <v>45436</v>
      </c>
      <c r="G55" s="410"/>
      <c r="H55" s="410" t="s">
        <v>173</v>
      </c>
      <c r="I55" s="410" t="s">
        <v>174</v>
      </c>
      <c r="J55" s="410">
        <v>115</v>
      </c>
      <c r="K55" s="412">
        <v>45118</v>
      </c>
      <c r="L55" s="410">
        <v>1010100</v>
      </c>
      <c r="M55" s="410" t="s">
        <v>35</v>
      </c>
      <c r="N55" s="410">
        <v>161</v>
      </c>
      <c r="O55" s="410" t="s">
        <v>161</v>
      </c>
      <c r="P55" s="410" t="s">
        <v>177</v>
      </c>
      <c r="Q55">
        <f t="shared" si="0"/>
        <v>699</v>
      </c>
      <c r="R55" t="str">
        <f>_xlfn.XLOOKUP(P55,'Painel Fertilizers'!$B:$B,'Painel Fertilizers'!$B:$B,0)</f>
        <v>CENTRAL DO ADUBO COM E REPRESENTACAO LTD</v>
      </c>
    </row>
    <row r="56" spans="1:18" x14ac:dyDescent="0.25">
      <c r="A56" s="410">
        <v>6132</v>
      </c>
      <c r="B56" s="410" t="s">
        <v>177</v>
      </c>
      <c r="C56" s="410" t="s">
        <v>178</v>
      </c>
      <c r="D56" s="411">
        <v>151915.50000000003</v>
      </c>
      <c r="E56" s="410">
        <v>1246095049</v>
      </c>
      <c r="F56" s="412">
        <v>45447</v>
      </c>
      <c r="G56" s="410"/>
      <c r="H56" s="410" t="s">
        <v>173</v>
      </c>
      <c r="I56" s="410" t="s">
        <v>174</v>
      </c>
      <c r="J56" s="410">
        <v>92</v>
      </c>
      <c r="K56" s="412">
        <v>45138</v>
      </c>
      <c r="L56" s="410">
        <v>1010100</v>
      </c>
      <c r="M56" s="410" t="s">
        <v>35</v>
      </c>
      <c r="N56" s="410">
        <v>161</v>
      </c>
      <c r="O56" s="410" t="s">
        <v>161</v>
      </c>
      <c r="P56" s="410" t="s">
        <v>177</v>
      </c>
      <c r="Q56">
        <f t="shared" si="0"/>
        <v>688</v>
      </c>
      <c r="R56" t="str">
        <f>_xlfn.XLOOKUP(P56,'Painel Fertilizers'!$B:$B,'Painel Fertilizers'!$B:$B,0)</f>
        <v>CENTRAL DO ADUBO COM E REPRESENTACAO LTD</v>
      </c>
    </row>
    <row r="57" spans="1:18" x14ac:dyDescent="0.25">
      <c r="A57" s="410">
        <v>6132</v>
      </c>
      <c r="B57" s="410" t="s">
        <v>177</v>
      </c>
      <c r="C57" s="410" t="s">
        <v>178</v>
      </c>
      <c r="D57" s="411">
        <v>91149.3</v>
      </c>
      <c r="E57" s="410">
        <v>1246095124</v>
      </c>
      <c r="F57" s="412">
        <v>45447</v>
      </c>
      <c r="G57" s="410"/>
      <c r="H57" s="410" t="s">
        <v>173</v>
      </c>
      <c r="I57" s="410" t="s">
        <v>174</v>
      </c>
      <c r="J57" s="410">
        <v>94</v>
      </c>
      <c r="K57" s="412">
        <v>45138</v>
      </c>
      <c r="L57" s="410">
        <v>1010100</v>
      </c>
      <c r="M57" s="410" t="s">
        <v>35</v>
      </c>
      <c r="N57" s="410">
        <v>161</v>
      </c>
      <c r="O57" s="410" t="s">
        <v>161</v>
      </c>
      <c r="P57" s="410" t="s">
        <v>177</v>
      </c>
      <c r="Q57">
        <f t="shared" si="0"/>
        <v>688</v>
      </c>
      <c r="R57" t="str">
        <f>_xlfn.XLOOKUP(P57,'Painel Fertilizers'!$B:$B,'Painel Fertilizers'!$B:$B,0)</f>
        <v>CENTRAL DO ADUBO COM E REPRESENTACAO LTD</v>
      </c>
    </row>
    <row r="58" spans="1:18" x14ac:dyDescent="0.25">
      <c r="A58" s="410">
        <v>6132</v>
      </c>
      <c r="B58" s="410" t="s">
        <v>177</v>
      </c>
      <c r="C58" s="410" t="s">
        <v>178</v>
      </c>
      <c r="D58" s="411">
        <v>85223.34</v>
      </c>
      <c r="E58" s="410">
        <v>1246097799</v>
      </c>
      <c r="F58" s="412">
        <v>45442</v>
      </c>
      <c r="G58" s="410"/>
      <c r="H58" s="410" t="s">
        <v>173</v>
      </c>
      <c r="I58" s="410" t="s">
        <v>174</v>
      </c>
      <c r="J58" s="410">
        <v>678</v>
      </c>
      <c r="K58" s="412">
        <v>45152</v>
      </c>
      <c r="L58" s="410">
        <v>1010100</v>
      </c>
      <c r="M58" s="410" t="s">
        <v>35</v>
      </c>
      <c r="N58" s="410">
        <v>161</v>
      </c>
      <c r="O58" s="410" t="s">
        <v>161</v>
      </c>
      <c r="P58" s="410" t="s">
        <v>177</v>
      </c>
      <c r="Q58">
        <f t="shared" si="0"/>
        <v>693</v>
      </c>
      <c r="R58" t="str">
        <f>_xlfn.XLOOKUP(P58,'Painel Fertilizers'!$B:$B,'Painel Fertilizers'!$B:$B,0)</f>
        <v>CENTRAL DO ADUBO COM E REPRESENTACAO LTD</v>
      </c>
    </row>
    <row r="59" spans="1:18" x14ac:dyDescent="0.25">
      <c r="A59" s="410">
        <v>6132</v>
      </c>
      <c r="B59" s="410" t="s">
        <v>177</v>
      </c>
      <c r="C59" s="410" t="s">
        <v>178</v>
      </c>
      <c r="D59" s="411">
        <v>84323.41</v>
      </c>
      <c r="E59" s="410">
        <v>1246121990</v>
      </c>
      <c r="F59" s="412">
        <v>45557</v>
      </c>
      <c r="G59" s="410"/>
      <c r="H59" s="410" t="s">
        <v>173</v>
      </c>
      <c r="I59" s="410" t="s">
        <v>174</v>
      </c>
      <c r="J59" s="410">
        <v>2361</v>
      </c>
      <c r="K59" s="412">
        <v>45289</v>
      </c>
      <c r="L59" s="410">
        <v>1010100</v>
      </c>
      <c r="M59" s="410" t="s">
        <v>35</v>
      </c>
      <c r="N59" s="410">
        <v>161</v>
      </c>
      <c r="O59" s="410" t="s">
        <v>161</v>
      </c>
      <c r="P59" s="410" t="s">
        <v>177</v>
      </c>
      <c r="Q59">
        <f t="shared" si="0"/>
        <v>578</v>
      </c>
      <c r="R59" t="str">
        <f>_xlfn.XLOOKUP(P59,'Painel Fertilizers'!$B:$B,'Painel Fertilizers'!$B:$B,0)</f>
        <v>CENTRAL DO ADUBO COM E REPRESENTACAO LTD</v>
      </c>
    </row>
    <row r="60" spans="1:18" x14ac:dyDescent="0.25">
      <c r="A60" s="410">
        <v>6132</v>
      </c>
      <c r="B60" s="410" t="s">
        <v>177</v>
      </c>
      <c r="C60" s="410" t="s">
        <v>178</v>
      </c>
      <c r="D60" s="411">
        <v>63251.12</v>
      </c>
      <c r="E60" s="410">
        <v>1246128996</v>
      </c>
      <c r="F60" s="412">
        <v>45571</v>
      </c>
      <c r="G60" s="410"/>
      <c r="H60" s="410" t="s">
        <v>173</v>
      </c>
      <c r="I60" s="410" t="s">
        <v>174</v>
      </c>
      <c r="J60" s="410">
        <v>2766</v>
      </c>
      <c r="K60" s="412">
        <v>45331</v>
      </c>
      <c r="L60" s="410">
        <v>1010100</v>
      </c>
      <c r="M60" s="410" t="s">
        <v>35</v>
      </c>
      <c r="N60" s="410">
        <v>161</v>
      </c>
      <c r="O60" s="410" t="s">
        <v>161</v>
      </c>
      <c r="P60" s="410" t="s">
        <v>177</v>
      </c>
      <c r="Q60">
        <f t="shared" si="0"/>
        <v>564</v>
      </c>
      <c r="R60" t="str">
        <f>_xlfn.XLOOKUP(P60,'Painel Fertilizers'!$B:$B,'Painel Fertilizers'!$B:$B,0)</f>
        <v>CENTRAL DO ADUBO COM E REPRESENTACAO LTD</v>
      </c>
    </row>
    <row r="61" spans="1:18" x14ac:dyDescent="0.25">
      <c r="A61" s="410">
        <v>6132</v>
      </c>
      <c r="B61" s="410" t="s">
        <v>177</v>
      </c>
      <c r="C61" s="410" t="s">
        <v>178</v>
      </c>
      <c r="D61" s="411">
        <v>52062</v>
      </c>
      <c r="E61" s="410">
        <v>1246115169</v>
      </c>
      <c r="F61" s="412">
        <v>45466</v>
      </c>
      <c r="G61" s="410"/>
      <c r="H61" s="410" t="s">
        <v>173</v>
      </c>
      <c r="I61" s="410" t="s">
        <v>174</v>
      </c>
      <c r="J61" s="410">
        <v>1974</v>
      </c>
      <c r="K61" s="412">
        <v>45244</v>
      </c>
      <c r="L61" s="410">
        <v>1010100</v>
      </c>
      <c r="M61" s="410" t="s">
        <v>35</v>
      </c>
      <c r="N61" s="410">
        <v>161</v>
      </c>
      <c r="O61" s="410" t="s">
        <v>161</v>
      </c>
      <c r="P61" s="410" t="s">
        <v>177</v>
      </c>
      <c r="Q61">
        <f t="shared" si="0"/>
        <v>669</v>
      </c>
      <c r="R61" t="str">
        <f>_xlfn.XLOOKUP(P61,'Painel Fertilizers'!$B:$B,'Painel Fertilizers'!$B:$B,0)</f>
        <v>CENTRAL DO ADUBO COM E REPRESENTACAO LTD</v>
      </c>
    </row>
    <row r="62" spans="1:18" x14ac:dyDescent="0.25">
      <c r="A62" s="410">
        <v>6132</v>
      </c>
      <c r="B62" s="410" t="s">
        <v>177</v>
      </c>
      <c r="C62" s="410" t="s">
        <v>178</v>
      </c>
      <c r="D62" s="411">
        <v>32002.66</v>
      </c>
      <c r="E62" s="410">
        <v>1246120211</v>
      </c>
      <c r="F62" s="412">
        <v>45518</v>
      </c>
      <c r="G62" s="410"/>
      <c r="H62" s="410" t="s">
        <v>173</v>
      </c>
      <c r="I62" s="410" t="s">
        <v>174</v>
      </c>
      <c r="J62" s="410">
        <v>2284</v>
      </c>
      <c r="K62" s="412">
        <v>45278</v>
      </c>
      <c r="L62" s="410">
        <v>1010100</v>
      </c>
      <c r="M62" s="410" t="s">
        <v>35</v>
      </c>
      <c r="N62" s="410">
        <v>161</v>
      </c>
      <c r="O62" s="410" t="s">
        <v>161</v>
      </c>
      <c r="P62" s="410" t="s">
        <v>177</v>
      </c>
      <c r="Q62">
        <f t="shared" si="0"/>
        <v>617</v>
      </c>
      <c r="R62" t="str">
        <f>_xlfn.XLOOKUP(P62,'Painel Fertilizers'!$B:$B,'Painel Fertilizers'!$B:$B,0)</f>
        <v>CENTRAL DO ADUBO COM E REPRESENTACAO LTD</v>
      </c>
    </row>
    <row r="63" spans="1:18" x14ac:dyDescent="0.25">
      <c r="A63" s="410">
        <v>6132</v>
      </c>
      <c r="B63" s="410" t="s">
        <v>177</v>
      </c>
      <c r="C63" s="410" t="s">
        <v>178</v>
      </c>
      <c r="D63" s="411">
        <v>112435.2</v>
      </c>
      <c r="E63" s="410">
        <v>1246116054</v>
      </c>
      <c r="F63" s="412">
        <v>45491</v>
      </c>
      <c r="G63" s="410"/>
      <c r="H63" s="410" t="s">
        <v>173</v>
      </c>
      <c r="I63" s="410" t="s">
        <v>174</v>
      </c>
      <c r="J63" s="410">
        <v>2046</v>
      </c>
      <c r="K63" s="412">
        <v>45251</v>
      </c>
      <c r="L63" s="410">
        <v>1010100</v>
      </c>
      <c r="M63" s="410" t="s">
        <v>35</v>
      </c>
      <c r="N63" s="410">
        <v>161</v>
      </c>
      <c r="O63" s="410" t="s">
        <v>161</v>
      </c>
      <c r="P63" s="410" t="s">
        <v>177</v>
      </c>
      <c r="Q63">
        <f t="shared" si="0"/>
        <v>644</v>
      </c>
      <c r="R63" t="str">
        <f>_xlfn.XLOOKUP(P63,'Painel Fertilizers'!$B:$B,'Painel Fertilizers'!$B:$B,0)</f>
        <v>CENTRAL DO ADUBO COM E REPRESENTACAO LTD</v>
      </c>
    </row>
    <row r="64" spans="1:18" x14ac:dyDescent="0.25">
      <c r="A64" s="410">
        <v>6132</v>
      </c>
      <c r="B64" s="410" t="s">
        <v>177</v>
      </c>
      <c r="C64" s="410" t="s">
        <v>178</v>
      </c>
      <c r="D64" s="411">
        <v>29450.6</v>
      </c>
      <c r="E64" s="410">
        <v>1246128801</v>
      </c>
      <c r="F64" s="412">
        <v>45605</v>
      </c>
      <c r="G64" s="410"/>
      <c r="H64" s="410" t="s">
        <v>173</v>
      </c>
      <c r="I64" s="410" t="s">
        <v>174</v>
      </c>
      <c r="J64" s="410">
        <v>2746</v>
      </c>
      <c r="K64" s="412">
        <v>45330</v>
      </c>
      <c r="L64" s="410">
        <v>1010100</v>
      </c>
      <c r="M64" s="410" t="s">
        <v>35</v>
      </c>
      <c r="N64" s="410">
        <v>161</v>
      </c>
      <c r="O64" s="410" t="s">
        <v>161</v>
      </c>
      <c r="P64" s="410" t="s">
        <v>177</v>
      </c>
      <c r="Q64">
        <f t="shared" si="0"/>
        <v>530</v>
      </c>
      <c r="R64" t="str">
        <f>_xlfn.XLOOKUP(P64,'Painel Fertilizers'!$B:$B,'Painel Fertilizers'!$B:$B,0)</f>
        <v>CENTRAL DO ADUBO COM E REPRESENTACAO LTD</v>
      </c>
    </row>
    <row r="65" spans="1:18" x14ac:dyDescent="0.25">
      <c r="A65" s="410">
        <v>6132</v>
      </c>
      <c r="B65" s="410" t="s">
        <v>177</v>
      </c>
      <c r="C65" s="410" t="s">
        <v>178</v>
      </c>
      <c r="D65" s="411">
        <v>87840</v>
      </c>
      <c r="E65" s="410">
        <v>1246113431</v>
      </c>
      <c r="F65" s="412">
        <v>45476</v>
      </c>
      <c r="G65" s="410"/>
      <c r="H65" s="410" t="s">
        <v>173</v>
      </c>
      <c r="I65" s="410" t="s">
        <v>174</v>
      </c>
      <c r="J65" s="410">
        <v>1852</v>
      </c>
      <c r="K65" s="412">
        <v>45236</v>
      </c>
      <c r="L65" s="410">
        <v>1010100</v>
      </c>
      <c r="M65" s="410" t="s">
        <v>35</v>
      </c>
      <c r="N65" s="410">
        <v>161</v>
      </c>
      <c r="O65" s="410" t="s">
        <v>161</v>
      </c>
      <c r="P65" s="410" t="s">
        <v>177</v>
      </c>
      <c r="Q65">
        <f t="shared" si="0"/>
        <v>659</v>
      </c>
      <c r="R65" t="str">
        <f>_xlfn.XLOOKUP(P65,'Painel Fertilizers'!$B:$B,'Painel Fertilizers'!$B:$B,0)</f>
        <v>CENTRAL DO ADUBO COM E REPRESENTACAO LTD</v>
      </c>
    </row>
    <row r="66" spans="1:18" x14ac:dyDescent="0.25">
      <c r="A66" s="410">
        <v>6132</v>
      </c>
      <c r="B66" s="410" t="s">
        <v>177</v>
      </c>
      <c r="C66" s="410" t="s">
        <v>178</v>
      </c>
      <c r="D66" s="411">
        <v>27201.1</v>
      </c>
      <c r="E66" s="410">
        <v>1246124199</v>
      </c>
      <c r="F66" s="412">
        <v>45557</v>
      </c>
      <c r="G66" s="410"/>
      <c r="H66" s="410" t="s">
        <v>173</v>
      </c>
      <c r="I66" s="410" t="s">
        <v>174</v>
      </c>
      <c r="J66" s="410">
        <v>2454</v>
      </c>
      <c r="K66" s="412">
        <v>45301</v>
      </c>
      <c r="L66" s="410">
        <v>1010100</v>
      </c>
      <c r="M66" s="410" t="s">
        <v>35</v>
      </c>
      <c r="N66" s="410">
        <v>161</v>
      </c>
      <c r="O66" s="410" t="s">
        <v>161</v>
      </c>
      <c r="P66" s="410" t="s">
        <v>177</v>
      </c>
      <c r="Q66">
        <f t="shared" ref="Q66:Q126" si="1">$R$1-F66</f>
        <v>578</v>
      </c>
      <c r="R66" t="str">
        <f>_xlfn.XLOOKUP(P66,'Painel Fertilizers'!$B:$B,'Painel Fertilizers'!$B:$B,0)</f>
        <v>CENTRAL DO ADUBO COM E REPRESENTACAO LTD</v>
      </c>
    </row>
    <row r="67" spans="1:18" x14ac:dyDescent="0.25">
      <c r="A67" s="410">
        <v>6132</v>
      </c>
      <c r="B67" s="410" t="s">
        <v>177</v>
      </c>
      <c r="C67" s="410" t="s">
        <v>178</v>
      </c>
      <c r="D67" s="411">
        <v>86529.600000000006</v>
      </c>
      <c r="E67" s="410">
        <v>1246116354</v>
      </c>
      <c r="F67" s="412">
        <v>45475</v>
      </c>
      <c r="G67" s="410"/>
      <c r="H67" s="410" t="s">
        <v>173</v>
      </c>
      <c r="I67" s="410" t="s">
        <v>174</v>
      </c>
      <c r="J67" s="410">
        <v>2068</v>
      </c>
      <c r="K67" s="412">
        <v>45253</v>
      </c>
      <c r="L67" s="410">
        <v>1010100</v>
      </c>
      <c r="M67" s="410" t="s">
        <v>35</v>
      </c>
      <c r="N67" s="410">
        <v>161</v>
      </c>
      <c r="O67" s="410" t="s">
        <v>161</v>
      </c>
      <c r="P67" s="410" t="s">
        <v>177</v>
      </c>
      <c r="Q67">
        <f t="shared" si="1"/>
        <v>660</v>
      </c>
      <c r="R67" t="str">
        <f>_xlfn.XLOOKUP(P67,'Painel Fertilizers'!$B:$B,'Painel Fertilizers'!$B:$B,0)</f>
        <v>CENTRAL DO ADUBO COM E REPRESENTACAO LTD</v>
      </c>
    </row>
    <row r="68" spans="1:18" x14ac:dyDescent="0.25">
      <c r="A68" s="410">
        <v>6132</v>
      </c>
      <c r="B68" s="410" t="s">
        <v>177</v>
      </c>
      <c r="C68" s="410" t="s">
        <v>178</v>
      </c>
      <c r="D68" s="411">
        <v>171010</v>
      </c>
      <c r="E68" s="410">
        <v>1246117256</v>
      </c>
      <c r="F68" s="412">
        <v>45474</v>
      </c>
      <c r="G68" s="410"/>
      <c r="H68" s="410" t="s">
        <v>173</v>
      </c>
      <c r="I68" s="410" t="s">
        <v>174</v>
      </c>
      <c r="J68" s="410">
        <v>2130</v>
      </c>
      <c r="K68" s="412">
        <v>45260</v>
      </c>
      <c r="L68" s="410">
        <v>1010100</v>
      </c>
      <c r="M68" s="410" t="s">
        <v>35</v>
      </c>
      <c r="N68" s="410">
        <v>161</v>
      </c>
      <c r="O68" s="410" t="s">
        <v>161</v>
      </c>
      <c r="P68" s="410" t="s">
        <v>177</v>
      </c>
      <c r="Q68">
        <f t="shared" si="1"/>
        <v>661</v>
      </c>
      <c r="R68" t="str">
        <f>_xlfn.XLOOKUP(P68,'Painel Fertilizers'!$B:$B,'Painel Fertilizers'!$B:$B,0)</f>
        <v>CENTRAL DO ADUBO COM E REPRESENTACAO LTD</v>
      </c>
    </row>
    <row r="69" spans="1:18" x14ac:dyDescent="0.25">
      <c r="A69" s="410">
        <v>6132</v>
      </c>
      <c r="B69" s="410" t="s">
        <v>177</v>
      </c>
      <c r="C69" s="410" t="s">
        <v>178</v>
      </c>
      <c r="D69" s="411">
        <v>94461</v>
      </c>
      <c r="E69" s="410">
        <v>1246125716</v>
      </c>
      <c r="F69" s="412">
        <v>45578</v>
      </c>
      <c r="G69" s="410"/>
      <c r="H69" s="410" t="s">
        <v>173</v>
      </c>
      <c r="I69" s="410" t="s">
        <v>174</v>
      </c>
      <c r="J69" s="410">
        <v>2541</v>
      </c>
      <c r="K69" s="412">
        <v>45310</v>
      </c>
      <c r="L69" s="410">
        <v>1010100</v>
      </c>
      <c r="M69" s="410" t="s">
        <v>35</v>
      </c>
      <c r="N69" s="410">
        <v>161</v>
      </c>
      <c r="O69" s="410" t="s">
        <v>161</v>
      </c>
      <c r="P69" s="410" t="s">
        <v>177</v>
      </c>
      <c r="Q69">
        <f t="shared" si="1"/>
        <v>557</v>
      </c>
      <c r="R69" t="str">
        <f>_xlfn.XLOOKUP(P69,'Painel Fertilizers'!$B:$B,'Painel Fertilizers'!$B:$B,0)</f>
        <v>CENTRAL DO ADUBO COM E REPRESENTACAO LTD</v>
      </c>
    </row>
    <row r="70" spans="1:18" x14ac:dyDescent="0.25">
      <c r="A70" s="410">
        <v>6132</v>
      </c>
      <c r="B70" s="410" t="s">
        <v>177</v>
      </c>
      <c r="C70" s="410" t="s">
        <v>178</v>
      </c>
      <c r="D70" s="411">
        <v>67967</v>
      </c>
      <c r="E70" s="410">
        <v>1246128327</v>
      </c>
      <c r="F70" s="412">
        <v>45567</v>
      </c>
      <c r="G70" s="410"/>
      <c r="H70" s="410" t="s">
        <v>173</v>
      </c>
      <c r="I70" s="410" t="s">
        <v>174</v>
      </c>
      <c r="J70" s="410">
        <v>2712</v>
      </c>
      <c r="K70" s="412">
        <v>45327</v>
      </c>
      <c r="L70" s="410">
        <v>1010100</v>
      </c>
      <c r="M70" s="410" t="s">
        <v>35</v>
      </c>
      <c r="N70" s="410">
        <v>161</v>
      </c>
      <c r="O70" s="410" t="s">
        <v>161</v>
      </c>
      <c r="P70" s="410" t="s">
        <v>177</v>
      </c>
      <c r="Q70">
        <f t="shared" si="1"/>
        <v>568</v>
      </c>
      <c r="R70" t="str">
        <f>_xlfn.XLOOKUP(P70,'Painel Fertilizers'!$B:$B,'Painel Fertilizers'!$B:$B,0)</f>
        <v>CENTRAL DO ADUBO COM E REPRESENTACAO LTD</v>
      </c>
    </row>
    <row r="71" spans="1:18" x14ac:dyDescent="0.25">
      <c r="A71" s="410">
        <v>6132</v>
      </c>
      <c r="B71" s="410" t="s">
        <v>177</v>
      </c>
      <c r="C71" s="410" t="s">
        <v>178</v>
      </c>
      <c r="D71" s="411">
        <v>77852.5</v>
      </c>
      <c r="E71" s="410">
        <v>1246128328</v>
      </c>
      <c r="F71" s="412">
        <v>45567</v>
      </c>
      <c r="G71" s="410"/>
      <c r="H71" s="410" t="s">
        <v>173</v>
      </c>
      <c r="I71" s="410" t="s">
        <v>174</v>
      </c>
      <c r="J71" s="410">
        <v>2713</v>
      </c>
      <c r="K71" s="412">
        <v>45327</v>
      </c>
      <c r="L71" s="410">
        <v>1010100</v>
      </c>
      <c r="M71" s="410" t="s">
        <v>35</v>
      </c>
      <c r="N71" s="410">
        <v>161</v>
      </c>
      <c r="O71" s="410" t="s">
        <v>161</v>
      </c>
      <c r="P71" s="410" t="s">
        <v>177</v>
      </c>
      <c r="Q71">
        <f t="shared" si="1"/>
        <v>568</v>
      </c>
      <c r="R71" t="str">
        <f>_xlfn.XLOOKUP(P71,'Painel Fertilizers'!$B:$B,'Painel Fertilizers'!$B:$B,0)</f>
        <v>CENTRAL DO ADUBO COM E REPRESENTACAO LTD</v>
      </c>
    </row>
    <row r="72" spans="1:18" x14ac:dyDescent="0.25">
      <c r="A72" s="410">
        <v>6132</v>
      </c>
      <c r="B72" s="410" t="s">
        <v>177</v>
      </c>
      <c r="C72" s="410" t="s">
        <v>178</v>
      </c>
      <c r="D72" s="411">
        <v>41610.269999999997</v>
      </c>
      <c r="E72" s="410">
        <v>1246128682</v>
      </c>
      <c r="F72" s="412">
        <v>45604</v>
      </c>
      <c r="G72" s="410"/>
      <c r="H72" s="410" t="s">
        <v>173</v>
      </c>
      <c r="I72" s="410" t="s">
        <v>174</v>
      </c>
      <c r="J72" s="410">
        <v>2737</v>
      </c>
      <c r="K72" s="412">
        <v>45329</v>
      </c>
      <c r="L72" s="410">
        <v>1010100</v>
      </c>
      <c r="M72" s="410" t="s">
        <v>35</v>
      </c>
      <c r="N72" s="410">
        <v>161</v>
      </c>
      <c r="O72" s="410" t="s">
        <v>161</v>
      </c>
      <c r="P72" s="410" t="s">
        <v>177</v>
      </c>
      <c r="Q72">
        <f t="shared" si="1"/>
        <v>531</v>
      </c>
      <c r="R72" t="str">
        <f>_xlfn.XLOOKUP(P72,'Painel Fertilizers'!$B:$B,'Painel Fertilizers'!$B:$B,0)</f>
        <v>CENTRAL DO ADUBO COM E REPRESENTACAO LTD</v>
      </c>
    </row>
    <row r="73" spans="1:18" x14ac:dyDescent="0.25">
      <c r="A73" s="410">
        <v>6132</v>
      </c>
      <c r="B73" s="410" t="s">
        <v>177</v>
      </c>
      <c r="C73" s="410" t="s">
        <v>178</v>
      </c>
      <c r="D73" s="411">
        <v>107254.39999999999</v>
      </c>
      <c r="E73" s="410">
        <v>1246126442</v>
      </c>
      <c r="F73" s="412">
        <v>45565</v>
      </c>
      <c r="G73" s="410"/>
      <c r="H73" s="410" t="s">
        <v>173</v>
      </c>
      <c r="I73" s="410" t="s">
        <v>174</v>
      </c>
      <c r="J73" s="410">
        <v>2587</v>
      </c>
      <c r="K73" s="412">
        <v>45315</v>
      </c>
      <c r="L73" s="410">
        <v>1010100</v>
      </c>
      <c r="M73" s="410" t="s">
        <v>35</v>
      </c>
      <c r="N73" s="410">
        <v>161</v>
      </c>
      <c r="O73" s="410" t="s">
        <v>161</v>
      </c>
      <c r="P73" s="410" t="s">
        <v>177</v>
      </c>
      <c r="Q73">
        <f t="shared" si="1"/>
        <v>570</v>
      </c>
      <c r="R73" t="str">
        <f>_xlfn.XLOOKUP(P73,'Painel Fertilizers'!$B:$B,'Painel Fertilizers'!$B:$B,0)</f>
        <v>CENTRAL DO ADUBO COM E REPRESENTACAO LTD</v>
      </c>
    </row>
    <row r="74" spans="1:18" x14ac:dyDescent="0.25">
      <c r="A74" s="410">
        <v>6132</v>
      </c>
      <c r="B74" s="410" t="s">
        <v>177</v>
      </c>
      <c r="C74" s="410" t="s">
        <v>178</v>
      </c>
      <c r="D74" s="411">
        <v>56218.2</v>
      </c>
      <c r="E74" s="410">
        <v>1246128800</v>
      </c>
      <c r="F74" s="412">
        <v>45605</v>
      </c>
      <c r="G74" s="410"/>
      <c r="H74" s="410" t="s">
        <v>173</v>
      </c>
      <c r="I74" s="410" t="s">
        <v>174</v>
      </c>
      <c r="J74" s="410">
        <v>2745</v>
      </c>
      <c r="K74" s="412">
        <v>45330</v>
      </c>
      <c r="L74" s="410">
        <v>1010100</v>
      </c>
      <c r="M74" s="410" t="s">
        <v>35</v>
      </c>
      <c r="N74" s="410">
        <v>161</v>
      </c>
      <c r="O74" s="410" t="s">
        <v>161</v>
      </c>
      <c r="P74" s="410" t="s">
        <v>177</v>
      </c>
      <c r="Q74">
        <f t="shared" si="1"/>
        <v>530</v>
      </c>
      <c r="R74" t="str">
        <f>_xlfn.XLOOKUP(P74,'Painel Fertilizers'!$B:$B,'Painel Fertilizers'!$B:$B,0)</f>
        <v>CENTRAL DO ADUBO COM E REPRESENTACAO LTD</v>
      </c>
    </row>
    <row r="75" spans="1:18" x14ac:dyDescent="0.25">
      <c r="A75" s="410">
        <v>6132</v>
      </c>
      <c r="B75" s="410" t="s">
        <v>177</v>
      </c>
      <c r="C75" s="410" t="s">
        <v>178</v>
      </c>
      <c r="D75" s="411">
        <v>24480.99</v>
      </c>
      <c r="E75" s="410">
        <v>1246127802</v>
      </c>
      <c r="F75" s="412">
        <v>45603</v>
      </c>
      <c r="G75" s="410"/>
      <c r="H75" s="410" t="s">
        <v>173</v>
      </c>
      <c r="I75" s="410" t="s">
        <v>174</v>
      </c>
      <c r="J75" s="410">
        <v>2674</v>
      </c>
      <c r="K75" s="412">
        <v>45323</v>
      </c>
      <c r="L75" s="410">
        <v>1010100</v>
      </c>
      <c r="M75" s="410" t="s">
        <v>35</v>
      </c>
      <c r="N75" s="410">
        <v>161</v>
      </c>
      <c r="O75" s="410" t="s">
        <v>161</v>
      </c>
      <c r="P75" s="410" t="s">
        <v>177</v>
      </c>
      <c r="Q75">
        <f t="shared" si="1"/>
        <v>532</v>
      </c>
      <c r="R75" t="str">
        <f>_xlfn.XLOOKUP(P75,'Painel Fertilizers'!$B:$B,'Painel Fertilizers'!$B:$B,0)</f>
        <v>CENTRAL DO ADUBO COM E REPRESENTACAO LTD</v>
      </c>
    </row>
    <row r="76" spans="1:18" x14ac:dyDescent="0.25">
      <c r="A76" s="410">
        <v>6132</v>
      </c>
      <c r="B76" s="410" t="s">
        <v>177</v>
      </c>
      <c r="C76" s="410" t="s">
        <v>178</v>
      </c>
      <c r="D76" s="411">
        <v>87043.520000000004</v>
      </c>
      <c r="E76" s="410">
        <v>1246120531</v>
      </c>
      <c r="F76" s="412">
        <v>45559</v>
      </c>
      <c r="G76" s="410"/>
      <c r="H76" s="410" t="s">
        <v>173</v>
      </c>
      <c r="I76" s="410" t="s">
        <v>174</v>
      </c>
      <c r="J76" s="410">
        <v>2295</v>
      </c>
      <c r="K76" s="412">
        <v>45279</v>
      </c>
      <c r="L76" s="410">
        <v>1010100</v>
      </c>
      <c r="M76" s="410" t="s">
        <v>35</v>
      </c>
      <c r="N76" s="410">
        <v>161</v>
      </c>
      <c r="O76" s="410" t="s">
        <v>161</v>
      </c>
      <c r="P76" s="410" t="s">
        <v>177</v>
      </c>
      <c r="Q76">
        <f t="shared" si="1"/>
        <v>576</v>
      </c>
      <c r="R76" t="str">
        <f>_xlfn.XLOOKUP(P76,'Painel Fertilizers'!$B:$B,'Painel Fertilizers'!$B:$B,0)</f>
        <v>CENTRAL DO ADUBO COM E REPRESENTACAO LTD</v>
      </c>
    </row>
    <row r="77" spans="1:18" x14ac:dyDescent="0.25">
      <c r="A77" s="410">
        <v>6132</v>
      </c>
      <c r="B77" s="410" t="s">
        <v>177</v>
      </c>
      <c r="C77" s="410" t="s">
        <v>178</v>
      </c>
      <c r="D77" s="411">
        <v>87504.97</v>
      </c>
      <c r="E77" s="410">
        <v>1246119910</v>
      </c>
      <c r="F77" s="412">
        <v>45555</v>
      </c>
      <c r="G77" s="410"/>
      <c r="H77" s="410" t="s">
        <v>173</v>
      </c>
      <c r="I77" s="410" t="s">
        <v>174</v>
      </c>
      <c r="J77" s="410">
        <v>2248</v>
      </c>
      <c r="K77" s="412">
        <v>45275</v>
      </c>
      <c r="L77" s="410">
        <v>1010100</v>
      </c>
      <c r="M77" s="410" t="s">
        <v>35</v>
      </c>
      <c r="N77" s="410">
        <v>161</v>
      </c>
      <c r="O77" s="410" t="s">
        <v>161</v>
      </c>
      <c r="P77" s="410" t="s">
        <v>177</v>
      </c>
      <c r="Q77">
        <f t="shared" si="1"/>
        <v>580</v>
      </c>
      <c r="R77" t="str">
        <f>_xlfn.XLOOKUP(P77,'Painel Fertilizers'!$B:$B,'Painel Fertilizers'!$B:$B,0)</f>
        <v>CENTRAL DO ADUBO COM E REPRESENTACAO LTD</v>
      </c>
    </row>
    <row r="78" spans="1:18" x14ac:dyDescent="0.25">
      <c r="A78" s="410">
        <v>6132</v>
      </c>
      <c r="B78" s="410" t="s">
        <v>177</v>
      </c>
      <c r="C78" s="410" t="s">
        <v>178</v>
      </c>
      <c r="D78" s="411">
        <v>22997.32</v>
      </c>
      <c r="E78" s="410">
        <v>1246119982</v>
      </c>
      <c r="F78" s="412">
        <v>45515</v>
      </c>
      <c r="G78" s="410"/>
      <c r="H78" s="410" t="s">
        <v>173</v>
      </c>
      <c r="I78" s="410" t="s">
        <v>174</v>
      </c>
      <c r="J78" s="410">
        <v>2263</v>
      </c>
      <c r="K78" s="412">
        <v>45275</v>
      </c>
      <c r="L78" s="410">
        <v>1010100</v>
      </c>
      <c r="M78" s="410" t="s">
        <v>35</v>
      </c>
      <c r="N78" s="410">
        <v>161</v>
      </c>
      <c r="O78" s="410" t="s">
        <v>161</v>
      </c>
      <c r="P78" s="410" t="s">
        <v>177</v>
      </c>
      <c r="Q78">
        <f t="shared" si="1"/>
        <v>620</v>
      </c>
      <c r="R78" t="str">
        <f>_xlfn.XLOOKUP(P78,'Painel Fertilizers'!$B:$B,'Painel Fertilizers'!$B:$B,0)</f>
        <v>CENTRAL DO ADUBO COM E REPRESENTACAO LTD</v>
      </c>
    </row>
    <row r="79" spans="1:18" x14ac:dyDescent="0.25">
      <c r="A79" s="410">
        <v>6132</v>
      </c>
      <c r="B79" s="410" t="s">
        <v>177</v>
      </c>
      <c r="C79" s="410" t="s">
        <v>178</v>
      </c>
      <c r="D79" s="411">
        <v>10860</v>
      </c>
      <c r="E79" s="410">
        <v>1246122169</v>
      </c>
      <c r="F79" s="412">
        <v>45469</v>
      </c>
      <c r="G79" s="410"/>
      <c r="H79" s="410" t="s">
        <v>173</v>
      </c>
      <c r="I79" s="410" t="s">
        <v>174</v>
      </c>
      <c r="J79" s="410">
        <v>2373</v>
      </c>
      <c r="K79" s="412">
        <v>45289</v>
      </c>
      <c r="L79" s="410">
        <v>1010100</v>
      </c>
      <c r="M79" s="410" t="s">
        <v>35</v>
      </c>
      <c r="N79" s="410">
        <v>161</v>
      </c>
      <c r="O79" s="410" t="s">
        <v>161</v>
      </c>
      <c r="P79" s="410" t="s">
        <v>177</v>
      </c>
      <c r="Q79">
        <f t="shared" si="1"/>
        <v>666</v>
      </c>
      <c r="R79" t="str">
        <f>_xlfn.XLOOKUP(P79,'Painel Fertilizers'!$B:$B,'Painel Fertilizers'!$B:$B,0)</f>
        <v>CENTRAL DO ADUBO COM E REPRESENTACAO LTD</v>
      </c>
    </row>
    <row r="80" spans="1:18" x14ac:dyDescent="0.25">
      <c r="A80" s="410">
        <v>6132</v>
      </c>
      <c r="B80" s="410" t="s">
        <v>177</v>
      </c>
      <c r="C80" s="410" t="s">
        <v>178</v>
      </c>
      <c r="D80" s="411">
        <v>57205.5</v>
      </c>
      <c r="E80" s="410">
        <v>1246122168</v>
      </c>
      <c r="F80" s="412">
        <v>45557</v>
      </c>
      <c r="G80" s="410"/>
      <c r="H80" s="410" t="s">
        <v>173</v>
      </c>
      <c r="I80" s="410" t="s">
        <v>174</v>
      </c>
      <c r="J80" s="410">
        <v>2372</v>
      </c>
      <c r="K80" s="412">
        <v>45289</v>
      </c>
      <c r="L80" s="410">
        <v>1010100</v>
      </c>
      <c r="M80" s="410" t="s">
        <v>35</v>
      </c>
      <c r="N80" s="410">
        <v>161</v>
      </c>
      <c r="O80" s="410" t="s">
        <v>161</v>
      </c>
      <c r="P80" s="410" t="s">
        <v>177</v>
      </c>
      <c r="Q80">
        <f t="shared" si="1"/>
        <v>578</v>
      </c>
      <c r="R80" t="str">
        <f>_xlfn.XLOOKUP(P80,'Painel Fertilizers'!$B:$B,'Painel Fertilizers'!$B:$B,0)</f>
        <v>CENTRAL DO ADUBO COM E REPRESENTACAO LTD</v>
      </c>
    </row>
    <row r="81" spans="1:18" x14ac:dyDescent="0.25">
      <c r="A81" s="410">
        <v>6132</v>
      </c>
      <c r="B81" s="410" t="s">
        <v>177</v>
      </c>
      <c r="C81" s="410" t="s">
        <v>178</v>
      </c>
      <c r="D81" s="411">
        <v>109750.39999999999</v>
      </c>
      <c r="E81" s="410">
        <v>1246117165</v>
      </c>
      <c r="F81" s="412">
        <v>45473</v>
      </c>
      <c r="G81" s="410"/>
      <c r="H81" s="410" t="s">
        <v>173</v>
      </c>
      <c r="I81" s="410" t="s">
        <v>174</v>
      </c>
      <c r="J81" s="410">
        <v>2128</v>
      </c>
      <c r="K81" s="412">
        <v>45259</v>
      </c>
      <c r="L81" s="410">
        <v>1010100</v>
      </c>
      <c r="M81" s="410" t="s">
        <v>35</v>
      </c>
      <c r="N81" s="410">
        <v>161</v>
      </c>
      <c r="O81" s="410" t="s">
        <v>161</v>
      </c>
      <c r="P81" s="410" t="s">
        <v>177</v>
      </c>
      <c r="Q81">
        <f t="shared" si="1"/>
        <v>662</v>
      </c>
      <c r="R81" t="str">
        <f>_xlfn.XLOOKUP(P81,'Painel Fertilizers'!$B:$B,'Painel Fertilizers'!$B:$B,0)</f>
        <v>CENTRAL DO ADUBO COM E REPRESENTACAO LTD</v>
      </c>
    </row>
    <row r="82" spans="1:18" x14ac:dyDescent="0.25">
      <c r="A82" s="410">
        <v>6132</v>
      </c>
      <c r="B82" s="410" t="s">
        <v>177</v>
      </c>
      <c r="C82" s="410" t="s">
        <v>178</v>
      </c>
      <c r="D82" s="411">
        <v>111644.8</v>
      </c>
      <c r="E82" s="410">
        <v>1246117516</v>
      </c>
      <c r="F82" s="412">
        <v>45536</v>
      </c>
      <c r="G82" s="410"/>
      <c r="H82" s="410" t="s">
        <v>173</v>
      </c>
      <c r="I82" s="410" t="s">
        <v>174</v>
      </c>
      <c r="J82" s="410">
        <v>2140</v>
      </c>
      <c r="K82" s="412">
        <v>45261</v>
      </c>
      <c r="L82" s="410">
        <v>1010100</v>
      </c>
      <c r="M82" s="410" t="s">
        <v>35</v>
      </c>
      <c r="N82" s="410">
        <v>161</v>
      </c>
      <c r="O82" s="410" t="s">
        <v>161</v>
      </c>
      <c r="P82" s="410" t="s">
        <v>177</v>
      </c>
      <c r="Q82">
        <f t="shared" si="1"/>
        <v>599</v>
      </c>
      <c r="R82" t="str">
        <f>_xlfn.XLOOKUP(P82,'Painel Fertilizers'!$B:$B,'Painel Fertilizers'!$B:$B,0)</f>
        <v>CENTRAL DO ADUBO COM E REPRESENTACAO LTD</v>
      </c>
    </row>
    <row r="83" spans="1:18" x14ac:dyDescent="0.25">
      <c r="A83" s="410">
        <v>6132</v>
      </c>
      <c r="B83" s="410" t="s">
        <v>177</v>
      </c>
      <c r="C83" s="410" t="s">
        <v>178</v>
      </c>
      <c r="D83" s="411">
        <v>136005.5</v>
      </c>
      <c r="E83" s="410">
        <v>1246120768</v>
      </c>
      <c r="F83" s="412">
        <v>45560</v>
      </c>
      <c r="G83" s="410"/>
      <c r="H83" s="410" t="s">
        <v>173</v>
      </c>
      <c r="I83" s="410" t="s">
        <v>174</v>
      </c>
      <c r="J83" s="410">
        <v>2299</v>
      </c>
      <c r="K83" s="412">
        <v>45280</v>
      </c>
      <c r="L83" s="410">
        <v>1010100</v>
      </c>
      <c r="M83" s="410" t="s">
        <v>35</v>
      </c>
      <c r="N83" s="410">
        <v>161</v>
      </c>
      <c r="O83" s="410" t="s">
        <v>161</v>
      </c>
      <c r="P83" s="410" t="s">
        <v>177</v>
      </c>
      <c r="Q83">
        <f t="shared" si="1"/>
        <v>575</v>
      </c>
      <c r="R83" t="str">
        <f>_xlfn.XLOOKUP(P83,'Painel Fertilizers'!$B:$B,'Painel Fertilizers'!$B:$B,0)</f>
        <v>CENTRAL DO ADUBO COM E REPRESENTACAO LTD</v>
      </c>
    </row>
    <row r="84" spans="1:18" x14ac:dyDescent="0.25">
      <c r="A84" s="410">
        <v>6132</v>
      </c>
      <c r="B84" s="410" t="s">
        <v>177</v>
      </c>
      <c r="C84" s="410" t="s">
        <v>178</v>
      </c>
      <c r="D84" s="411">
        <v>136005.5</v>
      </c>
      <c r="E84" s="410">
        <v>1246124946</v>
      </c>
      <c r="F84" s="412">
        <v>45566</v>
      </c>
      <c r="G84" s="410"/>
      <c r="H84" s="410" t="s">
        <v>173</v>
      </c>
      <c r="I84" s="410" t="s">
        <v>174</v>
      </c>
      <c r="J84" s="410">
        <v>2498</v>
      </c>
      <c r="K84" s="412">
        <v>45306</v>
      </c>
      <c r="L84" s="410">
        <v>1010100</v>
      </c>
      <c r="M84" s="410" t="s">
        <v>35</v>
      </c>
      <c r="N84" s="410">
        <v>161</v>
      </c>
      <c r="O84" s="410" t="s">
        <v>161</v>
      </c>
      <c r="P84" s="410" t="s">
        <v>177</v>
      </c>
      <c r="Q84">
        <f t="shared" si="1"/>
        <v>569</v>
      </c>
      <c r="R84" t="str">
        <f>_xlfn.XLOOKUP(P84,'Painel Fertilizers'!$B:$B,'Painel Fertilizers'!$B:$B,0)</f>
        <v>CENTRAL DO ADUBO COM E REPRESENTACAO LTD</v>
      </c>
    </row>
    <row r="85" spans="1:18" x14ac:dyDescent="0.25">
      <c r="A85" s="410">
        <v>6132</v>
      </c>
      <c r="B85" s="410" t="s">
        <v>177</v>
      </c>
      <c r="C85" s="410" t="s">
        <v>178</v>
      </c>
      <c r="D85" s="411">
        <v>87043.520000000004</v>
      </c>
      <c r="E85" s="410">
        <v>1246120099</v>
      </c>
      <c r="F85" s="412">
        <v>45558</v>
      </c>
      <c r="G85" s="410"/>
      <c r="H85" s="410" t="s">
        <v>173</v>
      </c>
      <c r="I85" s="410" t="s">
        <v>174</v>
      </c>
      <c r="J85" s="410">
        <v>2279</v>
      </c>
      <c r="K85" s="412">
        <v>45278</v>
      </c>
      <c r="L85" s="410">
        <v>1010100</v>
      </c>
      <c r="M85" s="410" t="s">
        <v>35</v>
      </c>
      <c r="N85" s="410">
        <v>161</v>
      </c>
      <c r="O85" s="410" t="s">
        <v>161</v>
      </c>
      <c r="P85" s="410" t="s">
        <v>177</v>
      </c>
      <c r="Q85">
        <f t="shared" si="1"/>
        <v>577</v>
      </c>
      <c r="R85" t="str">
        <f>_xlfn.XLOOKUP(P85,'Painel Fertilizers'!$B:$B,'Painel Fertilizers'!$B:$B,0)</f>
        <v>CENTRAL DO ADUBO COM E REPRESENTACAO LTD</v>
      </c>
    </row>
    <row r="86" spans="1:18" x14ac:dyDescent="0.25">
      <c r="A86" s="410">
        <v>6132</v>
      </c>
      <c r="B86" s="410" t="s">
        <v>177</v>
      </c>
      <c r="C86" s="410" t="s">
        <v>178</v>
      </c>
      <c r="D86" s="411">
        <v>111465.88</v>
      </c>
      <c r="E86" s="410">
        <v>1246127801</v>
      </c>
      <c r="F86" s="412">
        <v>45603</v>
      </c>
      <c r="G86" s="410"/>
      <c r="H86" s="410" t="s">
        <v>173</v>
      </c>
      <c r="I86" s="410" t="s">
        <v>174</v>
      </c>
      <c r="J86" s="410">
        <v>2673</v>
      </c>
      <c r="K86" s="412">
        <v>45323</v>
      </c>
      <c r="L86" s="410">
        <v>1010100</v>
      </c>
      <c r="M86" s="410" t="s">
        <v>35</v>
      </c>
      <c r="N86" s="410">
        <v>161</v>
      </c>
      <c r="O86" s="410" t="s">
        <v>161</v>
      </c>
      <c r="P86" s="410" t="s">
        <v>177</v>
      </c>
      <c r="Q86">
        <f t="shared" si="1"/>
        <v>532</v>
      </c>
      <c r="R86" t="str">
        <f>_xlfn.XLOOKUP(P86,'Painel Fertilizers'!$B:$B,'Painel Fertilizers'!$B:$B,0)</f>
        <v>CENTRAL DO ADUBO COM E REPRESENTACAO LTD</v>
      </c>
    </row>
    <row r="87" spans="1:18" x14ac:dyDescent="0.25">
      <c r="A87" s="410">
        <v>6132</v>
      </c>
      <c r="B87" s="410" t="s">
        <v>177</v>
      </c>
      <c r="C87" s="410" t="s">
        <v>178</v>
      </c>
      <c r="D87" s="411">
        <v>47937.4</v>
      </c>
      <c r="E87" s="410">
        <v>1246118354</v>
      </c>
      <c r="F87" s="412">
        <v>45541</v>
      </c>
      <c r="G87" s="410"/>
      <c r="H87" s="410" t="s">
        <v>173</v>
      </c>
      <c r="I87" s="410" t="s">
        <v>174</v>
      </c>
      <c r="J87" s="410">
        <v>2184</v>
      </c>
      <c r="K87" s="412">
        <v>45266</v>
      </c>
      <c r="L87" s="410">
        <v>1010100</v>
      </c>
      <c r="M87" s="410" t="s">
        <v>35</v>
      </c>
      <c r="N87" s="410">
        <v>161</v>
      </c>
      <c r="O87" s="410" t="s">
        <v>161</v>
      </c>
      <c r="P87" s="410" t="s">
        <v>177</v>
      </c>
      <c r="Q87">
        <f t="shared" si="1"/>
        <v>594</v>
      </c>
      <c r="R87" t="str">
        <f>_xlfn.XLOOKUP(P87,'Painel Fertilizers'!$B:$B,'Painel Fertilizers'!$B:$B,0)</f>
        <v>CENTRAL DO ADUBO COM E REPRESENTACAO LTD</v>
      </c>
    </row>
    <row r="88" spans="1:18" x14ac:dyDescent="0.25">
      <c r="A88" s="410">
        <v>6132</v>
      </c>
      <c r="B88" s="410" t="s">
        <v>177</v>
      </c>
      <c r="C88" s="410" t="s">
        <v>178</v>
      </c>
      <c r="D88" s="411">
        <v>155705</v>
      </c>
      <c r="E88" s="410">
        <v>1246129974</v>
      </c>
      <c r="F88" s="412">
        <v>45568</v>
      </c>
      <c r="G88" s="410"/>
      <c r="H88" s="410" t="s">
        <v>173</v>
      </c>
      <c r="I88" s="410" t="s">
        <v>174</v>
      </c>
      <c r="J88" s="410">
        <v>2839</v>
      </c>
      <c r="K88" s="412">
        <v>45341</v>
      </c>
      <c r="L88" s="410">
        <v>1010100</v>
      </c>
      <c r="M88" s="410" t="s">
        <v>35</v>
      </c>
      <c r="N88" s="410">
        <v>161</v>
      </c>
      <c r="O88" s="410" t="s">
        <v>161</v>
      </c>
      <c r="P88" s="410" t="s">
        <v>177</v>
      </c>
      <c r="Q88">
        <f t="shared" si="1"/>
        <v>567</v>
      </c>
      <c r="R88" t="str">
        <f>_xlfn.XLOOKUP(P88,'Painel Fertilizers'!$B:$B,'Painel Fertilizers'!$B:$B,0)</f>
        <v>CENTRAL DO ADUBO COM E REPRESENTACAO LTD</v>
      </c>
    </row>
    <row r="89" spans="1:18" x14ac:dyDescent="0.25">
      <c r="A89" s="410">
        <v>6132</v>
      </c>
      <c r="B89" s="410" t="s">
        <v>177</v>
      </c>
      <c r="C89" s="410" t="s">
        <v>178</v>
      </c>
      <c r="D89" s="411">
        <v>42163.65</v>
      </c>
      <c r="E89" s="410">
        <v>1246124200</v>
      </c>
      <c r="F89" s="412">
        <v>45569</v>
      </c>
      <c r="G89" s="410"/>
      <c r="H89" s="410" t="s">
        <v>173</v>
      </c>
      <c r="I89" s="410" t="s">
        <v>174</v>
      </c>
      <c r="J89" s="410">
        <v>2455</v>
      </c>
      <c r="K89" s="412">
        <v>45301</v>
      </c>
      <c r="L89" s="410">
        <v>1010100</v>
      </c>
      <c r="M89" s="410" t="s">
        <v>35</v>
      </c>
      <c r="N89" s="410">
        <v>161</v>
      </c>
      <c r="O89" s="410" t="s">
        <v>161</v>
      </c>
      <c r="P89" s="410" t="s">
        <v>177</v>
      </c>
      <c r="Q89">
        <f t="shared" si="1"/>
        <v>566</v>
      </c>
      <c r="R89" t="str">
        <f>_xlfn.XLOOKUP(P89,'Painel Fertilizers'!$B:$B,'Painel Fertilizers'!$B:$B,0)</f>
        <v>CENTRAL DO ADUBO COM E REPRESENTACAO LTD</v>
      </c>
    </row>
    <row r="90" spans="1:18" x14ac:dyDescent="0.25">
      <c r="A90" s="410">
        <v>6132</v>
      </c>
      <c r="B90" s="410" t="s">
        <v>177</v>
      </c>
      <c r="C90" s="410" t="s">
        <v>178</v>
      </c>
      <c r="D90" s="411">
        <v>111065.60000000001</v>
      </c>
      <c r="E90" s="410">
        <v>1246114703</v>
      </c>
      <c r="F90" s="412">
        <v>45463</v>
      </c>
      <c r="G90" s="410"/>
      <c r="H90" s="410" t="s">
        <v>173</v>
      </c>
      <c r="I90" s="410" t="s">
        <v>174</v>
      </c>
      <c r="J90" s="410">
        <v>1937</v>
      </c>
      <c r="K90" s="412">
        <v>45241</v>
      </c>
      <c r="L90" s="410">
        <v>1010100</v>
      </c>
      <c r="M90" s="410" t="s">
        <v>35</v>
      </c>
      <c r="N90" s="410">
        <v>161</v>
      </c>
      <c r="O90" s="410" t="s">
        <v>161</v>
      </c>
      <c r="P90" s="410" t="s">
        <v>177</v>
      </c>
      <c r="Q90">
        <f t="shared" si="1"/>
        <v>672</v>
      </c>
      <c r="R90" t="str">
        <f>_xlfn.XLOOKUP(P90,'Painel Fertilizers'!$B:$B,'Painel Fertilizers'!$B:$B,0)</f>
        <v>CENTRAL DO ADUBO COM E REPRESENTACAO LTD</v>
      </c>
    </row>
    <row r="91" spans="1:18" x14ac:dyDescent="0.25">
      <c r="A91" s="410">
        <v>6132</v>
      </c>
      <c r="B91" s="410" t="s">
        <v>177</v>
      </c>
      <c r="C91" s="410" t="s">
        <v>178</v>
      </c>
      <c r="D91" s="411">
        <v>27201.1</v>
      </c>
      <c r="E91" s="410">
        <v>1246125717</v>
      </c>
      <c r="F91" s="412">
        <v>45566</v>
      </c>
      <c r="G91" s="410"/>
      <c r="H91" s="410" t="s">
        <v>173</v>
      </c>
      <c r="I91" s="410" t="s">
        <v>174</v>
      </c>
      <c r="J91" s="410">
        <v>2542</v>
      </c>
      <c r="K91" s="412">
        <v>45310</v>
      </c>
      <c r="L91" s="410">
        <v>1010100</v>
      </c>
      <c r="M91" s="410" t="s">
        <v>35</v>
      </c>
      <c r="N91" s="410">
        <v>161</v>
      </c>
      <c r="O91" s="410" t="s">
        <v>161</v>
      </c>
      <c r="P91" s="410" t="s">
        <v>177</v>
      </c>
      <c r="Q91">
        <f t="shared" si="1"/>
        <v>569</v>
      </c>
      <c r="R91" t="str">
        <f>_xlfn.XLOOKUP(P91,'Painel Fertilizers'!$B:$B,'Painel Fertilizers'!$B:$B,0)</f>
        <v>CENTRAL DO ADUBO COM E REPRESENTACAO LTD</v>
      </c>
    </row>
    <row r="92" spans="1:18" x14ac:dyDescent="0.25">
      <c r="A92" s="410">
        <v>6132</v>
      </c>
      <c r="B92" s="410" t="s">
        <v>177</v>
      </c>
      <c r="C92" s="410" t="s">
        <v>178</v>
      </c>
      <c r="D92" s="411">
        <v>136005.5</v>
      </c>
      <c r="E92" s="410">
        <v>1246124718</v>
      </c>
      <c r="F92" s="412">
        <v>45563</v>
      </c>
      <c r="G92" s="410"/>
      <c r="H92" s="410" t="s">
        <v>173</v>
      </c>
      <c r="I92" s="410" t="s">
        <v>174</v>
      </c>
      <c r="J92" s="410">
        <v>2489</v>
      </c>
      <c r="K92" s="412">
        <v>45303</v>
      </c>
      <c r="L92" s="410">
        <v>1010100</v>
      </c>
      <c r="M92" s="410" t="s">
        <v>35</v>
      </c>
      <c r="N92" s="410">
        <v>161</v>
      </c>
      <c r="O92" s="410" t="s">
        <v>161</v>
      </c>
      <c r="P92" s="410" t="s">
        <v>177</v>
      </c>
      <c r="Q92">
        <f t="shared" si="1"/>
        <v>572</v>
      </c>
      <c r="R92" t="str">
        <f>_xlfn.XLOOKUP(P92,'Painel Fertilizers'!$B:$B,'Painel Fertilizers'!$B:$B,0)</f>
        <v>CENTRAL DO ADUBO COM E REPRESENTACAO LTD</v>
      </c>
    </row>
    <row r="93" spans="1:18" x14ac:dyDescent="0.25">
      <c r="A93" s="410">
        <v>6132</v>
      </c>
      <c r="B93" s="410" t="s">
        <v>177</v>
      </c>
      <c r="C93" s="410" t="s">
        <v>178</v>
      </c>
      <c r="D93" s="411">
        <v>45093</v>
      </c>
      <c r="E93" s="410">
        <v>1246128683</v>
      </c>
      <c r="F93" s="412">
        <v>45604</v>
      </c>
      <c r="G93" s="410"/>
      <c r="H93" s="410" t="s">
        <v>173</v>
      </c>
      <c r="I93" s="410" t="s">
        <v>174</v>
      </c>
      <c r="J93" s="410">
        <v>2738</v>
      </c>
      <c r="K93" s="412">
        <v>45329</v>
      </c>
      <c r="L93" s="410">
        <v>1010100</v>
      </c>
      <c r="M93" s="410" t="s">
        <v>35</v>
      </c>
      <c r="N93" s="410">
        <v>161</v>
      </c>
      <c r="O93" s="410" t="s">
        <v>161</v>
      </c>
      <c r="P93" s="410" t="s">
        <v>177</v>
      </c>
      <c r="Q93">
        <f t="shared" si="1"/>
        <v>531</v>
      </c>
      <c r="R93" t="str">
        <f>_xlfn.XLOOKUP(P93,'Painel Fertilizers'!$B:$B,'Painel Fertilizers'!$B:$B,0)</f>
        <v>CENTRAL DO ADUBO COM E REPRESENTACAO LTD</v>
      </c>
    </row>
    <row r="94" spans="1:18" x14ac:dyDescent="0.25">
      <c r="A94" s="410">
        <v>6132</v>
      </c>
      <c r="B94" s="410" t="s">
        <v>177</v>
      </c>
      <c r="C94" s="410" t="s">
        <v>178</v>
      </c>
      <c r="D94" s="411">
        <v>82986.649999999994</v>
      </c>
      <c r="E94" s="410">
        <v>1246113430</v>
      </c>
      <c r="F94" s="412">
        <v>45476</v>
      </c>
      <c r="G94" s="410"/>
      <c r="H94" s="410" t="s">
        <v>173</v>
      </c>
      <c r="I94" s="410" t="s">
        <v>174</v>
      </c>
      <c r="J94" s="410">
        <v>1851</v>
      </c>
      <c r="K94" s="412">
        <v>45236</v>
      </c>
      <c r="L94" s="410">
        <v>1010100</v>
      </c>
      <c r="M94" s="410" t="s">
        <v>35</v>
      </c>
      <c r="N94" s="410">
        <v>161</v>
      </c>
      <c r="O94" s="410" t="s">
        <v>161</v>
      </c>
      <c r="P94" s="410" t="s">
        <v>177</v>
      </c>
      <c r="Q94">
        <f t="shared" si="1"/>
        <v>659</v>
      </c>
      <c r="R94" t="str">
        <f>_xlfn.XLOOKUP(P94,'Painel Fertilizers'!$B:$B,'Painel Fertilizers'!$B:$B,0)</f>
        <v>CENTRAL DO ADUBO COM E REPRESENTACAO LTD</v>
      </c>
    </row>
    <row r="95" spans="1:18" x14ac:dyDescent="0.25">
      <c r="A95" s="410">
        <v>6132</v>
      </c>
      <c r="B95" s="410" t="s">
        <v>177</v>
      </c>
      <c r="C95" s="410" t="s">
        <v>178</v>
      </c>
      <c r="D95" s="411">
        <v>174445</v>
      </c>
      <c r="E95" s="410">
        <v>1246116577</v>
      </c>
      <c r="F95" s="412">
        <v>45468</v>
      </c>
      <c r="G95" s="410"/>
      <c r="H95" s="410" t="s">
        <v>173</v>
      </c>
      <c r="I95" s="410" t="s">
        <v>174</v>
      </c>
      <c r="J95" s="410">
        <v>2091</v>
      </c>
      <c r="K95" s="412">
        <v>45254</v>
      </c>
      <c r="L95" s="410">
        <v>1010100</v>
      </c>
      <c r="M95" s="410" t="s">
        <v>35</v>
      </c>
      <c r="N95" s="410">
        <v>161</v>
      </c>
      <c r="O95" s="410" t="s">
        <v>161</v>
      </c>
      <c r="P95" s="410" t="s">
        <v>177</v>
      </c>
      <c r="Q95">
        <f t="shared" si="1"/>
        <v>667</v>
      </c>
      <c r="R95" t="str">
        <f>_xlfn.XLOOKUP(P95,'Painel Fertilizers'!$B:$B,'Painel Fertilizers'!$B:$B,0)</f>
        <v>CENTRAL DO ADUBO COM E REPRESENTACAO LTD</v>
      </c>
    </row>
    <row r="96" spans="1:18" x14ac:dyDescent="0.25">
      <c r="A96" s="410">
        <v>6132</v>
      </c>
      <c r="B96" s="410" t="s">
        <v>177</v>
      </c>
      <c r="C96" s="410" t="s">
        <v>178</v>
      </c>
      <c r="D96" s="411">
        <v>158956.25</v>
      </c>
      <c r="E96" s="410">
        <v>1246104181</v>
      </c>
      <c r="F96" s="412">
        <v>45444</v>
      </c>
      <c r="G96" s="410"/>
      <c r="H96" s="410" t="s">
        <v>173</v>
      </c>
      <c r="I96" s="410" t="s">
        <v>174</v>
      </c>
      <c r="J96" s="410">
        <v>1180</v>
      </c>
      <c r="K96" s="412">
        <v>45184</v>
      </c>
      <c r="L96" s="410">
        <v>1010100</v>
      </c>
      <c r="M96" s="410" t="s">
        <v>35</v>
      </c>
      <c r="N96" s="410">
        <v>161</v>
      </c>
      <c r="O96" s="410" t="s">
        <v>161</v>
      </c>
      <c r="P96" s="410" t="s">
        <v>177</v>
      </c>
      <c r="Q96">
        <f t="shared" si="1"/>
        <v>691</v>
      </c>
      <c r="R96" t="str">
        <f>_xlfn.XLOOKUP(P96,'Painel Fertilizers'!$B:$B,'Painel Fertilizers'!$B:$B,0)</f>
        <v>CENTRAL DO ADUBO COM E REPRESENTACAO LTD</v>
      </c>
    </row>
    <row r="97" spans="1:18" x14ac:dyDescent="0.25">
      <c r="A97" s="410">
        <v>6132</v>
      </c>
      <c r="B97" s="410" t="s">
        <v>177</v>
      </c>
      <c r="C97" s="410" t="s">
        <v>178</v>
      </c>
      <c r="D97" s="411">
        <v>171662.49999999997</v>
      </c>
      <c r="E97" s="410">
        <v>1246112815</v>
      </c>
      <c r="F97" s="412">
        <v>45471</v>
      </c>
      <c r="G97" s="410"/>
      <c r="H97" s="410" t="s">
        <v>173</v>
      </c>
      <c r="I97" s="410" t="s">
        <v>174</v>
      </c>
      <c r="J97" s="410">
        <v>1799</v>
      </c>
      <c r="K97" s="412">
        <v>45231</v>
      </c>
      <c r="L97" s="410">
        <v>1010100</v>
      </c>
      <c r="M97" s="410" t="s">
        <v>35</v>
      </c>
      <c r="N97" s="410">
        <v>161</v>
      </c>
      <c r="O97" s="410" t="s">
        <v>161</v>
      </c>
      <c r="P97" s="410" t="s">
        <v>177</v>
      </c>
      <c r="Q97">
        <f t="shared" si="1"/>
        <v>664</v>
      </c>
      <c r="R97" t="str">
        <f>_xlfn.XLOOKUP(P97,'Painel Fertilizers'!$B:$B,'Painel Fertilizers'!$B:$B,0)</f>
        <v>CENTRAL DO ADUBO COM E REPRESENTACAO LTD</v>
      </c>
    </row>
    <row r="98" spans="1:18" x14ac:dyDescent="0.25">
      <c r="A98" s="410">
        <v>6132</v>
      </c>
      <c r="B98" s="410" t="s">
        <v>177</v>
      </c>
      <c r="C98" s="410" t="s">
        <v>178</v>
      </c>
      <c r="D98" s="411">
        <v>174610</v>
      </c>
      <c r="E98" s="410">
        <v>1246113736</v>
      </c>
      <c r="F98" s="412">
        <v>45478</v>
      </c>
      <c r="G98" s="410"/>
      <c r="H98" s="410" t="s">
        <v>173</v>
      </c>
      <c r="I98" s="410" t="s">
        <v>174</v>
      </c>
      <c r="J98" s="410">
        <v>1878</v>
      </c>
      <c r="K98" s="412">
        <v>45238</v>
      </c>
      <c r="L98" s="410">
        <v>1010100</v>
      </c>
      <c r="M98" s="410" t="s">
        <v>35</v>
      </c>
      <c r="N98" s="410">
        <v>161</v>
      </c>
      <c r="O98" s="410" t="s">
        <v>161</v>
      </c>
      <c r="P98" s="410" t="s">
        <v>177</v>
      </c>
      <c r="Q98">
        <f t="shared" si="1"/>
        <v>657</v>
      </c>
      <c r="R98" t="str">
        <f>_xlfn.XLOOKUP(P98,'Painel Fertilizers'!$B:$B,'Painel Fertilizers'!$B:$B,0)</f>
        <v>CENTRAL DO ADUBO COM E REPRESENTACAO LTD</v>
      </c>
    </row>
    <row r="99" spans="1:18" x14ac:dyDescent="0.25">
      <c r="A99" s="410">
        <v>6132</v>
      </c>
      <c r="B99" s="410" t="s">
        <v>177</v>
      </c>
      <c r="C99" s="410" t="s">
        <v>178</v>
      </c>
      <c r="D99" s="411">
        <v>87840</v>
      </c>
      <c r="E99" s="410">
        <v>1246111212</v>
      </c>
      <c r="F99" s="412">
        <v>45464</v>
      </c>
      <c r="G99" s="410"/>
      <c r="H99" s="410" t="s">
        <v>173</v>
      </c>
      <c r="I99" s="410" t="s">
        <v>174</v>
      </c>
      <c r="J99" s="410">
        <v>1720</v>
      </c>
      <c r="K99" s="412">
        <v>45224</v>
      </c>
      <c r="L99" s="410">
        <v>1010100</v>
      </c>
      <c r="M99" s="410" t="s">
        <v>35</v>
      </c>
      <c r="N99" s="410">
        <v>161</v>
      </c>
      <c r="O99" s="410" t="s">
        <v>161</v>
      </c>
      <c r="P99" s="410" t="s">
        <v>177</v>
      </c>
      <c r="Q99">
        <f t="shared" si="1"/>
        <v>671</v>
      </c>
      <c r="R99" t="str">
        <f>_xlfn.XLOOKUP(P99,'Painel Fertilizers'!$B:$B,'Painel Fertilizers'!$B:$B,0)</f>
        <v>CENTRAL DO ADUBO COM E REPRESENTACAO LTD</v>
      </c>
    </row>
    <row r="100" spans="1:18" x14ac:dyDescent="0.25">
      <c r="A100" s="410">
        <v>6132</v>
      </c>
      <c r="B100" s="410" t="s">
        <v>177</v>
      </c>
      <c r="C100" s="410" t="s">
        <v>178</v>
      </c>
      <c r="D100" s="411">
        <v>23787.68</v>
      </c>
      <c r="E100" s="410">
        <v>1246115170</v>
      </c>
      <c r="F100" s="412">
        <v>45466</v>
      </c>
      <c r="G100" s="410"/>
      <c r="H100" s="410" t="s">
        <v>173</v>
      </c>
      <c r="I100" s="410" t="s">
        <v>174</v>
      </c>
      <c r="J100" s="410">
        <v>1975</v>
      </c>
      <c r="K100" s="412">
        <v>45244</v>
      </c>
      <c r="L100" s="410">
        <v>1010100</v>
      </c>
      <c r="M100" s="410" t="s">
        <v>35</v>
      </c>
      <c r="N100" s="410">
        <v>161</v>
      </c>
      <c r="O100" s="410" t="s">
        <v>161</v>
      </c>
      <c r="P100" s="410" t="s">
        <v>177</v>
      </c>
      <c r="Q100">
        <f t="shared" si="1"/>
        <v>669</v>
      </c>
      <c r="R100" t="str">
        <f>_xlfn.XLOOKUP(P100,'Painel Fertilizers'!$B:$B,'Painel Fertilizers'!$B:$B,0)</f>
        <v>CENTRAL DO ADUBO COM E REPRESENTACAO LTD</v>
      </c>
    </row>
    <row r="101" spans="1:18" x14ac:dyDescent="0.25">
      <c r="A101" s="410">
        <v>6132</v>
      </c>
      <c r="B101" s="410" t="s">
        <v>177</v>
      </c>
      <c r="C101" s="410" t="s">
        <v>178</v>
      </c>
      <c r="D101" s="411">
        <v>30381.599999999999</v>
      </c>
      <c r="E101" s="410">
        <v>1246115171</v>
      </c>
      <c r="F101" s="412">
        <v>45466</v>
      </c>
      <c r="G101" s="410"/>
      <c r="H101" s="410" t="s">
        <v>173</v>
      </c>
      <c r="I101" s="410" t="s">
        <v>174</v>
      </c>
      <c r="J101" s="410">
        <v>1976</v>
      </c>
      <c r="K101" s="412">
        <v>45244</v>
      </c>
      <c r="L101" s="410">
        <v>1010100</v>
      </c>
      <c r="M101" s="410" t="s">
        <v>35</v>
      </c>
      <c r="N101" s="410">
        <v>161</v>
      </c>
      <c r="O101" s="410" t="s">
        <v>161</v>
      </c>
      <c r="P101" s="410" t="s">
        <v>177</v>
      </c>
      <c r="Q101">
        <f t="shared" si="1"/>
        <v>669</v>
      </c>
      <c r="R101" t="str">
        <f>_xlfn.XLOOKUP(P101,'Painel Fertilizers'!$B:$B,'Painel Fertilizers'!$B:$B,0)</f>
        <v>CENTRAL DO ADUBO COM E REPRESENTACAO LTD</v>
      </c>
    </row>
    <row r="102" spans="1:18" x14ac:dyDescent="0.25">
      <c r="A102" s="410">
        <v>6132</v>
      </c>
      <c r="B102" s="410" t="s">
        <v>177</v>
      </c>
      <c r="C102" s="410" t="s">
        <v>178</v>
      </c>
      <c r="D102" s="411">
        <v>107022</v>
      </c>
      <c r="E102" s="410">
        <v>1246110109</v>
      </c>
      <c r="F102" s="412">
        <v>45439</v>
      </c>
      <c r="G102" s="410"/>
      <c r="H102" s="410" t="s">
        <v>173</v>
      </c>
      <c r="I102" s="410" t="s">
        <v>174</v>
      </c>
      <c r="J102" s="410">
        <v>347</v>
      </c>
      <c r="K102" s="412">
        <v>45217</v>
      </c>
      <c r="L102" s="410">
        <v>1010100</v>
      </c>
      <c r="M102" s="410" t="s">
        <v>35</v>
      </c>
      <c r="N102" s="410">
        <v>161</v>
      </c>
      <c r="O102" s="410" t="s">
        <v>161</v>
      </c>
      <c r="P102" s="410" t="s">
        <v>177</v>
      </c>
      <c r="Q102">
        <f t="shared" si="1"/>
        <v>696</v>
      </c>
      <c r="R102" t="str">
        <f>_xlfn.XLOOKUP(P102,'Painel Fertilizers'!$B:$B,'Painel Fertilizers'!$B:$B,0)</f>
        <v>CENTRAL DO ADUBO COM E REPRESENTACAO LTD</v>
      </c>
    </row>
    <row r="103" spans="1:18" x14ac:dyDescent="0.25">
      <c r="A103" s="410">
        <v>6132</v>
      </c>
      <c r="B103" s="410" t="s">
        <v>177</v>
      </c>
      <c r="C103" s="410" t="s">
        <v>178</v>
      </c>
      <c r="D103" s="411">
        <v>83822.5</v>
      </c>
      <c r="E103" s="410">
        <v>1246111211</v>
      </c>
      <c r="F103" s="412">
        <v>45464</v>
      </c>
      <c r="G103" s="410"/>
      <c r="H103" s="410" t="s">
        <v>173</v>
      </c>
      <c r="I103" s="410" t="s">
        <v>174</v>
      </c>
      <c r="J103" s="410">
        <v>1719</v>
      </c>
      <c r="K103" s="412">
        <v>45224</v>
      </c>
      <c r="L103" s="410">
        <v>1010100</v>
      </c>
      <c r="M103" s="410" t="s">
        <v>35</v>
      </c>
      <c r="N103" s="410">
        <v>161</v>
      </c>
      <c r="O103" s="410" t="s">
        <v>161</v>
      </c>
      <c r="P103" s="410" t="s">
        <v>177</v>
      </c>
      <c r="Q103">
        <f t="shared" si="1"/>
        <v>671</v>
      </c>
      <c r="R103" t="str">
        <f>_xlfn.XLOOKUP(P103,'Painel Fertilizers'!$B:$B,'Painel Fertilizers'!$B:$B,0)</f>
        <v>CENTRAL DO ADUBO COM E REPRESENTACAO LTD</v>
      </c>
    </row>
    <row r="104" spans="1:18" x14ac:dyDescent="0.25">
      <c r="A104" s="410">
        <v>6132</v>
      </c>
      <c r="B104" s="410" t="s">
        <v>177</v>
      </c>
      <c r="C104" s="410" t="s">
        <v>178</v>
      </c>
      <c r="D104" s="411">
        <v>169458.49999999997</v>
      </c>
      <c r="E104" s="410">
        <v>1246110264</v>
      </c>
      <c r="F104" s="412">
        <v>45440</v>
      </c>
      <c r="G104" s="410"/>
      <c r="H104" s="410" t="s">
        <v>173</v>
      </c>
      <c r="I104" s="410" t="s">
        <v>174</v>
      </c>
      <c r="J104" s="410">
        <v>1662</v>
      </c>
      <c r="K104" s="412">
        <v>45218</v>
      </c>
      <c r="L104" s="410">
        <v>1010100</v>
      </c>
      <c r="M104" s="410" t="s">
        <v>35</v>
      </c>
      <c r="N104" s="410">
        <v>161</v>
      </c>
      <c r="O104" s="410" t="s">
        <v>161</v>
      </c>
      <c r="P104" s="410" t="s">
        <v>177</v>
      </c>
      <c r="Q104">
        <f t="shared" si="1"/>
        <v>695</v>
      </c>
      <c r="R104" t="str">
        <f>_xlfn.XLOOKUP(P104,'Painel Fertilizers'!$B:$B,'Painel Fertilizers'!$B:$B,0)</f>
        <v>CENTRAL DO ADUBO COM E REPRESENTACAO LTD</v>
      </c>
    </row>
    <row r="105" spans="1:18" x14ac:dyDescent="0.25">
      <c r="A105" s="410">
        <v>6132</v>
      </c>
      <c r="B105" s="410" t="s">
        <v>177</v>
      </c>
      <c r="C105" s="410" t="s">
        <v>178</v>
      </c>
      <c r="D105" s="411">
        <v>135934</v>
      </c>
      <c r="E105" s="410">
        <v>1246131961</v>
      </c>
      <c r="F105" s="412">
        <v>45566</v>
      </c>
      <c r="G105" s="410"/>
      <c r="H105" s="410" t="s">
        <v>173</v>
      </c>
      <c r="I105" s="410" t="s">
        <v>174</v>
      </c>
      <c r="J105" s="410">
        <v>2969</v>
      </c>
      <c r="K105" s="412">
        <v>45352</v>
      </c>
      <c r="L105" s="410">
        <v>1010100</v>
      </c>
      <c r="M105" s="410" t="s">
        <v>35</v>
      </c>
      <c r="N105" s="410">
        <v>161</v>
      </c>
      <c r="O105" s="410" t="s">
        <v>161</v>
      </c>
      <c r="P105" s="410" t="s">
        <v>177</v>
      </c>
      <c r="Q105">
        <f t="shared" si="1"/>
        <v>569</v>
      </c>
      <c r="R105" t="str">
        <f>_xlfn.XLOOKUP(P105,'Painel Fertilizers'!$B:$B,'Painel Fertilizers'!$B:$B,0)</f>
        <v>CENTRAL DO ADUBO COM E REPRESENTACAO LTD</v>
      </c>
    </row>
    <row r="106" spans="1:18" x14ac:dyDescent="0.25">
      <c r="A106" s="410">
        <v>6132</v>
      </c>
      <c r="B106" s="410" t="s">
        <v>177</v>
      </c>
      <c r="C106" s="410" t="s">
        <v>178</v>
      </c>
      <c r="D106" s="411">
        <v>108747.2</v>
      </c>
      <c r="E106" s="410">
        <v>1246132951</v>
      </c>
      <c r="F106" s="412">
        <v>45572</v>
      </c>
      <c r="G106" s="410"/>
      <c r="H106" s="410" t="s">
        <v>173</v>
      </c>
      <c r="I106" s="410" t="s">
        <v>174</v>
      </c>
      <c r="J106" s="410">
        <v>3007</v>
      </c>
      <c r="K106" s="412">
        <v>45358</v>
      </c>
      <c r="L106" s="410">
        <v>1010100</v>
      </c>
      <c r="M106" s="410" t="s">
        <v>35</v>
      </c>
      <c r="N106" s="410">
        <v>161</v>
      </c>
      <c r="O106" s="410" t="s">
        <v>161</v>
      </c>
      <c r="P106" s="410" t="s">
        <v>177</v>
      </c>
      <c r="Q106">
        <f t="shared" si="1"/>
        <v>563</v>
      </c>
      <c r="R106" t="str">
        <f>_xlfn.XLOOKUP(P106,'Painel Fertilizers'!$B:$B,'Painel Fertilizers'!$B:$B,0)</f>
        <v>CENTRAL DO ADUBO COM E REPRESENTACAO LTD</v>
      </c>
    </row>
    <row r="107" spans="1:18" x14ac:dyDescent="0.25">
      <c r="A107" s="410">
        <v>6132</v>
      </c>
      <c r="B107" s="410" t="s">
        <v>177</v>
      </c>
      <c r="C107" s="410" t="s">
        <v>178</v>
      </c>
      <c r="D107" s="411">
        <v>86997.759999999995</v>
      </c>
      <c r="E107" s="410">
        <v>1246131102</v>
      </c>
      <c r="F107" s="412">
        <v>45570</v>
      </c>
      <c r="G107" s="410"/>
      <c r="H107" s="410" t="s">
        <v>173</v>
      </c>
      <c r="I107" s="410" t="s">
        <v>174</v>
      </c>
      <c r="J107" s="410">
        <v>2917</v>
      </c>
      <c r="K107" s="412">
        <v>45348</v>
      </c>
      <c r="L107" s="410">
        <v>1010100</v>
      </c>
      <c r="M107" s="410" t="s">
        <v>35</v>
      </c>
      <c r="N107" s="410">
        <v>161</v>
      </c>
      <c r="O107" s="410" t="s">
        <v>161</v>
      </c>
      <c r="P107" s="410" t="s">
        <v>177</v>
      </c>
      <c r="Q107">
        <f t="shared" si="1"/>
        <v>565</v>
      </c>
      <c r="R107" t="str">
        <f>_xlfn.XLOOKUP(P107,'Painel Fertilizers'!$B:$B,'Painel Fertilizers'!$B:$B,0)</f>
        <v>CENTRAL DO ADUBO COM E REPRESENTACAO LTD</v>
      </c>
    </row>
    <row r="108" spans="1:18" x14ac:dyDescent="0.25">
      <c r="A108" s="410">
        <v>6132</v>
      </c>
      <c r="B108" s="410" t="s">
        <v>177</v>
      </c>
      <c r="C108" s="410" t="s">
        <v>178</v>
      </c>
      <c r="D108" s="411">
        <v>29450.6</v>
      </c>
      <c r="E108" s="410">
        <v>1246146931</v>
      </c>
      <c r="F108" s="412">
        <v>45584</v>
      </c>
      <c r="G108" s="410"/>
      <c r="H108" s="410" t="s">
        <v>173</v>
      </c>
      <c r="I108" s="410" t="s">
        <v>174</v>
      </c>
      <c r="J108" s="410">
        <v>3632</v>
      </c>
      <c r="K108" s="412">
        <v>45434</v>
      </c>
      <c r="L108" s="410">
        <v>1010100</v>
      </c>
      <c r="M108" s="410" t="s">
        <v>35</v>
      </c>
      <c r="N108" s="410">
        <v>161</v>
      </c>
      <c r="O108" s="410" t="s">
        <v>161</v>
      </c>
      <c r="P108" s="410" t="s">
        <v>177</v>
      </c>
      <c r="Q108">
        <f t="shared" si="1"/>
        <v>551</v>
      </c>
      <c r="R108" t="str">
        <f>_xlfn.XLOOKUP(P108,'Painel Fertilizers'!$B:$B,'Painel Fertilizers'!$B:$B,0)</f>
        <v>CENTRAL DO ADUBO COM E REPRESENTACAO LTD</v>
      </c>
    </row>
    <row r="109" spans="1:18" x14ac:dyDescent="0.25">
      <c r="A109" s="410">
        <v>6132</v>
      </c>
      <c r="B109" s="410" t="s">
        <v>177</v>
      </c>
      <c r="C109" s="410" t="s">
        <v>178</v>
      </c>
      <c r="D109" s="411">
        <v>38061.519999999997</v>
      </c>
      <c r="E109" s="410">
        <v>1246146932</v>
      </c>
      <c r="F109" s="412">
        <v>45569</v>
      </c>
      <c r="G109" s="410"/>
      <c r="H109" s="410" t="s">
        <v>173</v>
      </c>
      <c r="I109" s="410" t="s">
        <v>174</v>
      </c>
      <c r="J109" s="410">
        <v>3633</v>
      </c>
      <c r="K109" s="412">
        <v>45434</v>
      </c>
      <c r="L109" s="410">
        <v>1010100</v>
      </c>
      <c r="M109" s="410" t="s">
        <v>35</v>
      </c>
      <c r="N109" s="410">
        <v>161</v>
      </c>
      <c r="O109" s="410" t="s">
        <v>161</v>
      </c>
      <c r="P109" s="410" t="s">
        <v>177</v>
      </c>
      <c r="Q109">
        <f t="shared" si="1"/>
        <v>566</v>
      </c>
      <c r="R109" t="str">
        <f>_xlfn.XLOOKUP(P109,'Painel Fertilizers'!$B:$B,'Painel Fertilizers'!$B:$B,0)</f>
        <v>CENTRAL DO ADUBO COM E REPRESENTACAO LTD</v>
      </c>
    </row>
    <row r="110" spans="1:18" x14ac:dyDescent="0.25">
      <c r="A110" s="410">
        <v>6132</v>
      </c>
      <c r="B110" s="410" t="s">
        <v>177</v>
      </c>
      <c r="C110" s="410" t="s">
        <v>178</v>
      </c>
      <c r="D110" s="411">
        <v>8760</v>
      </c>
      <c r="E110" s="410">
        <v>1246146933</v>
      </c>
      <c r="F110" s="412">
        <v>45462</v>
      </c>
      <c r="G110" s="410"/>
      <c r="H110" s="410" t="s">
        <v>173</v>
      </c>
      <c r="I110" s="410" t="s">
        <v>174</v>
      </c>
      <c r="J110" s="410">
        <v>3634</v>
      </c>
      <c r="K110" s="412">
        <v>45434</v>
      </c>
      <c r="L110" s="410">
        <v>1010100</v>
      </c>
      <c r="M110" s="410" t="s">
        <v>35</v>
      </c>
      <c r="N110" s="410">
        <v>161</v>
      </c>
      <c r="O110" s="410" t="s">
        <v>161</v>
      </c>
      <c r="P110" s="410" t="s">
        <v>177</v>
      </c>
      <c r="Q110">
        <f t="shared" si="1"/>
        <v>673</v>
      </c>
      <c r="R110" t="str">
        <f>_xlfn.XLOOKUP(P110,'Painel Fertilizers'!$B:$B,'Painel Fertilizers'!$B:$B,0)</f>
        <v>CENTRAL DO ADUBO COM E REPRESENTACAO LTD</v>
      </c>
    </row>
    <row r="111" spans="1:18" x14ac:dyDescent="0.25">
      <c r="A111" s="410">
        <v>6132</v>
      </c>
      <c r="B111" s="410" t="s">
        <v>177</v>
      </c>
      <c r="C111" s="410" t="s">
        <v>178</v>
      </c>
      <c r="D111" s="411">
        <v>14851.85</v>
      </c>
      <c r="E111" s="410">
        <v>1246132474</v>
      </c>
      <c r="F111" s="412">
        <v>45570</v>
      </c>
      <c r="G111" s="410"/>
      <c r="H111" s="410" t="s">
        <v>173</v>
      </c>
      <c r="I111" s="410" t="s">
        <v>174</v>
      </c>
      <c r="J111" s="410">
        <v>2989</v>
      </c>
      <c r="K111" s="412">
        <v>45356</v>
      </c>
      <c r="L111" s="410">
        <v>1010100</v>
      </c>
      <c r="M111" s="410" t="s">
        <v>35</v>
      </c>
      <c r="N111" s="410">
        <v>161</v>
      </c>
      <c r="O111" s="410" t="s">
        <v>161</v>
      </c>
      <c r="P111" s="410" t="s">
        <v>177</v>
      </c>
      <c r="Q111">
        <f t="shared" si="1"/>
        <v>565</v>
      </c>
      <c r="R111" t="str">
        <f>_xlfn.XLOOKUP(P111,'Painel Fertilizers'!$B:$B,'Painel Fertilizers'!$B:$B,0)</f>
        <v>CENTRAL DO ADUBO COM E REPRESENTACAO LTD</v>
      </c>
    </row>
    <row r="112" spans="1:18" x14ac:dyDescent="0.25">
      <c r="A112" s="410">
        <v>6132</v>
      </c>
      <c r="B112" s="410" t="s">
        <v>177</v>
      </c>
      <c r="C112" s="410" t="s">
        <v>178</v>
      </c>
      <c r="D112" s="411">
        <v>99200.52</v>
      </c>
      <c r="E112" s="410">
        <v>1246147269</v>
      </c>
      <c r="F112" s="412">
        <v>45571</v>
      </c>
      <c r="G112" s="410"/>
      <c r="H112" s="410" t="s">
        <v>173</v>
      </c>
      <c r="I112" s="410" t="s">
        <v>174</v>
      </c>
      <c r="J112" s="410">
        <v>3665</v>
      </c>
      <c r="K112" s="412">
        <v>45436</v>
      </c>
      <c r="L112" s="410">
        <v>1010100</v>
      </c>
      <c r="M112" s="410" t="s">
        <v>35</v>
      </c>
      <c r="N112" s="410">
        <v>161</v>
      </c>
      <c r="O112" s="410" t="s">
        <v>161</v>
      </c>
      <c r="P112" s="410" t="s">
        <v>177</v>
      </c>
      <c r="Q112">
        <f t="shared" si="1"/>
        <v>564</v>
      </c>
      <c r="R112" t="str">
        <f>_xlfn.XLOOKUP(P112,'Painel Fertilizers'!$B:$B,'Painel Fertilizers'!$B:$B,0)</f>
        <v>CENTRAL DO ADUBO COM E REPRESENTACAO LTD</v>
      </c>
    </row>
    <row r="113" spans="1:18" x14ac:dyDescent="0.25">
      <c r="A113" s="410">
        <v>6132</v>
      </c>
      <c r="B113" s="410" t="s">
        <v>177</v>
      </c>
      <c r="C113" s="410" t="s">
        <v>178</v>
      </c>
      <c r="D113" s="411">
        <v>33509.519999999997</v>
      </c>
      <c r="E113" s="410">
        <v>1246148020</v>
      </c>
      <c r="F113" s="412">
        <v>45576</v>
      </c>
      <c r="G113" s="410"/>
      <c r="H113" s="410" t="s">
        <v>173</v>
      </c>
      <c r="I113" s="410" t="s">
        <v>174</v>
      </c>
      <c r="J113" s="410">
        <v>3714</v>
      </c>
      <c r="K113" s="412">
        <v>45441</v>
      </c>
      <c r="L113" s="410">
        <v>1010100</v>
      </c>
      <c r="M113" s="410" t="s">
        <v>35</v>
      </c>
      <c r="N113" s="410">
        <v>161</v>
      </c>
      <c r="O113" s="410" t="s">
        <v>161</v>
      </c>
      <c r="P113" s="410" t="s">
        <v>177</v>
      </c>
      <c r="Q113">
        <f t="shared" si="1"/>
        <v>559</v>
      </c>
      <c r="R113" t="str">
        <f>_xlfn.XLOOKUP(P113,'Painel Fertilizers'!$B:$B,'Painel Fertilizers'!$B:$B,0)</f>
        <v>CENTRAL DO ADUBO COM E REPRESENTACAO LTD</v>
      </c>
    </row>
    <row r="114" spans="1:18" x14ac:dyDescent="0.25">
      <c r="A114" s="410">
        <v>6132</v>
      </c>
      <c r="B114" s="410" t="s">
        <v>177</v>
      </c>
      <c r="C114" s="410" t="s">
        <v>178</v>
      </c>
      <c r="D114" s="411">
        <v>56218.2</v>
      </c>
      <c r="E114" s="410">
        <v>1246148019</v>
      </c>
      <c r="F114" s="412">
        <v>45576</v>
      </c>
      <c r="G114" s="410"/>
      <c r="H114" s="410" t="s">
        <v>173</v>
      </c>
      <c r="I114" s="410" t="s">
        <v>174</v>
      </c>
      <c r="J114" s="410">
        <v>3713</v>
      </c>
      <c r="K114" s="412">
        <v>45441</v>
      </c>
      <c r="L114" s="410">
        <v>1010100</v>
      </c>
      <c r="M114" s="410" t="s">
        <v>35</v>
      </c>
      <c r="N114" s="410">
        <v>161</v>
      </c>
      <c r="O114" s="410" t="s">
        <v>161</v>
      </c>
      <c r="P114" s="410" t="s">
        <v>177</v>
      </c>
      <c r="Q114">
        <f t="shared" si="1"/>
        <v>559</v>
      </c>
      <c r="R114" t="str">
        <f>_xlfn.XLOOKUP(P114,'Painel Fertilizers'!$B:$B,'Painel Fertilizers'!$B:$B,0)</f>
        <v>CENTRAL DO ADUBO COM E REPRESENTACAO LTD</v>
      </c>
    </row>
    <row r="115" spans="1:18" x14ac:dyDescent="0.25">
      <c r="A115" s="410">
        <v>6132</v>
      </c>
      <c r="B115" s="410" t="s">
        <v>177</v>
      </c>
      <c r="C115" s="410" t="s">
        <v>178</v>
      </c>
      <c r="D115" s="411">
        <v>95220.3</v>
      </c>
      <c r="E115" s="410">
        <v>1246135170</v>
      </c>
      <c r="F115" s="412">
        <v>45566</v>
      </c>
      <c r="G115" s="410"/>
      <c r="H115" s="410" t="s">
        <v>173</v>
      </c>
      <c r="I115" s="410" t="s">
        <v>174</v>
      </c>
      <c r="J115" s="410">
        <v>3136</v>
      </c>
      <c r="K115" s="412">
        <v>45372</v>
      </c>
      <c r="L115" s="410">
        <v>1010100</v>
      </c>
      <c r="M115" s="410" t="s">
        <v>35</v>
      </c>
      <c r="N115" s="410">
        <v>161</v>
      </c>
      <c r="O115" s="410" t="s">
        <v>161</v>
      </c>
      <c r="P115" s="410" t="s">
        <v>177</v>
      </c>
      <c r="Q115">
        <f t="shared" si="1"/>
        <v>569</v>
      </c>
      <c r="R115" t="str">
        <f>_xlfn.XLOOKUP(P115,'Painel Fertilizers'!$B:$B,'Painel Fertilizers'!$B:$B,0)</f>
        <v>CENTRAL DO ADUBO COM E REPRESENTACAO LTD</v>
      </c>
    </row>
    <row r="116" spans="1:18" x14ac:dyDescent="0.25">
      <c r="A116" s="410">
        <v>6132</v>
      </c>
      <c r="B116" s="410" t="s">
        <v>177</v>
      </c>
      <c r="C116" s="410" t="s">
        <v>178</v>
      </c>
      <c r="D116" s="411">
        <v>29542.9</v>
      </c>
      <c r="E116" s="410">
        <v>1246135172</v>
      </c>
      <c r="F116" s="412">
        <v>45566</v>
      </c>
      <c r="G116" s="410"/>
      <c r="H116" s="410" t="s">
        <v>173</v>
      </c>
      <c r="I116" s="410" t="s">
        <v>174</v>
      </c>
      <c r="J116" s="410">
        <v>3137</v>
      </c>
      <c r="K116" s="412">
        <v>45372</v>
      </c>
      <c r="L116" s="410">
        <v>1010100</v>
      </c>
      <c r="M116" s="410" t="s">
        <v>35</v>
      </c>
      <c r="N116" s="410">
        <v>161</v>
      </c>
      <c r="O116" s="410" t="s">
        <v>161</v>
      </c>
      <c r="P116" s="410" t="s">
        <v>177</v>
      </c>
      <c r="Q116">
        <f t="shared" si="1"/>
        <v>569</v>
      </c>
      <c r="R116" t="str">
        <f>_xlfn.XLOOKUP(P116,'Painel Fertilizers'!$B:$B,'Painel Fertilizers'!$B:$B,0)</f>
        <v>CENTRAL DO ADUBO COM E REPRESENTACAO LTD</v>
      </c>
    </row>
    <row r="117" spans="1:18" x14ac:dyDescent="0.25">
      <c r="A117" s="410">
        <v>6132</v>
      </c>
      <c r="B117" s="410" t="s">
        <v>177</v>
      </c>
      <c r="C117" s="410" t="s">
        <v>178</v>
      </c>
      <c r="D117" s="411">
        <v>92588.02</v>
      </c>
      <c r="E117" s="410">
        <v>1246138275</v>
      </c>
      <c r="F117" s="412">
        <v>45570</v>
      </c>
      <c r="G117" s="410"/>
      <c r="H117" s="410" t="s">
        <v>173</v>
      </c>
      <c r="I117" s="410" t="s">
        <v>174</v>
      </c>
      <c r="J117" s="410">
        <v>3249</v>
      </c>
      <c r="K117" s="412">
        <v>45390</v>
      </c>
      <c r="L117" s="410">
        <v>1010100</v>
      </c>
      <c r="M117" s="410" t="s">
        <v>35</v>
      </c>
      <c r="N117" s="410">
        <v>161</v>
      </c>
      <c r="O117" s="410" t="s">
        <v>161</v>
      </c>
      <c r="P117" s="410" t="s">
        <v>177</v>
      </c>
      <c r="Q117">
        <f t="shared" si="1"/>
        <v>565</v>
      </c>
      <c r="R117" t="str">
        <f>_xlfn.XLOOKUP(P117,'Painel Fertilizers'!$B:$B,'Painel Fertilizers'!$B:$B,0)</f>
        <v>CENTRAL DO ADUBO COM E REPRESENTACAO LTD</v>
      </c>
    </row>
    <row r="118" spans="1:18" x14ac:dyDescent="0.25">
      <c r="A118" s="410">
        <v>6132</v>
      </c>
      <c r="B118" s="410" t="s">
        <v>177</v>
      </c>
      <c r="C118" s="410" t="s">
        <v>178</v>
      </c>
      <c r="D118" s="411">
        <v>97872.48</v>
      </c>
      <c r="E118" s="410">
        <v>1246135813</v>
      </c>
      <c r="F118" s="412">
        <v>45570</v>
      </c>
      <c r="G118" s="410"/>
      <c r="H118" s="410" t="s">
        <v>173</v>
      </c>
      <c r="I118" s="410" t="s">
        <v>174</v>
      </c>
      <c r="J118" s="410">
        <v>3160</v>
      </c>
      <c r="K118" s="412">
        <v>45376</v>
      </c>
      <c r="L118" s="410">
        <v>1010100</v>
      </c>
      <c r="M118" s="410" t="s">
        <v>35</v>
      </c>
      <c r="N118" s="410">
        <v>161</v>
      </c>
      <c r="O118" s="410" t="s">
        <v>161</v>
      </c>
      <c r="P118" s="410" t="s">
        <v>177</v>
      </c>
      <c r="Q118">
        <f t="shared" si="1"/>
        <v>565</v>
      </c>
      <c r="R118" t="str">
        <f>_xlfn.XLOOKUP(P118,'Painel Fertilizers'!$B:$B,'Painel Fertilizers'!$B:$B,0)</f>
        <v>CENTRAL DO ADUBO COM E REPRESENTACAO LTD</v>
      </c>
    </row>
    <row r="119" spans="1:18" x14ac:dyDescent="0.25">
      <c r="A119" s="410">
        <v>6132</v>
      </c>
      <c r="B119" s="410" t="s">
        <v>177</v>
      </c>
      <c r="C119" s="410" t="s">
        <v>178</v>
      </c>
      <c r="D119" s="411">
        <v>155705</v>
      </c>
      <c r="E119" s="410">
        <v>1246130904</v>
      </c>
      <c r="F119" s="412">
        <v>45567</v>
      </c>
      <c r="G119" s="410"/>
      <c r="H119" s="410" t="s">
        <v>173</v>
      </c>
      <c r="I119" s="410" t="s">
        <v>174</v>
      </c>
      <c r="J119" s="410">
        <v>2906</v>
      </c>
      <c r="K119" s="412">
        <v>45345</v>
      </c>
      <c r="L119" s="410">
        <v>1010100</v>
      </c>
      <c r="M119" s="410" t="s">
        <v>35</v>
      </c>
      <c r="N119" s="410">
        <v>161</v>
      </c>
      <c r="O119" s="410" t="s">
        <v>161</v>
      </c>
      <c r="P119" s="410" t="s">
        <v>177</v>
      </c>
      <c r="Q119">
        <f t="shared" si="1"/>
        <v>568</v>
      </c>
      <c r="R119" t="str">
        <f>_xlfn.XLOOKUP(P119,'Painel Fertilizers'!$B:$B,'Painel Fertilizers'!$B:$B,0)</f>
        <v>CENTRAL DO ADUBO COM E REPRESENTACAO LTD</v>
      </c>
    </row>
    <row r="120" spans="1:18" x14ac:dyDescent="0.25">
      <c r="A120" s="410">
        <v>6132</v>
      </c>
      <c r="B120" s="410" t="s">
        <v>177</v>
      </c>
      <c r="C120" s="410" t="s">
        <v>178</v>
      </c>
      <c r="D120" s="411">
        <v>86997.759999999995</v>
      </c>
      <c r="E120" s="410">
        <v>1246137598</v>
      </c>
      <c r="F120" s="412">
        <v>45566</v>
      </c>
      <c r="G120" s="410"/>
      <c r="H120" s="410" t="s">
        <v>173</v>
      </c>
      <c r="I120" s="410" t="s">
        <v>174</v>
      </c>
      <c r="J120" s="410">
        <v>3223</v>
      </c>
      <c r="K120" s="412">
        <v>45386</v>
      </c>
      <c r="L120" s="410">
        <v>1010100</v>
      </c>
      <c r="M120" s="410" t="s">
        <v>35</v>
      </c>
      <c r="N120" s="410">
        <v>161</v>
      </c>
      <c r="O120" s="410" t="s">
        <v>161</v>
      </c>
      <c r="P120" s="410" t="s">
        <v>177</v>
      </c>
      <c r="Q120">
        <f t="shared" si="1"/>
        <v>569</v>
      </c>
      <c r="R120" t="str">
        <f>_xlfn.XLOOKUP(P120,'Painel Fertilizers'!$B:$B,'Painel Fertilizers'!$B:$B,0)</f>
        <v>CENTRAL DO ADUBO COM E REPRESENTACAO LTD</v>
      </c>
    </row>
    <row r="121" spans="1:18" x14ac:dyDescent="0.25">
      <c r="A121" s="410">
        <v>6132</v>
      </c>
      <c r="B121" s="410" t="s">
        <v>177</v>
      </c>
      <c r="C121" s="410" t="s">
        <v>178</v>
      </c>
      <c r="D121" s="411">
        <v>55849.2</v>
      </c>
      <c r="E121" s="410">
        <v>1246147270</v>
      </c>
      <c r="F121" s="412">
        <v>45571</v>
      </c>
      <c r="G121" s="410"/>
      <c r="H121" s="410" t="s">
        <v>173</v>
      </c>
      <c r="I121" s="410" t="s">
        <v>174</v>
      </c>
      <c r="J121" s="410">
        <v>3666</v>
      </c>
      <c r="K121" s="412">
        <v>45436</v>
      </c>
      <c r="L121" s="410">
        <v>1010100</v>
      </c>
      <c r="M121" s="410" t="s">
        <v>35</v>
      </c>
      <c r="N121" s="410">
        <v>161</v>
      </c>
      <c r="O121" s="410" t="s">
        <v>161</v>
      </c>
      <c r="P121" s="410" t="s">
        <v>177</v>
      </c>
      <c r="Q121">
        <f t="shared" si="1"/>
        <v>564</v>
      </c>
      <c r="R121" t="str">
        <f>_xlfn.XLOOKUP(P121,'Painel Fertilizers'!$B:$B,'Painel Fertilizers'!$B:$B,0)</f>
        <v>CENTRAL DO ADUBO COM E REPRESENTACAO LTD</v>
      </c>
    </row>
    <row r="122" spans="1:18" x14ac:dyDescent="0.25">
      <c r="A122" s="410">
        <v>6132</v>
      </c>
      <c r="B122" s="410" t="s">
        <v>177</v>
      </c>
      <c r="C122" s="410" t="s">
        <v>178</v>
      </c>
      <c r="D122" s="411">
        <v>97872.48</v>
      </c>
      <c r="E122" s="410">
        <v>1246131241</v>
      </c>
      <c r="F122" s="412">
        <v>45571</v>
      </c>
      <c r="G122" s="410"/>
      <c r="H122" s="410" t="s">
        <v>173</v>
      </c>
      <c r="I122" s="410" t="s">
        <v>174</v>
      </c>
      <c r="J122" s="410">
        <v>2928</v>
      </c>
      <c r="K122" s="412">
        <v>45349</v>
      </c>
      <c r="L122" s="410">
        <v>1010100</v>
      </c>
      <c r="M122" s="410" t="s">
        <v>35</v>
      </c>
      <c r="N122" s="410">
        <v>161</v>
      </c>
      <c r="O122" s="410" t="s">
        <v>161</v>
      </c>
      <c r="P122" s="410" t="s">
        <v>177</v>
      </c>
      <c r="Q122">
        <f t="shared" si="1"/>
        <v>564</v>
      </c>
      <c r="R122" t="str">
        <f>_xlfn.XLOOKUP(P122,'Painel Fertilizers'!$B:$B,'Painel Fertilizers'!$B:$B,0)</f>
        <v>CENTRAL DO ADUBO COM E REPRESENTACAO LTD</v>
      </c>
    </row>
    <row r="123" spans="1:18" x14ac:dyDescent="0.25">
      <c r="A123" s="410">
        <v>6132</v>
      </c>
      <c r="B123" s="410" t="s">
        <v>177</v>
      </c>
      <c r="C123" s="410" t="s">
        <v>178</v>
      </c>
      <c r="D123" s="411">
        <v>57092.28</v>
      </c>
      <c r="E123" s="410">
        <v>1246133070</v>
      </c>
      <c r="F123" s="412">
        <v>45573</v>
      </c>
      <c r="G123" s="410"/>
      <c r="H123" s="410" t="s">
        <v>173</v>
      </c>
      <c r="I123" s="410" t="s">
        <v>174</v>
      </c>
      <c r="J123" s="410">
        <v>3012</v>
      </c>
      <c r="K123" s="412">
        <v>45359</v>
      </c>
      <c r="L123" s="410">
        <v>1010100</v>
      </c>
      <c r="M123" s="410" t="s">
        <v>35</v>
      </c>
      <c r="N123" s="410">
        <v>161</v>
      </c>
      <c r="O123" s="410" t="s">
        <v>161</v>
      </c>
      <c r="P123" s="410" t="s">
        <v>177</v>
      </c>
      <c r="Q123">
        <f t="shared" si="1"/>
        <v>562</v>
      </c>
      <c r="R123" t="str">
        <f>_xlfn.XLOOKUP(P123,'Painel Fertilizers'!$B:$B,'Painel Fertilizers'!$B:$B,0)</f>
        <v>CENTRAL DO ADUBO COM E REPRESENTACAO LTD</v>
      </c>
    </row>
    <row r="124" spans="1:18" x14ac:dyDescent="0.25">
      <c r="A124" s="410">
        <v>6132</v>
      </c>
      <c r="B124" s="410" t="s">
        <v>177</v>
      </c>
      <c r="C124" s="410" t="s">
        <v>178</v>
      </c>
      <c r="D124" s="411">
        <v>86997.759999999995</v>
      </c>
      <c r="E124" s="410">
        <v>1246131594</v>
      </c>
      <c r="F124" s="412">
        <v>45573</v>
      </c>
      <c r="G124" s="410"/>
      <c r="H124" s="410" t="s">
        <v>173</v>
      </c>
      <c r="I124" s="410" t="s">
        <v>174</v>
      </c>
      <c r="J124" s="410">
        <v>2956</v>
      </c>
      <c r="K124" s="412">
        <v>45351</v>
      </c>
      <c r="L124" s="410">
        <v>1010100</v>
      </c>
      <c r="M124" s="410" t="s">
        <v>35</v>
      </c>
      <c r="N124" s="410">
        <v>161</v>
      </c>
      <c r="O124" s="410" t="s">
        <v>161</v>
      </c>
      <c r="P124" s="410" t="s">
        <v>177</v>
      </c>
      <c r="Q124">
        <f t="shared" si="1"/>
        <v>562</v>
      </c>
      <c r="R124" t="str">
        <f>_xlfn.XLOOKUP(P124,'Painel Fertilizers'!$B:$B,'Painel Fertilizers'!$B:$B,0)</f>
        <v>CENTRAL DO ADUBO COM E REPRESENTACAO LTD</v>
      </c>
    </row>
    <row r="125" spans="1:18" x14ac:dyDescent="0.25">
      <c r="A125" s="410">
        <v>6132</v>
      </c>
      <c r="B125" s="410" t="s">
        <v>177</v>
      </c>
      <c r="C125" s="410" t="s">
        <v>178</v>
      </c>
      <c r="D125" s="411">
        <v>86997.759999999995</v>
      </c>
      <c r="E125" s="410">
        <v>1246133332</v>
      </c>
      <c r="F125" s="412">
        <v>45576</v>
      </c>
      <c r="G125" s="410"/>
      <c r="H125" s="410" t="s">
        <v>173</v>
      </c>
      <c r="I125" s="410" t="s">
        <v>174</v>
      </c>
      <c r="J125" s="410">
        <v>3028</v>
      </c>
      <c r="K125" s="412">
        <v>45362</v>
      </c>
      <c r="L125" s="410">
        <v>1010100</v>
      </c>
      <c r="M125" s="410" t="s">
        <v>35</v>
      </c>
      <c r="N125" s="410">
        <v>161</v>
      </c>
      <c r="O125" s="410" t="s">
        <v>161</v>
      </c>
      <c r="P125" s="410" t="s">
        <v>177</v>
      </c>
      <c r="Q125">
        <f t="shared" si="1"/>
        <v>559</v>
      </c>
      <c r="R125" t="str">
        <f>_xlfn.XLOOKUP(P125,'Painel Fertilizers'!$B:$B,'Painel Fertilizers'!$B:$B,0)</f>
        <v>CENTRAL DO ADUBO COM E REPRESENTACAO LTD</v>
      </c>
    </row>
    <row r="126" spans="1:18" x14ac:dyDescent="0.25">
      <c r="A126" s="410">
        <v>6132</v>
      </c>
      <c r="B126" s="410" t="s">
        <v>177</v>
      </c>
      <c r="C126" s="410" t="s">
        <v>178</v>
      </c>
      <c r="D126" s="411">
        <v>95153.8</v>
      </c>
      <c r="E126" s="410">
        <v>1246133718</v>
      </c>
      <c r="F126" s="412">
        <v>45578</v>
      </c>
      <c r="G126" s="410"/>
      <c r="H126" s="410" t="s">
        <v>173</v>
      </c>
      <c r="I126" s="410" t="s">
        <v>174</v>
      </c>
      <c r="J126" s="410">
        <v>3051</v>
      </c>
      <c r="K126" s="412">
        <v>45364</v>
      </c>
      <c r="L126" s="410">
        <v>1010100</v>
      </c>
      <c r="M126" s="410" t="s">
        <v>35</v>
      </c>
      <c r="N126" s="410">
        <v>161</v>
      </c>
      <c r="O126" s="410" t="s">
        <v>161</v>
      </c>
      <c r="P126" s="410" t="s">
        <v>177</v>
      </c>
      <c r="Q126">
        <f t="shared" si="1"/>
        <v>557</v>
      </c>
      <c r="R126" t="str">
        <f>_xlfn.XLOOKUP(P126,'Painel Fertilizers'!$B:$B,'Painel Fertilizers'!$B:$B,0)</f>
        <v>CENTRAL DO ADUBO COM E REPRESENTACAO LTD</v>
      </c>
    </row>
    <row r="127" spans="1:18" x14ac:dyDescent="0.25">
      <c r="A127" s="410">
        <v>6132</v>
      </c>
      <c r="B127" s="410" t="s">
        <v>177</v>
      </c>
      <c r="C127" s="410" t="s">
        <v>178</v>
      </c>
      <c r="D127" s="411">
        <v>116501.9</v>
      </c>
      <c r="E127" s="410">
        <v>1246138114</v>
      </c>
      <c r="F127" s="412">
        <v>45570</v>
      </c>
      <c r="G127" s="410"/>
      <c r="H127" s="410" t="s">
        <v>173</v>
      </c>
      <c r="I127" s="410" t="s">
        <v>174</v>
      </c>
      <c r="J127" s="410">
        <v>3243</v>
      </c>
      <c r="K127" s="412">
        <v>45390</v>
      </c>
      <c r="L127" s="410">
        <v>1010100</v>
      </c>
      <c r="M127" s="410" t="s">
        <v>35</v>
      </c>
      <c r="N127" s="410">
        <v>161</v>
      </c>
      <c r="O127" s="410" t="s">
        <v>161</v>
      </c>
      <c r="P127" s="410" t="s">
        <v>177</v>
      </c>
      <c r="Q127">
        <f t="shared" ref="Q127:Q187" si="2">$R$1-F127</f>
        <v>565</v>
      </c>
      <c r="R127" t="str">
        <f>_xlfn.XLOOKUP(P127,'Painel Fertilizers'!$B:$B,'Painel Fertilizers'!$B:$B,0)</f>
        <v>CENTRAL DO ADUBO COM E REPRESENTACAO LTD</v>
      </c>
    </row>
    <row r="128" spans="1:18" x14ac:dyDescent="0.25">
      <c r="A128" s="410">
        <v>6132</v>
      </c>
      <c r="B128" s="410" t="s">
        <v>177</v>
      </c>
      <c r="C128" s="410" t="s">
        <v>178</v>
      </c>
      <c r="D128" s="411">
        <v>134954</v>
      </c>
      <c r="E128" s="410">
        <v>1246130651</v>
      </c>
      <c r="F128" s="412">
        <v>45566</v>
      </c>
      <c r="G128" s="410"/>
      <c r="H128" s="410" t="s">
        <v>173</v>
      </c>
      <c r="I128" s="410" t="s">
        <v>174</v>
      </c>
      <c r="J128" s="410">
        <v>2889</v>
      </c>
      <c r="K128" s="412">
        <v>45344</v>
      </c>
      <c r="L128" s="410">
        <v>1010100</v>
      </c>
      <c r="M128" s="410" t="s">
        <v>35</v>
      </c>
      <c r="N128" s="410">
        <v>161</v>
      </c>
      <c r="O128" s="410" t="s">
        <v>161</v>
      </c>
      <c r="P128" s="410" t="s">
        <v>177</v>
      </c>
      <c r="Q128">
        <f t="shared" si="2"/>
        <v>569</v>
      </c>
      <c r="R128" t="str">
        <f>_xlfn.XLOOKUP(P128,'Painel Fertilizers'!$B:$B,'Painel Fertilizers'!$B:$B,0)</f>
        <v>CENTRAL DO ADUBO COM E REPRESENTACAO LTD</v>
      </c>
    </row>
    <row r="129" spans="1:18" x14ac:dyDescent="0.25">
      <c r="A129" s="410">
        <v>6132</v>
      </c>
      <c r="B129" s="410" t="s">
        <v>177</v>
      </c>
      <c r="C129" s="410" t="s">
        <v>178</v>
      </c>
      <c r="D129" s="411">
        <v>86997.759999999995</v>
      </c>
      <c r="E129" s="410">
        <v>1246131630</v>
      </c>
      <c r="F129" s="412">
        <v>45573</v>
      </c>
      <c r="G129" s="410"/>
      <c r="H129" s="410" t="s">
        <v>173</v>
      </c>
      <c r="I129" s="410" t="s">
        <v>174</v>
      </c>
      <c r="J129" s="410">
        <v>2958</v>
      </c>
      <c r="K129" s="412">
        <v>45351</v>
      </c>
      <c r="L129" s="410">
        <v>1010100</v>
      </c>
      <c r="M129" s="410" t="s">
        <v>35</v>
      </c>
      <c r="N129" s="410">
        <v>161</v>
      </c>
      <c r="O129" s="410" t="s">
        <v>161</v>
      </c>
      <c r="P129" s="410" t="s">
        <v>177</v>
      </c>
      <c r="Q129">
        <f t="shared" si="2"/>
        <v>562</v>
      </c>
      <c r="R129" t="str">
        <f>_xlfn.XLOOKUP(P129,'Painel Fertilizers'!$B:$B,'Painel Fertilizers'!$B:$B,0)</f>
        <v>CENTRAL DO ADUBO COM E REPRESENTACAO LTD</v>
      </c>
    </row>
    <row r="130" spans="1:18" x14ac:dyDescent="0.25">
      <c r="A130" s="410">
        <v>6132</v>
      </c>
      <c r="B130" s="410" t="s">
        <v>177</v>
      </c>
      <c r="C130" s="410" t="s">
        <v>178</v>
      </c>
      <c r="D130" s="411">
        <v>29949.599999999999</v>
      </c>
      <c r="E130" s="410">
        <v>1246133071</v>
      </c>
      <c r="F130" s="412">
        <v>45573</v>
      </c>
      <c r="G130" s="410"/>
      <c r="H130" s="410" t="s">
        <v>173</v>
      </c>
      <c r="I130" s="410" t="s">
        <v>174</v>
      </c>
      <c r="J130" s="410">
        <v>3013</v>
      </c>
      <c r="K130" s="412">
        <v>45359</v>
      </c>
      <c r="L130" s="410">
        <v>1010100</v>
      </c>
      <c r="M130" s="410" t="s">
        <v>35</v>
      </c>
      <c r="N130" s="410">
        <v>161</v>
      </c>
      <c r="O130" s="410" t="s">
        <v>161</v>
      </c>
      <c r="P130" s="410" t="s">
        <v>177</v>
      </c>
      <c r="Q130">
        <f t="shared" si="2"/>
        <v>562</v>
      </c>
      <c r="R130" t="str">
        <f>_xlfn.XLOOKUP(P130,'Painel Fertilizers'!$B:$B,'Painel Fertilizers'!$B:$B,0)</f>
        <v>CENTRAL DO ADUBO COM E REPRESENTACAO LTD</v>
      </c>
    </row>
    <row r="131" spans="1:18" x14ac:dyDescent="0.25">
      <c r="A131" s="410">
        <v>6132</v>
      </c>
      <c r="B131" s="410" t="s">
        <v>177</v>
      </c>
      <c r="C131" s="410" t="s">
        <v>178</v>
      </c>
      <c r="D131" s="411">
        <v>54275.6</v>
      </c>
      <c r="E131" s="410">
        <v>1246132475</v>
      </c>
      <c r="F131" s="412">
        <v>45570</v>
      </c>
      <c r="G131" s="410"/>
      <c r="H131" s="410" t="s">
        <v>173</v>
      </c>
      <c r="I131" s="410" t="s">
        <v>174</v>
      </c>
      <c r="J131" s="410">
        <v>2990</v>
      </c>
      <c r="K131" s="412">
        <v>45356</v>
      </c>
      <c r="L131" s="410">
        <v>1010100</v>
      </c>
      <c r="M131" s="410" t="s">
        <v>35</v>
      </c>
      <c r="N131" s="410">
        <v>161</v>
      </c>
      <c r="O131" s="410" t="s">
        <v>161</v>
      </c>
      <c r="P131" s="410" t="s">
        <v>177</v>
      </c>
      <c r="Q131">
        <f t="shared" si="2"/>
        <v>565</v>
      </c>
      <c r="R131" t="str">
        <f>_xlfn.XLOOKUP(P131,'Painel Fertilizers'!$B:$B,'Painel Fertilizers'!$B:$B,0)</f>
        <v>CENTRAL DO ADUBO COM E REPRESENTACAO LTD</v>
      </c>
    </row>
    <row r="132" spans="1:18" x14ac:dyDescent="0.25">
      <c r="A132" s="410">
        <v>6132</v>
      </c>
      <c r="B132" s="410" t="s">
        <v>177</v>
      </c>
      <c r="C132" s="410" t="s">
        <v>178</v>
      </c>
      <c r="D132" s="411">
        <v>97872.48</v>
      </c>
      <c r="E132" s="410">
        <v>1246132869</v>
      </c>
      <c r="F132" s="412">
        <v>45572</v>
      </c>
      <c r="G132" s="410"/>
      <c r="H132" s="410" t="s">
        <v>173</v>
      </c>
      <c r="I132" s="410" t="s">
        <v>174</v>
      </c>
      <c r="J132" s="410">
        <v>3001</v>
      </c>
      <c r="K132" s="412">
        <v>45358</v>
      </c>
      <c r="L132" s="410">
        <v>1010100</v>
      </c>
      <c r="M132" s="410" t="s">
        <v>35</v>
      </c>
      <c r="N132" s="410">
        <v>161</v>
      </c>
      <c r="O132" s="410" t="s">
        <v>161</v>
      </c>
      <c r="P132" s="410" t="s">
        <v>177</v>
      </c>
      <c r="Q132">
        <f t="shared" si="2"/>
        <v>563</v>
      </c>
      <c r="R132" t="str">
        <f>_xlfn.XLOOKUP(P132,'Painel Fertilizers'!$B:$B,'Painel Fertilizers'!$B:$B,0)</f>
        <v>CENTRAL DO ADUBO COM E REPRESENTACAO LTD</v>
      </c>
    </row>
    <row r="133" spans="1:18" x14ac:dyDescent="0.25">
      <c r="A133" s="410">
        <v>6132</v>
      </c>
      <c r="B133" s="410" t="s">
        <v>177</v>
      </c>
      <c r="C133" s="410" t="s">
        <v>178</v>
      </c>
      <c r="D133" s="411">
        <v>86997.759999999995</v>
      </c>
      <c r="E133" s="410">
        <v>1246147192</v>
      </c>
      <c r="F133" s="412">
        <v>45571</v>
      </c>
      <c r="G133" s="410"/>
      <c r="H133" s="410" t="s">
        <v>173</v>
      </c>
      <c r="I133" s="410" t="s">
        <v>174</v>
      </c>
      <c r="J133" s="410">
        <v>3654</v>
      </c>
      <c r="K133" s="412">
        <v>45436</v>
      </c>
      <c r="L133" s="410">
        <v>1010100</v>
      </c>
      <c r="M133" s="410" t="s">
        <v>35</v>
      </c>
      <c r="N133" s="410">
        <v>161</v>
      </c>
      <c r="O133" s="410" t="s">
        <v>161</v>
      </c>
      <c r="P133" s="410" t="s">
        <v>177</v>
      </c>
      <c r="Q133">
        <f t="shared" si="2"/>
        <v>564</v>
      </c>
      <c r="R133" t="str">
        <f>_xlfn.XLOOKUP(P133,'Painel Fertilizers'!$B:$B,'Painel Fertilizers'!$B:$B,0)</f>
        <v>CENTRAL DO ADUBO COM E REPRESENTACAO LTD</v>
      </c>
    </row>
    <row r="134" spans="1:18" x14ac:dyDescent="0.25">
      <c r="A134" s="410">
        <v>6132</v>
      </c>
      <c r="B134" s="410" t="s">
        <v>177</v>
      </c>
      <c r="C134" s="410" t="s">
        <v>178</v>
      </c>
      <c r="D134" s="411">
        <v>101192.76</v>
      </c>
      <c r="E134" s="410">
        <v>1246148270</v>
      </c>
      <c r="F134" s="412">
        <v>45578</v>
      </c>
      <c r="G134" s="410"/>
      <c r="H134" s="410" t="s">
        <v>173</v>
      </c>
      <c r="I134" s="410" t="s">
        <v>174</v>
      </c>
      <c r="J134" s="410">
        <v>3731</v>
      </c>
      <c r="K134" s="412">
        <v>45443</v>
      </c>
      <c r="L134" s="410">
        <v>1010100</v>
      </c>
      <c r="M134" s="410" t="s">
        <v>35</v>
      </c>
      <c r="N134" s="410">
        <v>161</v>
      </c>
      <c r="O134" s="410" t="s">
        <v>161</v>
      </c>
      <c r="P134" s="410" t="s">
        <v>177</v>
      </c>
      <c r="Q134">
        <f t="shared" si="2"/>
        <v>557</v>
      </c>
      <c r="R134" t="str">
        <f>_xlfn.XLOOKUP(P134,'Painel Fertilizers'!$B:$B,'Painel Fertilizers'!$B:$B,0)</f>
        <v>CENTRAL DO ADUBO COM E REPRESENTACAO LTD</v>
      </c>
    </row>
    <row r="135" spans="1:18" x14ac:dyDescent="0.25">
      <c r="A135" s="410">
        <v>7060</v>
      </c>
      <c r="B135" s="410" t="s">
        <v>182</v>
      </c>
      <c r="C135" s="410" t="s">
        <v>183</v>
      </c>
      <c r="D135" s="411">
        <v>5180.3999999999996</v>
      </c>
      <c r="E135" s="410">
        <v>1246254161</v>
      </c>
      <c r="F135" s="412">
        <v>46281</v>
      </c>
      <c r="G135" s="410"/>
      <c r="H135" s="410" t="s">
        <v>173</v>
      </c>
      <c r="I135" s="410" t="s">
        <v>174</v>
      </c>
      <c r="J135" s="410">
        <v>10278</v>
      </c>
      <c r="K135" s="412">
        <v>46006</v>
      </c>
      <c r="L135" s="410">
        <v>1010100</v>
      </c>
      <c r="M135" s="410" t="s">
        <v>35</v>
      </c>
      <c r="N135" s="410">
        <v>161</v>
      </c>
      <c r="O135" s="410" t="s">
        <v>161</v>
      </c>
      <c r="P135" s="410" t="s">
        <v>182</v>
      </c>
      <c r="Q135">
        <f t="shared" si="2"/>
        <v>-146</v>
      </c>
      <c r="R135" t="str">
        <f>_xlfn.XLOOKUP(P135,'Painel Fertilizers'!$B:$B,'Painel Fertilizers'!$B:$B,0)</f>
        <v>AGROVIVA</v>
      </c>
    </row>
    <row r="136" spans="1:18" x14ac:dyDescent="0.25">
      <c r="A136" s="410">
        <v>7060</v>
      </c>
      <c r="B136" s="410" t="s">
        <v>182</v>
      </c>
      <c r="C136" s="410" t="s">
        <v>183</v>
      </c>
      <c r="D136" s="411">
        <v>8288.64</v>
      </c>
      <c r="E136" s="410">
        <v>1246252321</v>
      </c>
      <c r="F136" s="412">
        <v>46269</v>
      </c>
      <c r="G136" s="410"/>
      <c r="H136" s="410" t="s">
        <v>173</v>
      </c>
      <c r="I136" s="410" t="s">
        <v>174</v>
      </c>
      <c r="J136" s="410">
        <v>10183</v>
      </c>
      <c r="K136" s="412">
        <v>45994</v>
      </c>
      <c r="L136" s="410">
        <v>1010100</v>
      </c>
      <c r="M136" s="410" t="s">
        <v>35</v>
      </c>
      <c r="N136" s="410">
        <v>161</v>
      </c>
      <c r="O136" s="410" t="s">
        <v>161</v>
      </c>
      <c r="P136" s="410" t="s">
        <v>182</v>
      </c>
      <c r="Q136">
        <f t="shared" si="2"/>
        <v>-134</v>
      </c>
      <c r="R136" t="str">
        <f>_xlfn.XLOOKUP(P136,'Painel Fertilizers'!$B:$B,'Painel Fertilizers'!$B:$B,0)</f>
        <v>AGROVIVA</v>
      </c>
    </row>
    <row r="137" spans="1:18" x14ac:dyDescent="0.25">
      <c r="A137" s="410">
        <v>7060</v>
      </c>
      <c r="B137" s="410" t="s">
        <v>182</v>
      </c>
      <c r="C137" s="410" t="s">
        <v>183</v>
      </c>
      <c r="D137" s="411">
        <v>67383.5</v>
      </c>
      <c r="E137" s="410">
        <v>1246254471</v>
      </c>
      <c r="F137" s="412">
        <v>46279</v>
      </c>
      <c r="G137" s="410"/>
      <c r="H137" s="410" t="s">
        <v>173</v>
      </c>
      <c r="I137" s="410" t="s">
        <v>174</v>
      </c>
      <c r="J137" s="410">
        <v>10301</v>
      </c>
      <c r="K137" s="412">
        <v>46007</v>
      </c>
      <c r="L137" s="410">
        <v>1010100</v>
      </c>
      <c r="M137" s="410" t="s">
        <v>35</v>
      </c>
      <c r="N137" s="410">
        <v>161</v>
      </c>
      <c r="O137" s="410" t="s">
        <v>161</v>
      </c>
      <c r="P137" s="410" t="s">
        <v>182</v>
      </c>
      <c r="Q137">
        <f t="shared" si="2"/>
        <v>-144</v>
      </c>
      <c r="R137" t="str">
        <f>_xlfn.XLOOKUP(P137,'Painel Fertilizers'!$B:$B,'Painel Fertilizers'!$B:$B,0)</f>
        <v>AGROVIVA</v>
      </c>
    </row>
    <row r="138" spans="1:18" x14ac:dyDescent="0.25">
      <c r="A138" s="410">
        <v>7060</v>
      </c>
      <c r="B138" s="410" t="s">
        <v>182</v>
      </c>
      <c r="C138" s="410" t="s">
        <v>183</v>
      </c>
      <c r="D138" s="411">
        <v>202489.44</v>
      </c>
      <c r="E138" s="410">
        <v>1246233024</v>
      </c>
      <c r="F138" s="412">
        <v>46264</v>
      </c>
      <c r="G138" s="410"/>
      <c r="H138" s="410" t="s">
        <v>173</v>
      </c>
      <c r="I138" s="410" t="s">
        <v>174</v>
      </c>
      <c r="J138" s="410">
        <v>9046</v>
      </c>
      <c r="K138" s="412">
        <v>45895</v>
      </c>
      <c r="L138" s="410">
        <v>1010100</v>
      </c>
      <c r="M138" s="410" t="s">
        <v>35</v>
      </c>
      <c r="N138" s="410">
        <v>56</v>
      </c>
      <c r="O138" s="410" t="s">
        <v>162</v>
      </c>
      <c r="P138" s="410" t="s">
        <v>182</v>
      </c>
      <c r="Q138">
        <f t="shared" si="2"/>
        <v>-129</v>
      </c>
      <c r="R138" t="str">
        <f>_xlfn.XLOOKUP(P138,'Painel Fertilizers'!$B:$B,'Painel Fertilizers'!$B:$B,0)</f>
        <v>AGROVIVA</v>
      </c>
    </row>
    <row r="139" spans="1:18" x14ac:dyDescent="0.25">
      <c r="A139" s="410">
        <v>7060</v>
      </c>
      <c r="B139" s="410" t="s">
        <v>182</v>
      </c>
      <c r="C139" s="410" t="s">
        <v>183</v>
      </c>
      <c r="D139" s="411">
        <v>210926.49999999997</v>
      </c>
      <c r="E139" s="410">
        <v>1246232491</v>
      </c>
      <c r="F139" s="412">
        <v>46264</v>
      </c>
      <c r="G139" s="410"/>
      <c r="H139" s="410" t="s">
        <v>173</v>
      </c>
      <c r="I139" s="410" t="s">
        <v>174</v>
      </c>
      <c r="J139" s="410">
        <v>9006</v>
      </c>
      <c r="K139" s="412">
        <v>45891</v>
      </c>
      <c r="L139" s="410">
        <v>1010100</v>
      </c>
      <c r="M139" s="410" t="s">
        <v>35</v>
      </c>
      <c r="N139" s="410">
        <v>56</v>
      </c>
      <c r="O139" s="410" t="s">
        <v>162</v>
      </c>
      <c r="P139" s="410" t="s">
        <v>182</v>
      </c>
      <c r="Q139">
        <f t="shared" si="2"/>
        <v>-129</v>
      </c>
      <c r="R139" t="str">
        <f>_xlfn.XLOOKUP(P139,'Painel Fertilizers'!$B:$B,'Painel Fertilizers'!$B:$B,0)</f>
        <v>AGROVIVA</v>
      </c>
    </row>
    <row r="140" spans="1:18" x14ac:dyDescent="0.25">
      <c r="A140" s="410">
        <v>7060</v>
      </c>
      <c r="B140" s="410" t="s">
        <v>182</v>
      </c>
      <c r="C140" s="410" t="s">
        <v>183</v>
      </c>
      <c r="D140" s="411">
        <v>130331.92</v>
      </c>
      <c r="E140" s="410">
        <v>1246232349</v>
      </c>
      <c r="F140" s="412">
        <v>46144</v>
      </c>
      <c r="G140" s="410"/>
      <c r="H140" s="410" t="s">
        <v>173</v>
      </c>
      <c r="I140" s="410" t="s">
        <v>174</v>
      </c>
      <c r="J140" s="410">
        <v>8975</v>
      </c>
      <c r="K140" s="412">
        <v>45890</v>
      </c>
      <c r="L140" s="410">
        <v>1010100</v>
      </c>
      <c r="M140" s="410" t="s">
        <v>35</v>
      </c>
      <c r="N140" s="410">
        <v>56</v>
      </c>
      <c r="O140" s="410" t="s">
        <v>162</v>
      </c>
      <c r="P140" s="410" t="s">
        <v>182</v>
      </c>
      <c r="Q140">
        <f t="shared" si="2"/>
        <v>-9</v>
      </c>
      <c r="R140" t="str">
        <f>_xlfn.XLOOKUP(P140,'Painel Fertilizers'!$B:$B,'Painel Fertilizers'!$B:$B,0)</f>
        <v>AGROVIVA</v>
      </c>
    </row>
    <row r="141" spans="1:18" x14ac:dyDescent="0.25">
      <c r="A141" s="410">
        <v>7060</v>
      </c>
      <c r="B141" s="410" t="s">
        <v>182</v>
      </c>
      <c r="C141" s="410" t="s">
        <v>183</v>
      </c>
      <c r="D141" s="411">
        <v>6817.24</v>
      </c>
      <c r="E141" s="410">
        <v>1246232336</v>
      </c>
      <c r="F141" s="412">
        <v>46144</v>
      </c>
      <c r="G141" s="410"/>
      <c r="H141" s="410" t="s">
        <v>173</v>
      </c>
      <c r="I141" s="410" t="s">
        <v>174</v>
      </c>
      <c r="J141" s="410">
        <v>8973</v>
      </c>
      <c r="K141" s="412">
        <v>45890</v>
      </c>
      <c r="L141" s="410">
        <v>1010100</v>
      </c>
      <c r="M141" s="410" t="s">
        <v>35</v>
      </c>
      <c r="N141" s="410">
        <v>56</v>
      </c>
      <c r="O141" s="410" t="s">
        <v>162</v>
      </c>
      <c r="P141" s="410" t="s">
        <v>182</v>
      </c>
      <c r="Q141">
        <f t="shared" si="2"/>
        <v>-9</v>
      </c>
      <c r="R141" t="str">
        <f>_xlfn.XLOOKUP(P141,'Painel Fertilizers'!$B:$B,'Painel Fertilizers'!$B:$B,0)</f>
        <v>AGROVIVA</v>
      </c>
    </row>
    <row r="142" spans="1:18" x14ac:dyDescent="0.25">
      <c r="A142" s="410">
        <v>7060</v>
      </c>
      <c r="B142" s="410" t="s">
        <v>182</v>
      </c>
      <c r="C142" s="410" t="s">
        <v>183</v>
      </c>
      <c r="D142" s="411">
        <v>135891.48000000001</v>
      </c>
      <c r="E142" s="410">
        <v>1246233319</v>
      </c>
      <c r="F142" s="412">
        <v>46266</v>
      </c>
      <c r="G142" s="410"/>
      <c r="H142" s="410" t="s">
        <v>173</v>
      </c>
      <c r="I142" s="410" t="s">
        <v>174</v>
      </c>
      <c r="J142" s="410">
        <v>9076</v>
      </c>
      <c r="K142" s="412">
        <v>45896</v>
      </c>
      <c r="L142" s="410">
        <v>1010100</v>
      </c>
      <c r="M142" s="410" t="s">
        <v>35</v>
      </c>
      <c r="N142" s="410">
        <v>56</v>
      </c>
      <c r="O142" s="410" t="s">
        <v>162</v>
      </c>
      <c r="P142" s="410" t="s">
        <v>182</v>
      </c>
      <c r="Q142">
        <f t="shared" si="2"/>
        <v>-131</v>
      </c>
      <c r="R142" t="str">
        <f>_xlfn.XLOOKUP(P142,'Painel Fertilizers'!$B:$B,'Painel Fertilizers'!$B:$B,0)</f>
        <v>AGROVIVA</v>
      </c>
    </row>
    <row r="143" spans="1:18" x14ac:dyDescent="0.25">
      <c r="A143" s="410">
        <v>7060</v>
      </c>
      <c r="B143" s="410" t="s">
        <v>182</v>
      </c>
      <c r="C143" s="410" t="s">
        <v>183</v>
      </c>
      <c r="D143" s="411">
        <v>137584.20000000001</v>
      </c>
      <c r="E143" s="410">
        <v>1246232316</v>
      </c>
      <c r="F143" s="412">
        <v>46144</v>
      </c>
      <c r="G143" s="410"/>
      <c r="H143" s="410" t="s">
        <v>173</v>
      </c>
      <c r="I143" s="410" t="s">
        <v>174</v>
      </c>
      <c r="J143" s="410">
        <v>8971</v>
      </c>
      <c r="K143" s="412">
        <v>45890</v>
      </c>
      <c r="L143" s="410">
        <v>1010100</v>
      </c>
      <c r="M143" s="410" t="s">
        <v>35</v>
      </c>
      <c r="N143" s="410">
        <v>56</v>
      </c>
      <c r="O143" s="410" t="s">
        <v>162</v>
      </c>
      <c r="P143" s="410" t="s">
        <v>182</v>
      </c>
      <c r="Q143">
        <f t="shared" si="2"/>
        <v>-9</v>
      </c>
      <c r="R143" t="str">
        <f>_xlfn.XLOOKUP(P143,'Painel Fertilizers'!$B:$B,'Painel Fertilizers'!$B:$B,0)</f>
        <v>AGROVIVA</v>
      </c>
    </row>
    <row r="144" spans="1:18" x14ac:dyDescent="0.25">
      <c r="A144" s="410">
        <v>7060</v>
      </c>
      <c r="B144" s="410" t="s">
        <v>182</v>
      </c>
      <c r="C144" s="410" t="s">
        <v>183</v>
      </c>
      <c r="D144" s="411">
        <v>160304.14000000001</v>
      </c>
      <c r="E144" s="410">
        <v>1246232724</v>
      </c>
      <c r="F144" s="412">
        <v>46264</v>
      </c>
      <c r="G144" s="410"/>
      <c r="H144" s="410" t="s">
        <v>173</v>
      </c>
      <c r="I144" s="410" t="s">
        <v>174</v>
      </c>
      <c r="J144" s="410">
        <v>9023</v>
      </c>
      <c r="K144" s="412">
        <v>45894</v>
      </c>
      <c r="L144" s="410">
        <v>1010100</v>
      </c>
      <c r="M144" s="410" t="s">
        <v>35</v>
      </c>
      <c r="N144" s="410">
        <v>56</v>
      </c>
      <c r="O144" s="410" t="s">
        <v>162</v>
      </c>
      <c r="P144" s="410" t="s">
        <v>182</v>
      </c>
      <c r="Q144">
        <f t="shared" si="2"/>
        <v>-129</v>
      </c>
      <c r="R144" t="str">
        <f>_xlfn.XLOOKUP(P144,'Painel Fertilizers'!$B:$B,'Painel Fertilizers'!$B:$B,0)</f>
        <v>AGROVIVA</v>
      </c>
    </row>
    <row r="145" spans="1:18" x14ac:dyDescent="0.25">
      <c r="A145" s="410">
        <v>7060</v>
      </c>
      <c r="B145" s="410" t="s">
        <v>182</v>
      </c>
      <c r="C145" s="410" t="s">
        <v>183</v>
      </c>
      <c r="D145" s="411">
        <v>134992.95999999999</v>
      </c>
      <c r="E145" s="410">
        <v>1246233318</v>
      </c>
      <c r="F145" s="412">
        <v>46265</v>
      </c>
      <c r="G145" s="410"/>
      <c r="H145" s="410" t="s">
        <v>173</v>
      </c>
      <c r="I145" s="410" t="s">
        <v>174</v>
      </c>
      <c r="J145" s="410">
        <v>9075</v>
      </c>
      <c r="K145" s="412">
        <v>45896</v>
      </c>
      <c r="L145" s="410">
        <v>1010100</v>
      </c>
      <c r="M145" s="410" t="s">
        <v>35</v>
      </c>
      <c r="N145" s="410">
        <v>56</v>
      </c>
      <c r="O145" s="410" t="s">
        <v>162</v>
      </c>
      <c r="P145" s="410" t="s">
        <v>182</v>
      </c>
      <c r="Q145">
        <f t="shared" si="2"/>
        <v>-130</v>
      </c>
      <c r="R145" t="str">
        <f>_xlfn.XLOOKUP(P145,'Painel Fertilizers'!$B:$B,'Painel Fertilizers'!$B:$B,0)</f>
        <v>AGROVIVA</v>
      </c>
    </row>
    <row r="146" spans="1:18" x14ac:dyDescent="0.25">
      <c r="A146" s="410">
        <v>8187</v>
      </c>
      <c r="B146" s="410" t="s">
        <v>553</v>
      </c>
      <c r="C146" s="410" t="s">
        <v>315</v>
      </c>
      <c r="D146" s="411">
        <v>299642.08</v>
      </c>
      <c r="E146" s="410">
        <v>1246270723</v>
      </c>
      <c r="F146" s="412">
        <v>46357</v>
      </c>
      <c r="G146" s="410"/>
      <c r="H146" s="410" t="s">
        <v>173</v>
      </c>
      <c r="I146" s="410" t="s">
        <v>174</v>
      </c>
      <c r="J146" s="410">
        <v>11075</v>
      </c>
      <c r="K146" s="412">
        <v>46120</v>
      </c>
      <c r="L146" s="410">
        <v>1010100</v>
      </c>
      <c r="M146" s="410" t="s">
        <v>35</v>
      </c>
      <c r="N146" s="410">
        <v>161</v>
      </c>
      <c r="O146" s="410" t="s">
        <v>161</v>
      </c>
      <c r="P146" s="410" t="s">
        <v>553</v>
      </c>
      <c r="Q146">
        <f t="shared" si="2"/>
        <v>-222</v>
      </c>
      <c r="R146" t="str">
        <f>_xlfn.XLOOKUP(P146,'Painel Fertilizers'!$B:$B,'Painel Fertilizers'!$B:$B,0)</f>
        <v>AGROREP. REPRESENTACOES AGRICOLAS</v>
      </c>
    </row>
    <row r="147" spans="1:18" x14ac:dyDescent="0.25">
      <c r="A147" s="410">
        <v>9298</v>
      </c>
      <c r="B147" s="410" t="s">
        <v>187</v>
      </c>
      <c r="C147" s="410" t="s">
        <v>188</v>
      </c>
      <c r="D147" s="411">
        <v>111799</v>
      </c>
      <c r="E147" s="410">
        <v>1246070436</v>
      </c>
      <c r="F147" s="412">
        <v>45555</v>
      </c>
      <c r="G147" s="410"/>
      <c r="H147" s="410" t="s">
        <v>173</v>
      </c>
      <c r="I147" s="410" t="s">
        <v>174</v>
      </c>
      <c r="J147" s="410">
        <v>20815</v>
      </c>
      <c r="K147" s="412">
        <v>44991</v>
      </c>
      <c r="L147" s="410">
        <v>1010100</v>
      </c>
      <c r="M147" s="410" t="s">
        <v>35</v>
      </c>
      <c r="N147" s="410">
        <v>161</v>
      </c>
      <c r="O147" s="410" t="s">
        <v>161</v>
      </c>
      <c r="P147" s="410" t="s">
        <v>187</v>
      </c>
      <c r="Q147">
        <f t="shared" ref="Q147:Q157" si="3">$R$1-F147</f>
        <v>580</v>
      </c>
      <c r="R147" t="str">
        <f>_xlfn.XLOOKUP(P147,'Painel Fertilizers'!$B:$B,'Painel Fertilizers'!$B:$B,0)</f>
        <v>TERRA FERTIL - MACHADO</v>
      </c>
    </row>
    <row r="148" spans="1:18" x14ac:dyDescent="0.25">
      <c r="A148" s="410">
        <v>9298</v>
      </c>
      <c r="B148" s="410" t="s">
        <v>187</v>
      </c>
      <c r="C148" s="410" t="s">
        <v>188</v>
      </c>
      <c r="D148" s="411">
        <v>65548</v>
      </c>
      <c r="E148" s="410">
        <v>1246070905</v>
      </c>
      <c r="F148" s="412">
        <v>45555</v>
      </c>
      <c r="G148" s="410"/>
      <c r="H148" s="410" t="s">
        <v>173</v>
      </c>
      <c r="I148" s="410" t="s">
        <v>174</v>
      </c>
      <c r="J148" s="410">
        <v>20839</v>
      </c>
      <c r="K148" s="412">
        <v>44994</v>
      </c>
      <c r="L148" s="410">
        <v>1010100</v>
      </c>
      <c r="M148" s="410" t="s">
        <v>35</v>
      </c>
      <c r="N148" s="410">
        <v>161</v>
      </c>
      <c r="O148" s="410" t="s">
        <v>161</v>
      </c>
      <c r="P148" s="410" t="s">
        <v>187</v>
      </c>
      <c r="Q148">
        <f t="shared" si="3"/>
        <v>580</v>
      </c>
      <c r="R148" t="str">
        <f>_xlfn.XLOOKUP(P148,'Painel Fertilizers'!$B:$B,'Painel Fertilizers'!$B:$B,0)</f>
        <v>TERRA FERTIL - MACHADO</v>
      </c>
    </row>
    <row r="149" spans="1:18" x14ac:dyDescent="0.25">
      <c r="A149" s="410">
        <v>9298</v>
      </c>
      <c r="B149" s="410" t="s">
        <v>187</v>
      </c>
      <c r="C149" s="410" t="s">
        <v>188</v>
      </c>
      <c r="D149" s="411">
        <v>112475</v>
      </c>
      <c r="E149" s="410">
        <v>1246068948</v>
      </c>
      <c r="F149" s="412">
        <v>45555</v>
      </c>
      <c r="G149" s="410"/>
      <c r="H149" s="410" t="s">
        <v>173</v>
      </c>
      <c r="I149" s="410" t="s">
        <v>174</v>
      </c>
      <c r="J149" s="410">
        <v>20763</v>
      </c>
      <c r="K149" s="412">
        <v>44984</v>
      </c>
      <c r="L149" s="410">
        <v>1010100</v>
      </c>
      <c r="M149" s="410" t="s">
        <v>35</v>
      </c>
      <c r="N149" s="410">
        <v>161</v>
      </c>
      <c r="O149" s="410" t="s">
        <v>161</v>
      </c>
      <c r="P149" s="410" t="s">
        <v>187</v>
      </c>
      <c r="Q149">
        <f t="shared" si="3"/>
        <v>580</v>
      </c>
      <c r="R149" t="str">
        <f>_xlfn.XLOOKUP(P149,'Painel Fertilizers'!$B:$B,'Painel Fertilizers'!$B:$B,0)</f>
        <v>TERRA FERTIL - MACHADO</v>
      </c>
    </row>
    <row r="150" spans="1:18" x14ac:dyDescent="0.25">
      <c r="A150" s="410">
        <v>9298</v>
      </c>
      <c r="B150" s="410" t="s">
        <v>187</v>
      </c>
      <c r="C150" s="410" t="s">
        <v>188</v>
      </c>
      <c r="D150" s="411">
        <v>149824</v>
      </c>
      <c r="E150" s="410">
        <v>1246068778</v>
      </c>
      <c r="F150" s="412">
        <v>45555</v>
      </c>
      <c r="G150" s="410"/>
      <c r="H150" s="410" t="s">
        <v>173</v>
      </c>
      <c r="I150" s="410" t="s">
        <v>174</v>
      </c>
      <c r="J150" s="410">
        <v>20750</v>
      </c>
      <c r="K150" s="412">
        <v>44981</v>
      </c>
      <c r="L150" s="410">
        <v>1010100</v>
      </c>
      <c r="M150" s="410" t="s">
        <v>35</v>
      </c>
      <c r="N150" s="410">
        <v>161</v>
      </c>
      <c r="O150" s="410" t="s">
        <v>161</v>
      </c>
      <c r="P150" s="410" t="s">
        <v>187</v>
      </c>
      <c r="Q150">
        <f t="shared" si="3"/>
        <v>580</v>
      </c>
      <c r="R150" t="str">
        <f>_xlfn.XLOOKUP(P150,'Painel Fertilizers'!$B:$B,'Painel Fertilizers'!$B:$B,0)</f>
        <v>TERRA FERTIL - MACHADO</v>
      </c>
    </row>
    <row r="151" spans="1:18" x14ac:dyDescent="0.25">
      <c r="A151" s="410">
        <v>9298</v>
      </c>
      <c r="B151" s="410" t="s">
        <v>187</v>
      </c>
      <c r="C151" s="410" t="s">
        <v>188</v>
      </c>
      <c r="D151" s="411">
        <v>131203</v>
      </c>
      <c r="E151" s="410">
        <v>1246070820</v>
      </c>
      <c r="F151" s="412">
        <v>45555</v>
      </c>
      <c r="G151" s="410"/>
      <c r="H151" s="410" t="s">
        <v>173</v>
      </c>
      <c r="I151" s="410" t="s">
        <v>174</v>
      </c>
      <c r="J151" s="410">
        <v>20836</v>
      </c>
      <c r="K151" s="412">
        <v>44993</v>
      </c>
      <c r="L151" s="410">
        <v>1010100</v>
      </c>
      <c r="M151" s="410" t="s">
        <v>35</v>
      </c>
      <c r="N151" s="410">
        <v>161</v>
      </c>
      <c r="O151" s="410" t="s">
        <v>161</v>
      </c>
      <c r="P151" s="410" t="s">
        <v>187</v>
      </c>
      <c r="Q151">
        <f t="shared" si="3"/>
        <v>580</v>
      </c>
      <c r="R151" t="str">
        <f>_xlfn.XLOOKUP(P151,'Painel Fertilizers'!$B:$B,'Painel Fertilizers'!$B:$B,0)</f>
        <v>TERRA FERTIL - MACHADO</v>
      </c>
    </row>
    <row r="152" spans="1:18" x14ac:dyDescent="0.25">
      <c r="A152" s="410">
        <v>9298</v>
      </c>
      <c r="B152" s="410" t="s">
        <v>187</v>
      </c>
      <c r="C152" s="410" t="s">
        <v>188</v>
      </c>
      <c r="D152" s="411">
        <v>119356.2</v>
      </c>
      <c r="E152" s="410">
        <v>1246068614</v>
      </c>
      <c r="F152" s="412">
        <v>45555</v>
      </c>
      <c r="G152" s="410"/>
      <c r="H152" s="410" t="s">
        <v>173</v>
      </c>
      <c r="I152" s="410" t="s">
        <v>174</v>
      </c>
      <c r="J152" s="410">
        <v>20734</v>
      </c>
      <c r="K152" s="412">
        <v>44980</v>
      </c>
      <c r="L152" s="410">
        <v>1010100</v>
      </c>
      <c r="M152" s="410" t="s">
        <v>35</v>
      </c>
      <c r="N152" s="410">
        <v>161</v>
      </c>
      <c r="O152" s="410" t="s">
        <v>161</v>
      </c>
      <c r="P152" s="410" t="s">
        <v>187</v>
      </c>
      <c r="Q152">
        <f t="shared" si="3"/>
        <v>580</v>
      </c>
      <c r="R152" t="str">
        <f>_xlfn.XLOOKUP(P152,'Painel Fertilizers'!$B:$B,'Painel Fertilizers'!$B:$B,0)</f>
        <v>TERRA FERTIL - MACHADO</v>
      </c>
    </row>
    <row r="153" spans="1:18" x14ac:dyDescent="0.25">
      <c r="A153" s="410">
        <v>9298</v>
      </c>
      <c r="B153" s="410" t="s">
        <v>187</v>
      </c>
      <c r="C153" s="410" t="s">
        <v>188</v>
      </c>
      <c r="D153" s="411">
        <v>122521</v>
      </c>
      <c r="E153" s="410">
        <v>1246068997</v>
      </c>
      <c r="F153" s="412">
        <v>45555</v>
      </c>
      <c r="G153" s="410"/>
      <c r="H153" s="410" t="s">
        <v>173</v>
      </c>
      <c r="I153" s="410" t="s">
        <v>174</v>
      </c>
      <c r="J153" s="410">
        <v>20767</v>
      </c>
      <c r="K153" s="412">
        <v>44984</v>
      </c>
      <c r="L153" s="410">
        <v>1010100</v>
      </c>
      <c r="M153" s="410" t="s">
        <v>35</v>
      </c>
      <c r="N153" s="410">
        <v>161</v>
      </c>
      <c r="O153" s="410" t="s">
        <v>161</v>
      </c>
      <c r="P153" s="410" t="s">
        <v>187</v>
      </c>
      <c r="Q153">
        <f t="shared" si="3"/>
        <v>580</v>
      </c>
      <c r="R153" t="str">
        <f>_xlfn.XLOOKUP(P153,'Painel Fertilizers'!$B:$B,'Painel Fertilizers'!$B:$B,0)</f>
        <v>TERRA FERTIL - MACHADO</v>
      </c>
    </row>
    <row r="154" spans="1:18" x14ac:dyDescent="0.25">
      <c r="A154" s="410">
        <v>9298</v>
      </c>
      <c r="B154" s="410" t="s">
        <v>187</v>
      </c>
      <c r="C154" s="410" t="s">
        <v>188</v>
      </c>
      <c r="D154" s="411">
        <v>118731.49</v>
      </c>
      <c r="E154" s="410">
        <v>1246083500</v>
      </c>
      <c r="F154" s="412">
        <v>45555</v>
      </c>
      <c r="G154" s="410"/>
      <c r="H154" s="410" t="s">
        <v>173</v>
      </c>
      <c r="I154" s="410" t="s">
        <v>174</v>
      </c>
      <c r="J154" s="410">
        <v>21456</v>
      </c>
      <c r="K154" s="412">
        <v>45070</v>
      </c>
      <c r="L154" s="410">
        <v>1010100</v>
      </c>
      <c r="M154" s="410" t="s">
        <v>35</v>
      </c>
      <c r="N154" s="410">
        <v>161</v>
      </c>
      <c r="O154" s="410" t="s">
        <v>161</v>
      </c>
      <c r="P154" s="410" t="s">
        <v>187</v>
      </c>
      <c r="Q154">
        <f t="shared" si="3"/>
        <v>580</v>
      </c>
      <c r="R154" t="str">
        <f>_xlfn.XLOOKUP(P154,'Painel Fertilizers'!$B:$B,'Painel Fertilizers'!$B:$B,0)</f>
        <v>TERRA FERTIL - MACHADO</v>
      </c>
    </row>
    <row r="155" spans="1:18" x14ac:dyDescent="0.25">
      <c r="A155" s="410">
        <v>9298</v>
      </c>
      <c r="B155" s="410" t="s">
        <v>187</v>
      </c>
      <c r="C155" s="410" t="s">
        <v>188</v>
      </c>
      <c r="D155" s="411">
        <v>52557.4</v>
      </c>
      <c r="E155" s="410">
        <v>1246083593</v>
      </c>
      <c r="F155" s="412">
        <v>45555</v>
      </c>
      <c r="G155" s="410"/>
      <c r="H155" s="410" t="s">
        <v>173</v>
      </c>
      <c r="I155" s="410" t="s">
        <v>174</v>
      </c>
      <c r="J155" s="410">
        <v>21460</v>
      </c>
      <c r="K155" s="412">
        <v>45070</v>
      </c>
      <c r="L155" s="410">
        <v>1010100</v>
      </c>
      <c r="M155" s="410" t="s">
        <v>35</v>
      </c>
      <c r="N155" s="410">
        <v>161</v>
      </c>
      <c r="O155" s="410" t="s">
        <v>161</v>
      </c>
      <c r="P155" s="410" t="s">
        <v>187</v>
      </c>
      <c r="Q155">
        <f t="shared" si="3"/>
        <v>580</v>
      </c>
      <c r="R155" t="str">
        <f>_xlfn.XLOOKUP(P155,'Painel Fertilizers'!$B:$B,'Painel Fertilizers'!$B:$B,0)</f>
        <v>TERRA FERTIL - MACHADO</v>
      </c>
    </row>
    <row r="156" spans="1:18" x14ac:dyDescent="0.25">
      <c r="A156" s="410">
        <v>9298</v>
      </c>
      <c r="B156" s="410" t="s">
        <v>187</v>
      </c>
      <c r="C156" s="410" t="s">
        <v>188</v>
      </c>
      <c r="D156" s="411">
        <v>52557.4</v>
      </c>
      <c r="E156" s="410">
        <v>1246083373</v>
      </c>
      <c r="F156" s="412">
        <v>45555</v>
      </c>
      <c r="G156" s="410"/>
      <c r="H156" s="410" t="s">
        <v>173</v>
      </c>
      <c r="I156" s="410" t="s">
        <v>174</v>
      </c>
      <c r="J156" s="410">
        <v>21444</v>
      </c>
      <c r="K156" s="412">
        <v>45069</v>
      </c>
      <c r="L156" s="410">
        <v>1010100</v>
      </c>
      <c r="M156" s="410" t="s">
        <v>35</v>
      </c>
      <c r="N156" s="410">
        <v>161</v>
      </c>
      <c r="O156" s="410" t="s">
        <v>161</v>
      </c>
      <c r="P156" s="410" t="s">
        <v>187</v>
      </c>
      <c r="Q156">
        <f t="shared" si="3"/>
        <v>580</v>
      </c>
      <c r="R156" t="str">
        <f>_xlfn.XLOOKUP(P156,'Painel Fertilizers'!$B:$B,'Painel Fertilizers'!$B:$B,0)</f>
        <v>TERRA FERTIL - MACHADO</v>
      </c>
    </row>
    <row r="157" spans="1:18" x14ac:dyDescent="0.25">
      <c r="A157" s="410">
        <v>9298</v>
      </c>
      <c r="B157" s="410" t="s">
        <v>187</v>
      </c>
      <c r="C157" s="410" t="s">
        <v>188</v>
      </c>
      <c r="D157" s="411">
        <v>13957.5</v>
      </c>
      <c r="E157" s="410">
        <v>1246084673</v>
      </c>
      <c r="F157" s="412">
        <v>45555</v>
      </c>
      <c r="G157" s="410"/>
      <c r="H157" s="410" t="s">
        <v>173</v>
      </c>
      <c r="I157" s="410" t="s">
        <v>174</v>
      </c>
      <c r="J157" s="410">
        <v>21538</v>
      </c>
      <c r="K157" s="412">
        <v>45077</v>
      </c>
      <c r="L157" s="410">
        <v>1010100</v>
      </c>
      <c r="M157" s="410" t="s">
        <v>35</v>
      </c>
      <c r="N157" s="410">
        <v>161</v>
      </c>
      <c r="O157" s="410" t="s">
        <v>161</v>
      </c>
      <c r="P157" s="410" t="s">
        <v>187</v>
      </c>
      <c r="Q157">
        <f t="shared" si="3"/>
        <v>580</v>
      </c>
      <c r="R157" t="str">
        <f>_xlfn.XLOOKUP(P157,'Painel Fertilizers'!$B:$B,'Painel Fertilizers'!$B:$B,0)</f>
        <v>TERRA FERTIL - MACHADO</v>
      </c>
    </row>
    <row r="158" spans="1:18" x14ac:dyDescent="0.25">
      <c r="A158" s="410">
        <v>9298</v>
      </c>
      <c r="B158" s="410" t="s">
        <v>187</v>
      </c>
      <c r="C158" s="410" t="s">
        <v>188</v>
      </c>
      <c r="D158" s="411">
        <v>40756.75</v>
      </c>
      <c r="E158" s="410">
        <v>1246084671</v>
      </c>
      <c r="F158" s="412">
        <v>45555</v>
      </c>
      <c r="G158" s="410"/>
      <c r="H158" s="410" t="s">
        <v>173</v>
      </c>
      <c r="I158" s="410" t="s">
        <v>174</v>
      </c>
      <c r="J158" s="410">
        <v>21537</v>
      </c>
      <c r="K158" s="412">
        <v>45077</v>
      </c>
      <c r="L158" s="410">
        <v>1010100</v>
      </c>
      <c r="M158" s="410" t="s">
        <v>35</v>
      </c>
      <c r="N158" s="410">
        <v>161</v>
      </c>
      <c r="O158" s="410" t="s">
        <v>161</v>
      </c>
      <c r="P158" s="410" t="s">
        <v>187</v>
      </c>
      <c r="Q158">
        <f t="shared" si="2"/>
        <v>580</v>
      </c>
      <c r="R158" t="str">
        <f>_xlfn.XLOOKUP(P158,'Painel Fertilizers'!$B:$B,'Painel Fertilizers'!$B:$B,0)</f>
        <v>TERRA FERTIL - MACHADO</v>
      </c>
    </row>
    <row r="159" spans="1:18" x14ac:dyDescent="0.25">
      <c r="A159" s="410">
        <v>9298</v>
      </c>
      <c r="B159" s="410" t="s">
        <v>187</v>
      </c>
      <c r="C159" s="410" t="s">
        <v>188</v>
      </c>
      <c r="D159" s="411">
        <v>13238.05</v>
      </c>
      <c r="E159" s="410">
        <v>1246088994</v>
      </c>
      <c r="F159" s="412">
        <v>45555</v>
      </c>
      <c r="G159" s="410"/>
      <c r="H159" s="410" t="s">
        <v>173</v>
      </c>
      <c r="I159" s="410" t="s">
        <v>174</v>
      </c>
      <c r="J159" s="410">
        <v>20723</v>
      </c>
      <c r="K159" s="412">
        <v>44979</v>
      </c>
      <c r="L159" s="410">
        <v>1010100</v>
      </c>
      <c r="M159" s="410" t="s">
        <v>35</v>
      </c>
      <c r="N159" s="410">
        <v>161</v>
      </c>
      <c r="O159" s="410" t="s">
        <v>161</v>
      </c>
      <c r="P159" s="410" t="s">
        <v>187</v>
      </c>
      <c r="Q159">
        <f t="shared" si="2"/>
        <v>580</v>
      </c>
      <c r="R159" t="str">
        <f>_xlfn.XLOOKUP(P159,'Painel Fertilizers'!$B:$B,'Painel Fertilizers'!$B:$B,0)</f>
        <v>TERRA FERTIL - MACHADO</v>
      </c>
    </row>
    <row r="160" spans="1:18" x14ac:dyDescent="0.25">
      <c r="A160" s="410">
        <v>9298</v>
      </c>
      <c r="B160" s="410" t="s">
        <v>187</v>
      </c>
      <c r="C160" s="410" t="s">
        <v>188</v>
      </c>
      <c r="D160" s="411">
        <v>118788.8</v>
      </c>
      <c r="E160" s="410">
        <v>1246099199</v>
      </c>
      <c r="F160" s="412">
        <v>45562</v>
      </c>
      <c r="G160" s="410"/>
      <c r="H160" s="410" t="s">
        <v>173</v>
      </c>
      <c r="I160" s="410" t="s">
        <v>174</v>
      </c>
      <c r="J160" s="410">
        <v>768</v>
      </c>
      <c r="K160" s="412">
        <v>45159</v>
      </c>
      <c r="L160" s="410">
        <v>1010100</v>
      </c>
      <c r="M160" s="410" t="s">
        <v>35</v>
      </c>
      <c r="N160" s="410">
        <v>161</v>
      </c>
      <c r="O160" s="410" t="s">
        <v>161</v>
      </c>
      <c r="P160" s="410" t="s">
        <v>187</v>
      </c>
      <c r="Q160">
        <f t="shared" si="2"/>
        <v>573</v>
      </c>
      <c r="R160" t="str">
        <f>_xlfn.XLOOKUP(P160,'Painel Fertilizers'!$B:$B,'Painel Fertilizers'!$B:$B,0)</f>
        <v>TERRA FERTIL - MACHADO</v>
      </c>
    </row>
    <row r="161" spans="1:18" x14ac:dyDescent="0.25">
      <c r="A161" s="410">
        <v>9298</v>
      </c>
      <c r="B161" s="410" t="s">
        <v>187</v>
      </c>
      <c r="C161" s="410" t="s">
        <v>188</v>
      </c>
      <c r="D161" s="411">
        <v>118788.8</v>
      </c>
      <c r="E161" s="410">
        <v>1246099294</v>
      </c>
      <c r="F161" s="412">
        <v>45562</v>
      </c>
      <c r="G161" s="410"/>
      <c r="H161" s="410" t="s">
        <v>173</v>
      </c>
      <c r="I161" s="410" t="s">
        <v>174</v>
      </c>
      <c r="J161" s="410">
        <v>777</v>
      </c>
      <c r="K161" s="412">
        <v>45159</v>
      </c>
      <c r="L161" s="410">
        <v>1010100</v>
      </c>
      <c r="M161" s="410" t="s">
        <v>35</v>
      </c>
      <c r="N161" s="410">
        <v>161</v>
      </c>
      <c r="O161" s="410" t="s">
        <v>161</v>
      </c>
      <c r="P161" s="410" t="s">
        <v>187</v>
      </c>
      <c r="Q161">
        <f t="shared" si="2"/>
        <v>573</v>
      </c>
      <c r="R161" t="str">
        <f>_xlfn.XLOOKUP(P161,'Painel Fertilizers'!$B:$B,'Painel Fertilizers'!$B:$B,0)</f>
        <v>TERRA FERTIL - MACHADO</v>
      </c>
    </row>
    <row r="162" spans="1:18" x14ac:dyDescent="0.25">
      <c r="A162" s="410">
        <v>9298</v>
      </c>
      <c r="B162" s="410" t="s">
        <v>187</v>
      </c>
      <c r="C162" s="410" t="s">
        <v>188</v>
      </c>
      <c r="D162" s="411">
        <v>148492.1</v>
      </c>
      <c r="E162" s="410">
        <v>1246105304</v>
      </c>
      <c r="F162" s="412">
        <v>45555</v>
      </c>
      <c r="G162" s="410"/>
      <c r="H162" s="410" t="s">
        <v>173</v>
      </c>
      <c r="I162" s="410" t="s">
        <v>174</v>
      </c>
      <c r="J162" s="410">
        <v>1270</v>
      </c>
      <c r="K162" s="412">
        <v>45190</v>
      </c>
      <c r="L162" s="410">
        <v>1010100</v>
      </c>
      <c r="M162" s="410" t="s">
        <v>35</v>
      </c>
      <c r="N162" s="410">
        <v>161</v>
      </c>
      <c r="O162" s="410" t="s">
        <v>161</v>
      </c>
      <c r="P162" s="410" t="s">
        <v>187</v>
      </c>
      <c r="Q162">
        <f t="shared" si="2"/>
        <v>580</v>
      </c>
      <c r="R162" t="str">
        <f>_xlfn.XLOOKUP(P162,'Painel Fertilizers'!$B:$B,'Painel Fertilizers'!$B:$B,0)</f>
        <v>TERRA FERTIL - MACHADO</v>
      </c>
    </row>
    <row r="163" spans="1:18" x14ac:dyDescent="0.25">
      <c r="A163" s="410">
        <v>9298</v>
      </c>
      <c r="B163" s="410" t="s">
        <v>187</v>
      </c>
      <c r="C163" s="410" t="s">
        <v>188</v>
      </c>
      <c r="D163" s="411">
        <v>79894</v>
      </c>
      <c r="E163" s="410">
        <v>1246114860</v>
      </c>
      <c r="F163" s="412">
        <v>45555</v>
      </c>
      <c r="G163" s="410"/>
      <c r="H163" s="410" t="s">
        <v>173</v>
      </c>
      <c r="I163" s="410" t="s">
        <v>174</v>
      </c>
      <c r="J163" s="410">
        <v>1951</v>
      </c>
      <c r="K163" s="412">
        <v>45243</v>
      </c>
      <c r="L163" s="410">
        <v>1010100</v>
      </c>
      <c r="M163" s="410" t="s">
        <v>35</v>
      </c>
      <c r="N163" s="410">
        <v>161</v>
      </c>
      <c r="O163" s="410" t="s">
        <v>161</v>
      </c>
      <c r="P163" s="410" t="s">
        <v>187</v>
      </c>
      <c r="Q163">
        <f t="shared" si="2"/>
        <v>580</v>
      </c>
      <c r="R163" t="str">
        <f>_xlfn.XLOOKUP(P163,'Painel Fertilizers'!$B:$B,'Painel Fertilizers'!$B:$B,0)</f>
        <v>TERRA FERTIL - MACHADO</v>
      </c>
    </row>
    <row r="164" spans="1:18" x14ac:dyDescent="0.25">
      <c r="A164" s="410">
        <v>9298</v>
      </c>
      <c r="B164" s="410" t="s">
        <v>187</v>
      </c>
      <c r="C164" s="410" t="s">
        <v>188</v>
      </c>
      <c r="D164" s="411">
        <v>123567.8</v>
      </c>
      <c r="E164" s="410">
        <v>1246103672</v>
      </c>
      <c r="F164" s="412">
        <v>45567</v>
      </c>
      <c r="G164" s="410"/>
      <c r="H164" s="410" t="s">
        <v>173</v>
      </c>
      <c r="I164" s="410" t="s">
        <v>174</v>
      </c>
      <c r="J164" s="410">
        <v>1150</v>
      </c>
      <c r="K164" s="412">
        <v>45182</v>
      </c>
      <c r="L164" s="410">
        <v>1010100</v>
      </c>
      <c r="M164" s="410" t="s">
        <v>35</v>
      </c>
      <c r="N164" s="410">
        <v>161</v>
      </c>
      <c r="O164" s="410" t="s">
        <v>161</v>
      </c>
      <c r="P164" s="410" t="s">
        <v>187</v>
      </c>
      <c r="Q164">
        <f t="shared" si="2"/>
        <v>568</v>
      </c>
      <c r="R164" t="str">
        <f>_xlfn.XLOOKUP(P164,'Painel Fertilizers'!$B:$B,'Painel Fertilizers'!$B:$B,0)</f>
        <v>TERRA FERTIL - MACHADO</v>
      </c>
    </row>
    <row r="165" spans="1:18" x14ac:dyDescent="0.25">
      <c r="A165" s="410">
        <v>9298</v>
      </c>
      <c r="B165" s="410" t="s">
        <v>187</v>
      </c>
      <c r="C165" s="410" t="s">
        <v>188</v>
      </c>
      <c r="D165" s="411">
        <v>113355.6</v>
      </c>
      <c r="E165" s="410">
        <v>1246116199</v>
      </c>
      <c r="F165" s="412">
        <v>45561</v>
      </c>
      <c r="G165" s="410"/>
      <c r="H165" s="410" t="s">
        <v>173</v>
      </c>
      <c r="I165" s="410" t="s">
        <v>174</v>
      </c>
      <c r="J165" s="410">
        <v>2054</v>
      </c>
      <c r="K165" s="412">
        <v>45252</v>
      </c>
      <c r="L165" s="410">
        <v>1010100</v>
      </c>
      <c r="M165" s="410" t="s">
        <v>35</v>
      </c>
      <c r="N165" s="410">
        <v>161</v>
      </c>
      <c r="O165" s="410" t="s">
        <v>161</v>
      </c>
      <c r="P165" s="410" t="s">
        <v>187</v>
      </c>
      <c r="Q165">
        <f t="shared" si="2"/>
        <v>574</v>
      </c>
      <c r="R165" t="str">
        <f>_xlfn.XLOOKUP(P165,'Painel Fertilizers'!$B:$B,'Painel Fertilizers'!$B:$B,0)</f>
        <v>TERRA FERTIL - MACHADO</v>
      </c>
    </row>
    <row r="166" spans="1:18" x14ac:dyDescent="0.25">
      <c r="A166" s="410">
        <v>9298</v>
      </c>
      <c r="B166" s="410" t="s">
        <v>187</v>
      </c>
      <c r="C166" s="410" t="s">
        <v>188</v>
      </c>
      <c r="D166" s="411">
        <v>143583.76</v>
      </c>
      <c r="E166" s="410">
        <v>1246106222</v>
      </c>
      <c r="F166" s="412">
        <v>45560</v>
      </c>
      <c r="G166" s="410"/>
      <c r="H166" s="410" t="s">
        <v>173</v>
      </c>
      <c r="I166" s="410" t="s">
        <v>174</v>
      </c>
      <c r="J166" s="410">
        <v>1341</v>
      </c>
      <c r="K166" s="412">
        <v>45195</v>
      </c>
      <c r="L166" s="410">
        <v>1010100</v>
      </c>
      <c r="M166" s="410" t="s">
        <v>35</v>
      </c>
      <c r="N166" s="410">
        <v>161</v>
      </c>
      <c r="O166" s="410" t="s">
        <v>161</v>
      </c>
      <c r="P166" s="410" t="s">
        <v>187</v>
      </c>
      <c r="Q166">
        <f t="shared" si="2"/>
        <v>575</v>
      </c>
      <c r="R166" t="str">
        <f>_xlfn.XLOOKUP(P166,'Painel Fertilizers'!$B:$B,'Painel Fertilizers'!$B:$B,0)</f>
        <v>TERRA FERTIL - MACHADO</v>
      </c>
    </row>
    <row r="167" spans="1:18" x14ac:dyDescent="0.25">
      <c r="A167" s="410">
        <v>9298</v>
      </c>
      <c r="B167" s="410" t="s">
        <v>187</v>
      </c>
      <c r="C167" s="410" t="s">
        <v>188</v>
      </c>
      <c r="D167" s="411">
        <v>55612.2</v>
      </c>
      <c r="E167" s="410">
        <v>1246104999</v>
      </c>
      <c r="F167" s="412">
        <v>45555</v>
      </c>
      <c r="G167" s="410"/>
      <c r="H167" s="410" t="s">
        <v>173</v>
      </c>
      <c r="I167" s="410" t="s">
        <v>174</v>
      </c>
      <c r="J167" s="410">
        <v>1249</v>
      </c>
      <c r="K167" s="412">
        <v>45189</v>
      </c>
      <c r="L167" s="410">
        <v>1010100</v>
      </c>
      <c r="M167" s="410" t="s">
        <v>35</v>
      </c>
      <c r="N167" s="410">
        <v>161</v>
      </c>
      <c r="O167" s="410" t="s">
        <v>161</v>
      </c>
      <c r="P167" s="410" t="s">
        <v>187</v>
      </c>
      <c r="Q167">
        <f t="shared" si="2"/>
        <v>580</v>
      </c>
      <c r="R167" t="str">
        <f>_xlfn.XLOOKUP(P167,'Painel Fertilizers'!$B:$B,'Painel Fertilizers'!$B:$B,0)</f>
        <v>TERRA FERTIL - MACHADO</v>
      </c>
    </row>
    <row r="168" spans="1:18" x14ac:dyDescent="0.25">
      <c r="A168" s="410">
        <v>9298</v>
      </c>
      <c r="B168" s="410" t="s">
        <v>187</v>
      </c>
      <c r="C168" s="410" t="s">
        <v>188</v>
      </c>
      <c r="D168" s="411">
        <v>64234.84</v>
      </c>
      <c r="E168" s="410">
        <v>1246115394</v>
      </c>
      <c r="F168" s="412">
        <v>45555</v>
      </c>
      <c r="G168" s="410"/>
      <c r="H168" s="410" t="s">
        <v>173</v>
      </c>
      <c r="I168" s="410" t="s">
        <v>174</v>
      </c>
      <c r="J168" s="410">
        <v>1991</v>
      </c>
      <c r="K168" s="412">
        <v>45246</v>
      </c>
      <c r="L168" s="410">
        <v>1010100</v>
      </c>
      <c r="M168" s="410" t="s">
        <v>35</v>
      </c>
      <c r="N168" s="410">
        <v>161</v>
      </c>
      <c r="O168" s="410" t="s">
        <v>161</v>
      </c>
      <c r="P168" s="410" t="s">
        <v>187</v>
      </c>
      <c r="Q168">
        <f t="shared" si="2"/>
        <v>580</v>
      </c>
      <c r="R168" t="str">
        <f>_xlfn.XLOOKUP(P168,'Painel Fertilizers'!$B:$B,'Painel Fertilizers'!$B:$B,0)</f>
        <v>TERRA FERTIL - MACHADO</v>
      </c>
    </row>
    <row r="169" spans="1:18" x14ac:dyDescent="0.25">
      <c r="A169" s="410">
        <v>9298</v>
      </c>
      <c r="B169" s="410" t="s">
        <v>187</v>
      </c>
      <c r="C169" s="410" t="s">
        <v>188</v>
      </c>
      <c r="D169" s="411">
        <v>54534.2</v>
      </c>
      <c r="E169" s="410">
        <v>1246115392</v>
      </c>
      <c r="F169" s="412">
        <v>45555</v>
      </c>
      <c r="G169" s="410"/>
      <c r="H169" s="410" t="s">
        <v>173</v>
      </c>
      <c r="I169" s="410" t="s">
        <v>174</v>
      </c>
      <c r="J169" s="410">
        <v>1990</v>
      </c>
      <c r="K169" s="412">
        <v>45246</v>
      </c>
      <c r="L169" s="410">
        <v>1010100</v>
      </c>
      <c r="M169" s="410" t="s">
        <v>35</v>
      </c>
      <c r="N169" s="410">
        <v>161</v>
      </c>
      <c r="O169" s="410" t="s">
        <v>161</v>
      </c>
      <c r="P169" s="410" t="s">
        <v>187</v>
      </c>
      <c r="Q169">
        <f t="shared" si="2"/>
        <v>580</v>
      </c>
      <c r="R169" t="str">
        <f>_xlfn.XLOOKUP(P169,'Painel Fertilizers'!$B:$B,'Painel Fertilizers'!$B:$B,0)</f>
        <v>TERRA FERTIL - MACHADO</v>
      </c>
    </row>
    <row r="170" spans="1:18" x14ac:dyDescent="0.25">
      <c r="A170" s="410">
        <v>9298</v>
      </c>
      <c r="B170" s="410" t="s">
        <v>187</v>
      </c>
      <c r="C170" s="410" t="s">
        <v>188</v>
      </c>
      <c r="D170" s="411">
        <v>139293.64000000001</v>
      </c>
      <c r="E170" s="410">
        <v>1246105902</v>
      </c>
      <c r="F170" s="412">
        <v>45559</v>
      </c>
      <c r="G170" s="410"/>
      <c r="H170" s="410" t="s">
        <v>173</v>
      </c>
      <c r="I170" s="410" t="s">
        <v>174</v>
      </c>
      <c r="J170" s="410">
        <v>1319</v>
      </c>
      <c r="K170" s="412">
        <v>45194</v>
      </c>
      <c r="L170" s="410">
        <v>1010100</v>
      </c>
      <c r="M170" s="410" t="s">
        <v>35</v>
      </c>
      <c r="N170" s="410">
        <v>161</v>
      </c>
      <c r="O170" s="410" t="s">
        <v>161</v>
      </c>
      <c r="P170" s="410" t="s">
        <v>187</v>
      </c>
      <c r="Q170">
        <f t="shared" si="2"/>
        <v>576</v>
      </c>
      <c r="R170" t="str">
        <f>_xlfn.XLOOKUP(P170,'Painel Fertilizers'!$B:$B,'Painel Fertilizers'!$B:$B,0)</f>
        <v>TERRA FERTIL - MACHADO</v>
      </c>
    </row>
    <row r="171" spans="1:18" x14ac:dyDescent="0.25">
      <c r="A171" s="410">
        <v>9298</v>
      </c>
      <c r="B171" s="410" t="s">
        <v>187</v>
      </c>
      <c r="C171" s="410" t="s">
        <v>188</v>
      </c>
      <c r="D171" s="411">
        <v>68013.36</v>
      </c>
      <c r="E171" s="410">
        <v>1246114866</v>
      </c>
      <c r="F171" s="412">
        <v>45555</v>
      </c>
      <c r="G171" s="410"/>
      <c r="H171" s="410" t="s">
        <v>173</v>
      </c>
      <c r="I171" s="410" t="s">
        <v>174</v>
      </c>
      <c r="J171" s="410">
        <v>1952</v>
      </c>
      <c r="K171" s="412">
        <v>45243</v>
      </c>
      <c r="L171" s="410">
        <v>1010100</v>
      </c>
      <c r="M171" s="410" t="s">
        <v>35</v>
      </c>
      <c r="N171" s="410">
        <v>161</v>
      </c>
      <c r="O171" s="410" t="s">
        <v>161</v>
      </c>
      <c r="P171" s="410" t="s">
        <v>187</v>
      </c>
      <c r="Q171">
        <f t="shared" si="2"/>
        <v>580</v>
      </c>
      <c r="R171" t="str">
        <f>_xlfn.XLOOKUP(P171,'Painel Fertilizers'!$B:$B,'Painel Fertilizers'!$B:$B,0)</f>
        <v>TERRA FERTIL - MACHADO</v>
      </c>
    </row>
    <row r="172" spans="1:18" x14ac:dyDescent="0.25">
      <c r="A172" s="410">
        <v>9298</v>
      </c>
      <c r="B172" s="410" t="s">
        <v>187</v>
      </c>
      <c r="C172" s="410" t="s">
        <v>188</v>
      </c>
      <c r="D172" s="411">
        <v>55611.199999999997</v>
      </c>
      <c r="E172" s="410">
        <v>1246167304</v>
      </c>
      <c r="F172" s="412">
        <v>45555</v>
      </c>
      <c r="G172" s="410"/>
      <c r="H172" s="410" t="s">
        <v>173</v>
      </c>
      <c r="I172" s="410" t="s">
        <v>174</v>
      </c>
      <c r="J172" s="410">
        <v>1244</v>
      </c>
      <c r="K172" s="412">
        <v>45189</v>
      </c>
      <c r="L172" s="410">
        <v>1010100</v>
      </c>
      <c r="M172" s="410" t="s">
        <v>35</v>
      </c>
      <c r="N172" s="410">
        <v>161</v>
      </c>
      <c r="O172" s="410" t="s">
        <v>161</v>
      </c>
      <c r="P172" s="410" t="s">
        <v>187</v>
      </c>
      <c r="Q172">
        <f t="shared" si="2"/>
        <v>580</v>
      </c>
      <c r="R172" t="str">
        <f>_xlfn.XLOOKUP(P172,'Painel Fertilizers'!$B:$B,'Painel Fertilizers'!$B:$B,0)</f>
        <v>TERRA FERTIL - MACHADO</v>
      </c>
    </row>
    <row r="173" spans="1:18" x14ac:dyDescent="0.25">
      <c r="A173" s="410">
        <v>9298</v>
      </c>
      <c r="B173" s="410" t="s">
        <v>187</v>
      </c>
      <c r="C173" s="410" t="s">
        <v>188</v>
      </c>
      <c r="D173" s="411">
        <v>104546.96</v>
      </c>
      <c r="E173" s="410">
        <v>1246244742</v>
      </c>
      <c r="F173" s="412">
        <v>45555</v>
      </c>
      <c r="G173" s="410"/>
      <c r="H173" s="410" t="s">
        <v>173</v>
      </c>
      <c r="I173" s="410" t="s">
        <v>174</v>
      </c>
      <c r="J173" s="410">
        <v>20726</v>
      </c>
      <c r="K173" s="412">
        <v>44979</v>
      </c>
      <c r="L173" s="410">
        <v>1010100</v>
      </c>
      <c r="M173" s="410" t="s">
        <v>35</v>
      </c>
      <c r="N173" s="410">
        <v>161</v>
      </c>
      <c r="O173" s="410" t="s">
        <v>161</v>
      </c>
      <c r="P173" s="410" t="s">
        <v>187</v>
      </c>
      <c r="Q173">
        <f t="shared" si="2"/>
        <v>580</v>
      </c>
      <c r="R173" t="str">
        <f>_xlfn.XLOOKUP(P173,'Painel Fertilizers'!$B:$B,'Painel Fertilizers'!$B:$B,0)</f>
        <v>TERRA FERTIL - MACHADO</v>
      </c>
    </row>
    <row r="174" spans="1:18" x14ac:dyDescent="0.25">
      <c r="A174" s="410">
        <v>10454</v>
      </c>
      <c r="B174" s="410" t="s">
        <v>195</v>
      </c>
      <c r="C174" s="410" t="s">
        <v>196</v>
      </c>
      <c r="D174" s="411">
        <v>144418.20000000001</v>
      </c>
      <c r="E174" s="410">
        <v>1246051128</v>
      </c>
      <c r="F174" s="412">
        <v>45229</v>
      </c>
      <c r="G174" s="410"/>
      <c r="H174" s="410" t="s">
        <v>173</v>
      </c>
      <c r="I174" s="410" t="s">
        <v>174</v>
      </c>
      <c r="J174" s="410">
        <v>19700</v>
      </c>
      <c r="K174" s="412">
        <v>44860</v>
      </c>
      <c r="L174" s="410">
        <v>1010100</v>
      </c>
      <c r="M174" s="410" t="s">
        <v>35</v>
      </c>
      <c r="N174" s="410">
        <v>161</v>
      </c>
      <c r="O174" s="410" t="s">
        <v>161</v>
      </c>
      <c r="P174" s="410" t="s">
        <v>195</v>
      </c>
      <c r="Q174">
        <f t="shared" si="2"/>
        <v>906</v>
      </c>
      <c r="R174" t="str">
        <f>_xlfn.XLOOKUP(P174,'Painel Fertilizers'!$B:$B,'Painel Fertilizers'!$B:$B,0)</f>
        <v>MOGIANA TECNO AGRO</v>
      </c>
    </row>
    <row r="175" spans="1:18" x14ac:dyDescent="0.25">
      <c r="A175" s="410">
        <v>10454</v>
      </c>
      <c r="B175" s="410" t="s">
        <v>195</v>
      </c>
      <c r="C175" s="410" t="s">
        <v>196</v>
      </c>
      <c r="D175" s="411">
        <v>144418.20000000001</v>
      </c>
      <c r="E175" s="410">
        <v>1246049220</v>
      </c>
      <c r="F175" s="412">
        <v>45229</v>
      </c>
      <c r="G175" s="410"/>
      <c r="H175" s="410" t="s">
        <v>173</v>
      </c>
      <c r="I175" s="410" t="s">
        <v>174</v>
      </c>
      <c r="J175" s="410">
        <v>19589</v>
      </c>
      <c r="K175" s="412">
        <v>44852</v>
      </c>
      <c r="L175" s="410">
        <v>1010100</v>
      </c>
      <c r="M175" s="410" t="s">
        <v>35</v>
      </c>
      <c r="N175" s="410">
        <v>161</v>
      </c>
      <c r="O175" s="410" t="s">
        <v>161</v>
      </c>
      <c r="P175" s="410" t="s">
        <v>195</v>
      </c>
      <c r="Q175">
        <f t="shared" si="2"/>
        <v>906</v>
      </c>
      <c r="R175" t="str">
        <f>_xlfn.XLOOKUP(P175,'Painel Fertilizers'!$B:$B,'Painel Fertilizers'!$B:$B,0)</f>
        <v>MOGIANA TECNO AGRO</v>
      </c>
    </row>
    <row r="176" spans="1:18" x14ac:dyDescent="0.25">
      <c r="A176" s="410">
        <v>10454</v>
      </c>
      <c r="B176" s="410" t="s">
        <v>195</v>
      </c>
      <c r="C176" s="410" t="s">
        <v>196</v>
      </c>
      <c r="D176" s="411">
        <v>149099.07999999999</v>
      </c>
      <c r="E176" s="410">
        <v>1246058414</v>
      </c>
      <c r="F176" s="412">
        <v>45229</v>
      </c>
      <c r="G176" s="410"/>
      <c r="H176" s="410" t="s">
        <v>173</v>
      </c>
      <c r="I176" s="410" t="s">
        <v>174</v>
      </c>
      <c r="J176" s="410">
        <v>20191</v>
      </c>
      <c r="K176" s="412">
        <v>44909</v>
      </c>
      <c r="L176" s="410">
        <v>1010100</v>
      </c>
      <c r="M176" s="410" t="s">
        <v>35</v>
      </c>
      <c r="N176" s="410">
        <v>161</v>
      </c>
      <c r="O176" s="410" t="s">
        <v>161</v>
      </c>
      <c r="P176" s="410" t="s">
        <v>195</v>
      </c>
      <c r="Q176">
        <f t="shared" si="2"/>
        <v>906</v>
      </c>
      <c r="R176" t="str">
        <f>_xlfn.XLOOKUP(P176,'Painel Fertilizers'!$B:$B,'Painel Fertilizers'!$B:$B,0)</f>
        <v>MOGIANA TECNO AGRO</v>
      </c>
    </row>
    <row r="177" spans="1:18" x14ac:dyDescent="0.25">
      <c r="A177" s="410">
        <v>10454</v>
      </c>
      <c r="B177" s="410" t="s">
        <v>195</v>
      </c>
      <c r="C177" s="410" t="s">
        <v>196</v>
      </c>
      <c r="D177" s="411">
        <v>151022.07999999999</v>
      </c>
      <c r="E177" s="410">
        <v>1246066481</v>
      </c>
      <c r="F177" s="412">
        <v>45229</v>
      </c>
      <c r="G177" s="410"/>
      <c r="H177" s="410" t="s">
        <v>173</v>
      </c>
      <c r="I177" s="410" t="s">
        <v>174</v>
      </c>
      <c r="J177" s="410">
        <v>20644</v>
      </c>
      <c r="K177" s="412">
        <v>44965</v>
      </c>
      <c r="L177" s="410">
        <v>1010100</v>
      </c>
      <c r="M177" s="410" t="s">
        <v>35</v>
      </c>
      <c r="N177" s="410">
        <v>161</v>
      </c>
      <c r="O177" s="410" t="s">
        <v>161</v>
      </c>
      <c r="P177" s="410" t="s">
        <v>195</v>
      </c>
      <c r="Q177">
        <f t="shared" si="2"/>
        <v>906</v>
      </c>
      <c r="R177" t="str">
        <f>_xlfn.XLOOKUP(P177,'Painel Fertilizers'!$B:$B,'Painel Fertilizers'!$B:$B,0)</f>
        <v>MOGIANA TECNO AGRO</v>
      </c>
    </row>
    <row r="178" spans="1:18" x14ac:dyDescent="0.25">
      <c r="A178" s="410">
        <v>10454</v>
      </c>
      <c r="B178" s="410" t="s">
        <v>195</v>
      </c>
      <c r="C178" s="410" t="s">
        <v>196</v>
      </c>
      <c r="D178" s="411">
        <v>248498.47</v>
      </c>
      <c r="E178" s="410">
        <v>1246058556</v>
      </c>
      <c r="F178" s="412">
        <v>45229</v>
      </c>
      <c r="G178" s="410"/>
      <c r="H178" s="410" t="s">
        <v>173</v>
      </c>
      <c r="I178" s="410" t="s">
        <v>174</v>
      </c>
      <c r="J178" s="410">
        <v>20197</v>
      </c>
      <c r="K178" s="412">
        <v>44909</v>
      </c>
      <c r="L178" s="410">
        <v>1010100</v>
      </c>
      <c r="M178" s="410" t="s">
        <v>35</v>
      </c>
      <c r="N178" s="410">
        <v>161</v>
      </c>
      <c r="O178" s="410" t="s">
        <v>161</v>
      </c>
      <c r="P178" s="410" t="s">
        <v>195</v>
      </c>
      <c r="Q178">
        <f t="shared" si="2"/>
        <v>906</v>
      </c>
      <c r="R178" t="str">
        <f>_xlfn.XLOOKUP(P178,'Painel Fertilizers'!$B:$B,'Painel Fertilizers'!$B:$B,0)</f>
        <v>MOGIANA TECNO AGRO</v>
      </c>
    </row>
    <row r="179" spans="1:18" x14ac:dyDescent="0.25">
      <c r="A179" s="410">
        <v>10454</v>
      </c>
      <c r="B179" s="410" t="s">
        <v>195</v>
      </c>
      <c r="C179" s="410" t="s">
        <v>196</v>
      </c>
      <c r="D179" s="411">
        <v>122816.13</v>
      </c>
      <c r="E179" s="410">
        <v>1246065495</v>
      </c>
      <c r="F179" s="412">
        <v>45229</v>
      </c>
      <c r="G179" s="410"/>
      <c r="H179" s="410" t="s">
        <v>173</v>
      </c>
      <c r="I179" s="410" t="s">
        <v>174</v>
      </c>
      <c r="J179" s="410">
        <v>20599</v>
      </c>
      <c r="K179" s="412">
        <v>44958</v>
      </c>
      <c r="L179" s="410">
        <v>1010100</v>
      </c>
      <c r="M179" s="410" t="s">
        <v>35</v>
      </c>
      <c r="N179" s="410">
        <v>161</v>
      </c>
      <c r="O179" s="410" t="s">
        <v>161</v>
      </c>
      <c r="P179" s="410" t="s">
        <v>195</v>
      </c>
      <c r="Q179">
        <f t="shared" si="2"/>
        <v>906</v>
      </c>
      <c r="R179" t="str">
        <f>_xlfn.XLOOKUP(P179,'Painel Fertilizers'!$B:$B,'Painel Fertilizers'!$B:$B,0)</f>
        <v>MOGIANA TECNO AGRO</v>
      </c>
    </row>
    <row r="180" spans="1:18" x14ac:dyDescent="0.25">
      <c r="A180" s="410">
        <v>10454</v>
      </c>
      <c r="B180" s="410" t="s">
        <v>195</v>
      </c>
      <c r="C180" s="410" t="s">
        <v>196</v>
      </c>
      <c r="D180" s="411">
        <v>97567.15</v>
      </c>
      <c r="E180" s="410">
        <v>1246059110</v>
      </c>
      <c r="F180" s="412">
        <v>45229</v>
      </c>
      <c r="G180" s="410"/>
      <c r="H180" s="410" t="s">
        <v>173</v>
      </c>
      <c r="I180" s="410" t="s">
        <v>174</v>
      </c>
      <c r="J180" s="410">
        <v>20229</v>
      </c>
      <c r="K180" s="412">
        <v>44911</v>
      </c>
      <c r="L180" s="410">
        <v>1010100</v>
      </c>
      <c r="M180" s="410" t="s">
        <v>35</v>
      </c>
      <c r="N180" s="410">
        <v>161</v>
      </c>
      <c r="O180" s="410" t="s">
        <v>161</v>
      </c>
      <c r="P180" s="410" t="s">
        <v>195</v>
      </c>
      <c r="Q180">
        <f t="shared" si="2"/>
        <v>906</v>
      </c>
      <c r="R180" t="str">
        <f>_xlfn.XLOOKUP(P180,'Painel Fertilizers'!$B:$B,'Painel Fertilizers'!$B:$B,0)</f>
        <v>MOGIANA TECNO AGRO</v>
      </c>
    </row>
    <row r="181" spans="1:18" x14ac:dyDescent="0.25">
      <c r="A181" s="410">
        <v>10454</v>
      </c>
      <c r="B181" s="410" t="s">
        <v>195</v>
      </c>
      <c r="C181" s="410" t="s">
        <v>196</v>
      </c>
      <c r="D181" s="411">
        <v>145199.79999999999</v>
      </c>
      <c r="E181" s="410">
        <v>1246057926</v>
      </c>
      <c r="F181" s="412">
        <v>45229</v>
      </c>
      <c r="G181" s="410"/>
      <c r="H181" s="410" t="s">
        <v>173</v>
      </c>
      <c r="I181" s="410" t="s">
        <v>174</v>
      </c>
      <c r="J181" s="410">
        <v>20177</v>
      </c>
      <c r="K181" s="412">
        <v>44907</v>
      </c>
      <c r="L181" s="410">
        <v>1010100</v>
      </c>
      <c r="M181" s="410" t="s">
        <v>35</v>
      </c>
      <c r="N181" s="410">
        <v>161</v>
      </c>
      <c r="O181" s="410" t="s">
        <v>161</v>
      </c>
      <c r="P181" s="410" t="s">
        <v>195</v>
      </c>
      <c r="Q181">
        <f t="shared" si="2"/>
        <v>906</v>
      </c>
      <c r="R181" t="str">
        <f>_xlfn.XLOOKUP(P181,'Painel Fertilizers'!$B:$B,'Painel Fertilizers'!$B:$B,0)</f>
        <v>MOGIANA TECNO AGRO</v>
      </c>
    </row>
    <row r="182" spans="1:18" x14ac:dyDescent="0.25">
      <c r="A182" s="410">
        <v>10454</v>
      </c>
      <c r="B182" s="410" t="s">
        <v>195</v>
      </c>
      <c r="C182" s="410" t="s">
        <v>196</v>
      </c>
      <c r="D182" s="411">
        <v>85824.21</v>
      </c>
      <c r="E182" s="410">
        <v>1246058924</v>
      </c>
      <c r="F182" s="412">
        <v>45229</v>
      </c>
      <c r="G182" s="410"/>
      <c r="H182" s="410" t="s">
        <v>173</v>
      </c>
      <c r="I182" s="410" t="s">
        <v>174</v>
      </c>
      <c r="J182" s="410">
        <v>20209</v>
      </c>
      <c r="K182" s="412">
        <v>44910</v>
      </c>
      <c r="L182" s="410">
        <v>1010100</v>
      </c>
      <c r="M182" s="410" t="s">
        <v>35</v>
      </c>
      <c r="N182" s="410">
        <v>161</v>
      </c>
      <c r="O182" s="410" t="s">
        <v>161</v>
      </c>
      <c r="P182" s="410" t="s">
        <v>195</v>
      </c>
      <c r="Q182">
        <f t="shared" si="2"/>
        <v>906</v>
      </c>
      <c r="R182" t="str">
        <f>_xlfn.XLOOKUP(P182,'Painel Fertilizers'!$B:$B,'Painel Fertilizers'!$B:$B,0)</f>
        <v>MOGIANA TECNO AGRO</v>
      </c>
    </row>
    <row r="183" spans="1:18" x14ac:dyDescent="0.25">
      <c r="A183" s="410">
        <v>10454</v>
      </c>
      <c r="B183" s="410" t="s">
        <v>195</v>
      </c>
      <c r="C183" s="410" t="s">
        <v>196</v>
      </c>
      <c r="D183" s="411">
        <v>154779.14000000001</v>
      </c>
      <c r="E183" s="410">
        <v>1246058289</v>
      </c>
      <c r="F183" s="412">
        <v>45229</v>
      </c>
      <c r="G183" s="410"/>
      <c r="H183" s="410" t="s">
        <v>173</v>
      </c>
      <c r="I183" s="410" t="s">
        <v>174</v>
      </c>
      <c r="J183" s="410">
        <v>20187</v>
      </c>
      <c r="K183" s="412">
        <v>44908</v>
      </c>
      <c r="L183" s="410">
        <v>1010100</v>
      </c>
      <c r="M183" s="410" t="s">
        <v>35</v>
      </c>
      <c r="N183" s="410">
        <v>161</v>
      </c>
      <c r="O183" s="410" t="s">
        <v>161</v>
      </c>
      <c r="P183" s="410" t="s">
        <v>195</v>
      </c>
      <c r="Q183">
        <f t="shared" si="2"/>
        <v>906</v>
      </c>
      <c r="R183" t="str">
        <f>_xlfn.XLOOKUP(P183,'Painel Fertilizers'!$B:$B,'Painel Fertilizers'!$B:$B,0)</f>
        <v>MOGIANA TECNO AGRO</v>
      </c>
    </row>
    <row r="184" spans="1:18" x14ac:dyDescent="0.25">
      <c r="A184" s="410">
        <v>10454</v>
      </c>
      <c r="B184" s="410" t="s">
        <v>195</v>
      </c>
      <c r="C184" s="410" t="s">
        <v>196</v>
      </c>
      <c r="D184" s="411">
        <v>166124.28999999998</v>
      </c>
      <c r="E184" s="410">
        <v>1246066059</v>
      </c>
      <c r="F184" s="412">
        <v>45229</v>
      </c>
      <c r="G184" s="410"/>
      <c r="H184" s="410" t="s">
        <v>173</v>
      </c>
      <c r="I184" s="410" t="s">
        <v>174</v>
      </c>
      <c r="J184" s="410">
        <v>20622</v>
      </c>
      <c r="K184" s="412">
        <v>44963</v>
      </c>
      <c r="L184" s="410">
        <v>1010100</v>
      </c>
      <c r="M184" s="410" t="s">
        <v>35</v>
      </c>
      <c r="N184" s="410">
        <v>161</v>
      </c>
      <c r="O184" s="410" t="s">
        <v>161</v>
      </c>
      <c r="P184" s="410" t="s">
        <v>195</v>
      </c>
      <c r="Q184">
        <f t="shared" si="2"/>
        <v>906</v>
      </c>
      <c r="R184" t="str">
        <f>_xlfn.XLOOKUP(P184,'Painel Fertilizers'!$B:$B,'Painel Fertilizers'!$B:$B,0)</f>
        <v>MOGIANA TECNO AGRO</v>
      </c>
    </row>
    <row r="185" spans="1:18" x14ac:dyDescent="0.25">
      <c r="A185" s="410">
        <v>10454</v>
      </c>
      <c r="B185" s="410" t="s">
        <v>195</v>
      </c>
      <c r="C185" s="410" t="s">
        <v>196</v>
      </c>
      <c r="D185" s="411">
        <v>151240.47</v>
      </c>
      <c r="E185" s="410">
        <v>1246059634</v>
      </c>
      <c r="F185" s="412">
        <v>45229</v>
      </c>
      <c r="G185" s="410"/>
      <c r="H185" s="410" t="s">
        <v>173</v>
      </c>
      <c r="I185" s="410" t="s">
        <v>174</v>
      </c>
      <c r="J185" s="410">
        <v>20268</v>
      </c>
      <c r="K185" s="412">
        <v>44916</v>
      </c>
      <c r="L185" s="410">
        <v>1010100</v>
      </c>
      <c r="M185" s="410" t="s">
        <v>35</v>
      </c>
      <c r="N185" s="410">
        <v>161</v>
      </c>
      <c r="O185" s="410" t="s">
        <v>161</v>
      </c>
      <c r="P185" s="410" t="s">
        <v>195</v>
      </c>
      <c r="Q185">
        <f t="shared" si="2"/>
        <v>906</v>
      </c>
      <c r="R185" t="str">
        <f>_xlfn.XLOOKUP(P185,'Painel Fertilizers'!$B:$B,'Painel Fertilizers'!$B:$B,0)</f>
        <v>MOGIANA TECNO AGRO</v>
      </c>
    </row>
    <row r="186" spans="1:18" x14ac:dyDescent="0.25">
      <c r="A186" s="410">
        <v>10454</v>
      </c>
      <c r="B186" s="410" t="s">
        <v>195</v>
      </c>
      <c r="C186" s="410" t="s">
        <v>196</v>
      </c>
      <c r="D186" s="411">
        <v>102193.68</v>
      </c>
      <c r="E186" s="410">
        <v>1246216830</v>
      </c>
      <c r="F186" s="412">
        <v>45168</v>
      </c>
      <c r="G186" s="410"/>
      <c r="H186" s="410" t="s">
        <v>173</v>
      </c>
      <c r="I186" s="410" t="s">
        <v>174</v>
      </c>
      <c r="J186" s="410">
        <v>19263</v>
      </c>
      <c r="K186" s="412">
        <v>44824</v>
      </c>
      <c r="L186" s="410">
        <v>1010100</v>
      </c>
      <c r="M186" s="410" t="s">
        <v>35</v>
      </c>
      <c r="N186" s="410">
        <v>161</v>
      </c>
      <c r="O186" s="410" t="s">
        <v>161</v>
      </c>
      <c r="P186" s="410" t="s">
        <v>195</v>
      </c>
      <c r="Q186">
        <f t="shared" si="2"/>
        <v>967</v>
      </c>
      <c r="R186" t="str">
        <f>_xlfn.XLOOKUP(P186,'Painel Fertilizers'!$B:$B,'Painel Fertilizers'!$B:$B,0)</f>
        <v>MOGIANA TECNO AGRO</v>
      </c>
    </row>
    <row r="187" spans="1:18" x14ac:dyDescent="0.25">
      <c r="A187" s="410">
        <v>11326</v>
      </c>
      <c r="B187" s="410" t="s">
        <v>197</v>
      </c>
      <c r="C187" s="410" t="s">
        <v>198</v>
      </c>
      <c r="D187" s="411">
        <v>131680</v>
      </c>
      <c r="E187" s="410">
        <v>1246234342</v>
      </c>
      <c r="F187" s="412">
        <v>46264</v>
      </c>
      <c r="G187" s="410"/>
      <c r="H187" s="410" t="s">
        <v>173</v>
      </c>
      <c r="I187" s="410" t="s">
        <v>174</v>
      </c>
      <c r="J187" s="410">
        <v>9141</v>
      </c>
      <c r="K187" s="412">
        <v>45901</v>
      </c>
      <c r="L187" s="410">
        <v>1010100</v>
      </c>
      <c r="M187" s="410" t="s">
        <v>35</v>
      </c>
      <c r="N187" s="410">
        <v>161</v>
      </c>
      <c r="O187" s="410" t="s">
        <v>161</v>
      </c>
      <c r="P187" s="410" t="s">
        <v>197</v>
      </c>
      <c r="Q187">
        <f t="shared" si="2"/>
        <v>-129</v>
      </c>
      <c r="R187" t="str">
        <f>_xlfn.XLOOKUP(P187,'Painel Fertilizers'!$B:$B,'Painel Fertilizers'!$B:$B,0)</f>
        <v>VEGA AGRO</v>
      </c>
    </row>
    <row r="188" spans="1:18" x14ac:dyDescent="0.25">
      <c r="A188" s="410">
        <v>11326</v>
      </c>
      <c r="B188" s="410" t="s">
        <v>197</v>
      </c>
      <c r="C188" s="410" t="s">
        <v>198</v>
      </c>
      <c r="D188" s="411">
        <v>137376</v>
      </c>
      <c r="E188" s="410">
        <v>1246222833</v>
      </c>
      <c r="F188" s="412">
        <v>46143</v>
      </c>
      <c r="G188" s="410"/>
      <c r="H188" s="410" t="s">
        <v>173</v>
      </c>
      <c r="I188" s="410" t="s">
        <v>174</v>
      </c>
      <c r="J188" s="410">
        <v>8351</v>
      </c>
      <c r="K188" s="412">
        <v>45841</v>
      </c>
      <c r="L188" s="410">
        <v>1010100</v>
      </c>
      <c r="M188" s="410" t="s">
        <v>35</v>
      </c>
      <c r="N188" s="410">
        <v>161</v>
      </c>
      <c r="O188" s="410" t="s">
        <v>161</v>
      </c>
      <c r="P188" s="410" t="s">
        <v>197</v>
      </c>
      <c r="Q188">
        <f t="shared" ref="Q188:Q248" si="4">$R$1-F188</f>
        <v>-8</v>
      </c>
      <c r="R188" t="str">
        <f>_xlfn.XLOOKUP(P188,'Painel Fertilizers'!$B:$B,'Painel Fertilizers'!$B:$B,0)</f>
        <v>VEGA AGRO</v>
      </c>
    </row>
    <row r="189" spans="1:18" x14ac:dyDescent="0.25">
      <c r="A189" s="410">
        <v>10456</v>
      </c>
      <c r="B189" s="410" t="s">
        <v>199</v>
      </c>
      <c r="C189" s="410" t="s">
        <v>200</v>
      </c>
      <c r="D189" s="411">
        <v>111322.27</v>
      </c>
      <c r="E189" s="410">
        <v>1246093334</v>
      </c>
      <c r="F189" s="412">
        <v>45537</v>
      </c>
      <c r="G189" s="410"/>
      <c r="H189" s="410" t="s">
        <v>173</v>
      </c>
      <c r="I189" s="410" t="s">
        <v>174</v>
      </c>
      <c r="J189" s="410">
        <v>251</v>
      </c>
      <c r="K189" s="412">
        <v>45127</v>
      </c>
      <c r="L189" s="410">
        <v>1010100</v>
      </c>
      <c r="M189" s="410" t="s">
        <v>35</v>
      </c>
      <c r="N189" s="410">
        <v>161</v>
      </c>
      <c r="O189" s="410" t="s">
        <v>161</v>
      </c>
      <c r="P189" s="410" t="s">
        <v>199</v>
      </c>
      <c r="Q189">
        <f t="shared" si="4"/>
        <v>598</v>
      </c>
      <c r="R189" t="str">
        <f>_xlfn.XLOOKUP(P189,'Painel Fertilizers'!$B:$B,'Painel Fertilizers'!$B:$B,0)</f>
        <v>CASA DAS SEMENTES</v>
      </c>
    </row>
    <row r="190" spans="1:18" x14ac:dyDescent="0.25">
      <c r="A190" s="410">
        <v>10456</v>
      </c>
      <c r="B190" s="410" t="s">
        <v>199</v>
      </c>
      <c r="C190" s="410" t="s">
        <v>200</v>
      </c>
      <c r="D190" s="411">
        <v>118491.86</v>
      </c>
      <c r="E190" s="410">
        <v>1246097861</v>
      </c>
      <c r="F190" s="412">
        <v>45565</v>
      </c>
      <c r="G190" s="410"/>
      <c r="H190" s="410" t="s">
        <v>173</v>
      </c>
      <c r="I190" s="410" t="s">
        <v>174</v>
      </c>
      <c r="J190" s="410">
        <v>683</v>
      </c>
      <c r="K190" s="412">
        <v>45152</v>
      </c>
      <c r="L190" s="410">
        <v>1010100</v>
      </c>
      <c r="M190" s="410" t="s">
        <v>35</v>
      </c>
      <c r="N190" s="410">
        <v>161</v>
      </c>
      <c r="O190" s="410" t="s">
        <v>161</v>
      </c>
      <c r="P190" s="410" t="s">
        <v>199</v>
      </c>
      <c r="Q190">
        <f t="shared" si="4"/>
        <v>570</v>
      </c>
      <c r="R190" t="str">
        <f>_xlfn.XLOOKUP(P190,'Painel Fertilizers'!$B:$B,'Painel Fertilizers'!$B:$B,0)</f>
        <v>CASA DAS SEMENTES</v>
      </c>
    </row>
    <row r="191" spans="1:18" x14ac:dyDescent="0.25">
      <c r="A191" s="410">
        <v>10456</v>
      </c>
      <c r="B191" s="410" t="s">
        <v>199</v>
      </c>
      <c r="C191" s="410" t="s">
        <v>200</v>
      </c>
      <c r="D191" s="411">
        <v>117498.04</v>
      </c>
      <c r="E191" s="410">
        <v>1246099432</v>
      </c>
      <c r="F191" s="412">
        <v>45545</v>
      </c>
      <c r="G191" s="410"/>
      <c r="H191" s="410" t="s">
        <v>173</v>
      </c>
      <c r="I191" s="410" t="s">
        <v>174</v>
      </c>
      <c r="J191" s="410">
        <v>787</v>
      </c>
      <c r="K191" s="412">
        <v>45160</v>
      </c>
      <c r="L191" s="410">
        <v>1010100</v>
      </c>
      <c r="M191" s="410" t="s">
        <v>35</v>
      </c>
      <c r="N191" s="410">
        <v>161</v>
      </c>
      <c r="O191" s="410" t="s">
        <v>161</v>
      </c>
      <c r="P191" s="410" t="s">
        <v>199</v>
      </c>
      <c r="Q191">
        <f t="shared" si="4"/>
        <v>590</v>
      </c>
      <c r="R191" t="str">
        <f>_xlfn.XLOOKUP(P191,'Painel Fertilizers'!$B:$B,'Painel Fertilizers'!$B:$B,0)</f>
        <v>CASA DAS SEMENTES</v>
      </c>
    </row>
    <row r="192" spans="1:18" x14ac:dyDescent="0.25">
      <c r="A192" s="410">
        <v>10456</v>
      </c>
      <c r="B192" s="410" t="s">
        <v>199</v>
      </c>
      <c r="C192" s="410" t="s">
        <v>200</v>
      </c>
      <c r="D192" s="411">
        <v>100560.82</v>
      </c>
      <c r="E192" s="410">
        <v>1246100417</v>
      </c>
      <c r="F192" s="412">
        <v>45548</v>
      </c>
      <c r="G192" s="410"/>
      <c r="H192" s="410" t="s">
        <v>173</v>
      </c>
      <c r="I192" s="410" t="s">
        <v>174</v>
      </c>
      <c r="J192" s="410">
        <v>183</v>
      </c>
      <c r="K192" s="412">
        <v>45163</v>
      </c>
      <c r="L192" s="410">
        <v>1010100</v>
      </c>
      <c r="M192" s="410" t="s">
        <v>35</v>
      </c>
      <c r="N192" s="410">
        <v>161</v>
      </c>
      <c r="O192" s="410" t="s">
        <v>161</v>
      </c>
      <c r="P192" s="410" t="s">
        <v>199</v>
      </c>
      <c r="Q192">
        <f t="shared" si="4"/>
        <v>587</v>
      </c>
      <c r="R192" t="str">
        <f>_xlfn.XLOOKUP(P192,'Painel Fertilizers'!$B:$B,'Painel Fertilizers'!$B:$B,0)</f>
        <v>CASA DAS SEMENTES</v>
      </c>
    </row>
    <row r="193" spans="1:18" x14ac:dyDescent="0.25">
      <c r="A193" s="410">
        <v>10456</v>
      </c>
      <c r="B193" s="410" t="s">
        <v>199</v>
      </c>
      <c r="C193" s="410" t="s">
        <v>200</v>
      </c>
      <c r="D193" s="411">
        <v>61416.78</v>
      </c>
      <c r="E193" s="410">
        <v>1246065449</v>
      </c>
      <c r="F193" s="412">
        <v>45199</v>
      </c>
      <c r="G193" s="410"/>
      <c r="H193" s="410" t="s">
        <v>173</v>
      </c>
      <c r="I193" s="410" t="s">
        <v>174</v>
      </c>
      <c r="J193" s="410">
        <v>20596</v>
      </c>
      <c r="K193" s="412">
        <v>44958</v>
      </c>
      <c r="L193" s="410">
        <v>1010100</v>
      </c>
      <c r="M193" s="410" t="s">
        <v>35</v>
      </c>
      <c r="N193" s="410">
        <v>161</v>
      </c>
      <c r="O193" s="410" t="s">
        <v>161</v>
      </c>
      <c r="P193" s="410" t="s">
        <v>199</v>
      </c>
      <c r="Q193">
        <f t="shared" si="4"/>
        <v>936</v>
      </c>
      <c r="R193" t="str">
        <f>_xlfn.XLOOKUP(P193,'Painel Fertilizers'!$B:$B,'Painel Fertilizers'!$B:$B,0)</f>
        <v>CASA DAS SEMENTES</v>
      </c>
    </row>
    <row r="194" spans="1:18" x14ac:dyDescent="0.25">
      <c r="A194" s="410">
        <v>10456</v>
      </c>
      <c r="B194" s="410" t="s">
        <v>199</v>
      </c>
      <c r="C194" s="410" t="s">
        <v>200</v>
      </c>
      <c r="D194" s="411">
        <v>106537.82</v>
      </c>
      <c r="E194" s="410">
        <v>1246110763</v>
      </c>
      <c r="F194" s="412">
        <v>45534</v>
      </c>
      <c r="G194" s="410"/>
      <c r="H194" s="410" t="s">
        <v>173</v>
      </c>
      <c r="I194" s="410" t="s">
        <v>174</v>
      </c>
      <c r="J194" s="410">
        <v>1702</v>
      </c>
      <c r="K194" s="412">
        <v>45222</v>
      </c>
      <c r="L194" s="410">
        <v>1010100</v>
      </c>
      <c r="M194" s="410" t="s">
        <v>35</v>
      </c>
      <c r="N194" s="410">
        <v>161</v>
      </c>
      <c r="O194" s="410" t="s">
        <v>161</v>
      </c>
      <c r="P194" s="410" t="s">
        <v>199</v>
      </c>
      <c r="Q194">
        <f t="shared" si="4"/>
        <v>601</v>
      </c>
      <c r="R194" t="str">
        <f>_xlfn.XLOOKUP(P194,'Painel Fertilizers'!$B:$B,'Painel Fertilizers'!$B:$B,0)</f>
        <v>CASA DAS SEMENTES</v>
      </c>
    </row>
    <row r="195" spans="1:18" x14ac:dyDescent="0.25">
      <c r="A195" s="410">
        <v>10456</v>
      </c>
      <c r="B195" s="410" t="s">
        <v>199</v>
      </c>
      <c r="C195" s="410" t="s">
        <v>200</v>
      </c>
      <c r="D195" s="411">
        <v>110173.77</v>
      </c>
      <c r="E195" s="410">
        <v>1246067444</v>
      </c>
      <c r="F195" s="412">
        <v>45199</v>
      </c>
      <c r="G195" s="410"/>
      <c r="H195" s="410" t="s">
        <v>173</v>
      </c>
      <c r="I195" s="410" t="s">
        <v>174</v>
      </c>
      <c r="J195" s="410">
        <v>20680</v>
      </c>
      <c r="K195" s="412">
        <v>44971</v>
      </c>
      <c r="L195" s="410">
        <v>1010100</v>
      </c>
      <c r="M195" s="410" t="s">
        <v>35</v>
      </c>
      <c r="N195" s="410">
        <v>161</v>
      </c>
      <c r="O195" s="410" t="s">
        <v>161</v>
      </c>
      <c r="P195" s="410" t="s">
        <v>199</v>
      </c>
      <c r="Q195">
        <f t="shared" si="4"/>
        <v>936</v>
      </c>
      <c r="R195" t="str">
        <f>_xlfn.XLOOKUP(P195,'Painel Fertilizers'!$B:$B,'Painel Fertilizers'!$B:$B,0)</f>
        <v>CASA DAS SEMENTES</v>
      </c>
    </row>
    <row r="196" spans="1:18" x14ac:dyDescent="0.25">
      <c r="A196" s="410">
        <v>10456</v>
      </c>
      <c r="B196" s="410" t="s">
        <v>199</v>
      </c>
      <c r="C196" s="410" t="s">
        <v>200</v>
      </c>
      <c r="D196" s="411">
        <v>153644.62</v>
      </c>
      <c r="E196" s="410">
        <v>1246066037</v>
      </c>
      <c r="F196" s="412">
        <v>45199</v>
      </c>
      <c r="G196" s="410"/>
      <c r="H196" s="410" t="s">
        <v>173</v>
      </c>
      <c r="I196" s="410" t="s">
        <v>174</v>
      </c>
      <c r="J196" s="410">
        <v>20619</v>
      </c>
      <c r="K196" s="412">
        <v>44963</v>
      </c>
      <c r="L196" s="410">
        <v>1010100</v>
      </c>
      <c r="M196" s="410" t="s">
        <v>35</v>
      </c>
      <c r="N196" s="410">
        <v>161</v>
      </c>
      <c r="O196" s="410" t="s">
        <v>161</v>
      </c>
      <c r="P196" s="410" t="s">
        <v>199</v>
      </c>
      <c r="Q196">
        <f t="shared" si="4"/>
        <v>936</v>
      </c>
      <c r="R196" t="str">
        <f>_xlfn.XLOOKUP(P196,'Painel Fertilizers'!$B:$B,'Painel Fertilizers'!$B:$B,0)</f>
        <v>CASA DAS SEMENTES</v>
      </c>
    </row>
    <row r="197" spans="1:18" x14ac:dyDescent="0.25">
      <c r="A197" s="410">
        <v>10456</v>
      </c>
      <c r="B197" s="410" t="s">
        <v>199</v>
      </c>
      <c r="C197" s="410" t="s">
        <v>200</v>
      </c>
      <c r="D197" s="411">
        <v>121627.64</v>
      </c>
      <c r="E197" s="410">
        <v>1246061337</v>
      </c>
      <c r="F197" s="412">
        <v>45199</v>
      </c>
      <c r="G197" s="410"/>
      <c r="H197" s="410" t="s">
        <v>173</v>
      </c>
      <c r="I197" s="410" t="s">
        <v>174</v>
      </c>
      <c r="J197" s="410">
        <v>20371</v>
      </c>
      <c r="K197" s="412">
        <v>44930</v>
      </c>
      <c r="L197" s="410">
        <v>1010100</v>
      </c>
      <c r="M197" s="410" t="s">
        <v>35</v>
      </c>
      <c r="N197" s="410">
        <v>161</v>
      </c>
      <c r="O197" s="410" t="s">
        <v>161</v>
      </c>
      <c r="P197" s="410" t="s">
        <v>199</v>
      </c>
      <c r="Q197">
        <f t="shared" si="4"/>
        <v>936</v>
      </c>
      <c r="R197" t="str">
        <f>_xlfn.XLOOKUP(P197,'Painel Fertilizers'!$B:$B,'Painel Fertilizers'!$B:$B,0)</f>
        <v>CASA DAS SEMENTES</v>
      </c>
    </row>
    <row r="198" spans="1:18" x14ac:dyDescent="0.25">
      <c r="A198" s="410">
        <v>10456</v>
      </c>
      <c r="B198" s="410" t="s">
        <v>199</v>
      </c>
      <c r="C198" s="410" t="s">
        <v>200</v>
      </c>
      <c r="D198" s="411">
        <v>119763.56</v>
      </c>
      <c r="E198" s="410">
        <v>1246107272</v>
      </c>
      <c r="F198" s="412">
        <v>45536</v>
      </c>
      <c r="G198" s="410"/>
      <c r="H198" s="410" t="s">
        <v>173</v>
      </c>
      <c r="I198" s="410" t="s">
        <v>174</v>
      </c>
      <c r="J198" s="410">
        <v>1444</v>
      </c>
      <c r="K198" s="412">
        <v>45201</v>
      </c>
      <c r="L198" s="410">
        <v>1010100</v>
      </c>
      <c r="M198" s="410" t="s">
        <v>35</v>
      </c>
      <c r="N198" s="410">
        <v>161</v>
      </c>
      <c r="O198" s="410" t="s">
        <v>161</v>
      </c>
      <c r="P198" s="410" t="s">
        <v>199</v>
      </c>
      <c r="Q198">
        <f t="shared" si="4"/>
        <v>599</v>
      </c>
      <c r="R198" t="str">
        <f>_xlfn.XLOOKUP(P198,'Painel Fertilizers'!$B:$B,'Painel Fertilizers'!$B:$B,0)</f>
        <v>CASA DAS SEMENTES</v>
      </c>
    </row>
    <row r="199" spans="1:18" x14ac:dyDescent="0.25">
      <c r="A199" s="410">
        <v>10456</v>
      </c>
      <c r="B199" s="410" t="s">
        <v>199</v>
      </c>
      <c r="C199" s="410" t="s">
        <v>200</v>
      </c>
      <c r="D199" s="411">
        <v>129996.55</v>
      </c>
      <c r="E199" s="410">
        <v>1246063009</v>
      </c>
      <c r="F199" s="412">
        <v>45199</v>
      </c>
      <c r="G199" s="410"/>
      <c r="H199" s="410" t="s">
        <v>173</v>
      </c>
      <c r="I199" s="410" t="s">
        <v>174</v>
      </c>
      <c r="J199" s="410">
        <v>20458</v>
      </c>
      <c r="K199" s="412">
        <v>44943</v>
      </c>
      <c r="L199" s="410">
        <v>1010100</v>
      </c>
      <c r="M199" s="410" t="s">
        <v>35</v>
      </c>
      <c r="N199" s="410">
        <v>161</v>
      </c>
      <c r="O199" s="410" t="s">
        <v>161</v>
      </c>
      <c r="P199" s="410" t="s">
        <v>199</v>
      </c>
      <c r="Q199">
        <f t="shared" si="4"/>
        <v>936</v>
      </c>
      <c r="R199" t="str">
        <f>_xlfn.XLOOKUP(P199,'Painel Fertilizers'!$B:$B,'Painel Fertilizers'!$B:$B,0)</f>
        <v>CASA DAS SEMENTES</v>
      </c>
    </row>
    <row r="200" spans="1:18" x14ac:dyDescent="0.25">
      <c r="A200" s="410">
        <v>10456</v>
      </c>
      <c r="B200" s="410" t="s">
        <v>199</v>
      </c>
      <c r="C200" s="410" t="s">
        <v>200</v>
      </c>
      <c r="D200" s="411">
        <v>61021.61</v>
      </c>
      <c r="E200" s="410">
        <v>1246063058</v>
      </c>
      <c r="F200" s="412">
        <v>45199</v>
      </c>
      <c r="G200" s="410"/>
      <c r="H200" s="410" t="s">
        <v>173</v>
      </c>
      <c r="I200" s="410" t="s">
        <v>174</v>
      </c>
      <c r="J200" s="410">
        <v>20480</v>
      </c>
      <c r="K200" s="412">
        <v>44943</v>
      </c>
      <c r="L200" s="410">
        <v>1010100</v>
      </c>
      <c r="M200" s="410" t="s">
        <v>35</v>
      </c>
      <c r="N200" s="410">
        <v>161</v>
      </c>
      <c r="O200" s="410" t="s">
        <v>161</v>
      </c>
      <c r="P200" s="410" t="s">
        <v>199</v>
      </c>
      <c r="Q200">
        <f t="shared" si="4"/>
        <v>936</v>
      </c>
      <c r="R200" t="str">
        <f>_xlfn.XLOOKUP(P200,'Painel Fertilizers'!$B:$B,'Painel Fertilizers'!$B:$B,0)</f>
        <v>CASA DAS SEMENTES</v>
      </c>
    </row>
    <row r="201" spans="1:18" x14ac:dyDescent="0.25">
      <c r="A201" s="410">
        <v>10456</v>
      </c>
      <c r="B201" s="410" t="s">
        <v>199</v>
      </c>
      <c r="C201" s="410" t="s">
        <v>200</v>
      </c>
      <c r="D201" s="411">
        <v>111090.76</v>
      </c>
      <c r="E201" s="410">
        <v>1246063995</v>
      </c>
      <c r="F201" s="412">
        <v>45199</v>
      </c>
      <c r="G201" s="410"/>
      <c r="H201" s="410" t="s">
        <v>173</v>
      </c>
      <c r="I201" s="410" t="s">
        <v>174</v>
      </c>
      <c r="J201" s="410">
        <v>20513</v>
      </c>
      <c r="K201" s="412">
        <v>44949</v>
      </c>
      <c r="L201" s="410">
        <v>1010100</v>
      </c>
      <c r="M201" s="410" t="s">
        <v>35</v>
      </c>
      <c r="N201" s="410">
        <v>161</v>
      </c>
      <c r="O201" s="410" t="s">
        <v>161</v>
      </c>
      <c r="P201" s="410" t="s">
        <v>199</v>
      </c>
      <c r="Q201">
        <f t="shared" si="4"/>
        <v>936</v>
      </c>
      <c r="R201" t="str">
        <f>_xlfn.XLOOKUP(P201,'Painel Fertilizers'!$B:$B,'Painel Fertilizers'!$B:$B,0)</f>
        <v>CASA DAS SEMENTES</v>
      </c>
    </row>
    <row r="202" spans="1:18" x14ac:dyDescent="0.25">
      <c r="A202" s="410">
        <v>10456</v>
      </c>
      <c r="B202" s="410" t="s">
        <v>199</v>
      </c>
      <c r="C202" s="410" t="s">
        <v>200</v>
      </c>
      <c r="D202" s="411">
        <v>110522.5</v>
      </c>
      <c r="E202" s="410">
        <v>1246106689</v>
      </c>
      <c r="F202" s="412">
        <v>45557</v>
      </c>
      <c r="G202" s="410"/>
      <c r="H202" s="410" t="s">
        <v>173</v>
      </c>
      <c r="I202" s="410" t="s">
        <v>174</v>
      </c>
      <c r="J202" s="410">
        <v>1400</v>
      </c>
      <c r="K202" s="412">
        <v>45197</v>
      </c>
      <c r="L202" s="410">
        <v>1010100</v>
      </c>
      <c r="M202" s="410" t="s">
        <v>35</v>
      </c>
      <c r="N202" s="410">
        <v>161</v>
      </c>
      <c r="O202" s="410" t="s">
        <v>161</v>
      </c>
      <c r="P202" s="410" t="s">
        <v>199</v>
      </c>
      <c r="Q202">
        <f t="shared" si="4"/>
        <v>578</v>
      </c>
      <c r="R202" t="str">
        <f>_xlfn.XLOOKUP(P202,'Painel Fertilizers'!$B:$B,'Painel Fertilizers'!$B:$B,0)</f>
        <v>CASA DAS SEMENTES</v>
      </c>
    </row>
    <row r="203" spans="1:18" x14ac:dyDescent="0.25">
      <c r="A203" s="410">
        <v>10456</v>
      </c>
      <c r="B203" s="410" t="s">
        <v>199</v>
      </c>
      <c r="C203" s="410" t="s">
        <v>200</v>
      </c>
      <c r="D203" s="411">
        <v>94275.76</v>
      </c>
      <c r="E203" s="410">
        <v>1246103838</v>
      </c>
      <c r="F203" s="412">
        <v>45543</v>
      </c>
      <c r="G203" s="410"/>
      <c r="H203" s="410" t="s">
        <v>173</v>
      </c>
      <c r="I203" s="410" t="s">
        <v>174</v>
      </c>
      <c r="J203" s="410">
        <v>1159</v>
      </c>
      <c r="K203" s="412">
        <v>45183</v>
      </c>
      <c r="L203" s="410">
        <v>1010100</v>
      </c>
      <c r="M203" s="410" t="s">
        <v>35</v>
      </c>
      <c r="N203" s="410">
        <v>161</v>
      </c>
      <c r="O203" s="410" t="s">
        <v>161</v>
      </c>
      <c r="P203" s="410" t="s">
        <v>199</v>
      </c>
      <c r="Q203">
        <f t="shared" si="4"/>
        <v>592</v>
      </c>
      <c r="R203" t="str">
        <f>_xlfn.XLOOKUP(P203,'Painel Fertilizers'!$B:$B,'Painel Fertilizers'!$B:$B,0)</f>
        <v>CASA DAS SEMENTES</v>
      </c>
    </row>
    <row r="204" spans="1:18" x14ac:dyDescent="0.25">
      <c r="A204" s="410">
        <v>10456</v>
      </c>
      <c r="B204" s="410" t="s">
        <v>199</v>
      </c>
      <c r="C204" s="410" t="s">
        <v>200</v>
      </c>
      <c r="D204" s="411">
        <v>74904.38</v>
      </c>
      <c r="E204" s="410">
        <v>1246269261</v>
      </c>
      <c r="F204" s="412">
        <v>45199</v>
      </c>
      <c r="G204" s="410"/>
      <c r="H204" s="410" t="s">
        <v>173</v>
      </c>
      <c r="I204" s="410" t="s">
        <v>174</v>
      </c>
      <c r="J204" s="410">
        <v>20898</v>
      </c>
      <c r="K204" s="412">
        <v>45000</v>
      </c>
      <c r="L204" s="410">
        <v>1010100</v>
      </c>
      <c r="M204" s="410" t="s">
        <v>35</v>
      </c>
      <c r="N204" s="410">
        <v>161</v>
      </c>
      <c r="O204" s="410" t="s">
        <v>161</v>
      </c>
      <c r="P204" s="410" t="s">
        <v>199</v>
      </c>
      <c r="Q204">
        <f t="shared" si="4"/>
        <v>936</v>
      </c>
      <c r="R204" t="str">
        <f>_xlfn.XLOOKUP(P204,'Painel Fertilizers'!$B:$B,'Painel Fertilizers'!$B:$B,0)</f>
        <v>CASA DAS SEMENTES</v>
      </c>
    </row>
    <row r="205" spans="1:18" x14ac:dyDescent="0.25">
      <c r="A205" s="410">
        <v>12295</v>
      </c>
      <c r="B205" s="410" t="s">
        <v>207</v>
      </c>
      <c r="C205" s="410" t="s">
        <v>208</v>
      </c>
      <c r="D205" s="411">
        <v>129728</v>
      </c>
      <c r="E205" s="410">
        <v>1246100036</v>
      </c>
      <c r="F205" s="412">
        <v>45547</v>
      </c>
      <c r="G205" s="410"/>
      <c r="H205" s="410" t="s">
        <v>173</v>
      </c>
      <c r="I205" s="410" t="s">
        <v>174</v>
      </c>
      <c r="J205" s="410">
        <v>843</v>
      </c>
      <c r="K205" s="412">
        <v>45162</v>
      </c>
      <c r="L205" s="410">
        <v>1010100</v>
      </c>
      <c r="M205" s="410" t="s">
        <v>35</v>
      </c>
      <c r="N205" s="410">
        <v>161</v>
      </c>
      <c r="O205" s="410" t="s">
        <v>161</v>
      </c>
      <c r="P205" s="410" t="s">
        <v>207</v>
      </c>
      <c r="Q205">
        <f t="shared" si="4"/>
        <v>588</v>
      </c>
      <c r="R205" t="str">
        <f>_xlfn.XLOOKUP(P205,'Painel Fertilizers'!$B:$B,'Painel Fertilizers'!$B:$B,0)</f>
        <v>CBM FERTILIZANTES</v>
      </c>
    </row>
    <row r="206" spans="1:18" x14ac:dyDescent="0.25">
      <c r="A206" s="410">
        <v>12295</v>
      </c>
      <c r="B206" s="410" t="s">
        <v>207</v>
      </c>
      <c r="C206" s="410" t="s">
        <v>208</v>
      </c>
      <c r="D206" s="411">
        <v>126208</v>
      </c>
      <c r="E206" s="410">
        <v>1246106003</v>
      </c>
      <c r="F206" s="412">
        <v>45559</v>
      </c>
      <c r="G206" s="410"/>
      <c r="H206" s="410" t="s">
        <v>173</v>
      </c>
      <c r="I206" s="410" t="s">
        <v>174</v>
      </c>
      <c r="J206" s="410">
        <v>1328</v>
      </c>
      <c r="K206" s="412">
        <v>45194</v>
      </c>
      <c r="L206" s="410">
        <v>1010100</v>
      </c>
      <c r="M206" s="410" t="s">
        <v>35</v>
      </c>
      <c r="N206" s="410">
        <v>161</v>
      </c>
      <c r="O206" s="410" t="s">
        <v>161</v>
      </c>
      <c r="P206" s="410" t="s">
        <v>207</v>
      </c>
      <c r="Q206">
        <f t="shared" si="4"/>
        <v>576</v>
      </c>
      <c r="R206" t="str">
        <f>_xlfn.XLOOKUP(P206,'Painel Fertilizers'!$B:$B,'Painel Fertilizers'!$B:$B,0)</f>
        <v>CBM FERTILIZANTES</v>
      </c>
    </row>
    <row r="207" spans="1:18" x14ac:dyDescent="0.25">
      <c r="A207" s="410">
        <v>12295</v>
      </c>
      <c r="B207" s="410" t="s">
        <v>207</v>
      </c>
      <c r="C207" s="410" t="s">
        <v>208</v>
      </c>
      <c r="D207" s="411">
        <v>19965</v>
      </c>
      <c r="E207" s="410">
        <v>1246100409</v>
      </c>
      <c r="F207" s="412">
        <v>45548</v>
      </c>
      <c r="G207" s="410"/>
      <c r="H207" s="410" t="s">
        <v>173</v>
      </c>
      <c r="I207" s="410" t="s">
        <v>174</v>
      </c>
      <c r="J207" s="410">
        <v>864</v>
      </c>
      <c r="K207" s="412">
        <v>45163</v>
      </c>
      <c r="L207" s="410">
        <v>1010100</v>
      </c>
      <c r="M207" s="410" t="s">
        <v>35</v>
      </c>
      <c r="N207" s="410">
        <v>161</v>
      </c>
      <c r="O207" s="410" t="s">
        <v>161</v>
      </c>
      <c r="P207" s="410" t="s">
        <v>207</v>
      </c>
      <c r="Q207">
        <f t="shared" si="4"/>
        <v>587</v>
      </c>
      <c r="R207" t="str">
        <f>_xlfn.XLOOKUP(P207,'Painel Fertilizers'!$B:$B,'Painel Fertilizers'!$B:$B,0)</f>
        <v>CBM FERTILIZANTES</v>
      </c>
    </row>
    <row r="208" spans="1:18" x14ac:dyDescent="0.25">
      <c r="A208" s="410">
        <v>12295</v>
      </c>
      <c r="B208" s="410" t="s">
        <v>207</v>
      </c>
      <c r="C208" s="410" t="s">
        <v>208</v>
      </c>
      <c r="D208" s="411">
        <v>102625</v>
      </c>
      <c r="E208" s="410">
        <v>1246100411</v>
      </c>
      <c r="F208" s="412">
        <v>45548</v>
      </c>
      <c r="G208" s="410"/>
      <c r="H208" s="410" t="s">
        <v>173</v>
      </c>
      <c r="I208" s="410" t="s">
        <v>174</v>
      </c>
      <c r="J208" s="410">
        <v>865</v>
      </c>
      <c r="K208" s="412">
        <v>45163</v>
      </c>
      <c r="L208" s="410">
        <v>1010100</v>
      </c>
      <c r="M208" s="410" t="s">
        <v>35</v>
      </c>
      <c r="N208" s="410">
        <v>161</v>
      </c>
      <c r="O208" s="410" t="s">
        <v>161</v>
      </c>
      <c r="P208" s="410" t="s">
        <v>207</v>
      </c>
      <c r="Q208">
        <f t="shared" si="4"/>
        <v>587</v>
      </c>
      <c r="R208" t="str">
        <f>_xlfn.XLOOKUP(P208,'Painel Fertilizers'!$B:$B,'Painel Fertilizers'!$B:$B,0)</f>
        <v>CBM FERTILIZANTES</v>
      </c>
    </row>
    <row r="209" spans="1:18" x14ac:dyDescent="0.25">
      <c r="A209" s="410">
        <v>12295</v>
      </c>
      <c r="B209" s="410" t="s">
        <v>207</v>
      </c>
      <c r="C209" s="410" t="s">
        <v>208</v>
      </c>
      <c r="D209" s="411">
        <v>23664</v>
      </c>
      <c r="E209" s="410">
        <v>1246100034</v>
      </c>
      <c r="F209" s="412">
        <v>45547</v>
      </c>
      <c r="G209" s="410"/>
      <c r="H209" s="410" t="s">
        <v>173</v>
      </c>
      <c r="I209" s="410" t="s">
        <v>174</v>
      </c>
      <c r="J209" s="410">
        <v>842</v>
      </c>
      <c r="K209" s="412">
        <v>45162</v>
      </c>
      <c r="L209" s="410">
        <v>1010100</v>
      </c>
      <c r="M209" s="410" t="s">
        <v>35</v>
      </c>
      <c r="N209" s="410">
        <v>161</v>
      </c>
      <c r="O209" s="410" t="s">
        <v>161</v>
      </c>
      <c r="P209" s="410" t="s">
        <v>207</v>
      </c>
      <c r="Q209">
        <f t="shared" si="4"/>
        <v>588</v>
      </c>
      <c r="R209" t="str">
        <f>_xlfn.XLOOKUP(P209,'Painel Fertilizers'!$B:$B,'Painel Fertilizers'!$B:$B,0)</f>
        <v>CBM FERTILIZANTES</v>
      </c>
    </row>
    <row r="210" spans="1:18" x14ac:dyDescent="0.25">
      <c r="A210" s="410">
        <v>12295</v>
      </c>
      <c r="B210" s="410" t="s">
        <v>207</v>
      </c>
      <c r="C210" s="410" t="s">
        <v>208</v>
      </c>
      <c r="D210" s="411">
        <v>126845</v>
      </c>
      <c r="E210" s="410">
        <v>1246102685</v>
      </c>
      <c r="F210" s="412">
        <v>45560</v>
      </c>
      <c r="G210" s="410"/>
      <c r="H210" s="410" t="s">
        <v>173</v>
      </c>
      <c r="I210" s="410" t="s">
        <v>174</v>
      </c>
      <c r="J210" s="410">
        <v>1060</v>
      </c>
      <c r="K210" s="412">
        <v>45175</v>
      </c>
      <c r="L210" s="410">
        <v>1010100</v>
      </c>
      <c r="M210" s="410" t="s">
        <v>35</v>
      </c>
      <c r="N210" s="410">
        <v>161</v>
      </c>
      <c r="O210" s="410" t="s">
        <v>161</v>
      </c>
      <c r="P210" s="410" t="s">
        <v>207</v>
      </c>
      <c r="Q210">
        <f t="shared" si="4"/>
        <v>575</v>
      </c>
      <c r="R210" t="str">
        <f>_xlfn.XLOOKUP(P210,'Painel Fertilizers'!$B:$B,'Painel Fertilizers'!$B:$B,0)</f>
        <v>CBM FERTILIZANTES</v>
      </c>
    </row>
    <row r="211" spans="1:18" x14ac:dyDescent="0.25">
      <c r="A211" s="410">
        <v>12295</v>
      </c>
      <c r="B211" s="410" t="s">
        <v>207</v>
      </c>
      <c r="C211" s="410" t="s">
        <v>208</v>
      </c>
      <c r="D211" s="411">
        <v>119790</v>
      </c>
      <c r="E211" s="410">
        <v>1246100311</v>
      </c>
      <c r="F211" s="412">
        <v>45548</v>
      </c>
      <c r="G211" s="410"/>
      <c r="H211" s="410" t="s">
        <v>173</v>
      </c>
      <c r="I211" s="410" t="s">
        <v>174</v>
      </c>
      <c r="J211" s="410">
        <v>851</v>
      </c>
      <c r="K211" s="412">
        <v>45163</v>
      </c>
      <c r="L211" s="410">
        <v>1010100</v>
      </c>
      <c r="M211" s="410" t="s">
        <v>35</v>
      </c>
      <c r="N211" s="410">
        <v>161</v>
      </c>
      <c r="O211" s="410" t="s">
        <v>161</v>
      </c>
      <c r="P211" s="410" t="s">
        <v>207</v>
      </c>
      <c r="Q211">
        <f t="shared" si="4"/>
        <v>587</v>
      </c>
      <c r="R211" t="str">
        <f>_xlfn.XLOOKUP(P211,'Painel Fertilizers'!$B:$B,'Painel Fertilizers'!$B:$B,0)</f>
        <v>CBM FERTILIZANTES</v>
      </c>
    </row>
    <row r="212" spans="1:18" x14ac:dyDescent="0.25">
      <c r="A212" s="410">
        <v>12295</v>
      </c>
      <c r="B212" s="410" t="s">
        <v>207</v>
      </c>
      <c r="C212" s="410" t="s">
        <v>208</v>
      </c>
      <c r="D212" s="411">
        <v>127776</v>
      </c>
      <c r="E212" s="410">
        <v>1246102654</v>
      </c>
      <c r="F212" s="412">
        <v>45560</v>
      </c>
      <c r="G212" s="410"/>
      <c r="H212" s="410" t="s">
        <v>173</v>
      </c>
      <c r="I212" s="410" t="s">
        <v>174</v>
      </c>
      <c r="J212" s="410">
        <v>1053</v>
      </c>
      <c r="K212" s="412">
        <v>45175</v>
      </c>
      <c r="L212" s="410">
        <v>1010100</v>
      </c>
      <c r="M212" s="410" t="s">
        <v>35</v>
      </c>
      <c r="N212" s="410">
        <v>161</v>
      </c>
      <c r="O212" s="410" t="s">
        <v>161</v>
      </c>
      <c r="P212" s="410" t="s">
        <v>207</v>
      </c>
      <c r="Q212">
        <f t="shared" si="4"/>
        <v>575</v>
      </c>
      <c r="R212" t="str">
        <f>_xlfn.XLOOKUP(P212,'Painel Fertilizers'!$B:$B,'Painel Fertilizers'!$B:$B,0)</f>
        <v>CBM FERTILIZANTES</v>
      </c>
    </row>
    <row r="213" spans="1:18" x14ac:dyDescent="0.25">
      <c r="A213" s="410">
        <v>12295</v>
      </c>
      <c r="B213" s="410" t="s">
        <v>207</v>
      </c>
      <c r="C213" s="410" t="s">
        <v>208</v>
      </c>
      <c r="D213" s="411">
        <v>99410.750000000015</v>
      </c>
      <c r="E213" s="410">
        <v>1246240412</v>
      </c>
      <c r="F213" s="412">
        <v>45546</v>
      </c>
      <c r="G213" s="410"/>
      <c r="H213" s="410" t="s">
        <v>173</v>
      </c>
      <c r="I213" s="410" t="s">
        <v>174</v>
      </c>
      <c r="J213" s="410">
        <v>176</v>
      </c>
      <c r="K213" s="412">
        <v>45161</v>
      </c>
      <c r="L213" s="410">
        <v>1010100</v>
      </c>
      <c r="M213" s="410" t="s">
        <v>35</v>
      </c>
      <c r="N213" s="410">
        <v>161</v>
      </c>
      <c r="O213" s="410" t="s">
        <v>161</v>
      </c>
      <c r="P213" s="410" t="s">
        <v>207</v>
      </c>
      <c r="Q213">
        <f t="shared" si="4"/>
        <v>589</v>
      </c>
      <c r="R213" t="str">
        <f>_xlfn.XLOOKUP(P213,'Painel Fertilizers'!$B:$B,'Painel Fertilizers'!$B:$B,0)</f>
        <v>CBM FERTILIZANTES</v>
      </c>
    </row>
    <row r="214" spans="1:18" x14ac:dyDescent="0.25">
      <c r="A214" s="410">
        <v>13193</v>
      </c>
      <c r="B214" s="410" t="s">
        <v>210</v>
      </c>
      <c r="C214" s="410" t="s">
        <v>211</v>
      </c>
      <c r="D214" s="411">
        <v>39218.19</v>
      </c>
      <c r="E214" s="410">
        <v>1246129675</v>
      </c>
      <c r="F214" s="412">
        <v>45598</v>
      </c>
      <c r="G214" s="410"/>
      <c r="H214" s="410" t="s">
        <v>173</v>
      </c>
      <c r="I214" s="410" t="s">
        <v>174</v>
      </c>
      <c r="J214" s="410">
        <v>2817</v>
      </c>
      <c r="K214" s="412">
        <v>45338</v>
      </c>
      <c r="L214" s="410">
        <v>1010100</v>
      </c>
      <c r="M214" s="410" t="s">
        <v>35</v>
      </c>
      <c r="N214" s="410">
        <v>161</v>
      </c>
      <c r="O214" s="410" t="s">
        <v>161</v>
      </c>
      <c r="P214" s="410" t="s">
        <v>210</v>
      </c>
      <c r="Q214">
        <f t="shared" si="4"/>
        <v>537</v>
      </c>
      <c r="R214" t="str">
        <f>_xlfn.XLOOKUP(P214,'Painel Fertilizers'!$B:$B,'Painel Fertilizers'!$B:$B,0)</f>
        <v>AGRO BERALDO</v>
      </c>
    </row>
    <row r="215" spans="1:18" x14ac:dyDescent="0.25">
      <c r="A215" s="410">
        <v>13193</v>
      </c>
      <c r="B215" s="410" t="s">
        <v>210</v>
      </c>
      <c r="C215" s="410" t="s">
        <v>211</v>
      </c>
      <c r="D215" s="411">
        <v>96537.1</v>
      </c>
      <c r="E215" s="410">
        <v>1246128994</v>
      </c>
      <c r="F215" s="412">
        <v>45599</v>
      </c>
      <c r="G215" s="410"/>
      <c r="H215" s="410" t="s">
        <v>173</v>
      </c>
      <c r="I215" s="410" t="s">
        <v>174</v>
      </c>
      <c r="J215" s="410">
        <v>2765</v>
      </c>
      <c r="K215" s="412">
        <v>45331</v>
      </c>
      <c r="L215" s="410">
        <v>1010100</v>
      </c>
      <c r="M215" s="410" t="s">
        <v>35</v>
      </c>
      <c r="N215" s="410">
        <v>161</v>
      </c>
      <c r="O215" s="410" t="s">
        <v>161</v>
      </c>
      <c r="P215" s="410" t="s">
        <v>210</v>
      </c>
      <c r="Q215">
        <f t="shared" si="4"/>
        <v>536</v>
      </c>
      <c r="R215" t="str">
        <f>_xlfn.XLOOKUP(P215,'Painel Fertilizers'!$B:$B,'Painel Fertilizers'!$B:$B,0)</f>
        <v>AGRO BERALDO</v>
      </c>
    </row>
    <row r="216" spans="1:18" x14ac:dyDescent="0.25">
      <c r="A216" s="410">
        <v>13193</v>
      </c>
      <c r="B216" s="410" t="s">
        <v>210</v>
      </c>
      <c r="C216" s="410" t="s">
        <v>211</v>
      </c>
      <c r="D216" s="411">
        <v>14369.79</v>
      </c>
      <c r="E216" s="410">
        <v>1246129687</v>
      </c>
      <c r="F216" s="412">
        <v>45594</v>
      </c>
      <c r="G216" s="410"/>
      <c r="H216" s="410" t="s">
        <v>173</v>
      </c>
      <c r="I216" s="410" t="s">
        <v>174</v>
      </c>
      <c r="J216" s="410">
        <v>2824</v>
      </c>
      <c r="K216" s="412">
        <v>45338</v>
      </c>
      <c r="L216" s="410">
        <v>1010100</v>
      </c>
      <c r="M216" s="410" t="s">
        <v>35</v>
      </c>
      <c r="N216" s="410">
        <v>161</v>
      </c>
      <c r="O216" s="410" t="s">
        <v>161</v>
      </c>
      <c r="P216" s="410" t="s">
        <v>210</v>
      </c>
      <c r="Q216">
        <f t="shared" si="4"/>
        <v>541</v>
      </c>
      <c r="R216" t="str">
        <f>_xlfn.XLOOKUP(P216,'Painel Fertilizers'!$B:$B,'Painel Fertilizers'!$B:$B,0)</f>
        <v>AGRO BERALDO</v>
      </c>
    </row>
    <row r="217" spans="1:18" x14ac:dyDescent="0.25">
      <c r="A217" s="410">
        <v>13193</v>
      </c>
      <c r="B217" s="410" t="s">
        <v>210</v>
      </c>
      <c r="C217" s="410" t="s">
        <v>211</v>
      </c>
      <c r="D217" s="411">
        <v>102482.69</v>
      </c>
      <c r="E217" s="410">
        <v>1246129689</v>
      </c>
      <c r="F217" s="412">
        <v>45594</v>
      </c>
      <c r="G217" s="410"/>
      <c r="H217" s="410" t="s">
        <v>173</v>
      </c>
      <c r="I217" s="410" t="s">
        <v>174</v>
      </c>
      <c r="J217" s="410">
        <v>2825</v>
      </c>
      <c r="K217" s="412">
        <v>45338</v>
      </c>
      <c r="L217" s="410">
        <v>1010100</v>
      </c>
      <c r="M217" s="410" t="s">
        <v>35</v>
      </c>
      <c r="N217" s="410">
        <v>161</v>
      </c>
      <c r="O217" s="410" t="s">
        <v>161</v>
      </c>
      <c r="P217" s="410" t="s">
        <v>210</v>
      </c>
      <c r="Q217">
        <f t="shared" si="4"/>
        <v>541</v>
      </c>
      <c r="R217" t="str">
        <f>_xlfn.XLOOKUP(P217,'Painel Fertilizers'!$B:$B,'Painel Fertilizers'!$B:$B,0)</f>
        <v>AGRO BERALDO</v>
      </c>
    </row>
    <row r="218" spans="1:18" x14ac:dyDescent="0.25">
      <c r="A218" s="410">
        <v>13193</v>
      </c>
      <c r="B218" s="410" t="s">
        <v>210</v>
      </c>
      <c r="C218" s="410" t="s">
        <v>211</v>
      </c>
      <c r="D218" s="411">
        <v>96537.1</v>
      </c>
      <c r="E218" s="410">
        <v>1246128030</v>
      </c>
      <c r="F218" s="412">
        <v>45604</v>
      </c>
      <c r="G218" s="410"/>
      <c r="H218" s="410" t="s">
        <v>173</v>
      </c>
      <c r="I218" s="410" t="s">
        <v>174</v>
      </c>
      <c r="J218" s="410">
        <v>2691</v>
      </c>
      <c r="K218" s="412">
        <v>45324</v>
      </c>
      <c r="L218" s="410">
        <v>1010100</v>
      </c>
      <c r="M218" s="410" t="s">
        <v>35</v>
      </c>
      <c r="N218" s="410">
        <v>161</v>
      </c>
      <c r="O218" s="410" t="s">
        <v>161</v>
      </c>
      <c r="P218" s="410" t="s">
        <v>210</v>
      </c>
      <c r="Q218">
        <f t="shared" si="4"/>
        <v>531</v>
      </c>
      <c r="R218" t="str">
        <f>_xlfn.XLOOKUP(P218,'Painel Fertilizers'!$B:$B,'Painel Fertilizers'!$B:$B,0)</f>
        <v>AGRO BERALDO</v>
      </c>
    </row>
    <row r="219" spans="1:18" x14ac:dyDescent="0.25">
      <c r="A219" s="410">
        <v>13193</v>
      </c>
      <c r="B219" s="410" t="s">
        <v>210</v>
      </c>
      <c r="C219" s="410" t="s">
        <v>211</v>
      </c>
      <c r="D219" s="411">
        <v>96537.1</v>
      </c>
      <c r="E219" s="410">
        <v>1246129535</v>
      </c>
      <c r="F219" s="412">
        <v>45597</v>
      </c>
      <c r="G219" s="410"/>
      <c r="H219" s="410" t="s">
        <v>173</v>
      </c>
      <c r="I219" s="410" t="s">
        <v>174</v>
      </c>
      <c r="J219" s="410">
        <v>2797</v>
      </c>
      <c r="K219" s="412">
        <v>45337</v>
      </c>
      <c r="L219" s="410">
        <v>1010100</v>
      </c>
      <c r="M219" s="410" t="s">
        <v>35</v>
      </c>
      <c r="N219" s="410">
        <v>161</v>
      </c>
      <c r="O219" s="410" t="s">
        <v>161</v>
      </c>
      <c r="P219" s="410" t="s">
        <v>210</v>
      </c>
      <c r="Q219">
        <f t="shared" si="4"/>
        <v>538</v>
      </c>
      <c r="R219" t="str">
        <f>_xlfn.XLOOKUP(P219,'Painel Fertilizers'!$B:$B,'Painel Fertilizers'!$B:$B,0)</f>
        <v>AGRO BERALDO</v>
      </c>
    </row>
    <row r="220" spans="1:18" x14ac:dyDescent="0.25">
      <c r="A220" s="410">
        <v>13193</v>
      </c>
      <c r="B220" s="410" t="s">
        <v>210</v>
      </c>
      <c r="C220" s="410" t="s">
        <v>211</v>
      </c>
      <c r="D220" s="411">
        <v>12586.97</v>
      </c>
      <c r="E220" s="410">
        <v>1246129615</v>
      </c>
      <c r="F220" s="412">
        <v>45594</v>
      </c>
      <c r="G220" s="410"/>
      <c r="H220" s="410" t="s">
        <v>173</v>
      </c>
      <c r="I220" s="410" t="s">
        <v>174</v>
      </c>
      <c r="J220" s="410">
        <v>2804</v>
      </c>
      <c r="K220" s="412">
        <v>45338</v>
      </c>
      <c r="L220" s="410">
        <v>1010100</v>
      </c>
      <c r="M220" s="410" t="s">
        <v>35</v>
      </c>
      <c r="N220" s="410">
        <v>161</v>
      </c>
      <c r="O220" s="410" t="s">
        <v>161</v>
      </c>
      <c r="P220" s="410" t="s">
        <v>210</v>
      </c>
      <c r="Q220">
        <f t="shared" si="4"/>
        <v>541</v>
      </c>
      <c r="R220" t="str">
        <f>_xlfn.XLOOKUP(P220,'Painel Fertilizers'!$B:$B,'Painel Fertilizers'!$B:$B,0)</f>
        <v>AGRO BERALDO</v>
      </c>
    </row>
    <row r="221" spans="1:18" x14ac:dyDescent="0.25">
      <c r="A221" s="410">
        <v>13193</v>
      </c>
      <c r="B221" s="410" t="s">
        <v>210</v>
      </c>
      <c r="C221" s="410" t="s">
        <v>211</v>
      </c>
      <c r="D221" s="411">
        <v>96537.1</v>
      </c>
      <c r="E221" s="410">
        <v>1246129423</v>
      </c>
      <c r="F221" s="412">
        <v>45597</v>
      </c>
      <c r="G221" s="410"/>
      <c r="H221" s="410" t="s">
        <v>173</v>
      </c>
      <c r="I221" s="410" t="s">
        <v>174</v>
      </c>
      <c r="J221" s="410">
        <v>2793</v>
      </c>
      <c r="K221" s="412">
        <v>45337</v>
      </c>
      <c r="L221" s="410">
        <v>1010100</v>
      </c>
      <c r="M221" s="410" t="s">
        <v>35</v>
      </c>
      <c r="N221" s="410">
        <v>161</v>
      </c>
      <c r="O221" s="410" t="s">
        <v>161</v>
      </c>
      <c r="P221" s="410" t="s">
        <v>210</v>
      </c>
      <c r="Q221">
        <f t="shared" si="4"/>
        <v>538</v>
      </c>
      <c r="R221" t="str">
        <f>_xlfn.XLOOKUP(P221,'Painel Fertilizers'!$B:$B,'Painel Fertilizers'!$B:$B,0)</f>
        <v>AGRO BERALDO</v>
      </c>
    </row>
    <row r="222" spans="1:18" x14ac:dyDescent="0.25">
      <c r="A222" s="410">
        <v>13193</v>
      </c>
      <c r="B222" s="410" t="s">
        <v>210</v>
      </c>
      <c r="C222" s="410" t="s">
        <v>211</v>
      </c>
      <c r="D222" s="411">
        <v>96537.1</v>
      </c>
      <c r="E222" s="410">
        <v>1246129513</v>
      </c>
      <c r="F222" s="412">
        <v>45605</v>
      </c>
      <c r="G222" s="410"/>
      <c r="H222" s="410" t="s">
        <v>173</v>
      </c>
      <c r="I222" s="410" t="s">
        <v>174</v>
      </c>
      <c r="J222" s="410">
        <v>2795</v>
      </c>
      <c r="K222" s="412">
        <v>45337</v>
      </c>
      <c r="L222" s="410">
        <v>1010100</v>
      </c>
      <c r="M222" s="410" t="s">
        <v>35</v>
      </c>
      <c r="N222" s="410">
        <v>161</v>
      </c>
      <c r="O222" s="410" t="s">
        <v>161</v>
      </c>
      <c r="P222" s="410" t="s">
        <v>210</v>
      </c>
      <c r="Q222">
        <f t="shared" si="4"/>
        <v>530</v>
      </c>
      <c r="R222" t="str">
        <f>_xlfn.XLOOKUP(P222,'Painel Fertilizers'!$B:$B,'Painel Fertilizers'!$B:$B,0)</f>
        <v>AGRO BERALDO</v>
      </c>
    </row>
    <row r="223" spans="1:18" x14ac:dyDescent="0.25">
      <c r="A223" s="410">
        <v>13193</v>
      </c>
      <c r="B223" s="410" t="s">
        <v>210</v>
      </c>
      <c r="C223" s="410" t="s">
        <v>211</v>
      </c>
      <c r="D223" s="411">
        <v>100695.77</v>
      </c>
      <c r="E223" s="410">
        <v>1246129348</v>
      </c>
      <c r="F223" s="412">
        <v>45592</v>
      </c>
      <c r="G223" s="410"/>
      <c r="H223" s="410" t="s">
        <v>173</v>
      </c>
      <c r="I223" s="410" t="s">
        <v>174</v>
      </c>
      <c r="J223" s="410">
        <v>2788</v>
      </c>
      <c r="K223" s="412">
        <v>45336</v>
      </c>
      <c r="L223" s="410">
        <v>1010100</v>
      </c>
      <c r="M223" s="410" t="s">
        <v>35</v>
      </c>
      <c r="N223" s="410">
        <v>161</v>
      </c>
      <c r="O223" s="410" t="s">
        <v>161</v>
      </c>
      <c r="P223" s="410" t="s">
        <v>210</v>
      </c>
      <c r="Q223">
        <f t="shared" si="4"/>
        <v>543</v>
      </c>
      <c r="R223" t="str">
        <f>_xlfn.XLOOKUP(P223,'Painel Fertilizers'!$B:$B,'Painel Fertilizers'!$B:$B,0)</f>
        <v>AGRO BERALDO</v>
      </c>
    </row>
    <row r="224" spans="1:18" x14ac:dyDescent="0.25">
      <c r="A224" s="410">
        <v>13193</v>
      </c>
      <c r="B224" s="410" t="s">
        <v>210</v>
      </c>
      <c r="C224" s="410" t="s">
        <v>211</v>
      </c>
      <c r="D224" s="411">
        <v>96537.12</v>
      </c>
      <c r="E224" s="410">
        <v>1246129613</v>
      </c>
      <c r="F224" s="412">
        <v>45598</v>
      </c>
      <c r="G224" s="410"/>
      <c r="H224" s="410" t="s">
        <v>173</v>
      </c>
      <c r="I224" s="410" t="s">
        <v>174</v>
      </c>
      <c r="J224" s="410">
        <v>2803</v>
      </c>
      <c r="K224" s="412">
        <v>45338</v>
      </c>
      <c r="L224" s="410">
        <v>1010100</v>
      </c>
      <c r="M224" s="410" t="s">
        <v>35</v>
      </c>
      <c r="N224" s="410">
        <v>161</v>
      </c>
      <c r="O224" s="410" t="s">
        <v>161</v>
      </c>
      <c r="P224" s="410" t="s">
        <v>210</v>
      </c>
      <c r="Q224">
        <f t="shared" si="4"/>
        <v>537</v>
      </c>
      <c r="R224" t="str">
        <f>_xlfn.XLOOKUP(P224,'Painel Fertilizers'!$B:$B,'Painel Fertilizers'!$B:$B,0)</f>
        <v>AGRO BERALDO</v>
      </c>
    </row>
    <row r="225" spans="1:18" x14ac:dyDescent="0.25">
      <c r="A225" s="410">
        <v>13193</v>
      </c>
      <c r="B225" s="410" t="s">
        <v>210</v>
      </c>
      <c r="C225" s="410" t="s">
        <v>211</v>
      </c>
      <c r="D225" s="411">
        <v>114958.38999999998</v>
      </c>
      <c r="E225" s="410">
        <v>1246126152</v>
      </c>
      <c r="F225" s="412">
        <v>45594</v>
      </c>
      <c r="G225" s="410"/>
      <c r="H225" s="410" t="s">
        <v>173</v>
      </c>
      <c r="I225" s="410" t="s">
        <v>174</v>
      </c>
      <c r="J225" s="410">
        <v>2568</v>
      </c>
      <c r="K225" s="412">
        <v>45314</v>
      </c>
      <c r="L225" s="410">
        <v>1010100</v>
      </c>
      <c r="M225" s="410" t="s">
        <v>35</v>
      </c>
      <c r="N225" s="410">
        <v>161</v>
      </c>
      <c r="O225" s="410" t="s">
        <v>161</v>
      </c>
      <c r="P225" s="410" t="s">
        <v>210</v>
      </c>
      <c r="Q225">
        <f t="shared" si="4"/>
        <v>541</v>
      </c>
      <c r="R225" t="str">
        <f>_xlfn.XLOOKUP(P225,'Painel Fertilizers'!$B:$B,'Painel Fertilizers'!$B:$B,0)</f>
        <v>AGRO BERALDO</v>
      </c>
    </row>
    <row r="226" spans="1:18" x14ac:dyDescent="0.25">
      <c r="A226" s="410">
        <v>13193</v>
      </c>
      <c r="B226" s="410" t="s">
        <v>210</v>
      </c>
      <c r="C226" s="410" t="s">
        <v>211</v>
      </c>
      <c r="D226" s="411">
        <v>111898.75000000001</v>
      </c>
      <c r="E226" s="410">
        <v>1246126325</v>
      </c>
      <c r="F226" s="412">
        <v>45595</v>
      </c>
      <c r="G226" s="410"/>
      <c r="H226" s="410" t="s">
        <v>173</v>
      </c>
      <c r="I226" s="410" t="s">
        <v>174</v>
      </c>
      <c r="J226" s="410">
        <v>2581</v>
      </c>
      <c r="K226" s="412">
        <v>45315</v>
      </c>
      <c r="L226" s="410">
        <v>1010100</v>
      </c>
      <c r="M226" s="410" t="s">
        <v>35</v>
      </c>
      <c r="N226" s="410">
        <v>161</v>
      </c>
      <c r="O226" s="410" t="s">
        <v>161</v>
      </c>
      <c r="P226" s="410" t="s">
        <v>210</v>
      </c>
      <c r="Q226">
        <f t="shared" si="4"/>
        <v>540</v>
      </c>
      <c r="R226" t="str">
        <f>_xlfn.XLOOKUP(P226,'Painel Fertilizers'!$B:$B,'Painel Fertilizers'!$B:$B,0)</f>
        <v>AGRO BERALDO</v>
      </c>
    </row>
    <row r="227" spans="1:18" x14ac:dyDescent="0.25">
      <c r="A227" s="410">
        <v>13193</v>
      </c>
      <c r="B227" s="410" t="s">
        <v>210</v>
      </c>
      <c r="C227" s="410" t="s">
        <v>211</v>
      </c>
      <c r="D227" s="411">
        <v>108604.24</v>
      </c>
      <c r="E227" s="410">
        <v>1246126878</v>
      </c>
      <c r="F227" s="412">
        <v>45597</v>
      </c>
      <c r="G227" s="410"/>
      <c r="H227" s="410" t="s">
        <v>173</v>
      </c>
      <c r="I227" s="410" t="s">
        <v>174</v>
      </c>
      <c r="J227" s="410">
        <v>2614</v>
      </c>
      <c r="K227" s="412">
        <v>45317</v>
      </c>
      <c r="L227" s="410">
        <v>1010100</v>
      </c>
      <c r="M227" s="410" t="s">
        <v>35</v>
      </c>
      <c r="N227" s="410">
        <v>161</v>
      </c>
      <c r="O227" s="410" t="s">
        <v>161</v>
      </c>
      <c r="P227" s="410" t="s">
        <v>210</v>
      </c>
      <c r="Q227">
        <f t="shared" si="4"/>
        <v>538</v>
      </c>
      <c r="R227" t="str">
        <f>_xlfn.XLOOKUP(P227,'Painel Fertilizers'!$B:$B,'Painel Fertilizers'!$B:$B,0)</f>
        <v>AGRO BERALDO</v>
      </c>
    </row>
    <row r="228" spans="1:18" x14ac:dyDescent="0.25">
      <c r="A228" s="410">
        <v>13193</v>
      </c>
      <c r="B228" s="410" t="s">
        <v>210</v>
      </c>
      <c r="C228" s="410" t="s">
        <v>211</v>
      </c>
      <c r="D228" s="411">
        <v>110524.44</v>
      </c>
      <c r="E228" s="410">
        <v>1246126771</v>
      </c>
      <c r="F228" s="412">
        <v>45597</v>
      </c>
      <c r="G228" s="410"/>
      <c r="H228" s="410" t="s">
        <v>173</v>
      </c>
      <c r="I228" s="410" t="s">
        <v>174</v>
      </c>
      <c r="J228" s="410">
        <v>2605</v>
      </c>
      <c r="K228" s="412">
        <v>45317</v>
      </c>
      <c r="L228" s="410">
        <v>1010100</v>
      </c>
      <c r="M228" s="410" t="s">
        <v>35</v>
      </c>
      <c r="N228" s="410">
        <v>161</v>
      </c>
      <c r="O228" s="410" t="s">
        <v>161</v>
      </c>
      <c r="P228" s="410" t="s">
        <v>210</v>
      </c>
      <c r="Q228">
        <f t="shared" si="4"/>
        <v>538</v>
      </c>
      <c r="R228" t="str">
        <f>_xlfn.XLOOKUP(P228,'Painel Fertilizers'!$B:$B,'Painel Fertilizers'!$B:$B,0)</f>
        <v>AGRO BERALDO</v>
      </c>
    </row>
    <row r="229" spans="1:18" x14ac:dyDescent="0.25">
      <c r="A229" s="410">
        <v>13193</v>
      </c>
      <c r="B229" s="410" t="s">
        <v>210</v>
      </c>
      <c r="C229" s="410" t="s">
        <v>211</v>
      </c>
      <c r="D229" s="411">
        <v>81453.179999999993</v>
      </c>
      <c r="E229" s="410">
        <v>1246126682</v>
      </c>
      <c r="F229" s="412">
        <v>45596</v>
      </c>
      <c r="G229" s="410"/>
      <c r="H229" s="410" t="s">
        <v>173</v>
      </c>
      <c r="I229" s="410" t="s">
        <v>174</v>
      </c>
      <c r="J229" s="410">
        <v>2598</v>
      </c>
      <c r="K229" s="412">
        <v>45316</v>
      </c>
      <c r="L229" s="410">
        <v>1010100</v>
      </c>
      <c r="M229" s="410" t="s">
        <v>35</v>
      </c>
      <c r="N229" s="410">
        <v>161</v>
      </c>
      <c r="O229" s="410" t="s">
        <v>161</v>
      </c>
      <c r="P229" s="410" t="s">
        <v>210</v>
      </c>
      <c r="Q229">
        <f t="shared" si="4"/>
        <v>539</v>
      </c>
      <c r="R229" t="str">
        <f>_xlfn.XLOOKUP(P229,'Painel Fertilizers'!$B:$B,'Painel Fertilizers'!$B:$B,0)</f>
        <v>AGRO BERALDO</v>
      </c>
    </row>
    <row r="230" spans="1:18" x14ac:dyDescent="0.25">
      <c r="A230" s="410">
        <v>13193</v>
      </c>
      <c r="B230" s="410" t="s">
        <v>210</v>
      </c>
      <c r="C230" s="410" t="s">
        <v>211</v>
      </c>
      <c r="D230" s="411">
        <v>97994.5</v>
      </c>
      <c r="E230" s="410">
        <v>1246124699</v>
      </c>
      <c r="F230" s="412">
        <v>45593</v>
      </c>
      <c r="G230" s="410"/>
      <c r="H230" s="410" t="s">
        <v>173</v>
      </c>
      <c r="I230" s="410" t="s">
        <v>174</v>
      </c>
      <c r="J230" s="410">
        <v>2485</v>
      </c>
      <c r="K230" s="412">
        <v>45303</v>
      </c>
      <c r="L230" s="410">
        <v>1010100</v>
      </c>
      <c r="M230" s="410" t="s">
        <v>35</v>
      </c>
      <c r="N230" s="410">
        <v>161</v>
      </c>
      <c r="O230" s="410" t="s">
        <v>161</v>
      </c>
      <c r="P230" s="410" t="s">
        <v>210</v>
      </c>
      <c r="Q230">
        <f t="shared" si="4"/>
        <v>542</v>
      </c>
      <c r="R230" t="str">
        <f>_xlfn.XLOOKUP(P230,'Painel Fertilizers'!$B:$B,'Painel Fertilizers'!$B:$B,0)</f>
        <v>AGRO BERALDO</v>
      </c>
    </row>
    <row r="231" spans="1:18" x14ac:dyDescent="0.25">
      <c r="A231" s="410">
        <v>13193</v>
      </c>
      <c r="B231" s="410" t="s">
        <v>210</v>
      </c>
      <c r="C231" s="410" t="s">
        <v>211</v>
      </c>
      <c r="D231" s="411">
        <v>102482.69</v>
      </c>
      <c r="E231" s="410">
        <v>1246129677</v>
      </c>
      <c r="F231" s="412">
        <v>45594</v>
      </c>
      <c r="G231" s="410"/>
      <c r="H231" s="410" t="s">
        <v>173</v>
      </c>
      <c r="I231" s="410" t="s">
        <v>174</v>
      </c>
      <c r="J231" s="410">
        <v>2818</v>
      </c>
      <c r="K231" s="412">
        <v>45338</v>
      </c>
      <c r="L231" s="410">
        <v>1010100</v>
      </c>
      <c r="M231" s="410" t="s">
        <v>35</v>
      </c>
      <c r="N231" s="410">
        <v>161</v>
      </c>
      <c r="O231" s="410" t="s">
        <v>161</v>
      </c>
      <c r="P231" s="410" t="s">
        <v>210</v>
      </c>
      <c r="Q231">
        <f t="shared" si="4"/>
        <v>541</v>
      </c>
      <c r="R231" t="str">
        <f>_xlfn.XLOOKUP(P231,'Painel Fertilizers'!$B:$B,'Painel Fertilizers'!$B:$B,0)</f>
        <v>AGRO BERALDO</v>
      </c>
    </row>
    <row r="232" spans="1:18" x14ac:dyDescent="0.25">
      <c r="A232" s="410">
        <v>13193</v>
      </c>
      <c r="B232" s="410" t="s">
        <v>210</v>
      </c>
      <c r="C232" s="410" t="s">
        <v>211</v>
      </c>
      <c r="D232" s="411">
        <v>140175.09</v>
      </c>
      <c r="E232" s="410">
        <v>1246130332</v>
      </c>
      <c r="F232" s="412">
        <v>45599</v>
      </c>
      <c r="G232" s="410"/>
      <c r="H232" s="410" t="s">
        <v>173</v>
      </c>
      <c r="I232" s="410" t="s">
        <v>174</v>
      </c>
      <c r="J232" s="410">
        <v>2873</v>
      </c>
      <c r="K232" s="412">
        <v>45343</v>
      </c>
      <c r="L232" s="410">
        <v>1010100</v>
      </c>
      <c r="M232" s="410" t="s">
        <v>35</v>
      </c>
      <c r="N232" s="410">
        <v>161</v>
      </c>
      <c r="O232" s="410" t="s">
        <v>161</v>
      </c>
      <c r="P232" s="410" t="s">
        <v>210</v>
      </c>
      <c r="Q232">
        <f t="shared" si="4"/>
        <v>536</v>
      </c>
      <c r="R232" t="str">
        <f>_xlfn.XLOOKUP(P232,'Painel Fertilizers'!$B:$B,'Painel Fertilizers'!$B:$B,0)</f>
        <v>AGRO BERALDO</v>
      </c>
    </row>
    <row r="233" spans="1:18" x14ac:dyDescent="0.25">
      <c r="A233" s="410">
        <v>13193</v>
      </c>
      <c r="B233" s="410" t="s">
        <v>210</v>
      </c>
      <c r="C233" s="410" t="s">
        <v>211</v>
      </c>
      <c r="D233" s="411">
        <v>112140.07</v>
      </c>
      <c r="E233" s="410">
        <v>1246130309</v>
      </c>
      <c r="F233" s="412">
        <v>45599</v>
      </c>
      <c r="G233" s="410"/>
      <c r="H233" s="410" t="s">
        <v>173</v>
      </c>
      <c r="I233" s="410" t="s">
        <v>174</v>
      </c>
      <c r="J233" s="410">
        <v>2867</v>
      </c>
      <c r="K233" s="412">
        <v>45343</v>
      </c>
      <c r="L233" s="410">
        <v>1010100</v>
      </c>
      <c r="M233" s="410" t="s">
        <v>35</v>
      </c>
      <c r="N233" s="410">
        <v>161</v>
      </c>
      <c r="O233" s="410" t="s">
        <v>161</v>
      </c>
      <c r="P233" s="410" t="s">
        <v>210</v>
      </c>
      <c r="Q233">
        <f t="shared" si="4"/>
        <v>536</v>
      </c>
      <c r="R233" t="str">
        <f>_xlfn.XLOOKUP(P233,'Painel Fertilizers'!$B:$B,'Painel Fertilizers'!$B:$B,0)</f>
        <v>AGRO BERALDO</v>
      </c>
    </row>
    <row r="234" spans="1:18" x14ac:dyDescent="0.25">
      <c r="A234" s="410">
        <v>13193</v>
      </c>
      <c r="B234" s="410" t="s">
        <v>210</v>
      </c>
      <c r="C234" s="410" t="s">
        <v>211</v>
      </c>
      <c r="D234" s="411">
        <v>105131.31</v>
      </c>
      <c r="E234" s="410">
        <v>1246132575</v>
      </c>
      <c r="F234" s="412">
        <v>45597</v>
      </c>
      <c r="G234" s="410"/>
      <c r="H234" s="410" t="s">
        <v>173</v>
      </c>
      <c r="I234" s="410" t="s">
        <v>174</v>
      </c>
      <c r="J234" s="410">
        <v>2994</v>
      </c>
      <c r="K234" s="412">
        <v>45357</v>
      </c>
      <c r="L234" s="410">
        <v>1010100</v>
      </c>
      <c r="M234" s="410" t="s">
        <v>35</v>
      </c>
      <c r="N234" s="410">
        <v>161</v>
      </c>
      <c r="O234" s="410" t="s">
        <v>161</v>
      </c>
      <c r="P234" s="410" t="s">
        <v>210</v>
      </c>
      <c r="Q234">
        <f t="shared" si="4"/>
        <v>538</v>
      </c>
      <c r="R234" t="str">
        <f>_xlfn.XLOOKUP(P234,'Painel Fertilizers'!$B:$B,'Painel Fertilizers'!$B:$B,0)</f>
        <v>AGRO BERALDO</v>
      </c>
    </row>
    <row r="235" spans="1:18" x14ac:dyDescent="0.25">
      <c r="A235" s="410">
        <v>13193</v>
      </c>
      <c r="B235" s="410" t="s">
        <v>210</v>
      </c>
      <c r="C235" s="410" t="s">
        <v>211</v>
      </c>
      <c r="D235" s="411">
        <v>97257.29</v>
      </c>
      <c r="E235" s="410">
        <v>1246139180</v>
      </c>
      <c r="F235" s="412">
        <v>45573</v>
      </c>
      <c r="G235" s="410"/>
      <c r="H235" s="410" t="s">
        <v>173</v>
      </c>
      <c r="I235" s="410" t="s">
        <v>174</v>
      </c>
      <c r="J235" s="410">
        <v>3265</v>
      </c>
      <c r="K235" s="412">
        <v>45393</v>
      </c>
      <c r="L235" s="410">
        <v>1010100</v>
      </c>
      <c r="M235" s="410" t="s">
        <v>35</v>
      </c>
      <c r="N235" s="410">
        <v>161</v>
      </c>
      <c r="O235" s="410" t="s">
        <v>161</v>
      </c>
      <c r="P235" s="410" t="s">
        <v>210</v>
      </c>
      <c r="Q235">
        <f t="shared" si="4"/>
        <v>562</v>
      </c>
      <c r="R235" t="str">
        <f>_xlfn.XLOOKUP(P235,'Painel Fertilizers'!$B:$B,'Painel Fertilizers'!$B:$B,0)</f>
        <v>AGRO BERALDO</v>
      </c>
    </row>
    <row r="236" spans="1:18" x14ac:dyDescent="0.25">
      <c r="A236" s="410">
        <v>13193</v>
      </c>
      <c r="B236" s="410" t="s">
        <v>210</v>
      </c>
      <c r="C236" s="410" t="s">
        <v>211</v>
      </c>
      <c r="D236" s="411">
        <v>104293.46</v>
      </c>
      <c r="E236" s="410">
        <v>1246135519</v>
      </c>
      <c r="F236" s="412">
        <v>45600</v>
      </c>
      <c r="G236" s="410"/>
      <c r="H236" s="410" t="s">
        <v>173</v>
      </c>
      <c r="I236" s="410" t="s">
        <v>174</v>
      </c>
      <c r="J236" s="410">
        <v>3146</v>
      </c>
      <c r="K236" s="412">
        <v>45373</v>
      </c>
      <c r="L236" s="410">
        <v>1010100</v>
      </c>
      <c r="M236" s="410" t="s">
        <v>35</v>
      </c>
      <c r="N236" s="410">
        <v>161</v>
      </c>
      <c r="O236" s="410" t="s">
        <v>161</v>
      </c>
      <c r="P236" s="410" t="s">
        <v>210</v>
      </c>
      <c r="Q236">
        <f t="shared" si="4"/>
        <v>535</v>
      </c>
      <c r="R236" t="str">
        <f>_xlfn.XLOOKUP(P236,'Painel Fertilizers'!$B:$B,'Painel Fertilizers'!$B:$B,0)</f>
        <v>AGRO BERALDO</v>
      </c>
    </row>
    <row r="237" spans="1:18" x14ac:dyDescent="0.25">
      <c r="A237" s="410">
        <v>13193</v>
      </c>
      <c r="B237" s="410" t="s">
        <v>210</v>
      </c>
      <c r="C237" s="410" t="s">
        <v>211</v>
      </c>
      <c r="D237" s="411">
        <v>120980.73</v>
      </c>
      <c r="E237" s="410">
        <v>1246138904</v>
      </c>
      <c r="F237" s="412">
        <v>45572</v>
      </c>
      <c r="G237" s="410"/>
      <c r="H237" s="410" t="s">
        <v>173</v>
      </c>
      <c r="I237" s="410" t="s">
        <v>174</v>
      </c>
      <c r="J237" s="410">
        <v>3260</v>
      </c>
      <c r="K237" s="412">
        <v>45392</v>
      </c>
      <c r="L237" s="410">
        <v>1010100</v>
      </c>
      <c r="M237" s="410" t="s">
        <v>35</v>
      </c>
      <c r="N237" s="410">
        <v>161</v>
      </c>
      <c r="O237" s="410" t="s">
        <v>161</v>
      </c>
      <c r="P237" s="410" t="s">
        <v>210</v>
      </c>
      <c r="Q237">
        <f t="shared" si="4"/>
        <v>563</v>
      </c>
      <c r="R237" t="str">
        <f>_xlfn.XLOOKUP(P237,'Painel Fertilizers'!$B:$B,'Painel Fertilizers'!$B:$B,0)</f>
        <v>AGRO BERALDO</v>
      </c>
    </row>
    <row r="238" spans="1:18" x14ac:dyDescent="0.25">
      <c r="A238" s="410">
        <v>13193</v>
      </c>
      <c r="B238" s="410" t="s">
        <v>210</v>
      </c>
      <c r="C238" s="410" t="s">
        <v>211</v>
      </c>
      <c r="D238" s="411">
        <v>142145.26999999999</v>
      </c>
      <c r="E238" s="410">
        <v>1246138695</v>
      </c>
      <c r="F238" s="412">
        <v>45571</v>
      </c>
      <c r="G238" s="410"/>
      <c r="H238" s="410" t="s">
        <v>173</v>
      </c>
      <c r="I238" s="410" t="s">
        <v>174</v>
      </c>
      <c r="J238" s="410">
        <v>3255</v>
      </c>
      <c r="K238" s="412">
        <v>45391</v>
      </c>
      <c r="L238" s="410">
        <v>1010100</v>
      </c>
      <c r="M238" s="410" t="s">
        <v>35</v>
      </c>
      <c r="N238" s="410">
        <v>161</v>
      </c>
      <c r="O238" s="410" t="s">
        <v>161</v>
      </c>
      <c r="P238" s="410" t="s">
        <v>210</v>
      </c>
      <c r="Q238">
        <f t="shared" si="4"/>
        <v>564</v>
      </c>
      <c r="R238" t="str">
        <f>_xlfn.XLOOKUP(P238,'Painel Fertilizers'!$B:$B,'Painel Fertilizers'!$B:$B,0)</f>
        <v>AGRO BERALDO</v>
      </c>
    </row>
    <row r="239" spans="1:18" x14ac:dyDescent="0.25">
      <c r="A239" s="410">
        <v>13193</v>
      </c>
      <c r="B239" s="410" t="s">
        <v>210</v>
      </c>
      <c r="C239" s="410" t="s">
        <v>211</v>
      </c>
      <c r="D239" s="411">
        <v>30167.84</v>
      </c>
      <c r="E239" s="410">
        <v>1246134824</v>
      </c>
      <c r="F239" s="412">
        <v>45597</v>
      </c>
      <c r="G239" s="410"/>
      <c r="H239" s="410" t="s">
        <v>173</v>
      </c>
      <c r="I239" s="410" t="s">
        <v>174</v>
      </c>
      <c r="J239" s="410">
        <v>3122</v>
      </c>
      <c r="K239" s="412">
        <v>45370</v>
      </c>
      <c r="L239" s="410">
        <v>1010100</v>
      </c>
      <c r="M239" s="410" t="s">
        <v>35</v>
      </c>
      <c r="N239" s="410">
        <v>161</v>
      </c>
      <c r="O239" s="410" t="s">
        <v>161</v>
      </c>
      <c r="P239" s="410" t="s">
        <v>210</v>
      </c>
      <c r="Q239">
        <f t="shared" si="4"/>
        <v>538</v>
      </c>
      <c r="R239" t="str">
        <f>_xlfn.XLOOKUP(P239,'Painel Fertilizers'!$B:$B,'Painel Fertilizers'!$B:$B,0)</f>
        <v>AGRO BERALDO</v>
      </c>
    </row>
    <row r="240" spans="1:18" x14ac:dyDescent="0.25">
      <c r="A240" s="410">
        <v>13193</v>
      </c>
      <c r="B240" s="410" t="s">
        <v>210</v>
      </c>
      <c r="C240" s="410" t="s">
        <v>211</v>
      </c>
      <c r="D240" s="411">
        <v>96077.53</v>
      </c>
      <c r="E240" s="410">
        <v>1246134935</v>
      </c>
      <c r="F240" s="412">
        <v>45598</v>
      </c>
      <c r="G240" s="410"/>
      <c r="H240" s="410" t="s">
        <v>173</v>
      </c>
      <c r="I240" s="410" t="s">
        <v>174</v>
      </c>
      <c r="J240" s="410">
        <v>3128</v>
      </c>
      <c r="K240" s="412">
        <v>45371</v>
      </c>
      <c r="L240" s="410">
        <v>1010100</v>
      </c>
      <c r="M240" s="410" t="s">
        <v>35</v>
      </c>
      <c r="N240" s="410">
        <v>161</v>
      </c>
      <c r="O240" s="410" t="s">
        <v>161</v>
      </c>
      <c r="P240" s="410" t="s">
        <v>210</v>
      </c>
      <c r="Q240">
        <f t="shared" si="4"/>
        <v>537</v>
      </c>
      <c r="R240" t="str">
        <f>_xlfn.XLOOKUP(P240,'Painel Fertilizers'!$B:$B,'Painel Fertilizers'!$B:$B,0)</f>
        <v>AGRO BERALDO</v>
      </c>
    </row>
    <row r="241" spans="1:18" x14ac:dyDescent="0.25">
      <c r="A241" s="410">
        <v>13193</v>
      </c>
      <c r="B241" s="410" t="s">
        <v>210</v>
      </c>
      <c r="C241" s="410" t="s">
        <v>211</v>
      </c>
      <c r="D241" s="411">
        <v>90503.54</v>
      </c>
      <c r="E241" s="410">
        <v>1246134807</v>
      </c>
      <c r="F241" s="412">
        <v>45597</v>
      </c>
      <c r="G241" s="410"/>
      <c r="H241" s="410" t="s">
        <v>173</v>
      </c>
      <c r="I241" s="410" t="s">
        <v>174</v>
      </c>
      <c r="J241" s="410">
        <v>3119</v>
      </c>
      <c r="K241" s="412">
        <v>45370</v>
      </c>
      <c r="L241" s="410">
        <v>1010100</v>
      </c>
      <c r="M241" s="410" t="s">
        <v>35</v>
      </c>
      <c r="N241" s="410">
        <v>161</v>
      </c>
      <c r="O241" s="410" t="s">
        <v>161</v>
      </c>
      <c r="P241" s="410" t="s">
        <v>210</v>
      </c>
      <c r="Q241">
        <f t="shared" si="4"/>
        <v>538</v>
      </c>
      <c r="R241" t="str">
        <f>_xlfn.XLOOKUP(P241,'Painel Fertilizers'!$B:$B,'Painel Fertilizers'!$B:$B,0)</f>
        <v>AGRO BERALDO</v>
      </c>
    </row>
    <row r="242" spans="1:18" x14ac:dyDescent="0.25">
      <c r="A242" s="410">
        <v>13193</v>
      </c>
      <c r="B242" s="410" t="s">
        <v>210</v>
      </c>
      <c r="C242" s="410" t="s">
        <v>211</v>
      </c>
      <c r="D242" s="411">
        <v>90503.54</v>
      </c>
      <c r="E242" s="410">
        <v>1246134540</v>
      </c>
      <c r="F242" s="412">
        <v>45596</v>
      </c>
      <c r="G242" s="410"/>
      <c r="H242" s="410" t="s">
        <v>173</v>
      </c>
      <c r="I242" s="410" t="s">
        <v>174</v>
      </c>
      <c r="J242" s="410">
        <v>3110</v>
      </c>
      <c r="K242" s="412">
        <v>45369</v>
      </c>
      <c r="L242" s="410">
        <v>1010100</v>
      </c>
      <c r="M242" s="410" t="s">
        <v>35</v>
      </c>
      <c r="N242" s="410">
        <v>161</v>
      </c>
      <c r="O242" s="410" t="s">
        <v>161</v>
      </c>
      <c r="P242" s="410" t="s">
        <v>210</v>
      </c>
      <c r="Q242">
        <f t="shared" si="4"/>
        <v>539</v>
      </c>
      <c r="R242" t="str">
        <f>_xlfn.XLOOKUP(P242,'Painel Fertilizers'!$B:$B,'Painel Fertilizers'!$B:$B,0)</f>
        <v>AGRO BERALDO</v>
      </c>
    </row>
    <row r="243" spans="1:18" x14ac:dyDescent="0.25">
      <c r="A243" s="410">
        <v>13193</v>
      </c>
      <c r="B243" s="410" t="s">
        <v>210</v>
      </c>
      <c r="C243" s="410" t="s">
        <v>211</v>
      </c>
      <c r="D243" s="411">
        <v>82776.289999999994</v>
      </c>
      <c r="E243" s="410">
        <v>1246139327</v>
      </c>
      <c r="F243" s="412">
        <v>45573</v>
      </c>
      <c r="G243" s="410"/>
      <c r="H243" s="410" t="s">
        <v>173</v>
      </c>
      <c r="I243" s="410" t="s">
        <v>174</v>
      </c>
      <c r="J243" s="410">
        <v>3272</v>
      </c>
      <c r="K243" s="412">
        <v>45393</v>
      </c>
      <c r="L243" s="410">
        <v>1010100</v>
      </c>
      <c r="M243" s="410" t="s">
        <v>35</v>
      </c>
      <c r="N243" s="410">
        <v>161</v>
      </c>
      <c r="O243" s="410" t="s">
        <v>161</v>
      </c>
      <c r="P243" s="410" t="s">
        <v>210</v>
      </c>
      <c r="Q243">
        <f t="shared" si="4"/>
        <v>562</v>
      </c>
      <c r="R243" t="str">
        <f>_xlfn.XLOOKUP(P243,'Painel Fertilizers'!$B:$B,'Painel Fertilizers'!$B:$B,0)</f>
        <v>AGRO BERALDO</v>
      </c>
    </row>
    <row r="244" spans="1:18" x14ac:dyDescent="0.25">
      <c r="A244" s="410">
        <v>13193</v>
      </c>
      <c r="B244" s="410" t="s">
        <v>210</v>
      </c>
      <c r="C244" s="410" t="s">
        <v>211</v>
      </c>
      <c r="D244" s="411">
        <v>64051.68</v>
      </c>
      <c r="E244" s="410">
        <v>1246134828</v>
      </c>
      <c r="F244" s="412">
        <v>45597</v>
      </c>
      <c r="G244" s="410"/>
      <c r="H244" s="410" t="s">
        <v>173</v>
      </c>
      <c r="I244" s="410" t="s">
        <v>174</v>
      </c>
      <c r="J244" s="410">
        <v>3123</v>
      </c>
      <c r="K244" s="412">
        <v>45370</v>
      </c>
      <c r="L244" s="410">
        <v>1010100</v>
      </c>
      <c r="M244" s="410" t="s">
        <v>35</v>
      </c>
      <c r="N244" s="410">
        <v>161</v>
      </c>
      <c r="O244" s="410" t="s">
        <v>161</v>
      </c>
      <c r="P244" s="410" t="s">
        <v>210</v>
      </c>
      <c r="Q244">
        <f t="shared" si="4"/>
        <v>538</v>
      </c>
      <c r="R244" t="str">
        <f>_xlfn.XLOOKUP(P244,'Painel Fertilizers'!$B:$B,'Painel Fertilizers'!$B:$B,0)</f>
        <v>AGRO BERALDO</v>
      </c>
    </row>
    <row r="245" spans="1:18" x14ac:dyDescent="0.25">
      <c r="A245" s="410">
        <v>13193</v>
      </c>
      <c r="B245" s="410" t="s">
        <v>210</v>
      </c>
      <c r="C245" s="410" t="s">
        <v>211</v>
      </c>
      <c r="D245" s="411">
        <v>96077.53</v>
      </c>
      <c r="E245" s="410">
        <v>1246134926</v>
      </c>
      <c r="F245" s="412">
        <v>45598</v>
      </c>
      <c r="G245" s="410"/>
      <c r="H245" s="410" t="s">
        <v>173</v>
      </c>
      <c r="I245" s="410" t="s">
        <v>174</v>
      </c>
      <c r="J245" s="410">
        <v>3126</v>
      </c>
      <c r="K245" s="412">
        <v>45371</v>
      </c>
      <c r="L245" s="410">
        <v>1010100</v>
      </c>
      <c r="M245" s="410" t="s">
        <v>35</v>
      </c>
      <c r="N245" s="410">
        <v>161</v>
      </c>
      <c r="O245" s="410" t="s">
        <v>161</v>
      </c>
      <c r="P245" s="410" t="s">
        <v>210</v>
      </c>
      <c r="Q245">
        <f t="shared" si="4"/>
        <v>537</v>
      </c>
      <c r="R245" t="str">
        <f>_xlfn.XLOOKUP(P245,'Painel Fertilizers'!$B:$B,'Painel Fertilizers'!$B:$B,0)</f>
        <v>AGRO BERALDO</v>
      </c>
    </row>
    <row r="246" spans="1:18" x14ac:dyDescent="0.25">
      <c r="A246" s="410">
        <v>13193</v>
      </c>
      <c r="B246" s="410" t="s">
        <v>210</v>
      </c>
      <c r="C246" s="410" t="s">
        <v>211</v>
      </c>
      <c r="D246" s="411">
        <v>96077.53</v>
      </c>
      <c r="E246" s="410">
        <v>1246135475</v>
      </c>
      <c r="F246" s="412">
        <v>45600</v>
      </c>
      <c r="G246" s="410"/>
      <c r="H246" s="410" t="s">
        <v>173</v>
      </c>
      <c r="I246" s="410" t="s">
        <v>174</v>
      </c>
      <c r="J246" s="410">
        <v>3143</v>
      </c>
      <c r="K246" s="412">
        <v>45373</v>
      </c>
      <c r="L246" s="410">
        <v>1010100</v>
      </c>
      <c r="M246" s="410" t="s">
        <v>35</v>
      </c>
      <c r="N246" s="410">
        <v>161</v>
      </c>
      <c r="O246" s="410" t="s">
        <v>161</v>
      </c>
      <c r="P246" s="410" t="s">
        <v>210</v>
      </c>
      <c r="Q246">
        <f t="shared" si="4"/>
        <v>535</v>
      </c>
      <c r="R246" t="str">
        <f>_xlfn.XLOOKUP(P246,'Painel Fertilizers'!$B:$B,'Painel Fertilizers'!$B:$B,0)</f>
        <v>AGRO BERALDO</v>
      </c>
    </row>
    <row r="247" spans="1:18" x14ac:dyDescent="0.25">
      <c r="A247" s="410">
        <v>13567</v>
      </c>
      <c r="B247" s="410" t="s">
        <v>378</v>
      </c>
      <c r="C247" s="410" t="s">
        <v>379</v>
      </c>
      <c r="D247" s="411">
        <v>108547.57</v>
      </c>
      <c r="E247" s="410">
        <v>1246235061</v>
      </c>
      <c r="F247" s="412">
        <v>46143</v>
      </c>
      <c r="G247" s="410"/>
      <c r="H247" s="410" t="s">
        <v>173</v>
      </c>
      <c r="I247" s="410" t="s">
        <v>174</v>
      </c>
      <c r="J247" s="410">
        <v>9184</v>
      </c>
      <c r="K247" s="412">
        <v>45904</v>
      </c>
      <c r="L247" s="410">
        <v>1010100</v>
      </c>
      <c r="M247" s="410" t="s">
        <v>35</v>
      </c>
      <c r="N247" s="410">
        <v>56</v>
      </c>
      <c r="O247" s="410" t="s">
        <v>162</v>
      </c>
      <c r="P247" s="410" t="s">
        <v>378</v>
      </c>
      <c r="Q247">
        <f t="shared" si="4"/>
        <v>-8</v>
      </c>
      <c r="R247" t="str">
        <f>_xlfn.XLOOKUP(P247,'Painel Fertilizers'!$B:$B,'Painel Fertilizers'!$B:$B,0)</f>
        <v>TAKI AGRO - POUSO ALEGRE</v>
      </c>
    </row>
    <row r="248" spans="1:18" x14ac:dyDescent="0.25">
      <c r="A248" s="410">
        <v>13567</v>
      </c>
      <c r="B248" s="410" t="s">
        <v>378</v>
      </c>
      <c r="C248" s="410" t="s">
        <v>379</v>
      </c>
      <c r="D248" s="411">
        <v>114260.6</v>
      </c>
      <c r="E248" s="410">
        <v>1246235060</v>
      </c>
      <c r="F248" s="412">
        <v>46143</v>
      </c>
      <c r="G248" s="410"/>
      <c r="H248" s="410" t="s">
        <v>173</v>
      </c>
      <c r="I248" s="410" t="s">
        <v>174</v>
      </c>
      <c r="J248" s="410">
        <v>9183</v>
      </c>
      <c r="K248" s="412">
        <v>45904</v>
      </c>
      <c r="L248" s="410">
        <v>1010100</v>
      </c>
      <c r="M248" s="410" t="s">
        <v>35</v>
      </c>
      <c r="N248" s="410">
        <v>56</v>
      </c>
      <c r="O248" s="410" t="s">
        <v>162</v>
      </c>
      <c r="P248" s="410" t="s">
        <v>378</v>
      </c>
      <c r="Q248">
        <f t="shared" si="4"/>
        <v>-8</v>
      </c>
      <c r="R248" t="str">
        <f>_xlfn.XLOOKUP(P248,'Painel Fertilizers'!$B:$B,'Painel Fertilizers'!$B:$B,0)</f>
        <v>TAKI AGRO - POUSO ALEGRE</v>
      </c>
    </row>
    <row r="249" spans="1:18" x14ac:dyDescent="0.25">
      <c r="A249" s="410">
        <v>14948</v>
      </c>
      <c r="B249" s="410" t="s">
        <v>380</v>
      </c>
      <c r="C249" s="410" t="s">
        <v>381</v>
      </c>
      <c r="D249" s="411">
        <v>184217.94</v>
      </c>
      <c r="E249" s="410">
        <v>1246221983</v>
      </c>
      <c r="F249" s="412">
        <v>46138</v>
      </c>
      <c r="G249" s="410"/>
      <c r="H249" s="410" t="s">
        <v>173</v>
      </c>
      <c r="I249" s="410" t="s">
        <v>174</v>
      </c>
      <c r="J249" s="410">
        <v>8306</v>
      </c>
      <c r="K249" s="412">
        <v>45838</v>
      </c>
      <c r="L249" s="410">
        <v>1010100</v>
      </c>
      <c r="M249" s="410" t="s">
        <v>35</v>
      </c>
      <c r="N249" s="410">
        <v>56</v>
      </c>
      <c r="O249" s="410" t="s">
        <v>162</v>
      </c>
      <c r="P249" s="410" t="s">
        <v>380</v>
      </c>
      <c r="Q249">
        <f t="shared" ref="Q249:Q309" si="5">$R$1-F249</f>
        <v>-3</v>
      </c>
      <c r="R249" t="str">
        <f>_xlfn.XLOOKUP(P249,'Painel Fertilizers'!$B:$B,'Painel Fertilizers'!$B:$B,0)</f>
        <v>TAKI AGRO - SOCORRO</v>
      </c>
    </row>
    <row r="250" spans="1:18" x14ac:dyDescent="0.25">
      <c r="A250" s="410">
        <v>14948</v>
      </c>
      <c r="B250" s="410" t="s">
        <v>380</v>
      </c>
      <c r="C250" s="410" t="s">
        <v>381</v>
      </c>
      <c r="D250" s="411">
        <v>235730.06</v>
      </c>
      <c r="E250" s="410">
        <v>1246228090</v>
      </c>
      <c r="F250" s="412">
        <v>46134</v>
      </c>
      <c r="G250" s="410"/>
      <c r="H250" s="410" t="s">
        <v>173</v>
      </c>
      <c r="I250" s="410" t="s">
        <v>174</v>
      </c>
      <c r="J250" s="410">
        <v>8683</v>
      </c>
      <c r="K250" s="412">
        <v>45868</v>
      </c>
      <c r="L250" s="410">
        <v>1010100</v>
      </c>
      <c r="M250" s="410" t="s">
        <v>35</v>
      </c>
      <c r="N250" s="410">
        <v>56</v>
      </c>
      <c r="O250" s="410" t="s">
        <v>162</v>
      </c>
      <c r="P250" s="410" t="s">
        <v>380</v>
      </c>
      <c r="Q250">
        <f t="shared" si="5"/>
        <v>1</v>
      </c>
      <c r="R250" t="str">
        <f>_xlfn.XLOOKUP(P250,'Painel Fertilizers'!$B:$B,'Painel Fertilizers'!$B:$B,0)</f>
        <v>TAKI AGRO - SOCORRO</v>
      </c>
    </row>
    <row r="251" spans="1:18" x14ac:dyDescent="0.25">
      <c r="A251" s="410">
        <v>14552</v>
      </c>
      <c r="B251" s="410" t="s">
        <v>335</v>
      </c>
      <c r="C251" s="410" t="s">
        <v>336</v>
      </c>
      <c r="D251" s="411">
        <v>91336</v>
      </c>
      <c r="E251" s="410">
        <v>1246259067</v>
      </c>
      <c r="F251" s="412">
        <v>46141</v>
      </c>
      <c r="G251" s="410"/>
      <c r="H251" s="410" t="s">
        <v>173</v>
      </c>
      <c r="I251" s="410" t="s">
        <v>174</v>
      </c>
      <c r="J251" s="410">
        <v>8636</v>
      </c>
      <c r="K251" s="412">
        <v>45866</v>
      </c>
      <c r="L251" s="410">
        <v>1010100</v>
      </c>
      <c r="M251" s="410" t="s">
        <v>35</v>
      </c>
      <c r="N251" s="410">
        <v>7</v>
      </c>
      <c r="O251" s="410" t="s">
        <v>654</v>
      </c>
      <c r="P251" s="410" t="s">
        <v>335</v>
      </c>
      <c r="Q251">
        <f t="shared" si="5"/>
        <v>-6</v>
      </c>
      <c r="R251" t="str">
        <f>_xlfn.XLOOKUP(P251,'Painel Fertilizers'!$B:$B,'Painel Fertilizers'!$B:$B,0)</f>
        <v>GA AGRONEGOCIOS</v>
      </c>
    </row>
    <row r="252" spans="1:18" x14ac:dyDescent="0.25">
      <c r="A252" s="410">
        <v>14552</v>
      </c>
      <c r="B252" s="410" t="s">
        <v>335</v>
      </c>
      <c r="C252" s="410" t="s">
        <v>336</v>
      </c>
      <c r="D252" s="411">
        <v>85316</v>
      </c>
      <c r="E252" s="410">
        <v>1246259061</v>
      </c>
      <c r="F252" s="412">
        <v>46142</v>
      </c>
      <c r="G252" s="410"/>
      <c r="H252" s="410" t="s">
        <v>173</v>
      </c>
      <c r="I252" s="410" t="s">
        <v>174</v>
      </c>
      <c r="J252" s="410">
        <v>8620</v>
      </c>
      <c r="K252" s="412">
        <v>45863</v>
      </c>
      <c r="L252" s="410">
        <v>1010100</v>
      </c>
      <c r="M252" s="410" t="s">
        <v>35</v>
      </c>
      <c r="N252" s="410">
        <v>7</v>
      </c>
      <c r="O252" s="410" t="s">
        <v>654</v>
      </c>
      <c r="P252" s="410" t="s">
        <v>335</v>
      </c>
      <c r="Q252">
        <f t="shared" si="5"/>
        <v>-7</v>
      </c>
      <c r="R252" t="str">
        <f>_xlfn.XLOOKUP(P252,'Painel Fertilizers'!$B:$B,'Painel Fertilizers'!$B:$B,0)</f>
        <v>GA AGRONEGOCIOS</v>
      </c>
    </row>
    <row r="253" spans="1:18" x14ac:dyDescent="0.25">
      <c r="A253" s="410">
        <v>14552</v>
      </c>
      <c r="B253" s="410" t="s">
        <v>335</v>
      </c>
      <c r="C253" s="410" t="s">
        <v>336</v>
      </c>
      <c r="D253" s="411">
        <v>156088</v>
      </c>
      <c r="E253" s="410">
        <v>1246226199</v>
      </c>
      <c r="F253" s="412">
        <v>46142</v>
      </c>
      <c r="G253" s="410"/>
      <c r="H253" s="410" t="s">
        <v>173</v>
      </c>
      <c r="I253" s="410" t="s">
        <v>174</v>
      </c>
      <c r="J253" s="410">
        <v>8567</v>
      </c>
      <c r="K253" s="412">
        <v>45859</v>
      </c>
      <c r="L253" s="410">
        <v>1010100</v>
      </c>
      <c r="M253" s="410" t="s">
        <v>35</v>
      </c>
      <c r="N253" s="410">
        <v>161</v>
      </c>
      <c r="O253" s="410" t="s">
        <v>161</v>
      </c>
      <c r="P253" s="410" t="s">
        <v>335</v>
      </c>
      <c r="Q253">
        <f t="shared" si="5"/>
        <v>-7</v>
      </c>
      <c r="R253" t="str">
        <f>_xlfn.XLOOKUP(P253,'Painel Fertilizers'!$B:$B,'Painel Fertilizers'!$B:$B,0)</f>
        <v>GA AGRONEGOCIOS</v>
      </c>
    </row>
    <row r="254" spans="1:18" x14ac:dyDescent="0.25">
      <c r="A254" s="410">
        <v>14552</v>
      </c>
      <c r="B254" s="410" t="s">
        <v>335</v>
      </c>
      <c r="C254" s="410" t="s">
        <v>336</v>
      </c>
      <c r="D254" s="411">
        <v>194626</v>
      </c>
      <c r="E254" s="410">
        <v>1246240017</v>
      </c>
      <c r="F254" s="412">
        <v>46143</v>
      </c>
      <c r="G254" s="410"/>
      <c r="H254" s="410" t="s">
        <v>173</v>
      </c>
      <c r="I254" s="410" t="s">
        <v>174</v>
      </c>
      <c r="J254" s="410">
        <v>9500</v>
      </c>
      <c r="K254" s="412">
        <v>45929</v>
      </c>
      <c r="L254" s="410">
        <v>1010100</v>
      </c>
      <c r="M254" s="410" t="s">
        <v>35</v>
      </c>
      <c r="N254" s="410">
        <v>161</v>
      </c>
      <c r="O254" s="410" t="s">
        <v>161</v>
      </c>
      <c r="P254" s="410" t="s">
        <v>335</v>
      </c>
      <c r="Q254">
        <f t="shared" si="5"/>
        <v>-8</v>
      </c>
      <c r="R254" t="str">
        <f>_xlfn.XLOOKUP(P254,'Painel Fertilizers'!$B:$B,'Painel Fertilizers'!$B:$B,0)</f>
        <v>GA AGRONEGOCIOS</v>
      </c>
    </row>
    <row r="255" spans="1:18" x14ac:dyDescent="0.25">
      <c r="A255" s="410">
        <v>14552</v>
      </c>
      <c r="B255" s="410" t="s">
        <v>335</v>
      </c>
      <c r="C255" s="410" t="s">
        <v>336</v>
      </c>
      <c r="D255" s="411">
        <v>176320</v>
      </c>
      <c r="E255" s="410">
        <v>1246225706</v>
      </c>
      <c r="F255" s="412">
        <v>46145</v>
      </c>
      <c r="G255" s="410"/>
      <c r="H255" s="410" t="s">
        <v>173</v>
      </c>
      <c r="I255" s="410" t="s">
        <v>174</v>
      </c>
      <c r="J255" s="410">
        <v>8525</v>
      </c>
      <c r="K255" s="412">
        <v>45855</v>
      </c>
      <c r="L255" s="410">
        <v>1010100</v>
      </c>
      <c r="M255" s="410" t="s">
        <v>35</v>
      </c>
      <c r="N255" s="410">
        <v>161</v>
      </c>
      <c r="O255" s="410" t="s">
        <v>161</v>
      </c>
      <c r="P255" s="410" t="s">
        <v>335</v>
      </c>
      <c r="Q255">
        <f t="shared" si="5"/>
        <v>-10</v>
      </c>
      <c r="R255" t="str">
        <f>_xlfn.XLOOKUP(P255,'Painel Fertilizers'!$B:$B,'Painel Fertilizers'!$B:$B,0)</f>
        <v>GA AGRONEGOCIOS</v>
      </c>
    </row>
    <row r="256" spans="1:18" x14ac:dyDescent="0.25">
      <c r="A256" s="410">
        <v>14552</v>
      </c>
      <c r="B256" s="410" t="s">
        <v>335</v>
      </c>
      <c r="C256" s="410" t="s">
        <v>336</v>
      </c>
      <c r="D256" s="411">
        <v>112043</v>
      </c>
      <c r="E256" s="410">
        <v>1246240517</v>
      </c>
      <c r="F256" s="412">
        <v>46144</v>
      </c>
      <c r="G256" s="410"/>
      <c r="H256" s="410" t="s">
        <v>173</v>
      </c>
      <c r="I256" s="410" t="s">
        <v>174</v>
      </c>
      <c r="J256" s="410">
        <v>9522</v>
      </c>
      <c r="K256" s="412">
        <v>45930</v>
      </c>
      <c r="L256" s="410">
        <v>1010100</v>
      </c>
      <c r="M256" s="410" t="s">
        <v>35</v>
      </c>
      <c r="N256" s="410">
        <v>161</v>
      </c>
      <c r="O256" s="410" t="s">
        <v>161</v>
      </c>
      <c r="P256" s="410" t="s">
        <v>335</v>
      </c>
      <c r="Q256">
        <f t="shared" si="5"/>
        <v>-9</v>
      </c>
      <c r="R256" t="str">
        <f>_xlfn.XLOOKUP(P256,'Painel Fertilizers'!$B:$B,'Painel Fertilizers'!$B:$B,0)</f>
        <v>GA AGRONEGOCIOS</v>
      </c>
    </row>
    <row r="257" spans="1:18" x14ac:dyDescent="0.25">
      <c r="A257" s="410">
        <v>14848</v>
      </c>
      <c r="B257" s="410" t="s">
        <v>377</v>
      </c>
      <c r="C257" s="410" t="s">
        <v>659</v>
      </c>
      <c r="D257" s="411">
        <v>207773.56999999998</v>
      </c>
      <c r="E257" s="410">
        <v>1246230064</v>
      </c>
      <c r="F257" s="412">
        <v>46162</v>
      </c>
      <c r="G257" s="410"/>
      <c r="H257" s="410" t="s">
        <v>173</v>
      </c>
      <c r="I257" s="410" t="s">
        <v>174</v>
      </c>
      <c r="J257" s="410">
        <v>8811</v>
      </c>
      <c r="K257" s="412">
        <v>45877</v>
      </c>
      <c r="L257" s="410">
        <v>1010100</v>
      </c>
      <c r="M257" s="410" t="s">
        <v>35</v>
      </c>
      <c r="N257" s="410">
        <v>161</v>
      </c>
      <c r="O257" s="410" t="s">
        <v>161</v>
      </c>
      <c r="P257" s="410" t="s">
        <v>377</v>
      </c>
      <c r="Q257">
        <f t="shared" si="5"/>
        <v>-27</v>
      </c>
      <c r="R257" t="str">
        <f>_xlfn.XLOOKUP(P257,'Painel Fertilizers'!$B:$B,'Painel Fertilizers'!$B:$B,0)</f>
        <v>FAZENDA FERRADURA</v>
      </c>
    </row>
    <row r="258" spans="1:18" x14ac:dyDescent="0.25">
      <c r="A258" s="410">
        <v>14848</v>
      </c>
      <c r="B258" s="410" t="s">
        <v>377</v>
      </c>
      <c r="C258" s="410" t="s">
        <v>659</v>
      </c>
      <c r="D258" s="411">
        <v>121554.34</v>
      </c>
      <c r="E258" s="410">
        <v>1246230701</v>
      </c>
      <c r="F258" s="412">
        <v>46164</v>
      </c>
      <c r="G258" s="410"/>
      <c r="H258" s="410" t="s">
        <v>173</v>
      </c>
      <c r="I258" s="410" t="s">
        <v>174</v>
      </c>
      <c r="J258" s="410">
        <v>8856</v>
      </c>
      <c r="K258" s="412">
        <v>45881</v>
      </c>
      <c r="L258" s="410">
        <v>1010100</v>
      </c>
      <c r="M258" s="410" t="s">
        <v>35</v>
      </c>
      <c r="N258" s="410">
        <v>161</v>
      </c>
      <c r="O258" s="410" t="s">
        <v>161</v>
      </c>
      <c r="P258" s="410" t="s">
        <v>377</v>
      </c>
      <c r="Q258">
        <f t="shared" si="5"/>
        <v>-29</v>
      </c>
      <c r="R258" t="str">
        <f>_xlfn.XLOOKUP(P258,'Painel Fertilizers'!$B:$B,'Painel Fertilizers'!$B:$B,0)</f>
        <v>FAZENDA FERRADURA</v>
      </c>
    </row>
    <row r="259" spans="1:18" x14ac:dyDescent="0.25">
      <c r="A259" s="410">
        <v>14396</v>
      </c>
      <c r="B259" s="410" t="s">
        <v>270</v>
      </c>
      <c r="C259" s="410" t="s">
        <v>271</v>
      </c>
      <c r="D259" s="411">
        <v>137598</v>
      </c>
      <c r="E259" s="410">
        <v>1246163527</v>
      </c>
      <c r="F259" s="412">
        <v>45779</v>
      </c>
      <c r="G259" s="410"/>
      <c r="H259" s="410" t="s">
        <v>173</v>
      </c>
      <c r="I259" s="410" t="s">
        <v>174</v>
      </c>
      <c r="J259" s="410">
        <v>4649</v>
      </c>
      <c r="K259" s="412">
        <v>45511</v>
      </c>
      <c r="L259" s="410">
        <v>1010100</v>
      </c>
      <c r="M259" s="410" t="s">
        <v>35</v>
      </c>
      <c r="N259" s="410">
        <v>161</v>
      </c>
      <c r="O259" s="410" t="s">
        <v>161</v>
      </c>
      <c r="P259" s="410" t="s">
        <v>270</v>
      </c>
      <c r="Q259">
        <f t="shared" si="5"/>
        <v>356</v>
      </c>
      <c r="R259" t="str">
        <f>_xlfn.XLOOKUP(P259,'Painel Fertilizers'!$B:$B,'Painel Fertilizers'!$B:$B,0)</f>
        <v>FAZENDA ARCOS SÃO JOÃO</v>
      </c>
    </row>
    <row r="260" spans="1:18" x14ac:dyDescent="0.25">
      <c r="A260" s="410">
        <v>14396</v>
      </c>
      <c r="B260" s="410" t="s">
        <v>270</v>
      </c>
      <c r="C260" s="410" t="s">
        <v>271</v>
      </c>
      <c r="D260" s="411">
        <v>121086.24</v>
      </c>
      <c r="E260" s="410">
        <v>1246160799</v>
      </c>
      <c r="F260" s="412">
        <v>45779</v>
      </c>
      <c r="G260" s="410"/>
      <c r="H260" s="410" t="s">
        <v>173</v>
      </c>
      <c r="I260" s="410" t="s">
        <v>174</v>
      </c>
      <c r="J260" s="410">
        <v>4489</v>
      </c>
      <c r="K260" s="412">
        <v>45499</v>
      </c>
      <c r="L260" s="410">
        <v>1010100</v>
      </c>
      <c r="M260" s="410" t="s">
        <v>35</v>
      </c>
      <c r="N260" s="410">
        <v>161</v>
      </c>
      <c r="O260" s="410" t="s">
        <v>161</v>
      </c>
      <c r="P260" s="410" t="s">
        <v>270</v>
      </c>
      <c r="Q260">
        <f t="shared" si="5"/>
        <v>356</v>
      </c>
      <c r="R260" t="str">
        <f>_xlfn.XLOOKUP(P260,'Painel Fertilizers'!$B:$B,'Painel Fertilizers'!$B:$B,0)</f>
        <v>FAZENDA ARCOS SÃO JOÃO</v>
      </c>
    </row>
    <row r="261" spans="1:18" x14ac:dyDescent="0.25">
      <c r="A261" s="410">
        <v>14396</v>
      </c>
      <c r="B261" s="410" t="s">
        <v>270</v>
      </c>
      <c r="C261" s="410" t="s">
        <v>271</v>
      </c>
      <c r="D261" s="411">
        <v>145692</v>
      </c>
      <c r="E261" s="410">
        <v>1246160793</v>
      </c>
      <c r="F261" s="412">
        <v>45779</v>
      </c>
      <c r="G261" s="410"/>
      <c r="H261" s="410" t="s">
        <v>173</v>
      </c>
      <c r="I261" s="410" t="s">
        <v>174</v>
      </c>
      <c r="J261" s="410">
        <v>4485</v>
      </c>
      <c r="K261" s="412">
        <v>45499</v>
      </c>
      <c r="L261" s="410">
        <v>1010100</v>
      </c>
      <c r="M261" s="410" t="s">
        <v>35</v>
      </c>
      <c r="N261" s="410">
        <v>161</v>
      </c>
      <c r="O261" s="410" t="s">
        <v>161</v>
      </c>
      <c r="P261" s="410" t="s">
        <v>270</v>
      </c>
      <c r="Q261">
        <f t="shared" si="5"/>
        <v>356</v>
      </c>
      <c r="R261" t="str">
        <f>_xlfn.XLOOKUP(P261,'Painel Fertilizers'!$B:$B,'Painel Fertilizers'!$B:$B,0)</f>
        <v>FAZENDA ARCOS SÃO JOÃO</v>
      </c>
    </row>
    <row r="262" spans="1:18" x14ac:dyDescent="0.25">
      <c r="A262" s="410">
        <v>14396</v>
      </c>
      <c r="B262" s="410" t="s">
        <v>270</v>
      </c>
      <c r="C262" s="410" t="s">
        <v>271</v>
      </c>
      <c r="D262" s="411">
        <v>121410</v>
      </c>
      <c r="E262" s="410">
        <v>1246180565</v>
      </c>
      <c r="F262" s="412">
        <v>45776</v>
      </c>
      <c r="G262" s="410"/>
      <c r="H262" s="410" t="s">
        <v>173</v>
      </c>
      <c r="I262" s="410" t="s">
        <v>174</v>
      </c>
      <c r="J262" s="410">
        <v>5953</v>
      </c>
      <c r="K262" s="412">
        <v>45600</v>
      </c>
      <c r="L262" s="410">
        <v>1010100</v>
      </c>
      <c r="M262" s="410" t="s">
        <v>35</v>
      </c>
      <c r="N262" s="410">
        <v>161</v>
      </c>
      <c r="O262" s="410" t="s">
        <v>161</v>
      </c>
      <c r="P262" s="410" t="s">
        <v>270</v>
      </c>
      <c r="Q262">
        <f t="shared" si="5"/>
        <v>359</v>
      </c>
      <c r="R262" t="str">
        <f>_xlfn.XLOOKUP(P262,'Painel Fertilizers'!$B:$B,'Painel Fertilizers'!$B:$B,0)</f>
        <v>FAZENDA ARCOS SÃO JOÃO</v>
      </c>
    </row>
    <row r="263" spans="1:18" x14ac:dyDescent="0.25">
      <c r="A263" s="410">
        <v>14396</v>
      </c>
      <c r="B263" s="410" t="s">
        <v>270</v>
      </c>
      <c r="C263" s="410" t="s">
        <v>271</v>
      </c>
      <c r="D263" s="411">
        <v>171360</v>
      </c>
      <c r="E263" s="410">
        <v>1246202562</v>
      </c>
      <c r="F263" s="412">
        <v>45930</v>
      </c>
      <c r="G263" s="410"/>
      <c r="H263" s="410" t="s">
        <v>173</v>
      </c>
      <c r="I263" s="410" t="s">
        <v>174</v>
      </c>
      <c r="J263" s="410">
        <v>7204</v>
      </c>
      <c r="K263" s="412">
        <v>45728</v>
      </c>
      <c r="L263" s="410">
        <v>1010100</v>
      </c>
      <c r="M263" s="410" t="s">
        <v>35</v>
      </c>
      <c r="N263" s="410">
        <v>161</v>
      </c>
      <c r="O263" s="410" t="s">
        <v>161</v>
      </c>
      <c r="P263" s="410" t="s">
        <v>270</v>
      </c>
      <c r="Q263">
        <f t="shared" si="5"/>
        <v>205</v>
      </c>
      <c r="R263" t="str">
        <f>_xlfn.XLOOKUP(P263,'Painel Fertilizers'!$B:$B,'Painel Fertilizers'!$B:$B,0)</f>
        <v>FAZENDA ARCOS SÃO JOÃO</v>
      </c>
    </row>
    <row r="264" spans="1:18" x14ac:dyDescent="0.25">
      <c r="A264" s="410">
        <v>14396</v>
      </c>
      <c r="B264" s="410" t="s">
        <v>270</v>
      </c>
      <c r="C264" s="410" t="s">
        <v>271</v>
      </c>
      <c r="D264" s="411">
        <v>4000</v>
      </c>
      <c r="E264" s="410">
        <v>1246203613</v>
      </c>
      <c r="F264" s="412">
        <v>45920</v>
      </c>
      <c r="G264" s="410"/>
      <c r="H264" s="410" t="s">
        <v>173</v>
      </c>
      <c r="I264" s="410" t="s">
        <v>174</v>
      </c>
      <c r="J264" s="410">
        <v>7286</v>
      </c>
      <c r="K264" s="412">
        <v>45735</v>
      </c>
      <c r="L264" s="410">
        <v>1010100</v>
      </c>
      <c r="M264" s="410" t="s">
        <v>35</v>
      </c>
      <c r="N264" s="410">
        <v>161</v>
      </c>
      <c r="O264" s="410" t="s">
        <v>161</v>
      </c>
      <c r="P264" s="410" t="s">
        <v>270</v>
      </c>
      <c r="Q264">
        <f t="shared" si="5"/>
        <v>215</v>
      </c>
      <c r="R264" t="str">
        <f>_xlfn.XLOOKUP(P264,'Painel Fertilizers'!$B:$B,'Painel Fertilizers'!$B:$B,0)</f>
        <v>FAZENDA ARCOS SÃO JOÃO</v>
      </c>
    </row>
    <row r="265" spans="1:18" x14ac:dyDescent="0.25">
      <c r="A265" s="410">
        <v>14396</v>
      </c>
      <c r="B265" s="410" t="s">
        <v>270</v>
      </c>
      <c r="C265" s="410" t="s">
        <v>271</v>
      </c>
      <c r="D265" s="411">
        <v>139680</v>
      </c>
      <c r="E265" s="410">
        <v>1246199147</v>
      </c>
      <c r="F265" s="412">
        <v>45889</v>
      </c>
      <c r="G265" s="410"/>
      <c r="H265" s="410" t="s">
        <v>173</v>
      </c>
      <c r="I265" s="410" t="s">
        <v>174</v>
      </c>
      <c r="J265" s="410">
        <v>6996</v>
      </c>
      <c r="K265" s="412">
        <v>45706</v>
      </c>
      <c r="L265" s="410">
        <v>1010100</v>
      </c>
      <c r="M265" s="410" t="s">
        <v>35</v>
      </c>
      <c r="N265" s="410">
        <v>161</v>
      </c>
      <c r="O265" s="410" t="s">
        <v>161</v>
      </c>
      <c r="P265" s="410" t="s">
        <v>270</v>
      </c>
      <c r="Q265">
        <f t="shared" si="5"/>
        <v>246</v>
      </c>
      <c r="R265" t="str">
        <f>_xlfn.XLOOKUP(P265,'Painel Fertilizers'!$B:$B,'Painel Fertilizers'!$B:$B,0)</f>
        <v>FAZENDA ARCOS SÃO JOÃO</v>
      </c>
    </row>
    <row r="266" spans="1:18" x14ac:dyDescent="0.25">
      <c r="A266" s="410">
        <v>14396</v>
      </c>
      <c r="B266" s="410" t="s">
        <v>270</v>
      </c>
      <c r="C266" s="410" t="s">
        <v>271</v>
      </c>
      <c r="D266" s="411">
        <v>139680</v>
      </c>
      <c r="E266" s="410">
        <v>1246199209</v>
      </c>
      <c r="F266" s="412">
        <v>45889</v>
      </c>
      <c r="G266" s="410"/>
      <c r="H266" s="410" t="s">
        <v>173</v>
      </c>
      <c r="I266" s="410" t="s">
        <v>174</v>
      </c>
      <c r="J266" s="410">
        <v>7005</v>
      </c>
      <c r="K266" s="412">
        <v>45706</v>
      </c>
      <c r="L266" s="410">
        <v>1010100</v>
      </c>
      <c r="M266" s="410" t="s">
        <v>35</v>
      </c>
      <c r="N266" s="410">
        <v>161</v>
      </c>
      <c r="O266" s="410" t="s">
        <v>161</v>
      </c>
      <c r="P266" s="410" t="s">
        <v>270</v>
      </c>
      <c r="Q266">
        <f t="shared" si="5"/>
        <v>246</v>
      </c>
      <c r="R266" t="str">
        <f>_xlfn.XLOOKUP(P266,'Painel Fertilizers'!$B:$B,'Painel Fertilizers'!$B:$B,0)</f>
        <v>FAZENDA ARCOS SÃO JOÃO</v>
      </c>
    </row>
    <row r="267" spans="1:18" x14ac:dyDescent="0.25">
      <c r="A267" s="410">
        <v>14396</v>
      </c>
      <c r="B267" s="410" t="s">
        <v>270</v>
      </c>
      <c r="C267" s="410" t="s">
        <v>271</v>
      </c>
      <c r="D267" s="411">
        <v>8000</v>
      </c>
      <c r="E267" s="410">
        <v>1246205781</v>
      </c>
      <c r="F267" s="412">
        <v>45920</v>
      </c>
      <c r="G267" s="410"/>
      <c r="H267" s="410" t="s">
        <v>173</v>
      </c>
      <c r="I267" s="410" t="s">
        <v>174</v>
      </c>
      <c r="J267" s="410">
        <v>7423</v>
      </c>
      <c r="K267" s="412">
        <v>45744</v>
      </c>
      <c r="L267" s="410">
        <v>1010100</v>
      </c>
      <c r="M267" s="410" t="s">
        <v>35</v>
      </c>
      <c r="N267" s="410">
        <v>161</v>
      </c>
      <c r="O267" s="410" t="s">
        <v>161</v>
      </c>
      <c r="P267" s="410" t="s">
        <v>270</v>
      </c>
      <c r="Q267">
        <f t="shared" si="5"/>
        <v>215</v>
      </c>
      <c r="R267" t="str">
        <f>_xlfn.XLOOKUP(P267,'Painel Fertilizers'!$B:$B,'Painel Fertilizers'!$B:$B,0)</f>
        <v>FAZENDA ARCOS SÃO JOÃO</v>
      </c>
    </row>
    <row r="268" spans="1:18" x14ac:dyDescent="0.25">
      <c r="A268" s="410">
        <v>16107</v>
      </c>
      <c r="B268" s="410" t="s">
        <v>581</v>
      </c>
      <c r="C268" s="410" t="s">
        <v>582</v>
      </c>
      <c r="D268" s="411">
        <v>58579.74</v>
      </c>
      <c r="E268" s="410">
        <v>1246235692</v>
      </c>
      <c r="F268" s="412">
        <v>46142</v>
      </c>
      <c r="G268" s="410"/>
      <c r="H268" s="410" t="s">
        <v>173</v>
      </c>
      <c r="I268" s="410" t="s">
        <v>174</v>
      </c>
      <c r="J268" s="410">
        <v>9246</v>
      </c>
      <c r="K268" s="412">
        <v>45908</v>
      </c>
      <c r="L268" s="410">
        <v>1010100</v>
      </c>
      <c r="M268" s="410" t="s">
        <v>35</v>
      </c>
      <c r="N268" s="410">
        <v>161</v>
      </c>
      <c r="O268" s="410" t="s">
        <v>161</v>
      </c>
      <c r="P268" s="410" t="s">
        <v>581</v>
      </c>
      <c r="Q268">
        <f t="shared" si="5"/>
        <v>-7</v>
      </c>
      <c r="R268" t="str">
        <f>_xlfn.XLOOKUP(P268,'Painel Fertilizers'!$B:$B,'Painel Fertilizers'!$B:$B,0)</f>
        <v>CONNTACTA AGRONEGOCIOS</v>
      </c>
    </row>
    <row r="269" spans="1:18" x14ac:dyDescent="0.25">
      <c r="A269" s="410">
        <v>16107</v>
      </c>
      <c r="B269" s="410" t="s">
        <v>581</v>
      </c>
      <c r="C269" s="410" t="s">
        <v>582</v>
      </c>
      <c r="D269" s="411">
        <v>120293.94</v>
      </c>
      <c r="E269" s="410">
        <v>1246234013</v>
      </c>
      <c r="F269" s="412">
        <v>46164</v>
      </c>
      <c r="G269" s="410"/>
      <c r="H269" s="410" t="s">
        <v>173</v>
      </c>
      <c r="I269" s="410" t="s">
        <v>174</v>
      </c>
      <c r="J269" s="410">
        <v>9130</v>
      </c>
      <c r="K269" s="412">
        <v>45898</v>
      </c>
      <c r="L269" s="410">
        <v>1010100</v>
      </c>
      <c r="M269" s="410" t="s">
        <v>35</v>
      </c>
      <c r="N269" s="410">
        <v>161</v>
      </c>
      <c r="O269" s="410" t="s">
        <v>161</v>
      </c>
      <c r="P269" s="410" t="s">
        <v>581</v>
      </c>
      <c r="Q269">
        <f t="shared" si="5"/>
        <v>-29</v>
      </c>
      <c r="R269" t="str">
        <f>_xlfn.XLOOKUP(P269,'Painel Fertilizers'!$B:$B,'Painel Fertilizers'!$B:$B,0)</f>
        <v>CONNTACTA AGRONEGOCIOS</v>
      </c>
    </row>
    <row r="270" spans="1:18" x14ac:dyDescent="0.25">
      <c r="A270" s="410">
        <v>16107</v>
      </c>
      <c r="B270" s="410" t="s">
        <v>581</v>
      </c>
      <c r="C270" s="410" t="s">
        <v>582</v>
      </c>
      <c r="D270" s="411">
        <v>52795.360000000001</v>
      </c>
      <c r="E270" s="410">
        <v>1246231811</v>
      </c>
      <c r="F270" s="412">
        <v>46144</v>
      </c>
      <c r="G270" s="410"/>
      <c r="H270" s="410" t="s">
        <v>173</v>
      </c>
      <c r="I270" s="410" t="s">
        <v>174</v>
      </c>
      <c r="J270" s="410">
        <v>8929</v>
      </c>
      <c r="K270" s="412">
        <v>45888</v>
      </c>
      <c r="L270" s="410">
        <v>1010100</v>
      </c>
      <c r="M270" s="410" t="s">
        <v>35</v>
      </c>
      <c r="N270" s="410">
        <v>161</v>
      </c>
      <c r="O270" s="410" t="s">
        <v>161</v>
      </c>
      <c r="P270" s="410" t="s">
        <v>581</v>
      </c>
      <c r="Q270">
        <f t="shared" si="5"/>
        <v>-9</v>
      </c>
      <c r="R270" t="str">
        <f>_xlfn.XLOOKUP(P270,'Painel Fertilizers'!$B:$B,'Painel Fertilizers'!$B:$B,0)</f>
        <v>CONNTACTA AGRONEGOCIOS</v>
      </c>
    </row>
    <row r="271" spans="1:18" x14ac:dyDescent="0.25">
      <c r="A271" s="410">
        <v>16107</v>
      </c>
      <c r="B271" s="410" t="s">
        <v>581</v>
      </c>
      <c r="C271" s="410" t="s">
        <v>582</v>
      </c>
      <c r="D271" s="411">
        <v>92391.88</v>
      </c>
      <c r="E271" s="410">
        <v>1246232362</v>
      </c>
      <c r="F271" s="412">
        <v>46144</v>
      </c>
      <c r="G271" s="410"/>
      <c r="H271" s="410" t="s">
        <v>173</v>
      </c>
      <c r="I271" s="410" t="s">
        <v>174</v>
      </c>
      <c r="J271" s="410">
        <v>8978</v>
      </c>
      <c r="K271" s="412">
        <v>45890</v>
      </c>
      <c r="L271" s="410">
        <v>1010100</v>
      </c>
      <c r="M271" s="410" t="s">
        <v>35</v>
      </c>
      <c r="N271" s="410">
        <v>161</v>
      </c>
      <c r="O271" s="410" t="s">
        <v>161</v>
      </c>
      <c r="P271" s="410" t="s">
        <v>581</v>
      </c>
      <c r="Q271">
        <f t="shared" si="5"/>
        <v>-9</v>
      </c>
      <c r="R271" t="str">
        <f>_xlfn.XLOOKUP(P271,'Painel Fertilizers'!$B:$B,'Painel Fertilizers'!$B:$B,0)</f>
        <v>CONNTACTA AGRONEGOCIOS</v>
      </c>
    </row>
    <row r="272" spans="1:18" x14ac:dyDescent="0.25">
      <c r="A272" s="410">
        <v>16107</v>
      </c>
      <c r="B272" s="410" t="s">
        <v>581</v>
      </c>
      <c r="C272" s="410" t="s">
        <v>582</v>
      </c>
      <c r="D272" s="411">
        <v>94968.9</v>
      </c>
      <c r="E272" s="410">
        <v>1246234271</v>
      </c>
      <c r="F272" s="412">
        <v>46167</v>
      </c>
      <c r="G272" s="410"/>
      <c r="H272" s="410" t="s">
        <v>173</v>
      </c>
      <c r="I272" s="410" t="s">
        <v>174</v>
      </c>
      <c r="J272" s="410">
        <v>9136</v>
      </c>
      <c r="K272" s="412">
        <v>45901</v>
      </c>
      <c r="L272" s="410">
        <v>1010100</v>
      </c>
      <c r="M272" s="410" t="s">
        <v>35</v>
      </c>
      <c r="N272" s="410">
        <v>161</v>
      </c>
      <c r="O272" s="410" t="s">
        <v>161</v>
      </c>
      <c r="P272" s="410" t="s">
        <v>581</v>
      </c>
      <c r="Q272">
        <f t="shared" si="5"/>
        <v>-32</v>
      </c>
      <c r="R272" t="str">
        <f>_xlfn.XLOOKUP(P272,'Painel Fertilizers'!$B:$B,'Painel Fertilizers'!$B:$B,0)</f>
        <v>CONNTACTA AGRONEGOCIOS</v>
      </c>
    </row>
    <row r="273" spans="1:18" x14ac:dyDescent="0.25">
      <c r="A273" s="410">
        <v>16107</v>
      </c>
      <c r="B273" s="410" t="s">
        <v>581</v>
      </c>
      <c r="C273" s="410" t="s">
        <v>582</v>
      </c>
      <c r="D273" s="411">
        <v>101300.16</v>
      </c>
      <c r="E273" s="410">
        <v>1246233237</v>
      </c>
      <c r="F273" s="412">
        <v>46162</v>
      </c>
      <c r="G273" s="410"/>
      <c r="H273" s="410" t="s">
        <v>173</v>
      </c>
      <c r="I273" s="410" t="s">
        <v>174</v>
      </c>
      <c r="J273" s="410">
        <v>9072</v>
      </c>
      <c r="K273" s="412">
        <v>45896</v>
      </c>
      <c r="L273" s="410">
        <v>1010100</v>
      </c>
      <c r="M273" s="410" t="s">
        <v>35</v>
      </c>
      <c r="N273" s="410">
        <v>161</v>
      </c>
      <c r="O273" s="410" t="s">
        <v>161</v>
      </c>
      <c r="P273" s="410" t="s">
        <v>581</v>
      </c>
      <c r="Q273">
        <f t="shared" si="5"/>
        <v>-27</v>
      </c>
      <c r="R273" t="str">
        <f>_xlfn.XLOOKUP(P273,'Painel Fertilizers'!$B:$B,'Painel Fertilizers'!$B:$B,0)</f>
        <v>CONNTACTA AGRONEGOCIOS</v>
      </c>
    </row>
    <row r="274" spans="1:18" x14ac:dyDescent="0.25">
      <c r="A274" s="410">
        <v>16107</v>
      </c>
      <c r="B274" s="410" t="s">
        <v>581</v>
      </c>
      <c r="C274" s="410" t="s">
        <v>582</v>
      </c>
      <c r="D274" s="411">
        <v>27054.5</v>
      </c>
      <c r="E274" s="410">
        <v>1246235694</v>
      </c>
      <c r="F274" s="412">
        <v>46142</v>
      </c>
      <c r="G274" s="410"/>
      <c r="H274" s="410" t="s">
        <v>173</v>
      </c>
      <c r="I274" s="410" t="s">
        <v>174</v>
      </c>
      <c r="J274" s="410">
        <v>9247</v>
      </c>
      <c r="K274" s="412">
        <v>45908</v>
      </c>
      <c r="L274" s="410">
        <v>1010100</v>
      </c>
      <c r="M274" s="410" t="s">
        <v>35</v>
      </c>
      <c r="N274" s="410">
        <v>161</v>
      </c>
      <c r="O274" s="410" t="s">
        <v>161</v>
      </c>
      <c r="P274" s="410" t="s">
        <v>581</v>
      </c>
      <c r="Q274">
        <f t="shared" si="5"/>
        <v>-7</v>
      </c>
      <c r="R274" t="str">
        <f>_xlfn.XLOOKUP(P274,'Painel Fertilizers'!$B:$B,'Painel Fertilizers'!$B:$B,0)</f>
        <v>CONNTACTA AGRONEGOCIOS</v>
      </c>
    </row>
    <row r="275" spans="1:18" x14ac:dyDescent="0.25">
      <c r="A275" s="410">
        <v>16107</v>
      </c>
      <c r="B275" s="410" t="s">
        <v>581</v>
      </c>
      <c r="C275" s="410" t="s">
        <v>582</v>
      </c>
      <c r="D275" s="411">
        <v>94968.9</v>
      </c>
      <c r="E275" s="410">
        <v>1246233894</v>
      </c>
      <c r="F275" s="412">
        <v>46164</v>
      </c>
      <c r="G275" s="410"/>
      <c r="H275" s="410" t="s">
        <v>173</v>
      </c>
      <c r="I275" s="410" t="s">
        <v>174</v>
      </c>
      <c r="J275" s="410">
        <v>9120</v>
      </c>
      <c r="K275" s="412">
        <v>45898</v>
      </c>
      <c r="L275" s="410">
        <v>1010100</v>
      </c>
      <c r="M275" s="410" t="s">
        <v>35</v>
      </c>
      <c r="N275" s="410">
        <v>161</v>
      </c>
      <c r="O275" s="410" t="s">
        <v>161</v>
      </c>
      <c r="P275" s="410" t="s">
        <v>581</v>
      </c>
      <c r="Q275">
        <f t="shared" si="5"/>
        <v>-29</v>
      </c>
      <c r="R275" t="str">
        <f>_xlfn.XLOOKUP(P275,'Painel Fertilizers'!$B:$B,'Painel Fertilizers'!$B:$B,0)</f>
        <v>CONNTACTA AGRONEGOCIOS</v>
      </c>
    </row>
    <row r="276" spans="1:18" x14ac:dyDescent="0.25">
      <c r="A276" s="410">
        <v>16107</v>
      </c>
      <c r="B276" s="410" t="s">
        <v>581</v>
      </c>
      <c r="C276" s="410" t="s">
        <v>582</v>
      </c>
      <c r="D276" s="411">
        <v>94968.9</v>
      </c>
      <c r="E276" s="410">
        <v>1246238555</v>
      </c>
      <c r="F276" s="412">
        <v>46164</v>
      </c>
      <c r="G276" s="410"/>
      <c r="H276" s="410" t="s">
        <v>173</v>
      </c>
      <c r="I276" s="410" t="s">
        <v>174</v>
      </c>
      <c r="J276" s="410">
        <v>9444</v>
      </c>
      <c r="K276" s="412">
        <v>45924</v>
      </c>
      <c r="L276" s="410">
        <v>1010100</v>
      </c>
      <c r="M276" s="410" t="s">
        <v>35</v>
      </c>
      <c r="N276" s="410">
        <v>161</v>
      </c>
      <c r="O276" s="410" t="s">
        <v>161</v>
      </c>
      <c r="P276" s="410" t="s">
        <v>581</v>
      </c>
      <c r="Q276">
        <f t="shared" si="5"/>
        <v>-29</v>
      </c>
      <c r="R276" t="str">
        <f>_xlfn.XLOOKUP(P276,'Painel Fertilizers'!$B:$B,'Painel Fertilizers'!$B:$B,0)</f>
        <v>CONNTACTA AGRONEGOCIOS</v>
      </c>
    </row>
    <row r="277" spans="1:18" x14ac:dyDescent="0.25">
      <c r="A277" s="410">
        <v>16107</v>
      </c>
      <c r="B277" s="410" t="s">
        <v>581</v>
      </c>
      <c r="C277" s="410" t="s">
        <v>582</v>
      </c>
      <c r="D277" s="411">
        <v>2217.7800000000002</v>
      </c>
      <c r="E277" s="410">
        <v>1246235696</v>
      </c>
      <c r="F277" s="412">
        <v>46142</v>
      </c>
      <c r="G277" s="410"/>
      <c r="H277" s="410" t="s">
        <v>173</v>
      </c>
      <c r="I277" s="410" t="s">
        <v>174</v>
      </c>
      <c r="J277" s="410">
        <v>9248</v>
      </c>
      <c r="K277" s="412">
        <v>45908</v>
      </c>
      <c r="L277" s="410">
        <v>1010100</v>
      </c>
      <c r="M277" s="410" t="s">
        <v>35</v>
      </c>
      <c r="N277" s="410">
        <v>161</v>
      </c>
      <c r="O277" s="410" t="s">
        <v>161</v>
      </c>
      <c r="P277" s="410" t="s">
        <v>581</v>
      </c>
      <c r="Q277">
        <f t="shared" si="5"/>
        <v>-7</v>
      </c>
      <c r="R277" t="str">
        <f>_xlfn.XLOOKUP(P277,'Painel Fertilizers'!$B:$B,'Painel Fertilizers'!$B:$B,0)</f>
        <v>CONNTACTA AGRONEGOCIOS</v>
      </c>
    </row>
    <row r="278" spans="1:18" x14ac:dyDescent="0.25">
      <c r="A278" s="410">
        <v>15917</v>
      </c>
      <c r="B278" s="410" t="s">
        <v>671</v>
      </c>
      <c r="C278" s="410" t="s">
        <v>695</v>
      </c>
      <c r="D278" s="411">
        <v>8176</v>
      </c>
      <c r="E278" s="410">
        <v>1246241844</v>
      </c>
      <c r="F278" s="412">
        <v>46143</v>
      </c>
      <c r="G278" s="410"/>
      <c r="H278" s="410" t="s">
        <v>173</v>
      </c>
      <c r="I278" s="410" t="s">
        <v>174</v>
      </c>
      <c r="J278" s="410">
        <v>9608</v>
      </c>
      <c r="K278" s="412">
        <v>45937</v>
      </c>
      <c r="L278" s="410">
        <v>1010100</v>
      </c>
      <c r="M278" s="410" t="s">
        <v>35</v>
      </c>
      <c r="N278" s="410">
        <v>161</v>
      </c>
      <c r="O278" s="410" t="s">
        <v>161</v>
      </c>
      <c r="P278" s="410" t="s">
        <v>671</v>
      </c>
      <c r="Q278">
        <f t="shared" si="5"/>
        <v>-8</v>
      </c>
      <c r="R278" t="str">
        <f>_xlfn.XLOOKUP(P278,'Painel Fertilizers'!$B:$B,'Painel Fertilizers'!$B:$B,0)</f>
        <v>MINAS FARM</v>
      </c>
    </row>
    <row r="279" spans="1:18" x14ac:dyDescent="0.25">
      <c r="A279" s="410">
        <v>15917</v>
      </c>
      <c r="B279" s="410" t="s">
        <v>671</v>
      </c>
      <c r="C279" s="410" t="s">
        <v>695</v>
      </c>
      <c r="D279" s="411">
        <v>2564.1</v>
      </c>
      <c r="E279" s="410">
        <v>1246237253</v>
      </c>
      <c r="F279" s="412">
        <v>46142</v>
      </c>
      <c r="G279" s="410"/>
      <c r="H279" s="410" t="s">
        <v>173</v>
      </c>
      <c r="I279" s="410" t="s">
        <v>174</v>
      </c>
      <c r="J279" s="410">
        <v>9360</v>
      </c>
      <c r="K279" s="412">
        <v>45918</v>
      </c>
      <c r="L279" s="410">
        <v>1010100</v>
      </c>
      <c r="M279" s="410" t="s">
        <v>35</v>
      </c>
      <c r="N279" s="410">
        <v>161</v>
      </c>
      <c r="O279" s="410" t="s">
        <v>161</v>
      </c>
      <c r="P279" s="410" t="s">
        <v>671</v>
      </c>
      <c r="Q279">
        <f t="shared" si="5"/>
        <v>-7</v>
      </c>
      <c r="R279" t="str">
        <f>_xlfn.XLOOKUP(P279,'Painel Fertilizers'!$B:$B,'Painel Fertilizers'!$B:$B,0)</f>
        <v>MINAS FARM</v>
      </c>
    </row>
    <row r="280" spans="1:18" x14ac:dyDescent="0.25">
      <c r="A280" s="410">
        <v>15917</v>
      </c>
      <c r="B280" s="410" t="s">
        <v>671</v>
      </c>
      <c r="C280" s="410" t="s">
        <v>695</v>
      </c>
      <c r="D280" s="411">
        <v>3492</v>
      </c>
      <c r="E280" s="410">
        <v>1246240189</v>
      </c>
      <c r="F280" s="412">
        <v>46154</v>
      </c>
      <c r="G280" s="410"/>
      <c r="H280" s="410" t="s">
        <v>173</v>
      </c>
      <c r="I280" s="410" t="s">
        <v>174</v>
      </c>
      <c r="J280" s="410">
        <v>9509</v>
      </c>
      <c r="K280" s="412">
        <v>45930</v>
      </c>
      <c r="L280" s="410">
        <v>1010100</v>
      </c>
      <c r="M280" s="410" t="s">
        <v>35</v>
      </c>
      <c r="N280" s="410">
        <v>161</v>
      </c>
      <c r="O280" s="410" t="s">
        <v>161</v>
      </c>
      <c r="P280" s="410" t="s">
        <v>671</v>
      </c>
      <c r="Q280">
        <f t="shared" si="5"/>
        <v>-19</v>
      </c>
      <c r="R280" t="str">
        <f>_xlfn.XLOOKUP(P280,'Painel Fertilizers'!$B:$B,'Painel Fertilizers'!$B:$B,0)</f>
        <v>MINAS FARM</v>
      </c>
    </row>
    <row r="281" spans="1:18" x14ac:dyDescent="0.25">
      <c r="A281" s="410">
        <v>15917</v>
      </c>
      <c r="B281" s="410" t="s">
        <v>671</v>
      </c>
      <c r="C281" s="410" t="s">
        <v>695</v>
      </c>
      <c r="D281" s="411">
        <v>6293.7</v>
      </c>
      <c r="E281" s="410">
        <v>1246241843</v>
      </c>
      <c r="F281" s="412">
        <v>46143</v>
      </c>
      <c r="G281" s="410"/>
      <c r="H281" s="410" t="s">
        <v>173</v>
      </c>
      <c r="I281" s="410" t="s">
        <v>174</v>
      </c>
      <c r="J281" s="410">
        <v>9607</v>
      </c>
      <c r="K281" s="412">
        <v>45937</v>
      </c>
      <c r="L281" s="410">
        <v>1010100</v>
      </c>
      <c r="M281" s="410" t="s">
        <v>35</v>
      </c>
      <c r="N281" s="410">
        <v>161</v>
      </c>
      <c r="O281" s="410" t="s">
        <v>161</v>
      </c>
      <c r="P281" s="410" t="s">
        <v>671</v>
      </c>
      <c r="Q281">
        <f t="shared" si="5"/>
        <v>-8</v>
      </c>
      <c r="R281" t="str">
        <f>_xlfn.XLOOKUP(P281,'Painel Fertilizers'!$B:$B,'Painel Fertilizers'!$B:$B,0)</f>
        <v>MINAS FARM</v>
      </c>
    </row>
    <row r="282" spans="1:18" x14ac:dyDescent="0.25">
      <c r="D282" s="34"/>
      <c r="F282" s="30"/>
      <c r="K282" s="30"/>
      <c r="Q282">
        <f t="shared" si="5"/>
        <v>46135</v>
      </c>
      <c r="R282">
        <f>_xlfn.XLOOKUP(P282,'Painel Fertilizers'!$B:$B,'Painel Fertilizers'!$B:$B,0)</f>
        <v>0</v>
      </c>
    </row>
    <row r="283" spans="1:18" x14ac:dyDescent="0.25">
      <c r="D283" s="34"/>
      <c r="F283" s="30"/>
      <c r="K283" s="30"/>
      <c r="Q283">
        <f t="shared" si="5"/>
        <v>46135</v>
      </c>
      <c r="R283">
        <f>_xlfn.XLOOKUP(P283,'Painel Fertilizers'!$B:$B,'Painel Fertilizers'!$B:$B,0)</f>
        <v>0</v>
      </c>
    </row>
    <row r="284" spans="1:18" x14ac:dyDescent="0.25">
      <c r="D284" s="34"/>
      <c r="F284" s="30"/>
      <c r="K284" s="30"/>
      <c r="Q284">
        <f t="shared" si="5"/>
        <v>46135</v>
      </c>
      <c r="R284">
        <f>_xlfn.XLOOKUP(P284,'Painel Fertilizers'!$B:$B,'Painel Fertilizers'!$B:$B,0)</f>
        <v>0</v>
      </c>
    </row>
    <row r="285" spans="1:18" x14ac:dyDescent="0.25">
      <c r="D285" s="34"/>
      <c r="F285" s="30"/>
      <c r="K285" s="30"/>
      <c r="Q285">
        <f t="shared" si="5"/>
        <v>46135</v>
      </c>
      <c r="R285">
        <f>_xlfn.XLOOKUP(P285,'Painel Fertilizers'!$B:$B,'Painel Fertilizers'!$B:$B,0)</f>
        <v>0</v>
      </c>
    </row>
    <row r="286" spans="1:18" x14ac:dyDescent="0.25">
      <c r="D286" s="34"/>
      <c r="F286" s="30"/>
      <c r="K286" s="30"/>
      <c r="Q286">
        <f t="shared" si="5"/>
        <v>46135</v>
      </c>
      <c r="R286">
        <f>_xlfn.XLOOKUP(P286,'Painel Fertilizers'!$B:$B,'Painel Fertilizers'!$B:$B,0)</f>
        <v>0</v>
      </c>
    </row>
    <row r="287" spans="1:18" x14ac:dyDescent="0.25">
      <c r="D287" s="34"/>
      <c r="F287" s="30"/>
      <c r="K287" s="30"/>
      <c r="Q287">
        <f t="shared" si="5"/>
        <v>46135</v>
      </c>
      <c r="R287">
        <f>_xlfn.XLOOKUP(P287,'Painel Fertilizers'!$B:$B,'Painel Fertilizers'!$B:$B,0)</f>
        <v>0</v>
      </c>
    </row>
    <row r="288" spans="1:18" x14ac:dyDescent="0.25">
      <c r="D288" s="34"/>
      <c r="F288" s="30"/>
      <c r="K288" s="30"/>
      <c r="Q288">
        <f t="shared" si="5"/>
        <v>46135</v>
      </c>
      <c r="R288">
        <f>_xlfn.XLOOKUP(P288,'Painel Fertilizers'!$B:$B,'Painel Fertilizers'!$B:$B,0)</f>
        <v>0</v>
      </c>
    </row>
    <row r="289" spans="4:18" x14ac:dyDescent="0.25">
      <c r="D289" s="34"/>
      <c r="F289" s="30"/>
      <c r="G289" s="30"/>
      <c r="K289" s="30"/>
      <c r="Q289">
        <f t="shared" si="5"/>
        <v>46135</v>
      </c>
      <c r="R289">
        <f>_xlfn.XLOOKUP(P289,'Painel Fertilizers'!$B:$B,'Painel Fertilizers'!$B:$B,0)</f>
        <v>0</v>
      </c>
    </row>
    <row r="290" spans="4:18" x14ac:dyDescent="0.25">
      <c r="D290" s="34"/>
      <c r="F290" s="30"/>
      <c r="G290" s="30"/>
      <c r="K290" s="30"/>
      <c r="Q290">
        <f t="shared" si="5"/>
        <v>46135</v>
      </c>
      <c r="R290">
        <f>_xlfn.XLOOKUP(P290,'Painel Fertilizers'!$B:$B,'Painel Fertilizers'!$B:$B,0)</f>
        <v>0</v>
      </c>
    </row>
    <row r="291" spans="4:18" x14ac:dyDescent="0.25">
      <c r="D291" s="34"/>
      <c r="F291" s="30"/>
      <c r="G291" s="30"/>
      <c r="K291" s="30"/>
      <c r="Q291">
        <f t="shared" si="5"/>
        <v>46135</v>
      </c>
      <c r="R291">
        <f>_xlfn.XLOOKUP(P291,'Painel Fertilizers'!$B:$B,'Painel Fertilizers'!$B:$B,0)</f>
        <v>0</v>
      </c>
    </row>
    <row r="292" spans="4:18" x14ac:dyDescent="0.25">
      <c r="D292" s="34"/>
      <c r="F292" s="30"/>
      <c r="G292" s="30"/>
      <c r="K292" s="30"/>
      <c r="Q292">
        <f t="shared" si="5"/>
        <v>46135</v>
      </c>
      <c r="R292">
        <f>_xlfn.XLOOKUP(P292,'Painel Fertilizers'!$B:$B,'Painel Fertilizers'!$B:$B,0)</f>
        <v>0</v>
      </c>
    </row>
    <row r="293" spans="4:18" x14ac:dyDescent="0.25">
      <c r="D293" s="34"/>
      <c r="F293" s="30"/>
      <c r="G293" s="30"/>
      <c r="K293" s="30"/>
      <c r="Q293">
        <f t="shared" si="5"/>
        <v>46135</v>
      </c>
      <c r="R293">
        <f>_xlfn.XLOOKUP(P293,'Painel Fertilizers'!$B:$B,'Painel Fertilizers'!$B:$B,0)</f>
        <v>0</v>
      </c>
    </row>
    <row r="294" spans="4:18" x14ac:dyDescent="0.25">
      <c r="D294" s="34"/>
      <c r="F294" s="30"/>
      <c r="G294" s="30"/>
      <c r="K294" s="30"/>
      <c r="Q294">
        <f t="shared" si="5"/>
        <v>46135</v>
      </c>
      <c r="R294">
        <f>_xlfn.XLOOKUP(P294,'Painel Fertilizers'!$B:$B,'Painel Fertilizers'!$B:$B,0)</f>
        <v>0</v>
      </c>
    </row>
    <row r="295" spans="4:18" x14ac:dyDescent="0.25">
      <c r="D295" s="34"/>
      <c r="F295" s="30"/>
      <c r="G295" s="30"/>
      <c r="K295" s="30"/>
      <c r="Q295">
        <f t="shared" si="5"/>
        <v>46135</v>
      </c>
      <c r="R295">
        <f>_xlfn.XLOOKUP(P295,'Painel Fertilizers'!$B:$B,'Painel Fertilizers'!$B:$B,0)</f>
        <v>0</v>
      </c>
    </row>
    <row r="296" spans="4:18" x14ac:dyDescent="0.25">
      <c r="D296" s="34"/>
      <c r="F296" s="30"/>
      <c r="G296" s="30"/>
      <c r="K296" s="30"/>
      <c r="Q296">
        <f t="shared" si="5"/>
        <v>46135</v>
      </c>
      <c r="R296">
        <f>_xlfn.XLOOKUP(P296,'Painel Fertilizers'!$B:$B,'Painel Fertilizers'!$B:$B,0)</f>
        <v>0</v>
      </c>
    </row>
    <row r="297" spans="4:18" x14ac:dyDescent="0.25">
      <c r="D297" s="34"/>
      <c r="F297" s="30"/>
      <c r="G297" s="30"/>
      <c r="K297" s="30"/>
      <c r="Q297">
        <f t="shared" si="5"/>
        <v>46135</v>
      </c>
      <c r="R297">
        <f>_xlfn.XLOOKUP(P297,'Painel Fertilizers'!$B:$B,'Painel Fertilizers'!$B:$B,0)</f>
        <v>0</v>
      </c>
    </row>
    <row r="298" spans="4:18" x14ac:dyDescent="0.25">
      <c r="D298" s="34"/>
      <c r="F298" s="30"/>
      <c r="G298" s="30"/>
      <c r="K298" s="30"/>
      <c r="Q298">
        <f t="shared" si="5"/>
        <v>46135</v>
      </c>
      <c r="R298">
        <f>_xlfn.XLOOKUP(P298,'Painel Fertilizers'!$B:$B,'Painel Fertilizers'!$B:$B,0)</f>
        <v>0</v>
      </c>
    </row>
    <row r="299" spans="4:18" x14ac:dyDescent="0.25">
      <c r="D299" s="34"/>
      <c r="F299" s="30"/>
      <c r="K299" s="30"/>
      <c r="Q299">
        <f t="shared" si="5"/>
        <v>46135</v>
      </c>
      <c r="R299">
        <f>_xlfn.XLOOKUP(P299,'Painel Fertilizers'!$B:$B,'Painel Fertilizers'!$B:$B,0)</f>
        <v>0</v>
      </c>
    </row>
    <row r="300" spans="4:18" x14ac:dyDescent="0.25">
      <c r="D300" s="34"/>
      <c r="F300" s="30"/>
      <c r="K300" s="30"/>
      <c r="Q300">
        <f t="shared" si="5"/>
        <v>46135</v>
      </c>
      <c r="R300">
        <f>_xlfn.XLOOKUP(P300,'Painel Fertilizers'!$B:$B,'Painel Fertilizers'!$B:$B,0)</f>
        <v>0</v>
      </c>
    </row>
    <row r="301" spans="4:18" x14ac:dyDescent="0.25">
      <c r="D301" s="34"/>
      <c r="F301" s="30"/>
      <c r="K301" s="30"/>
      <c r="Q301">
        <f t="shared" si="5"/>
        <v>46135</v>
      </c>
      <c r="R301">
        <f>_xlfn.XLOOKUP(P301,'Painel Fertilizers'!$B:$B,'Painel Fertilizers'!$B:$B,0)</f>
        <v>0</v>
      </c>
    </row>
    <row r="302" spans="4:18" x14ac:dyDescent="0.25">
      <c r="D302" s="34"/>
      <c r="F302" s="30"/>
      <c r="K302" s="30"/>
      <c r="Q302">
        <f t="shared" si="5"/>
        <v>46135</v>
      </c>
      <c r="R302">
        <f>_xlfn.XLOOKUP(P302,'Painel Fertilizers'!$B:$B,'Painel Fertilizers'!$B:$B,0)</f>
        <v>0</v>
      </c>
    </row>
    <row r="303" spans="4:18" x14ac:dyDescent="0.25">
      <c r="D303" s="34"/>
      <c r="F303" s="30"/>
      <c r="K303" s="30"/>
      <c r="Q303">
        <f t="shared" si="5"/>
        <v>46135</v>
      </c>
      <c r="R303">
        <f>_xlfn.XLOOKUP(P303,'Painel Fertilizers'!$B:$B,'Painel Fertilizers'!$B:$B,0)</f>
        <v>0</v>
      </c>
    </row>
    <row r="304" spans="4:18" x14ac:dyDescent="0.25">
      <c r="D304" s="34"/>
      <c r="F304" s="30"/>
      <c r="K304" s="30"/>
      <c r="Q304">
        <f t="shared" si="5"/>
        <v>46135</v>
      </c>
      <c r="R304">
        <f>_xlfn.XLOOKUP(P304,'Painel Fertilizers'!$B:$B,'Painel Fertilizers'!$B:$B,0)</f>
        <v>0</v>
      </c>
    </row>
    <row r="305" spans="4:18" x14ac:dyDescent="0.25">
      <c r="D305" s="34"/>
      <c r="F305" s="30"/>
      <c r="K305" s="30"/>
      <c r="Q305">
        <f t="shared" si="5"/>
        <v>46135</v>
      </c>
      <c r="R305">
        <f>_xlfn.XLOOKUP(P305,'Painel Fertilizers'!$B:$B,'Painel Fertilizers'!$B:$B,0)</f>
        <v>0</v>
      </c>
    </row>
    <row r="306" spans="4:18" x14ac:dyDescent="0.25">
      <c r="D306" s="34"/>
      <c r="F306" s="30"/>
      <c r="K306" s="30"/>
      <c r="Q306">
        <f t="shared" si="5"/>
        <v>46135</v>
      </c>
      <c r="R306">
        <f>_xlfn.XLOOKUP(P306,'Painel Fertilizers'!$B:$B,'Painel Fertilizers'!$B:$B,0)</f>
        <v>0</v>
      </c>
    </row>
    <row r="307" spans="4:18" x14ac:dyDescent="0.25">
      <c r="D307" s="34"/>
      <c r="F307" s="30"/>
      <c r="G307" s="30"/>
      <c r="K307" s="30"/>
      <c r="Q307">
        <f t="shared" si="5"/>
        <v>46135</v>
      </c>
      <c r="R307">
        <f>_xlfn.XLOOKUP(P307,'Painel Fertilizers'!$B:$B,'Painel Fertilizers'!$B:$B,0)</f>
        <v>0</v>
      </c>
    </row>
    <row r="308" spans="4:18" x14ac:dyDescent="0.25">
      <c r="D308" s="34"/>
      <c r="F308" s="30"/>
      <c r="K308" s="30"/>
      <c r="Q308">
        <f t="shared" si="5"/>
        <v>46135</v>
      </c>
      <c r="R308">
        <f>_xlfn.XLOOKUP(P308,'Painel Fertilizers'!$B:$B,'Painel Fertilizers'!$B:$B,0)</f>
        <v>0</v>
      </c>
    </row>
    <row r="309" spans="4:18" x14ac:dyDescent="0.25">
      <c r="D309" s="34"/>
      <c r="F309" s="30"/>
      <c r="K309" s="30"/>
      <c r="Q309">
        <f t="shared" si="5"/>
        <v>46135</v>
      </c>
      <c r="R309">
        <f>_xlfn.XLOOKUP(P309,'Painel Fertilizers'!$B:$B,'Painel Fertilizers'!$B:$B,0)</f>
        <v>0</v>
      </c>
    </row>
    <row r="310" spans="4:18" x14ac:dyDescent="0.25">
      <c r="D310" s="34"/>
      <c r="F310" s="30"/>
      <c r="K310" s="30"/>
      <c r="Q310">
        <f t="shared" ref="Q310" si="6">$R$1-F310</f>
        <v>46135</v>
      </c>
      <c r="R310">
        <f>_xlfn.XLOOKUP(P310,'Painel Fertilizers'!$B:$B,'Painel Fertilizers'!$B:$B,0)</f>
        <v>0</v>
      </c>
    </row>
    <row r="311" spans="4:18" x14ac:dyDescent="0.25">
      <c r="D311" s="34"/>
      <c r="F311" s="30"/>
      <c r="K311" s="30"/>
      <c r="Q311">
        <f t="shared" ref="Q311:Q374" si="7">$R$1-F311</f>
        <v>46135</v>
      </c>
      <c r="R311">
        <f>_xlfn.XLOOKUP(P311,'Painel Fertilizers'!$B:$B,'Painel Fertilizers'!$B:$B,0)</f>
        <v>0</v>
      </c>
    </row>
    <row r="312" spans="4:18" x14ac:dyDescent="0.25">
      <c r="D312" s="34"/>
      <c r="F312" s="30"/>
      <c r="K312" s="30"/>
      <c r="Q312">
        <f t="shared" si="7"/>
        <v>46135</v>
      </c>
      <c r="R312">
        <f>_xlfn.XLOOKUP(P312,'Painel Fertilizers'!$B:$B,'Painel Fertilizers'!$B:$B,0)</f>
        <v>0</v>
      </c>
    </row>
    <row r="313" spans="4:18" x14ac:dyDescent="0.25">
      <c r="D313" s="34"/>
      <c r="F313" s="30"/>
      <c r="K313" s="30"/>
      <c r="Q313">
        <f t="shared" si="7"/>
        <v>46135</v>
      </c>
      <c r="R313">
        <f>_xlfn.XLOOKUP(P313,'Painel Fertilizers'!$B:$B,'Painel Fertilizers'!$B:$B,0)</f>
        <v>0</v>
      </c>
    </row>
    <row r="314" spans="4:18" x14ac:dyDescent="0.25">
      <c r="D314" s="34"/>
      <c r="F314" s="30"/>
      <c r="K314" s="30"/>
      <c r="Q314">
        <f t="shared" si="7"/>
        <v>46135</v>
      </c>
      <c r="R314">
        <f>_xlfn.XLOOKUP(P314,'Painel Fertilizers'!$B:$B,'Painel Fertilizers'!$B:$B,0)</f>
        <v>0</v>
      </c>
    </row>
    <row r="315" spans="4:18" x14ac:dyDescent="0.25">
      <c r="D315" s="34"/>
      <c r="F315" s="30"/>
      <c r="K315" s="30"/>
      <c r="Q315">
        <f t="shared" si="7"/>
        <v>46135</v>
      </c>
      <c r="R315">
        <f>_xlfn.XLOOKUP(P315,'Painel Fertilizers'!$B:$B,'Painel Fertilizers'!$B:$B,0)</f>
        <v>0</v>
      </c>
    </row>
    <row r="316" spans="4:18" x14ac:dyDescent="0.25">
      <c r="D316" s="34"/>
      <c r="F316" s="30"/>
      <c r="K316" s="30"/>
      <c r="Q316">
        <f t="shared" si="7"/>
        <v>46135</v>
      </c>
      <c r="R316">
        <f>_xlfn.XLOOKUP(P316,'Painel Fertilizers'!$B:$B,'Painel Fertilizers'!$B:$B,0)</f>
        <v>0</v>
      </c>
    </row>
    <row r="317" spans="4:18" x14ac:dyDescent="0.25">
      <c r="D317" s="34"/>
      <c r="F317" s="30"/>
      <c r="G317" s="30"/>
      <c r="K317" s="30"/>
      <c r="Q317">
        <f t="shared" si="7"/>
        <v>46135</v>
      </c>
      <c r="R317">
        <f>_xlfn.XLOOKUP(P317,'Painel Fertilizers'!$B:$B,'Painel Fertilizers'!$B:$B,0)</f>
        <v>0</v>
      </c>
    </row>
    <row r="318" spans="4:18" x14ac:dyDescent="0.25">
      <c r="D318" s="34"/>
      <c r="F318" s="30"/>
      <c r="K318" s="30"/>
      <c r="Q318">
        <f t="shared" si="7"/>
        <v>46135</v>
      </c>
      <c r="R318">
        <f>_xlfn.XLOOKUP(P318,'Painel Fertilizers'!$B:$B,'Painel Fertilizers'!$B:$B,0)</f>
        <v>0</v>
      </c>
    </row>
    <row r="319" spans="4:18" x14ac:dyDescent="0.25">
      <c r="D319" s="34"/>
      <c r="F319" s="30"/>
      <c r="K319" s="30"/>
      <c r="Q319">
        <f t="shared" si="7"/>
        <v>46135</v>
      </c>
      <c r="R319">
        <f>_xlfn.XLOOKUP(P319,'Painel Fertilizers'!$B:$B,'Painel Fertilizers'!$B:$B,0)</f>
        <v>0</v>
      </c>
    </row>
    <row r="320" spans="4:18" x14ac:dyDescent="0.25">
      <c r="D320" s="34"/>
      <c r="F320" s="30"/>
      <c r="K320" s="30"/>
      <c r="Q320">
        <f t="shared" si="7"/>
        <v>46135</v>
      </c>
      <c r="R320">
        <f>_xlfn.XLOOKUP(P320,'Painel Fertilizers'!$B:$B,'Painel Fertilizers'!$B:$B,0)</f>
        <v>0</v>
      </c>
    </row>
    <row r="321" spans="4:18" x14ac:dyDescent="0.25">
      <c r="D321" s="34"/>
      <c r="F321" s="30"/>
      <c r="K321" s="30"/>
      <c r="Q321">
        <f t="shared" si="7"/>
        <v>46135</v>
      </c>
      <c r="R321">
        <f>_xlfn.XLOOKUP(P321,'Painel Fertilizers'!$B:$B,'Painel Fertilizers'!$B:$B,0)</f>
        <v>0</v>
      </c>
    </row>
    <row r="322" spans="4:18" x14ac:dyDescent="0.25">
      <c r="D322" s="34"/>
      <c r="F322" s="30"/>
      <c r="K322" s="30"/>
      <c r="Q322">
        <f t="shared" si="7"/>
        <v>46135</v>
      </c>
      <c r="R322">
        <f>_xlfn.XLOOKUP(P322,'Painel Fertilizers'!$B:$B,'Painel Fertilizers'!$B:$B,0)</f>
        <v>0</v>
      </c>
    </row>
    <row r="323" spans="4:18" x14ac:dyDescent="0.25">
      <c r="D323" s="34"/>
      <c r="F323" s="30"/>
      <c r="G323" s="30"/>
      <c r="K323" s="30"/>
      <c r="Q323">
        <f t="shared" si="7"/>
        <v>46135</v>
      </c>
      <c r="R323">
        <f>_xlfn.XLOOKUP(P323,'Painel Fertilizers'!$B:$B,'Painel Fertilizers'!$B:$B,0)</f>
        <v>0</v>
      </c>
    </row>
    <row r="324" spans="4:18" x14ac:dyDescent="0.25">
      <c r="D324" s="34"/>
      <c r="F324" s="30"/>
      <c r="G324" s="30"/>
      <c r="K324" s="30"/>
      <c r="Q324">
        <f t="shared" si="7"/>
        <v>46135</v>
      </c>
      <c r="R324">
        <f>_xlfn.XLOOKUP(P324,'Painel Fertilizers'!$B:$B,'Painel Fertilizers'!$B:$B,0)</f>
        <v>0</v>
      </c>
    </row>
    <row r="325" spans="4:18" x14ac:dyDescent="0.25">
      <c r="D325" s="34"/>
      <c r="F325" s="30"/>
      <c r="G325" s="30"/>
      <c r="K325" s="30"/>
      <c r="Q325">
        <f t="shared" si="7"/>
        <v>46135</v>
      </c>
      <c r="R325">
        <f>_xlfn.XLOOKUP(P325,'Painel Fertilizers'!$B:$B,'Painel Fertilizers'!$B:$B,0)</f>
        <v>0</v>
      </c>
    </row>
    <row r="326" spans="4:18" x14ac:dyDescent="0.25">
      <c r="D326" s="34"/>
      <c r="F326" s="30"/>
      <c r="K326" s="30"/>
      <c r="Q326">
        <f t="shared" si="7"/>
        <v>46135</v>
      </c>
      <c r="R326">
        <f>_xlfn.XLOOKUP(P326,'Painel Fertilizers'!$B:$B,'Painel Fertilizers'!$B:$B,0)</f>
        <v>0</v>
      </c>
    </row>
    <row r="327" spans="4:18" x14ac:dyDescent="0.25">
      <c r="D327" s="34"/>
      <c r="F327" s="30"/>
      <c r="K327" s="30"/>
      <c r="Q327">
        <f t="shared" si="7"/>
        <v>46135</v>
      </c>
      <c r="R327">
        <f>_xlfn.XLOOKUP(P327,'Painel Fertilizers'!$B:$B,'Painel Fertilizers'!$B:$B,0)</f>
        <v>0</v>
      </c>
    </row>
    <row r="328" spans="4:18" x14ac:dyDescent="0.25">
      <c r="D328" s="34"/>
      <c r="F328" s="30"/>
      <c r="K328" s="30"/>
      <c r="Q328">
        <f t="shared" si="7"/>
        <v>46135</v>
      </c>
      <c r="R328">
        <f>_xlfn.XLOOKUP(P328,'Painel Fertilizers'!$B:$B,'Painel Fertilizers'!$B:$B,0)</f>
        <v>0</v>
      </c>
    </row>
    <row r="329" spans="4:18" x14ac:dyDescent="0.25">
      <c r="D329" s="34"/>
      <c r="F329" s="30"/>
      <c r="K329" s="30"/>
      <c r="Q329">
        <f t="shared" si="7"/>
        <v>46135</v>
      </c>
      <c r="R329">
        <f>_xlfn.XLOOKUP(P329,'Painel Fertilizers'!$B:$B,'Painel Fertilizers'!$B:$B,0)</f>
        <v>0</v>
      </c>
    </row>
    <row r="330" spans="4:18" x14ac:dyDescent="0.25">
      <c r="D330" s="34"/>
      <c r="F330" s="30"/>
      <c r="K330" s="30"/>
      <c r="Q330">
        <f t="shared" si="7"/>
        <v>46135</v>
      </c>
      <c r="R330">
        <f>_xlfn.XLOOKUP(P330,'Painel Fertilizers'!$B:$B,'Painel Fertilizers'!$B:$B,0)</f>
        <v>0</v>
      </c>
    </row>
    <row r="331" spans="4:18" x14ac:dyDescent="0.25">
      <c r="D331" s="34"/>
      <c r="F331" s="30"/>
      <c r="K331" s="30"/>
      <c r="Q331">
        <f t="shared" si="7"/>
        <v>46135</v>
      </c>
      <c r="R331">
        <f>_xlfn.XLOOKUP(P331,'Painel Fertilizers'!$B:$B,'Painel Fertilizers'!$B:$B,0)</f>
        <v>0</v>
      </c>
    </row>
    <row r="332" spans="4:18" x14ac:dyDescent="0.25">
      <c r="D332" s="34"/>
      <c r="F332" s="30"/>
      <c r="K332" s="30"/>
      <c r="Q332">
        <f t="shared" si="7"/>
        <v>46135</v>
      </c>
      <c r="R332">
        <f>_xlfn.XLOOKUP(P332,'Painel Fertilizers'!$B:$B,'Painel Fertilizers'!$B:$B,0)</f>
        <v>0</v>
      </c>
    </row>
    <row r="333" spans="4:18" x14ac:dyDescent="0.25">
      <c r="D333" s="34"/>
      <c r="F333" s="30"/>
      <c r="K333" s="30"/>
      <c r="Q333">
        <f t="shared" si="7"/>
        <v>46135</v>
      </c>
      <c r="R333">
        <f>_xlfn.XLOOKUP(P333,'Painel Fertilizers'!$B:$B,'Painel Fertilizers'!$B:$B,0)</f>
        <v>0</v>
      </c>
    </row>
    <row r="334" spans="4:18" x14ac:dyDescent="0.25">
      <c r="D334" s="34"/>
      <c r="F334" s="30"/>
      <c r="K334" s="30"/>
      <c r="Q334">
        <f t="shared" si="7"/>
        <v>46135</v>
      </c>
      <c r="R334">
        <f>_xlfn.XLOOKUP(P334,'Painel Fertilizers'!$B:$B,'Painel Fertilizers'!$B:$B,0)</f>
        <v>0</v>
      </c>
    </row>
    <row r="335" spans="4:18" x14ac:dyDescent="0.25">
      <c r="D335" s="34"/>
      <c r="F335" s="30"/>
      <c r="K335" s="30"/>
      <c r="Q335">
        <f t="shared" si="7"/>
        <v>46135</v>
      </c>
      <c r="R335">
        <f>_xlfn.XLOOKUP(P335,'Painel Fertilizers'!$B:$B,'Painel Fertilizers'!$B:$B,0)</f>
        <v>0</v>
      </c>
    </row>
    <row r="336" spans="4:18" x14ac:dyDescent="0.25">
      <c r="D336" s="34"/>
      <c r="F336" s="30"/>
      <c r="K336" s="30"/>
      <c r="Q336">
        <f t="shared" si="7"/>
        <v>46135</v>
      </c>
      <c r="R336">
        <f>_xlfn.XLOOKUP(P336,'Painel Fertilizers'!$B:$B,'Painel Fertilizers'!$B:$B,0)</f>
        <v>0</v>
      </c>
    </row>
    <row r="337" spans="4:18" x14ac:dyDescent="0.25">
      <c r="D337" s="34"/>
      <c r="F337" s="30"/>
      <c r="G337" s="30"/>
      <c r="K337" s="30"/>
      <c r="Q337">
        <f t="shared" si="7"/>
        <v>46135</v>
      </c>
      <c r="R337">
        <f>_xlfn.XLOOKUP(P337,'Painel Fertilizers'!$B:$B,'Painel Fertilizers'!$B:$B,0)</f>
        <v>0</v>
      </c>
    </row>
    <row r="338" spans="4:18" x14ac:dyDescent="0.25">
      <c r="D338" s="34"/>
      <c r="F338" s="30"/>
      <c r="G338" s="30"/>
      <c r="K338" s="30"/>
      <c r="Q338">
        <f t="shared" si="7"/>
        <v>46135</v>
      </c>
      <c r="R338">
        <f>_xlfn.XLOOKUP(P338,'Painel Fertilizers'!$B:$B,'Painel Fertilizers'!$B:$B,0)</f>
        <v>0</v>
      </c>
    </row>
    <row r="339" spans="4:18" x14ac:dyDescent="0.25">
      <c r="D339" s="34"/>
      <c r="F339" s="30"/>
      <c r="G339" s="30"/>
      <c r="K339" s="30"/>
      <c r="Q339">
        <f t="shared" si="7"/>
        <v>46135</v>
      </c>
      <c r="R339">
        <f>_xlfn.XLOOKUP(P339,'Painel Fertilizers'!$B:$B,'Painel Fertilizers'!$B:$B,0)</f>
        <v>0</v>
      </c>
    </row>
    <row r="340" spans="4:18" x14ac:dyDescent="0.25">
      <c r="D340" s="34"/>
      <c r="F340" s="30"/>
      <c r="G340" s="30"/>
      <c r="K340" s="30"/>
      <c r="Q340">
        <f t="shared" si="7"/>
        <v>46135</v>
      </c>
      <c r="R340">
        <f>_xlfn.XLOOKUP(P340,'Painel Fertilizers'!$B:$B,'Painel Fertilizers'!$B:$B,0)</f>
        <v>0</v>
      </c>
    </row>
    <row r="341" spans="4:18" x14ac:dyDescent="0.25">
      <c r="D341" s="34"/>
      <c r="F341" s="30"/>
      <c r="G341" s="30"/>
      <c r="K341" s="30"/>
      <c r="Q341">
        <f t="shared" si="7"/>
        <v>46135</v>
      </c>
      <c r="R341">
        <f>_xlfn.XLOOKUP(P341,'Painel Fertilizers'!$B:$B,'Painel Fertilizers'!$B:$B,0)</f>
        <v>0</v>
      </c>
    </row>
    <row r="342" spans="4:18" x14ac:dyDescent="0.25">
      <c r="D342" s="34"/>
      <c r="F342" s="30"/>
      <c r="G342" s="30"/>
      <c r="K342" s="30"/>
      <c r="Q342">
        <f t="shared" si="7"/>
        <v>46135</v>
      </c>
      <c r="R342">
        <f>_xlfn.XLOOKUP(P342,'Painel Fertilizers'!$B:$B,'Painel Fertilizers'!$B:$B,0)</f>
        <v>0</v>
      </c>
    </row>
    <row r="343" spans="4:18" x14ac:dyDescent="0.25">
      <c r="D343" s="34"/>
      <c r="F343" s="30"/>
      <c r="G343" s="30"/>
      <c r="K343" s="30"/>
      <c r="Q343">
        <f t="shared" si="7"/>
        <v>46135</v>
      </c>
      <c r="R343">
        <f>_xlfn.XLOOKUP(P343,'Painel Fertilizers'!$B:$B,'Painel Fertilizers'!$B:$B,0)</f>
        <v>0</v>
      </c>
    </row>
    <row r="344" spans="4:18" x14ac:dyDescent="0.25">
      <c r="D344" s="34"/>
      <c r="F344" s="30"/>
      <c r="G344" s="30"/>
      <c r="K344" s="30"/>
      <c r="Q344">
        <f t="shared" si="7"/>
        <v>46135</v>
      </c>
      <c r="R344">
        <f>_xlfn.XLOOKUP(P344,'Painel Fertilizers'!$B:$B,'Painel Fertilizers'!$B:$B,0)</f>
        <v>0</v>
      </c>
    </row>
    <row r="345" spans="4:18" x14ac:dyDescent="0.25">
      <c r="D345" s="34"/>
      <c r="F345" s="30"/>
      <c r="G345" s="30"/>
      <c r="K345" s="30"/>
      <c r="Q345">
        <f t="shared" si="7"/>
        <v>46135</v>
      </c>
      <c r="R345">
        <f>_xlfn.XLOOKUP(P345,'Painel Fertilizers'!$B:$B,'Painel Fertilizers'!$B:$B,0)</f>
        <v>0</v>
      </c>
    </row>
    <row r="346" spans="4:18" x14ac:dyDescent="0.25">
      <c r="D346" s="34"/>
      <c r="F346" s="30"/>
      <c r="G346" s="30"/>
      <c r="K346" s="30"/>
      <c r="Q346">
        <f t="shared" si="7"/>
        <v>46135</v>
      </c>
      <c r="R346">
        <f>_xlfn.XLOOKUP(P346,'Painel Fertilizers'!$B:$B,'Painel Fertilizers'!$B:$B,0)</f>
        <v>0</v>
      </c>
    </row>
    <row r="347" spans="4:18" x14ac:dyDescent="0.25">
      <c r="D347" s="34"/>
      <c r="F347" s="30"/>
      <c r="G347" s="30"/>
      <c r="K347" s="30"/>
      <c r="Q347">
        <f t="shared" si="7"/>
        <v>46135</v>
      </c>
      <c r="R347">
        <f>_xlfn.XLOOKUP(P347,'Painel Fertilizers'!$B:$B,'Painel Fertilizers'!$B:$B,0)</f>
        <v>0</v>
      </c>
    </row>
    <row r="348" spans="4:18" x14ac:dyDescent="0.25">
      <c r="D348" s="34"/>
      <c r="F348" s="30"/>
      <c r="G348" s="30"/>
      <c r="K348" s="30"/>
      <c r="Q348">
        <f t="shared" si="7"/>
        <v>46135</v>
      </c>
      <c r="R348">
        <f>_xlfn.XLOOKUP(P348,'Painel Fertilizers'!$B:$B,'Painel Fertilizers'!$B:$B,0)</f>
        <v>0</v>
      </c>
    </row>
    <row r="349" spans="4:18" x14ac:dyDescent="0.25">
      <c r="D349" s="34"/>
      <c r="F349" s="30"/>
      <c r="G349" s="30"/>
      <c r="K349" s="30"/>
      <c r="Q349">
        <f t="shared" si="7"/>
        <v>46135</v>
      </c>
      <c r="R349">
        <f>_xlfn.XLOOKUP(P349,'Painel Fertilizers'!$B:$B,'Painel Fertilizers'!$B:$B,0)</f>
        <v>0</v>
      </c>
    </row>
    <row r="350" spans="4:18" x14ac:dyDescent="0.25">
      <c r="D350" s="34"/>
      <c r="F350" s="30"/>
      <c r="G350" s="30"/>
      <c r="K350" s="30"/>
      <c r="Q350">
        <f t="shared" si="7"/>
        <v>46135</v>
      </c>
      <c r="R350">
        <f>_xlfn.XLOOKUP(P350,'Painel Fertilizers'!$B:$B,'Painel Fertilizers'!$B:$B,0)</f>
        <v>0</v>
      </c>
    </row>
    <row r="351" spans="4:18" x14ac:dyDescent="0.25">
      <c r="D351" s="34"/>
      <c r="F351" s="30"/>
      <c r="G351" s="30"/>
      <c r="K351" s="30"/>
      <c r="Q351">
        <f t="shared" si="7"/>
        <v>46135</v>
      </c>
      <c r="R351">
        <f>_xlfn.XLOOKUP(P351,'Painel Fertilizers'!$B:$B,'Painel Fertilizers'!$B:$B,0)</f>
        <v>0</v>
      </c>
    </row>
    <row r="352" spans="4:18" x14ac:dyDescent="0.25">
      <c r="D352" s="34"/>
      <c r="F352" s="30"/>
      <c r="G352" s="30"/>
      <c r="K352" s="30"/>
      <c r="Q352">
        <f t="shared" si="7"/>
        <v>46135</v>
      </c>
      <c r="R352">
        <f>_xlfn.XLOOKUP(P352,'Painel Fertilizers'!$B:$B,'Painel Fertilizers'!$B:$B,0)</f>
        <v>0</v>
      </c>
    </row>
    <row r="353" spans="4:18" x14ac:dyDescent="0.25">
      <c r="D353" s="34"/>
      <c r="F353" s="30"/>
      <c r="G353" s="30"/>
      <c r="K353" s="30"/>
      <c r="Q353">
        <f t="shared" si="7"/>
        <v>46135</v>
      </c>
      <c r="R353">
        <f>_xlfn.XLOOKUP(P353,'Painel Fertilizers'!$B:$B,'Painel Fertilizers'!$B:$B,0)</f>
        <v>0</v>
      </c>
    </row>
    <row r="354" spans="4:18" x14ac:dyDescent="0.25">
      <c r="D354" s="34"/>
      <c r="F354" s="30"/>
      <c r="G354" s="30"/>
      <c r="K354" s="30"/>
      <c r="Q354">
        <f t="shared" si="7"/>
        <v>46135</v>
      </c>
      <c r="R354">
        <f>_xlfn.XLOOKUP(P354,'Painel Fertilizers'!$B:$B,'Painel Fertilizers'!$B:$B,0)</f>
        <v>0</v>
      </c>
    </row>
    <row r="355" spans="4:18" x14ac:dyDescent="0.25">
      <c r="D355" s="34"/>
      <c r="F355" s="30"/>
      <c r="G355" s="30"/>
      <c r="K355" s="30"/>
      <c r="Q355">
        <f t="shared" si="7"/>
        <v>46135</v>
      </c>
      <c r="R355">
        <f>_xlfn.XLOOKUP(P355,'Painel Fertilizers'!$B:$B,'Painel Fertilizers'!$B:$B,0)</f>
        <v>0</v>
      </c>
    </row>
    <row r="356" spans="4:18" x14ac:dyDescent="0.25">
      <c r="D356" s="34"/>
      <c r="F356" s="30"/>
      <c r="G356" s="30"/>
      <c r="K356" s="30"/>
      <c r="Q356">
        <f t="shared" si="7"/>
        <v>46135</v>
      </c>
      <c r="R356">
        <f>_xlfn.XLOOKUP(P356,'Painel Fertilizers'!$B:$B,'Painel Fertilizers'!$B:$B,0)</f>
        <v>0</v>
      </c>
    </row>
    <row r="357" spans="4:18" x14ac:dyDescent="0.25">
      <c r="D357" s="34"/>
      <c r="F357" s="30"/>
      <c r="G357" s="30"/>
      <c r="K357" s="30"/>
      <c r="Q357">
        <f t="shared" si="7"/>
        <v>46135</v>
      </c>
      <c r="R357">
        <f>_xlfn.XLOOKUP(P357,'Painel Fertilizers'!$B:$B,'Painel Fertilizers'!$B:$B,0)</f>
        <v>0</v>
      </c>
    </row>
    <row r="358" spans="4:18" x14ac:dyDescent="0.25">
      <c r="D358" s="34"/>
      <c r="F358" s="30"/>
      <c r="G358" s="30"/>
      <c r="K358" s="30"/>
      <c r="Q358">
        <f t="shared" si="7"/>
        <v>46135</v>
      </c>
      <c r="R358">
        <f>_xlfn.XLOOKUP(P358,'Painel Fertilizers'!$B:$B,'Painel Fertilizers'!$B:$B,0)</f>
        <v>0</v>
      </c>
    </row>
    <row r="359" spans="4:18" x14ac:dyDescent="0.25">
      <c r="D359" s="34"/>
      <c r="F359" s="30"/>
      <c r="G359" s="30"/>
      <c r="K359" s="30"/>
      <c r="Q359">
        <f t="shared" si="7"/>
        <v>46135</v>
      </c>
      <c r="R359">
        <f>_xlfn.XLOOKUP(P359,'Painel Fertilizers'!$B:$B,'Painel Fertilizers'!$B:$B,0)</f>
        <v>0</v>
      </c>
    </row>
    <row r="360" spans="4:18" x14ac:dyDescent="0.25">
      <c r="D360" s="34"/>
      <c r="F360" s="30"/>
      <c r="G360" s="30"/>
      <c r="K360" s="30"/>
      <c r="Q360">
        <f t="shared" si="7"/>
        <v>46135</v>
      </c>
      <c r="R360">
        <f>_xlfn.XLOOKUP(P360,'Painel Fertilizers'!$B:$B,'Painel Fertilizers'!$B:$B,0)</f>
        <v>0</v>
      </c>
    </row>
    <row r="361" spans="4:18" x14ac:dyDescent="0.25">
      <c r="D361" s="34"/>
      <c r="F361" s="30"/>
      <c r="G361" s="30"/>
      <c r="K361" s="30"/>
      <c r="Q361">
        <f t="shared" si="7"/>
        <v>46135</v>
      </c>
      <c r="R361">
        <f>_xlfn.XLOOKUP(P361,'Painel Fertilizers'!$B:$B,'Painel Fertilizers'!$B:$B,0)</f>
        <v>0</v>
      </c>
    </row>
    <row r="362" spans="4:18" x14ac:dyDescent="0.25">
      <c r="D362" s="34"/>
      <c r="F362" s="30"/>
      <c r="G362" s="30"/>
      <c r="K362" s="30"/>
      <c r="Q362">
        <f t="shared" si="7"/>
        <v>46135</v>
      </c>
      <c r="R362">
        <f>_xlfn.XLOOKUP(P362,'Painel Fertilizers'!$B:$B,'Painel Fertilizers'!$B:$B,0)</f>
        <v>0</v>
      </c>
    </row>
    <row r="363" spans="4:18" x14ac:dyDescent="0.25">
      <c r="D363" s="34"/>
      <c r="F363" s="30"/>
      <c r="G363" s="30"/>
      <c r="K363" s="30"/>
      <c r="Q363">
        <f t="shared" si="7"/>
        <v>46135</v>
      </c>
      <c r="R363">
        <f>_xlfn.XLOOKUP(P363,'Painel Fertilizers'!$B:$B,'Painel Fertilizers'!$B:$B,0)</f>
        <v>0</v>
      </c>
    </row>
    <row r="364" spans="4:18" x14ac:dyDescent="0.25">
      <c r="D364" s="34"/>
      <c r="F364" s="30"/>
      <c r="G364" s="30"/>
      <c r="K364" s="30"/>
      <c r="Q364">
        <f t="shared" si="7"/>
        <v>46135</v>
      </c>
      <c r="R364">
        <f>_xlfn.XLOOKUP(P364,'Painel Fertilizers'!$B:$B,'Painel Fertilizers'!$B:$B,0)</f>
        <v>0</v>
      </c>
    </row>
    <row r="365" spans="4:18" x14ac:dyDescent="0.25">
      <c r="D365" s="34"/>
      <c r="F365" s="30"/>
      <c r="G365" s="30"/>
      <c r="K365" s="30"/>
      <c r="Q365">
        <f t="shared" si="7"/>
        <v>46135</v>
      </c>
      <c r="R365">
        <f>_xlfn.XLOOKUP(P365,'Painel Fertilizers'!$B:$B,'Painel Fertilizers'!$B:$B,0)</f>
        <v>0</v>
      </c>
    </row>
    <row r="366" spans="4:18" x14ac:dyDescent="0.25">
      <c r="D366" s="34"/>
      <c r="F366" s="30"/>
      <c r="K366" s="30"/>
      <c r="Q366">
        <f t="shared" si="7"/>
        <v>46135</v>
      </c>
      <c r="R366">
        <f>_xlfn.XLOOKUP(P366,'Painel Fertilizers'!$B:$B,'Painel Fertilizers'!$B:$B,0)</f>
        <v>0</v>
      </c>
    </row>
    <row r="367" spans="4:18" x14ac:dyDescent="0.25">
      <c r="D367" s="34"/>
      <c r="F367" s="30"/>
      <c r="K367" s="30"/>
      <c r="Q367">
        <f t="shared" si="7"/>
        <v>46135</v>
      </c>
      <c r="R367">
        <f>_xlfn.XLOOKUP(P367,'Painel Fertilizers'!$B:$B,'Painel Fertilizers'!$B:$B,0)</f>
        <v>0</v>
      </c>
    </row>
    <row r="368" spans="4:18" x14ac:dyDescent="0.25">
      <c r="D368" s="34"/>
      <c r="F368" s="30"/>
      <c r="K368" s="30"/>
      <c r="Q368">
        <f t="shared" si="7"/>
        <v>46135</v>
      </c>
      <c r="R368">
        <f>_xlfn.XLOOKUP(P368,'Painel Fertilizers'!$B:$B,'Painel Fertilizers'!$B:$B,0)</f>
        <v>0</v>
      </c>
    </row>
    <row r="369" spans="4:18" x14ac:dyDescent="0.25">
      <c r="D369" s="34"/>
      <c r="F369" s="30"/>
      <c r="K369" s="30"/>
      <c r="Q369">
        <f t="shared" si="7"/>
        <v>46135</v>
      </c>
      <c r="R369">
        <f>_xlfn.XLOOKUP(P369,'Painel Fertilizers'!$B:$B,'Painel Fertilizers'!$B:$B,0)</f>
        <v>0</v>
      </c>
    </row>
    <row r="370" spans="4:18" x14ac:dyDescent="0.25">
      <c r="D370" s="34"/>
      <c r="F370" s="30"/>
      <c r="K370" s="30"/>
      <c r="Q370">
        <f t="shared" si="7"/>
        <v>46135</v>
      </c>
      <c r="R370">
        <f>_xlfn.XLOOKUP(P370,'Painel Fertilizers'!$B:$B,'Painel Fertilizers'!$B:$B,0)</f>
        <v>0</v>
      </c>
    </row>
    <row r="371" spans="4:18" x14ac:dyDescent="0.25">
      <c r="D371" s="34"/>
      <c r="F371" s="30"/>
      <c r="K371" s="30"/>
      <c r="Q371">
        <f t="shared" si="7"/>
        <v>46135</v>
      </c>
      <c r="R371">
        <f>_xlfn.XLOOKUP(P371,'Painel Fertilizers'!$B:$B,'Painel Fertilizers'!$B:$B,0)</f>
        <v>0</v>
      </c>
    </row>
    <row r="372" spans="4:18" x14ac:dyDescent="0.25">
      <c r="D372" s="34"/>
      <c r="F372" s="30"/>
      <c r="K372" s="30"/>
      <c r="Q372">
        <f t="shared" si="7"/>
        <v>46135</v>
      </c>
      <c r="R372">
        <f>_xlfn.XLOOKUP(P372,'Painel Fertilizers'!$B:$B,'Painel Fertilizers'!$B:$B,0)</f>
        <v>0</v>
      </c>
    </row>
    <row r="373" spans="4:18" x14ac:dyDescent="0.25">
      <c r="D373" s="34"/>
      <c r="F373" s="30"/>
      <c r="K373" s="30"/>
      <c r="Q373">
        <f t="shared" si="7"/>
        <v>46135</v>
      </c>
      <c r="R373">
        <f>_xlfn.XLOOKUP(P373,'Painel Fertilizers'!$B:$B,'Painel Fertilizers'!$B:$B,0)</f>
        <v>0</v>
      </c>
    </row>
    <row r="374" spans="4:18" x14ac:dyDescent="0.25">
      <c r="D374" s="34"/>
      <c r="F374" s="30"/>
      <c r="K374" s="30"/>
      <c r="Q374">
        <f t="shared" si="7"/>
        <v>46135</v>
      </c>
      <c r="R374">
        <f>_xlfn.XLOOKUP(P374,'Painel Fertilizers'!$B:$B,'Painel Fertilizers'!$B:$B,0)</f>
        <v>0</v>
      </c>
    </row>
    <row r="375" spans="4:18" x14ac:dyDescent="0.25">
      <c r="D375" s="34"/>
      <c r="F375" s="30"/>
      <c r="K375" s="30"/>
      <c r="Q375">
        <f t="shared" ref="Q375:Q392" si="8">$R$1-F375</f>
        <v>46135</v>
      </c>
      <c r="R375">
        <f>_xlfn.XLOOKUP(P375,'Painel Fertilizers'!$B:$B,'Painel Fertilizers'!$B:$B,0)</f>
        <v>0</v>
      </c>
    </row>
    <row r="376" spans="4:18" x14ac:dyDescent="0.25">
      <c r="D376" s="34"/>
      <c r="F376" s="30"/>
      <c r="K376" s="30"/>
      <c r="Q376">
        <f t="shared" si="8"/>
        <v>46135</v>
      </c>
      <c r="R376">
        <f>_xlfn.XLOOKUP(P376,'Painel Fertilizers'!$B:$B,'Painel Fertilizers'!$B:$B,0)</f>
        <v>0</v>
      </c>
    </row>
    <row r="377" spans="4:18" x14ac:dyDescent="0.25">
      <c r="D377" s="34"/>
      <c r="F377" s="30"/>
      <c r="G377" s="30"/>
      <c r="K377" s="30"/>
      <c r="Q377">
        <f t="shared" si="8"/>
        <v>46135</v>
      </c>
      <c r="R377">
        <f>_xlfn.XLOOKUP(P377,'Painel Fertilizers'!$B:$B,'Painel Fertilizers'!$B:$B,0)</f>
        <v>0</v>
      </c>
    </row>
    <row r="378" spans="4:18" x14ac:dyDescent="0.25">
      <c r="D378" s="34"/>
      <c r="F378" s="30"/>
      <c r="G378" s="30"/>
      <c r="K378" s="30"/>
      <c r="Q378">
        <f t="shared" si="8"/>
        <v>46135</v>
      </c>
      <c r="R378">
        <f>_xlfn.XLOOKUP(P378,'Painel Fertilizers'!$B:$B,'Painel Fertilizers'!$B:$B,0)</f>
        <v>0</v>
      </c>
    </row>
    <row r="379" spans="4:18" x14ac:dyDescent="0.25">
      <c r="D379" s="34"/>
      <c r="F379" s="30"/>
      <c r="G379" s="30"/>
      <c r="K379" s="30"/>
      <c r="Q379">
        <f t="shared" si="8"/>
        <v>46135</v>
      </c>
      <c r="R379">
        <f>_xlfn.XLOOKUP(P379,'Painel Fertilizers'!$B:$B,'Painel Fertilizers'!$B:$B,0)</f>
        <v>0</v>
      </c>
    </row>
    <row r="380" spans="4:18" x14ac:dyDescent="0.25">
      <c r="D380" s="34"/>
      <c r="F380" s="30"/>
      <c r="G380" s="30"/>
      <c r="K380" s="30"/>
      <c r="Q380">
        <f t="shared" si="8"/>
        <v>46135</v>
      </c>
      <c r="R380">
        <f>_xlfn.XLOOKUP(P380,'Painel Fertilizers'!$B:$B,'Painel Fertilizers'!$B:$B,0)</f>
        <v>0</v>
      </c>
    </row>
    <row r="381" spans="4:18" x14ac:dyDescent="0.25">
      <c r="D381" s="34"/>
      <c r="F381" s="30"/>
      <c r="G381" s="30"/>
      <c r="K381" s="30"/>
      <c r="Q381">
        <f t="shared" si="8"/>
        <v>46135</v>
      </c>
      <c r="R381">
        <f>_xlfn.XLOOKUP(P381,'Painel Fertilizers'!$B:$B,'Painel Fertilizers'!$B:$B,0)</f>
        <v>0</v>
      </c>
    </row>
    <row r="382" spans="4:18" x14ac:dyDescent="0.25">
      <c r="D382" s="34"/>
      <c r="F382" s="30"/>
      <c r="G382" s="30"/>
      <c r="K382" s="30"/>
      <c r="Q382">
        <f t="shared" si="8"/>
        <v>46135</v>
      </c>
      <c r="R382">
        <f>_xlfn.XLOOKUP(P382,'Painel Fertilizers'!$B:$B,'Painel Fertilizers'!$B:$B,0)</f>
        <v>0</v>
      </c>
    </row>
    <row r="383" spans="4:18" x14ac:dyDescent="0.25">
      <c r="D383" s="34"/>
      <c r="F383" s="30"/>
      <c r="G383" s="30"/>
      <c r="K383" s="30"/>
      <c r="Q383">
        <f t="shared" si="8"/>
        <v>46135</v>
      </c>
      <c r="R383">
        <f>_xlfn.XLOOKUP(P383,'Painel Fertilizers'!$B:$B,'Painel Fertilizers'!$B:$B,0)</f>
        <v>0</v>
      </c>
    </row>
    <row r="384" spans="4:18" x14ac:dyDescent="0.25">
      <c r="D384" s="34"/>
      <c r="F384" s="30"/>
      <c r="G384" s="30"/>
      <c r="K384" s="30"/>
      <c r="Q384">
        <f t="shared" si="8"/>
        <v>46135</v>
      </c>
      <c r="R384">
        <f>_xlfn.XLOOKUP(P384,'Painel Fertilizers'!$B:$B,'Painel Fertilizers'!$B:$B,0)</f>
        <v>0</v>
      </c>
    </row>
    <row r="385" spans="4:18" x14ac:dyDescent="0.25">
      <c r="D385" s="34"/>
      <c r="F385" s="30"/>
      <c r="G385" s="30"/>
      <c r="K385" s="30"/>
      <c r="Q385">
        <f t="shared" si="8"/>
        <v>46135</v>
      </c>
      <c r="R385">
        <f>_xlfn.XLOOKUP(P385,'Painel Fertilizers'!$B:$B,'Painel Fertilizers'!$B:$B,0)</f>
        <v>0</v>
      </c>
    </row>
    <row r="386" spans="4:18" x14ac:dyDescent="0.25">
      <c r="D386" s="34"/>
      <c r="F386" s="30"/>
      <c r="G386" s="30"/>
      <c r="K386" s="30"/>
      <c r="Q386">
        <f t="shared" si="8"/>
        <v>46135</v>
      </c>
      <c r="R386">
        <f>_xlfn.XLOOKUP(P386,'Painel Fertilizers'!$B:$B,'Painel Fertilizers'!$B:$B,0)</f>
        <v>0</v>
      </c>
    </row>
    <row r="387" spans="4:18" x14ac:dyDescent="0.25">
      <c r="D387" s="34"/>
      <c r="F387" s="30"/>
      <c r="G387" s="30"/>
      <c r="K387" s="30"/>
      <c r="Q387">
        <f t="shared" si="8"/>
        <v>46135</v>
      </c>
      <c r="R387">
        <f>_xlfn.XLOOKUP(P387,'Painel Fertilizers'!$B:$B,'Painel Fertilizers'!$B:$B,0)</f>
        <v>0</v>
      </c>
    </row>
    <row r="388" spans="4:18" x14ac:dyDescent="0.25">
      <c r="D388" s="34"/>
      <c r="F388" s="30"/>
      <c r="G388" s="30"/>
      <c r="K388" s="30"/>
      <c r="Q388">
        <f t="shared" si="8"/>
        <v>46135</v>
      </c>
      <c r="R388">
        <f>_xlfn.XLOOKUP(P388,'Painel Fertilizers'!$B:$B,'Painel Fertilizers'!$B:$B,0)</f>
        <v>0</v>
      </c>
    </row>
    <row r="389" spans="4:18" x14ac:dyDescent="0.25">
      <c r="D389" s="34"/>
      <c r="F389" s="30"/>
      <c r="G389" s="30"/>
      <c r="K389" s="30"/>
      <c r="Q389">
        <f t="shared" si="8"/>
        <v>46135</v>
      </c>
      <c r="R389">
        <f>_xlfn.XLOOKUP(P389,'Painel Fertilizers'!$B:$B,'Painel Fertilizers'!$B:$B,0)</f>
        <v>0</v>
      </c>
    </row>
    <row r="390" spans="4:18" x14ac:dyDescent="0.25">
      <c r="D390" s="34"/>
      <c r="F390" s="30"/>
      <c r="K390" s="30"/>
      <c r="Q390">
        <f t="shared" si="8"/>
        <v>46135</v>
      </c>
      <c r="R390">
        <f>_xlfn.XLOOKUP(P390,'Painel Fertilizers'!$B:$B,'Painel Fertilizers'!$B:$B,0)</f>
        <v>0</v>
      </c>
    </row>
    <row r="391" spans="4:18" x14ac:dyDescent="0.25">
      <c r="D391" s="34"/>
      <c r="F391" s="30"/>
      <c r="K391" s="30"/>
      <c r="Q391">
        <f t="shared" si="8"/>
        <v>46135</v>
      </c>
      <c r="R391">
        <f>_xlfn.XLOOKUP(P391,'Painel Fertilizers'!$B:$B,'Painel Fertilizers'!$B:$B,0)</f>
        <v>0</v>
      </c>
    </row>
    <row r="392" spans="4:18" x14ac:dyDescent="0.25">
      <c r="Q392">
        <f t="shared" si="8"/>
        <v>46135</v>
      </c>
      <c r="R392">
        <f>_xlfn.XLOOKUP(P392,'Painel Fertilizers'!$B:$B,'Painel Fertilizers'!$B:$B,0)</f>
        <v>0</v>
      </c>
    </row>
  </sheetData>
  <autoFilter ref="A2:S391" xr:uid="{44BAA583-B199-4777-8608-3512A75541B2}"/>
  <phoneticPr fontId="2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tabColor theme="4"/>
  </sheetPr>
  <dimension ref="A1:AR86"/>
  <sheetViews>
    <sheetView showGridLines="0" tabSelected="1" zoomScale="80" zoomScaleNormal="80" workbookViewId="0">
      <pane xSplit="15" ySplit="3" topLeftCell="P4" activePane="bottomRight" state="frozen"/>
      <selection activeCell="G48" sqref="G48"/>
      <selection pane="topRight" activeCell="G48" sqref="G48"/>
      <selection pane="bottomLeft" activeCell="G48" sqref="G48"/>
      <selection pane="bottomRight" activeCell="AL18" sqref="AL18"/>
    </sheetView>
  </sheetViews>
  <sheetFormatPr defaultColWidth="8.88671875" defaultRowHeight="13.2" outlineLevelCol="2" x14ac:dyDescent="0.25"/>
  <cols>
    <col min="1" max="1" width="3.109375" style="255" customWidth="1"/>
    <col min="2" max="2" width="19.109375" style="394" customWidth="1"/>
    <col min="3" max="3" width="49.109375" style="253" customWidth="1"/>
    <col min="4" max="4" width="13.88671875" style="253" hidden="1" customWidth="1"/>
    <col min="5" max="5" width="5.88671875" style="253" hidden="1" customWidth="1"/>
    <col min="6" max="6" width="17.6640625" style="395" bestFit="1" customWidth="1"/>
    <col min="7" max="7" width="18.109375" style="395" customWidth="1" outlineLevel="1"/>
    <col min="8" max="8" width="18.5546875" style="395" customWidth="1" outlineLevel="1"/>
    <col min="9" max="9" width="18" style="253" hidden="1" customWidth="1" outlineLevel="2"/>
    <col min="10" max="11" width="17.6640625" style="253" hidden="1" customWidth="1" outlineLevel="2"/>
    <col min="12" max="12" width="18.88671875" style="253" hidden="1" customWidth="1" outlineLevel="2"/>
    <col min="13" max="14" width="20.33203125" style="253" hidden="1" customWidth="1" outlineLevel="2"/>
    <col min="15" max="15" width="21.33203125" style="253" hidden="1" customWidth="1" outlineLevel="2"/>
    <col min="16" max="16" width="15.5546875" style="395" customWidth="1" outlineLevel="1" collapsed="1"/>
    <col min="17" max="17" width="15.77734375" style="395" customWidth="1" outlineLevel="1"/>
    <col min="18" max="18" width="16.6640625" style="253" hidden="1" customWidth="1" outlineLevel="2"/>
    <col min="19" max="19" width="17.88671875" style="253" hidden="1" customWidth="1" outlineLevel="2"/>
    <col min="20" max="20" width="17.6640625" style="253" hidden="1" customWidth="1" outlineLevel="2"/>
    <col min="21" max="21" width="12.109375" style="253" hidden="1" customWidth="1" outlineLevel="2"/>
    <col min="22" max="22" width="13.33203125" style="253" hidden="1" customWidth="1" outlineLevel="2"/>
    <col min="23" max="23" width="13.88671875" style="253" hidden="1" customWidth="1" outlineLevel="2"/>
    <col min="24" max="24" width="22.44140625" style="253" hidden="1" customWidth="1" outlineLevel="2"/>
    <col min="25" max="25" width="13" style="253" hidden="1" customWidth="1" outlineLevel="2"/>
    <col min="26" max="26" width="2.6640625" style="253" customWidth="1" outlineLevel="1" collapsed="1"/>
    <col min="27" max="27" width="2.6640625" style="253" customWidth="1" outlineLevel="1"/>
    <col min="28" max="28" width="16.6640625" style="395" bestFit="1" customWidth="1"/>
    <col min="29" max="29" width="15.109375" style="253" hidden="1" customWidth="1"/>
    <col min="30" max="30" width="9.44140625" style="253" hidden="1" customWidth="1"/>
    <col min="31" max="31" width="9.44140625" style="295" hidden="1" customWidth="1"/>
    <col min="32" max="32" width="8.6640625" style="296" hidden="1" customWidth="1"/>
    <col min="33" max="33" width="0.5546875" style="253" customWidth="1"/>
    <col min="34" max="34" width="22" style="297" customWidth="1"/>
    <col min="35" max="35" width="7.44140625" style="255" bestFit="1" customWidth="1"/>
    <col min="36" max="36" width="22" style="256" customWidth="1"/>
    <col min="37" max="37" width="14.5546875" style="256" customWidth="1"/>
    <col min="38" max="38" width="13.109375" style="256" customWidth="1"/>
    <col min="39" max="39" width="11.88671875" style="255" bestFit="1" customWidth="1"/>
    <col min="40" max="40" width="14" style="255" bestFit="1" customWidth="1"/>
    <col min="41" max="43" width="8.88671875" style="255"/>
    <col min="44" max="44" width="11.109375" style="255" customWidth="1"/>
    <col min="45" max="16384" width="8.88671875" style="255"/>
  </cols>
  <sheetData>
    <row r="1" spans="1:44" s="9" customFormat="1" x14ac:dyDescent="0.25">
      <c r="A1" s="165"/>
      <c r="B1" s="190"/>
      <c r="C1" s="167">
        <v>46139</v>
      </c>
      <c r="D1" s="190"/>
      <c r="E1" s="190"/>
      <c r="F1" s="190"/>
      <c r="G1" s="190"/>
      <c r="H1" s="189">
        <f>SUBTOTAL(9,H4:H1048576)</f>
        <v>62183701.500000007</v>
      </c>
      <c r="I1" s="189">
        <f>SUBTOTAL(9,I4:I1048576)</f>
        <v>584434.79</v>
      </c>
      <c r="J1" s="189">
        <f>SUBTOTAL(9,J4:J1048576)</f>
        <v>49440</v>
      </c>
      <c r="K1" s="189">
        <f>SUBTOTAL(9,K4:K1048576)</f>
        <v>0</v>
      </c>
      <c r="L1" s="189">
        <f>SUBTOTAL(9,L4:L1048576)</f>
        <v>14548.35</v>
      </c>
      <c r="M1" s="189">
        <f>SUBTOTAL(9,M4:M1048576)</f>
        <v>0</v>
      </c>
      <c r="N1" s="189">
        <f>SUBTOTAL(9,N4:N1048576)</f>
        <v>1438605.41</v>
      </c>
      <c r="O1" s="189">
        <f>SUBTOTAL(9,O4:O1048576)</f>
        <v>21350076.989999998</v>
      </c>
      <c r="P1" s="189">
        <f>SUBTOTAL(9,P4:P1048576)</f>
        <v>23437105.540000003</v>
      </c>
      <c r="Q1" s="189">
        <f>SUBTOTAL(9,Q4:Q1048576)</f>
        <v>38746595.960000001</v>
      </c>
      <c r="R1" s="189">
        <f>SUBTOTAL(9,R4:R1048576)</f>
        <v>17474171.620000001</v>
      </c>
      <c r="S1" s="189">
        <f>SUBTOTAL(9,S4:S1048576)</f>
        <v>14680020.970000001</v>
      </c>
      <c r="T1" s="189">
        <f>SUBTOTAL(9,T4:T1048576)</f>
        <v>4609793.29</v>
      </c>
      <c r="U1" s="189">
        <f>SUBTOTAL(9,U4:U1048576)</f>
        <v>452580.7</v>
      </c>
      <c r="V1" s="189">
        <f>SUBTOTAL(9,V4:V1048576)</f>
        <v>1057137.06</v>
      </c>
      <c r="W1" s="189">
        <f>SUBTOTAL(9,W4:W1048576)</f>
        <v>376122.31</v>
      </c>
      <c r="X1" s="189">
        <f>SUBTOTAL(9,X4:X1048576)</f>
        <v>96770.01</v>
      </c>
      <c r="Y1" s="189">
        <f>SUBTOTAL(9,Y4:Y1048576)</f>
        <v>10608760.672299998</v>
      </c>
      <c r="Z1" s="191"/>
      <c r="AA1" s="191"/>
      <c r="AB1" s="189">
        <f>SUBTOTAL(9,AB4:AB1048576)</f>
        <v>87572500</v>
      </c>
      <c r="AC1" s="229"/>
      <c r="AD1" s="189"/>
      <c r="AE1" s="189"/>
      <c r="AF1" s="189"/>
      <c r="AH1" s="321">
        <f>SUBTOTAL(9,AH4:AH1048576)</f>
        <v>25388798.500000004</v>
      </c>
      <c r="AI1" s="10"/>
      <c r="AJ1" s="323">
        <f>P1/H1</f>
        <v>0.37690110068471883</v>
      </c>
      <c r="AK1" s="115"/>
      <c r="AL1" s="115"/>
      <c r="AN1" s="231"/>
    </row>
    <row r="2" spans="1:44" s="192" customFormat="1" ht="12.6" customHeight="1" thickBot="1" x14ac:dyDescent="0.3">
      <c r="B2" s="95"/>
      <c r="C2" s="95"/>
      <c r="D2" s="95"/>
      <c r="E2" s="95"/>
      <c r="F2" s="286"/>
      <c r="G2" s="286"/>
      <c r="H2" s="396"/>
      <c r="I2" s="266" t="s">
        <v>26</v>
      </c>
      <c r="J2" s="266"/>
      <c r="K2" s="266"/>
      <c r="L2" s="266"/>
      <c r="M2" s="266"/>
      <c r="N2" s="266"/>
      <c r="O2" s="266"/>
      <c r="P2" s="398"/>
      <c r="Q2" s="398"/>
      <c r="R2" s="33" t="s">
        <v>16</v>
      </c>
      <c r="S2" s="33"/>
      <c r="T2" s="33"/>
      <c r="U2" s="33"/>
      <c r="V2" s="33"/>
      <c r="W2" s="33"/>
      <c r="X2" s="33"/>
      <c r="Y2" s="116"/>
      <c r="Z2" s="285"/>
      <c r="AA2" s="285"/>
      <c r="AB2" s="396"/>
      <c r="AC2" s="118"/>
      <c r="AD2" s="225"/>
      <c r="AE2" s="225"/>
      <c r="AF2" s="225"/>
      <c r="AG2" s="285"/>
      <c r="AH2" s="322"/>
      <c r="AI2" s="6"/>
      <c r="AJ2" s="117" t="s">
        <v>482</v>
      </c>
      <c r="AK2" s="117"/>
      <c r="AL2" s="117"/>
      <c r="AN2" s="230"/>
    </row>
    <row r="3" spans="1:44" s="192" customFormat="1" ht="28.8" thickTop="1" thickBot="1" x14ac:dyDescent="0.3">
      <c r="A3" s="192" t="s">
        <v>225</v>
      </c>
      <c r="B3" s="289" t="s">
        <v>339</v>
      </c>
      <c r="C3" s="288" t="s">
        <v>22</v>
      </c>
      <c r="D3" s="95" t="s">
        <v>436</v>
      </c>
      <c r="E3" s="95"/>
      <c r="F3" s="287" t="s">
        <v>478</v>
      </c>
      <c r="G3" s="287" t="s">
        <v>479</v>
      </c>
      <c r="H3" s="397" t="s">
        <v>17</v>
      </c>
      <c r="I3" s="267" t="s">
        <v>9</v>
      </c>
      <c r="J3" s="267" t="s">
        <v>10</v>
      </c>
      <c r="K3" s="267" t="s">
        <v>11</v>
      </c>
      <c r="L3" s="267" t="s">
        <v>12</v>
      </c>
      <c r="M3" s="267" t="s">
        <v>13</v>
      </c>
      <c r="N3" s="267" t="s">
        <v>14</v>
      </c>
      <c r="O3" s="268" t="s">
        <v>15</v>
      </c>
      <c r="P3" s="399" t="s">
        <v>27</v>
      </c>
      <c r="Q3" s="399" t="s">
        <v>8</v>
      </c>
      <c r="R3" s="12" t="s">
        <v>9</v>
      </c>
      <c r="S3" s="12" t="s">
        <v>10</v>
      </c>
      <c r="T3" s="12" t="s">
        <v>11</v>
      </c>
      <c r="U3" s="12" t="s">
        <v>12</v>
      </c>
      <c r="V3" s="12" t="s">
        <v>13</v>
      </c>
      <c r="W3" s="12" t="s">
        <v>14</v>
      </c>
      <c r="X3" s="265" t="s">
        <v>15</v>
      </c>
      <c r="Y3" s="116" t="s">
        <v>298</v>
      </c>
      <c r="Z3" s="285" t="s">
        <v>225</v>
      </c>
      <c r="AA3" s="285" t="s">
        <v>225</v>
      </c>
      <c r="AB3" s="397" t="s">
        <v>480</v>
      </c>
      <c r="AC3" s="118" t="s">
        <v>486</v>
      </c>
      <c r="AD3" s="170" t="s">
        <v>20</v>
      </c>
      <c r="AE3" s="170" t="s">
        <v>554</v>
      </c>
      <c r="AF3" s="170" t="s">
        <v>23</v>
      </c>
      <c r="AG3" s="285" t="s">
        <v>225</v>
      </c>
      <c r="AH3" s="294" t="s">
        <v>715</v>
      </c>
      <c r="AI3" s="6" t="s">
        <v>225</v>
      </c>
      <c r="AJ3" s="283" t="s">
        <v>483</v>
      </c>
      <c r="AK3" s="284" t="s">
        <v>484</v>
      </c>
      <c r="AL3" s="284" t="s">
        <v>485</v>
      </c>
    </row>
    <row r="4" spans="1:44" s="252" customFormat="1" ht="13.8" thickTop="1" x14ac:dyDescent="0.25">
      <c r="A4" s="255"/>
      <c r="B4" s="251" t="s">
        <v>689</v>
      </c>
      <c r="C4" s="393" t="s">
        <v>177</v>
      </c>
      <c r="D4" s="402">
        <v>0</v>
      </c>
      <c r="E4" s="402"/>
      <c r="F4" s="400">
        <v>0</v>
      </c>
      <c r="G4" s="400">
        <v>-7560727.799999997</v>
      </c>
      <c r="H4" s="400">
        <v>7560727.799999997</v>
      </c>
      <c r="I4" s="402">
        <v>0</v>
      </c>
      <c r="J4" s="402">
        <v>0</v>
      </c>
      <c r="K4" s="402">
        <v>0</v>
      </c>
      <c r="L4" s="402">
        <v>0</v>
      </c>
      <c r="M4" s="402">
        <v>0</v>
      </c>
      <c r="N4" s="402">
        <v>0</v>
      </c>
      <c r="O4" s="404">
        <v>7560727.799999997</v>
      </c>
      <c r="P4" s="400">
        <v>7560727.799999997</v>
      </c>
      <c r="Q4" s="400">
        <v>0</v>
      </c>
      <c r="R4" s="402">
        <v>0</v>
      </c>
      <c r="S4" s="402">
        <v>0</v>
      </c>
      <c r="T4" s="402">
        <v>0</v>
      </c>
      <c r="U4" s="402">
        <v>0</v>
      </c>
      <c r="V4" s="402">
        <v>0</v>
      </c>
      <c r="W4" s="402">
        <v>0</v>
      </c>
      <c r="X4" s="404">
        <v>0</v>
      </c>
      <c r="Y4" s="402">
        <v>0</v>
      </c>
      <c r="Z4" s="251"/>
      <c r="AA4" s="251"/>
      <c r="AB4" s="400">
        <v>0</v>
      </c>
      <c r="AC4" s="384"/>
      <c r="AD4" s="384"/>
      <c r="AE4" s="385"/>
      <c r="AF4" s="386"/>
      <c r="AG4" s="253"/>
      <c r="AH4" s="407">
        <f>AB4-H4</f>
        <v>-7560727.799999997</v>
      </c>
      <c r="AI4" s="255"/>
      <c r="AJ4" s="256"/>
      <c r="AK4" s="256"/>
      <c r="AL4" s="256"/>
    </row>
    <row r="5" spans="1:44" s="251" customFormat="1" x14ac:dyDescent="0.25">
      <c r="A5" s="255"/>
      <c r="B5" s="252" t="s">
        <v>547</v>
      </c>
      <c r="C5" s="401" t="s">
        <v>531</v>
      </c>
      <c r="D5" s="402" t="s">
        <v>455</v>
      </c>
      <c r="E5" s="402"/>
      <c r="F5" s="403">
        <v>10000000</v>
      </c>
      <c r="G5" s="403">
        <v>3010042.9000000004</v>
      </c>
      <c r="H5" s="403">
        <v>6989957.0999999996</v>
      </c>
      <c r="I5" s="402">
        <v>0</v>
      </c>
      <c r="J5" s="402">
        <v>0</v>
      </c>
      <c r="K5" s="402">
        <v>0</v>
      </c>
      <c r="L5" s="402">
        <v>0</v>
      </c>
      <c r="M5" s="402">
        <v>0</v>
      </c>
      <c r="N5" s="402">
        <v>0</v>
      </c>
      <c r="O5" s="404">
        <v>0</v>
      </c>
      <c r="P5" s="403">
        <v>0</v>
      </c>
      <c r="Q5" s="403">
        <v>6989957.0999999996</v>
      </c>
      <c r="R5" s="402">
        <v>1127577.5999999999</v>
      </c>
      <c r="S5" s="402">
        <v>2992082.9999999995</v>
      </c>
      <c r="T5" s="402">
        <v>2644466.0999999996</v>
      </c>
      <c r="U5" s="402">
        <v>225830.39999999999</v>
      </c>
      <c r="V5" s="402">
        <v>0</v>
      </c>
      <c r="W5" s="402">
        <v>0</v>
      </c>
      <c r="X5" s="404">
        <v>0</v>
      </c>
      <c r="Y5" s="402">
        <v>16500</v>
      </c>
      <c r="Z5" s="252"/>
      <c r="AA5" s="252"/>
      <c r="AB5" s="403">
        <v>10000000</v>
      </c>
      <c r="AC5" s="402"/>
      <c r="AD5" s="402"/>
      <c r="AE5" s="405"/>
      <c r="AF5" s="406"/>
      <c r="AG5" s="252"/>
      <c r="AH5" s="407">
        <f>AB5-H5</f>
        <v>3010042.9000000004</v>
      </c>
      <c r="AI5" s="255"/>
      <c r="AJ5" s="256"/>
      <c r="AK5" s="256"/>
      <c r="AL5" s="256"/>
      <c r="AN5" s="252" t="s">
        <v>918</v>
      </c>
    </row>
    <row r="6" spans="1:44" s="252" customFormat="1" x14ac:dyDescent="0.25">
      <c r="A6" s="255"/>
      <c r="B6" s="252" t="s">
        <v>547</v>
      </c>
      <c r="C6" s="401" t="s">
        <v>420</v>
      </c>
      <c r="D6" s="402" t="s">
        <v>455</v>
      </c>
      <c r="E6" s="402"/>
      <c r="F6" s="403">
        <v>6000000</v>
      </c>
      <c r="G6" s="403">
        <v>2042616.8900000001</v>
      </c>
      <c r="H6" s="403">
        <v>3957383.11</v>
      </c>
      <c r="I6" s="402">
        <v>0</v>
      </c>
      <c r="J6" s="402">
        <v>0</v>
      </c>
      <c r="K6" s="402">
        <v>0</v>
      </c>
      <c r="L6" s="402">
        <v>0</v>
      </c>
      <c r="M6" s="402">
        <v>0</v>
      </c>
      <c r="N6" s="402">
        <v>0</v>
      </c>
      <c r="O6" s="404">
        <v>5626.32</v>
      </c>
      <c r="P6" s="403">
        <v>5626.32</v>
      </c>
      <c r="Q6" s="403">
        <v>3951756.79</v>
      </c>
      <c r="R6" s="402">
        <v>2997325.2399999998</v>
      </c>
      <c r="S6" s="402">
        <v>954431.55</v>
      </c>
      <c r="T6" s="402">
        <v>0</v>
      </c>
      <c r="U6" s="402">
        <v>0</v>
      </c>
      <c r="V6" s="402">
        <v>0</v>
      </c>
      <c r="W6" s="402">
        <v>0</v>
      </c>
      <c r="X6" s="404">
        <v>0</v>
      </c>
      <c r="Y6" s="402">
        <v>63226.319999999992</v>
      </c>
      <c r="AB6" s="403">
        <v>6000000</v>
      </c>
      <c r="AC6" s="384"/>
      <c r="AD6" s="384"/>
      <c r="AE6" s="385"/>
      <c r="AF6" s="386"/>
      <c r="AG6" s="253"/>
      <c r="AH6" s="407">
        <f>AB6-H6</f>
        <v>2042616.8900000001</v>
      </c>
      <c r="AI6" s="255"/>
      <c r="AJ6" s="256"/>
      <c r="AK6" s="256"/>
      <c r="AL6" s="256"/>
      <c r="AN6" s="252" t="s">
        <v>547</v>
      </c>
    </row>
    <row r="7" spans="1:44" s="251" customFormat="1" x14ac:dyDescent="0.25">
      <c r="A7" s="255"/>
      <c r="B7" s="252" t="s">
        <v>547</v>
      </c>
      <c r="C7" s="401" t="s">
        <v>500</v>
      </c>
      <c r="D7" s="402">
        <v>0</v>
      </c>
      <c r="E7" s="402"/>
      <c r="F7" s="403">
        <v>20000000</v>
      </c>
      <c r="G7" s="403">
        <v>16128758.859999999</v>
      </c>
      <c r="H7" s="403">
        <v>3871241.14</v>
      </c>
      <c r="I7" s="402">
        <v>0</v>
      </c>
      <c r="J7" s="402">
        <v>0</v>
      </c>
      <c r="K7" s="402">
        <v>0</v>
      </c>
      <c r="L7" s="402">
        <v>0</v>
      </c>
      <c r="M7" s="402">
        <v>0</v>
      </c>
      <c r="N7" s="402">
        <v>64.2</v>
      </c>
      <c r="O7" s="404">
        <v>16754.72</v>
      </c>
      <c r="P7" s="403">
        <v>16818.920000000002</v>
      </c>
      <c r="Q7" s="403">
        <v>3854422.22</v>
      </c>
      <c r="R7" s="402">
        <v>1696548.62</v>
      </c>
      <c r="S7" s="402">
        <v>1268599.2000000002</v>
      </c>
      <c r="T7" s="402">
        <v>852594.6</v>
      </c>
      <c r="U7" s="402">
        <v>36679.800000000003</v>
      </c>
      <c r="V7" s="402">
        <v>0</v>
      </c>
      <c r="W7" s="402">
        <v>0</v>
      </c>
      <c r="X7" s="404">
        <v>0</v>
      </c>
      <c r="Y7" s="402">
        <v>84763.766000000003</v>
      </c>
      <c r="Z7" s="252"/>
      <c r="AA7" s="252"/>
      <c r="AB7" s="403">
        <v>15000000</v>
      </c>
      <c r="AC7" s="413"/>
      <c r="AD7" s="413"/>
      <c r="AE7" s="414"/>
      <c r="AF7" s="415"/>
      <c r="AH7" s="407">
        <f>AB7-H7</f>
        <v>11128758.859999999</v>
      </c>
      <c r="AI7" s="255"/>
      <c r="AJ7" s="256"/>
      <c r="AK7" s="256"/>
      <c r="AL7" s="256"/>
      <c r="AN7" s="252" t="s">
        <v>342</v>
      </c>
    </row>
    <row r="8" spans="1:44" s="251" customFormat="1" x14ac:dyDescent="0.25">
      <c r="A8" s="255"/>
      <c r="B8" s="252" t="s">
        <v>547</v>
      </c>
      <c r="C8" s="401" t="s">
        <v>417</v>
      </c>
      <c r="D8" s="402" t="s">
        <v>455</v>
      </c>
      <c r="E8" s="402"/>
      <c r="F8" s="403">
        <v>3500000</v>
      </c>
      <c r="G8" s="403">
        <v>-173754.79999999981</v>
      </c>
      <c r="H8" s="403">
        <v>3673754.8</v>
      </c>
      <c r="I8" s="402">
        <v>0</v>
      </c>
      <c r="J8" s="402">
        <v>0</v>
      </c>
      <c r="K8" s="402">
        <v>0</v>
      </c>
      <c r="L8" s="402">
        <v>0</v>
      </c>
      <c r="M8" s="402">
        <v>0</v>
      </c>
      <c r="N8" s="402">
        <v>0</v>
      </c>
      <c r="O8" s="404">
        <v>0</v>
      </c>
      <c r="P8" s="403">
        <v>0</v>
      </c>
      <c r="Q8" s="403">
        <v>3673754.8</v>
      </c>
      <c r="R8" s="402">
        <v>956954.8</v>
      </c>
      <c r="S8" s="402">
        <v>2716800</v>
      </c>
      <c r="T8" s="402">
        <v>0</v>
      </c>
      <c r="U8" s="402">
        <v>0</v>
      </c>
      <c r="V8" s="402">
        <v>0</v>
      </c>
      <c r="W8" s="402">
        <v>0</v>
      </c>
      <c r="X8" s="404">
        <v>0</v>
      </c>
      <c r="Y8" s="402">
        <v>0</v>
      </c>
      <c r="Z8" s="252"/>
      <c r="AA8" s="252"/>
      <c r="AB8" s="403">
        <v>4500000</v>
      </c>
      <c r="AC8" s="413"/>
      <c r="AD8" s="413"/>
      <c r="AE8" s="414"/>
      <c r="AF8" s="415"/>
      <c r="AH8" s="407">
        <f>AB8-H8</f>
        <v>826245.20000000019</v>
      </c>
      <c r="AI8" s="255"/>
      <c r="AJ8" s="256"/>
      <c r="AK8" s="256"/>
      <c r="AL8" s="256"/>
      <c r="AN8" s="252"/>
      <c r="AR8" s="383"/>
    </row>
    <row r="9" spans="1:44" s="251" customFormat="1" x14ac:dyDescent="0.25">
      <c r="A9" s="255"/>
      <c r="B9" s="252" t="s">
        <v>918</v>
      </c>
      <c r="C9" s="401" t="s">
        <v>337</v>
      </c>
      <c r="D9" s="402">
        <v>0</v>
      </c>
      <c r="E9" s="402"/>
      <c r="F9" s="403">
        <v>0</v>
      </c>
      <c r="G9" s="403">
        <v>-3280155.1799999997</v>
      </c>
      <c r="H9" s="403">
        <v>3280155.1799999997</v>
      </c>
      <c r="I9" s="402">
        <v>0</v>
      </c>
      <c r="J9" s="402">
        <v>0</v>
      </c>
      <c r="K9" s="402">
        <v>0</v>
      </c>
      <c r="L9" s="402">
        <v>0</v>
      </c>
      <c r="M9" s="402">
        <v>0</v>
      </c>
      <c r="N9" s="402">
        <v>0</v>
      </c>
      <c r="O9" s="404">
        <v>0</v>
      </c>
      <c r="P9" s="403">
        <v>0</v>
      </c>
      <c r="Q9" s="403">
        <v>3280155.1799999997</v>
      </c>
      <c r="R9" s="402">
        <v>0</v>
      </c>
      <c r="S9" s="402">
        <v>3280155.1799999997</v>
      </c>
      <c r="T9" s="402">
        <v>0</v>
      </c>
      <c r="U9" s="402">
        <v>0</v>
      </c>
      <c r="V9" s="402">
        <v>0</v>
      </c>
      <c r="W9" s="402">
        <v>0</v>
      </c>
      <c r="X9" s="404">
        <v>0</v>
      </c>
      <c r="Y9" s="402">
        <v>0</v>
      </c>
      <c r="Z9" s="252"/>
      <c r="AA9" s="252"/>
      <c r="AB9" s="403">
        <v>0</v>
      </c>
      <c r="AC9" s="384"/>
      <c r="AD9" s="384"/>
      <c r="AE9" s="385"/>
      <c r="AF9" s="386"/>
      <c r="AG9" s="253"/>
      <c r="AH9" s="407">
        <f>AB9-H9</f>
        <v>-3280155.1799999997</v>
      </c>
      <c r="AI9" s="255"/>
      <c r="AJ9" s="256"/>
      <c r="AK9" s="256"/>
      <c r="AL9" s="256"/>
      <c r="AN9" s="251" t="s">
        <v>689</v>
      </c>
    </row>
    <row r="10" spans="1:44" s="251" customFormat="1" x14ac:dyDescent="0.25">
      <c r="A10" s="255"/>
      <c r="B10" s="251" t="s">
        <v>689</v>
      </c>
      <c r="C10" s="393" t="s">
        <v>429</v>
      </c>
      <c r="D10" s="402">
        <v>0</v>
      </c>
      <c r="E10" s="402"/>
      <c r="F10" s="400">
        <v>0</v>
      </c>
      <c r="G10" s="400">
        <v>-3088531.0700000008</v>
      </c>
      <c r="H10" s="400">
        <v>3088531.0700000008</v>
      </c>
      <c r="I10" s="402">
        <v>0</v>
      </c>
      <c r="J10" s="402">
        <v>0</v>
      </c>
      <c r="K10" s="402">
        <v>0</v>
      </c>
      <c r="L10" s="402">
        <v>0</v>
      </c>
      <c r="M10" s="402">
        <v>0</v>
      </c>
      <c r="N10" s="402">
        <v>0</v>
      </c>
      <c r="O10" s="404">
        <v>3088531.0700000008</v>
      </c>
      <c r="P10" s="400">
        <v>3088531.0700000008</v>
      </c>
      <c r="Q10" s="400">
        <v>0</v>
      </c>
      <c r="R10" s="402">
        <v>0</v>
      </c>
      <c r="S10" s="402">
        <v>0</v>
      </c>
      <c r="T10" s="402">
        <v>0</v>
      </c>
      <c r="U10" s="402">
        <v>0</v>
      </c>
      <c r="V10" s="402">
        <v>0</v>
      </c>
      <c r="W10" s="402">
        <v>0</v>
      </c>
      <c r="X10" s="404">
        <v>0</v>
      </c>
      <c r="Y10" s="402">
        <v>3088531.0700000008</v>
      </c>
      <c r="AB10" s="400">
        <v>0</v>
      </c>
      <c r="AC10" s="384"/>
      <c r="AD10" s="384"/>
      <c r="AE10" s="385"/>
      <c r="AF10" s="386"/>
      <c r="AG10" s="253"/>
      <c r="AH10" s="407">
        <f>AB10-H10</f>
        <v>-3088531.0700000008</v>
      </c>
      <c r="AI10" s="255"/>
      <c r="AJ10" s="256"/>
      <c r="AK10" s="256"/>
      <c r="AL10" s="256"/>
      <c r="AN10" s="251" t="s">
        <v>926</v>
      </c>
    </row>
    <row r="11" spans="1:44" s="251" customFormat="1" x14ac:dyDescent="0.25">
      <c r="A11" s="255"/>
      <c r="B11" s="251" t="s">
        <v>689</v>
      </c>
      <c r="C11" s="393" t="s">
        <v>210</v>
      </c>
      <c r="D11" s="402">
        <v>0</v>
      </c>
      <c r="E11" s="402"/>
      <c r="F11" s="400">
        <v>0</v>
      </c>
      <c r="G11" s="400">
        <v>-3044850.9199999995</v>
      </c>
      <c r="H11" s="400">
        <v>3044850.9199999995</v>
      </c>
      <c r="I11" s="402">
        <v>0</v>
      </c>
      <c r="J11" s="402">
        <v>0</v>
      </c>
      <c r="K11" s="402">
        <v>0</v>
      </c>
      <c r="L11" s="402">
        <v>0</v>
      </c>
      <c r="M11" s="402">
        <v>0</v>
      </c>
      <c r="N11" s="402">
        <v>0</v>
      </c>
      <c r="O11" s="404">
        <v>3044850.9199999995</v>
      </c>
      <c r="P11" s="400">
        <v>3044850.9199999995</v>
      </c>
      <c r="Q11" s="400">
        <v>0</v>
      </c>
      <c r="R11" s="402">
        <v>0</v>
      </c>
      <c r="S11" s="402">
        <v>0</v>
      </c>
      <c r="T11" s="402">
        <v>0</v>
      </c>
      <c r="U11" s="402">
        <v>0</v>
      </c>
      <c r="V11" s="402">
        <v>0</v>
      </c>
      <c r="W11" s="402">
        <v>0</v>
      </c>
      <c r="X11" s="404">
        <v>0</v>
      </c>
      <c r="Y11" s="402">
        <v>3044850.9199999995</v>
      </c>
      <c r="AB11" s="400">
        <v>0</v>
      </c>
      <c r="AC11" s="384"/>
      <c r="AD11" s="384"/>
      <c r="AE11" s="385"/>
      <c r="AF11" s="386"/>
      <c r="AG11" s="253"/>
      <c r="AH11" s="407">
        <f>AB11-H11</f>
        <v>-3044850.9199999995</v>
      </c>
      <c r="AI11" s="255"/>
      <c r="AJ11" s="256"/>
      <c r="AK11" s="256"/>
      <c r="AL11" s="256"/>
      <c r="AR11" s="264"/>
    </row>
    <row r="12" spans="1:44" s="253" customFormat="1" x14ac:dyDescent="0.25">
      <c r="A12" s="255"/>
      <c r="B12" s="251" t="s">
        <v>689</v>
      </c>
      <c r="C12" s="393" t="s">
        <v>187</v>
      </c>
      <c r="D12" s="402">
        <v>0</v>
      </c>
      <c r="E12" s="402"/>
      <c r="F12" s="400">
        <v>0</v>
      </c>
      <c r="G12" s="400">
        <v>-2492842.0500000007</v>
      </c>
      <c r="H12" s="400">
        <v>2492842.0500000007</v>
      </c>
      <c r="I12" s="402">
        <v>0</v>
      </c>
      <c r="J12" s="402">
        <v>0</v>
      </c>
      <c r="K12" s="402">
        <v>0</v>
      </c>
      <c r="L12" s="402">
        <v>0</v>
      </c>
      <c r="M12" s="402">
        <v>0</v>
      </c>
      <c r="N12" s="402">
        <v>0</v>
      </c>
      <c r="O12" s="404">
        <v>2492842.0500000007</v>
      </c>
      <c r="P12" s="400">
        <v>2492842.0500000007</v>
      </c>
      <c r="Q12" s="400">
        <v>0</v>
      </c>
      <c r="R12" s="402">
        <v>0</v>
      </c>
      <c r="S12" s="402">
        <v>0</v>
      </c>
      <c r="T12" s="402">
        <v>0</v>
      </c>
      <c r="U12" s="402">
        <v>0</v>
      </c>
      <c r="V12" s="402">
        <v>0</v>
      </c>
      <c r="W12" s="402">
        <v>0</v>
      </c>
      <c r="X12" s="404">
        <v>0</v>
      </c>
      <c r="Y12" s="402">
        <v>0</v>
      </c>
      <c r="Z12" s="251"/>
      <c r="AA12" s="251"/>
      <c r="AB12" s="400">
        <v>0</v>
      </c>
      <c r="AC12" s="384"/>
      <c r="AD12" s="384"/>
      <c r="AE12" s="385"/>
      <c r="AF12" s="386"/>
      <c r="AH12" s="407">
        <f>AB12-H12</f>
        <v>-2492842.0500000007</v>
      </c>
      <c r="AI12" s="255"/>
      <c r="AJ12" s="256"/>
      <c r="AK12" s="256"/>
      <c r="AL12" s="256"/>
    </row>
    <row r="13" spans="1:44" s="254" customFormat="1" ht="13.95" customHeight="1" x14ac:dyDescent="0.25">
      <c r="A13" s="255"/>
      <c r="B13" s="251" t="s">
        <v>689</v>
      </c>
      <c r="C13" s="393" t="s">
        <v>195</v>
      </c>
      <c r="D13" s="402">
        <v>0</v>
      </c>
      <c r="E13" s="402"/>
      <c r="F13" s="400">
        <v>0</v>
      </c>
      <c r="G13" s="400">
        <v>-1863200.9</v>
      </c>
      <c r="H13" s="400">
        <v>1863200.9</v>
      </c>
      <c r="I13" s="402">
        <v>0</v>
      </c>
      <c r="J13" s="402">
        <v>0</v>
      </c>
      <c r="K13" s="402">
        <v>0</v>
      </c>
      <c r="L13" s="402">
        <v>0</v>
      </c>
      <c r="M13" s="402">
        <v>0</v>
      </c>
      <c r="N13" s="402">
        <v>0</v>
      </c>
      <c r="O13" s="404">
        <v>1863200.9</v>
      </c>
      <c r="P13" s="400">
        <v>1863200.9</v>
      </c>
      <c r="Q13" s="400">
        <v>0</v>
      </c>
      <c r="R13" s="402">
        <v>0</v>
      </c>
      <c r="S13" s="402">
        <v>0</v>
      </c>
      <c r="T13" s="402">
        <v>0</v>
      </c>
      <c r="U13" s="402">
        <v>0</v>
      </c>
      <c r="V13" s="402">
        <v>0</v>
      </c>
      <c r="W13" s="402">
        <v>0</v>
      </c>
      <c r="X13" s="404">
        <v>0</v>
      </c>
      <c r="Y13" s="402">
        <v>1863200.9</v>
      </c>
      <c r="Z13" s="251"/>
      <c r="AA13" s="251"/>
      <c r="AB13" s="400">
        <v>0</v>
      </c>
      <c r="AC13" s="384"/>
      <c r="AD13" s="384"/>
      <c r="AE13" s="385"/>
      <c r="AF13" s="386"/>
      <c r="AG13" s="253"/>
      <c r="AH13" s="407">
        <f>AB13-H13</f>
        <v>-1863200.9</v>
      </c>
      <c r="AI13" s="255"/>
      <c r="AJ13" s="256"/>
      <c r="AK13" s="256"/>
      <c r="AL13" s="256"/>
    </row>
    <row r="14" spans="1:44" s="254" customFormat="1" ht="13.95" customHeight="1" x14ac:dyDescent="0.25">
      <c r="A14" s="255"/>
      <c r="B14" s="251" t="s">
        <v>689</v>
      </c>
      <c r="C14" s="393" t="s">
        <v>199</v>
      </c>
      <c r="D14" s="402">
        <v>0</v>
      </c>
      <c r="E14" s="402"/>
      <c r="F14" s="400">
        <v>0</v>
      </c>
      <c r="G14" s="400">
        <v>-1702848.7400000002</v>
      </c>
      <c r="H14" s="400">
        <v>1702848.7400000002</v>
      </c>
      <c r="I14" s="402">
        <v>0</v>
      </c>
      <c r="J14" s="402">
        <v>0</v>
      </c>
      <c r="K14" s="402">
        <v>0</v>
      </c>
      <c r="L14" s="402">
        <v>0</v>
      </c>
      <c r="M14" s="402">
        <v>0</v>
      </c>
      <c r="N14" s="402">
        <v>0</v>
      </c>
      <c r="O14" s="404">
        <v>1702848.7400000002</v>
      </c>
      <c r="P14" s="400">
        <v>1702848.7400000002</v>
      </c>
      <c r="Q14" s="400">
        <v>0</v>
      </c>
      <c r="R14" s="402">
        <v>0</v>
      </c>
      <c r="S14" s="402">
        <v>0</v>
      </c>
      <c r="T14" s="402">
        <v>0</v>
      </c>
      <c r="U14" s="402">
        <v>0</v>
      </c>
      <c r="V14" s="402">
        <v>0</v>
      </c>
      <c r="W14" s="402">
        <v>0</v>
      </c>
      <c r="X14" s="404">
        <v>0</v>
      </c>
      <c r="Y14" s="402">
        <v>1702848.7400000002</v>
      </c>
      <c r="Z14" s="251"/>
      <c r="AA14" s="251"/>
      <c r="AB14" s="400">
        <v>0</v>
      </c>
      <c r="AC14" s="384"/>
      <c r="AD14" s="384"/>
      <c r="AE14" s="385"/>
      <c r="AF14" s="386"/>
      <c r="AG14" s="253"/>
      <c r="AH14" s="407">
        <f>AB14-H14</f>
        <v>-1702848.7400000002</v>
      </c>
      <c r="AI14" s="255"/>
      <c r="AJ14" s="256"/>
      <c r="AK14" s="256"/>
      <c r="AL14" s="256"/>
    </row>
    <row r="15" spans="1:44" x14ac:dyDescent="0.25">
      <c r="B15" s="252" t="s">
        <v>342</v>
      </c>
      <c r="C15" s="401" t="s">
        <v>182</v>
      </c>
      <c r="D15" s="402" t="s">
        <v>455</v>
      </c>
      <c r="E15" s="402"/>
      <c r="F15" s="403">
        <v>1800000</v>
      </c>
      <c r="G15" s="403">
        <v>599809.58000000007</v>
      </c>
      <c r="H15" s="403">
        <v>1200190.42</v>
      </c>
      <c r="I15" s="402">
        <v>0</v>
      </c>
      <c r="J15" s="402">
        <v>0</v>
      </c>
      <c r="K15" s="402">
        <v>0</v>
      </c>
      <c r="L15" s="402">
        <v>0</v>
      </c>
      <c r="M15" s="402">
        <v>0</v>
      </c>
      <c r="N15" s="402">
        <v>0</v>
      </c>
      <c r="O15" s="404">
        <v>0</v>
      </c>
      <c r="P15" s="403">
        <v>0</v>
      </c>
      <c r="Q15" s="403">
        <v>1200190.42</v>
      </c>
      <c r="R15" s="402">
        <v>274733.36</v>
      </c>
      <c r="S15" s="402">
        <v>0</v>
      </c>
      <c r="T15" s="402">
        <v>0</v>
      </c>
      <c r="U15" s="402">
        <v>0</v>
      </c>
      <c r="V15" s="402">
        <v>925457.05999999994</v>
      </c>
      <c r="W15" s="402">
        <v>0</v>
      </c>
      <c r="X15" s="404">
        <v>0</v>
      </c>
      <c r="Y15" s="402">
        <v>0</v>
      </c>
      <c r="Z15" s="252"/>
      <c r="AA15" s="252"/>
      <c r="AB15" s="403">
        <v>500000</v>
      </c>
      <c r="AC15" s="384"/>
      <c r="AD15" s="384"/>
      <c r="AE15" s="385"/>
      <c r="AF15" s="386"/>
      <c r="AH15" s="407">
        <f>AB15-H15</f>
        <v>-700190.41999999993</v>
      </c>
    </row>
    <row r="16" spans="1:44" x14ac:dyDescent="0.25">
      <c r="B16" s="252" t="s">
        <v>547</v>
      </c>
      <c r="C16" s="401" t="s">
        <v>577</v>
      </c>
      <c r="D16" s="402" t="s">
        <v>455</v>
      </c>
      <c r="E16" s="402"/>
      <c r="F16" s="403">
        <v>3000000</v>
      </c>
      <c r="G16" s="403">
        <v>1897185.24</v>
      </c>
      <c r="H16" s="403">
        <v>1102814.76</v>
      </c>
      <c r="I16" s="402">
        <v>0</v>
      </c>
      <c r="J16" s="402">
        <v>0</v>
      </c>
      <c r="K16" s="402">
        <v>0</v>
      </c>
      <c r="L16" s="402">
        <v>0</v>
      </c>
      <c r="M16" s="402">
        <v>0</v>
      </c>
      <c r="N16" s="402">
        <v>0</v>
      </c>
      <c r="O16" s="404">
        <v>0</v>
      </c>
      <c r="P16" s="403">
        <v>0</v>
      </c>
      <c r="Q16" s="403">
        <v>1102814.76</v>
      </c>
      <c r="R16" s="402">
        <v>1102814.76</v>
      </c>
      <c r="S16" s="402">
        <v>0</v>
      </c>
      <c r="T16" s="402">
        <v>0</v>
      </c>
      <c r="U16" s="402">
        <v>0</v>
      </c>
      <c r="V16" s="402">
        <v>0</v>
      </c>
      <c r="W16" s="402">
        <v>0</v>
      </c>
      <c r="X16" s="404">
        <v>0</v>
      </c>
      <c r="Y16" s="402">
        <v>0</v>
      </c>
      <c r="Z16" s="252"/>
      <c r="AA16" s="252"/>
      <c r="AB16" s="403">
        <v>3000000</v>
      </c>
      <c r="AC16" s="384"/>
      <c r="AD16" s="384"/>
      <c r="AE16" s="385"/>
      <c r="AF16" s="386"/>
      <c r="AH16" s="407">
        <f>AB16-H16</f>
        <v>1897185.24</v>
      </c>
    </row>
    <row r="17" spans="1:38" x14ac:dyDescent="0.25">
      <c r="B17" s="252" t="s">
        <v>547</v>
      </c>
      <c r="C17" s="401" t="s">
        <v>792</v>
      </c>
      <c r="D17" s="402" t="s">
        <v>469</v>
      </c>
      <c r="E17" s="402"/>
      <c r="F17" s="403">
        <v>1500000</v>
      </c>
      <c r="G17" s="403">
        <v>437150.39999999991</v>
      </c>
      <c r="H17" s="403">
        <v>1062849.6000000001</v>
      </c>
      <c r="I17" s="402">
        <v>0</v>
      </c>
      <c r="J17" s="402">
        <v>0</v>
      </c>
      <c r="K17" s="402">
        <v>0</v>
      </c>
      <c r="L17" s="402">
        <v>0</v>
      </c>
      <c r="M17" s="402">
        <v>0</v>
      </c>
      <c r="N17" s="402">
        <v>0</v>
      </c>
      <c r="O17" s="404">
        <v>0</v>
      </c>
      <c r="P17" s="403">
        <v>0</v>
      </c>
      <c r="Q17" s="403">
        <v>1062849.6000000001</v>
      </c>
      <c r="R17" s="402">
        <v>426003.60000000003</v>
      </c>
      <c r="S17" s="402">
        <v>70705.600000000006</v>
      </c>
      <c r="T17" s="402">
        <v>566140.4</v>
      </c>
      <c r="U17" s="402">
        <v>0</v>
      </c>
      <c r="V17" s="402">
        <v>0</v>
      </c>
      <c r="W17" s="402">
        <v>0</v>
      </c>
      <c r="X17" s="404">
        <v>0</v>
      </c>
      <c r="Y17" s="402">
        <v>1800</v>
      </c>
      <c r="Z17" s="252"/>
      <c r="AA17" s="252"/>
      <c r="AB17" s="403">
        <v>1500000</v>
      </c>
      <c r="AC17" s="384"/>
      <c r="AD17" s="384"/>
      <c r="AE17" s="385"/>
      <c r="AF17" s="386"/>
      <c r="AH17" s="407">
        <f>AB17-H17</f>
        <v>437150.39999999991</v>
      </c>
    </row>
    <row r="18" spans="1:38" x14ac:dyDescent="0.25">
      <c r="B18" s="251" t="s">
        <v>689</v>
      </c>
      <c r="C18" s="393" t="s">
        <v>270</v>
      </c>
      <c r="D18" s="402">
        <v>0</v>
      </c>
      <c r="E18" s="402"/>
      <c r="F18" s="400">
        <v>0</v>
      </c>
      <c r="G18" s="400">
        <v>-988506.24</v>
      </c>
      <c r="H18" s="400">
        <v>988506.24</v>
      </c>
      <c r="I18" s="402">
        <v>0</v>
      </c>
      <c r="J18" s="402">
        <v>0</v>
      </c>
      <c r="K18" s="402">
        <v>0</v>
      </c>
      <c r="L18" s="402">
        <v>0</v>
      </c>
      <c r="M18" s="402">
        <v>0</v>
      </c>
      <c r="N18" s="402">
        <v>988506.24</v>
      </c>
      <c r="O18" s="404">
        <v>0</v>
      </c>
      <c r="P18" s="400">
        <v>988506.24</v>
      </c>
      <c r="Q18" s="400">
        <v>0</v>
      </c>
      <c r="R18" s="402">
        <v>0</v>
      </c>
      <c r="S18" s="402">
        <v>0</v>
      </c>
      <c r="T18" s="402">
        <v>0</v>
      </c>
      <c r="U18" s="402">
        <v>0</v>
      </c>
      <c r="V18" s="402">
        <v>0</v>
      </c>
      <c r="W18" s="402">
        <v>0</v>
      </c>
      <c r="X18" s="404">
        <v>0</v>
      </c>
      <c r="Y18" s="402">
        <v>29655.1872</v>
      </c>
      <c r="Z18" s="251"/>
      <c r="AA18" s="251"/>
      <c r="AB18" s="400">
        <v>0</v>
      </c>
      <c r="AC18" s="384"/>
      <c r="AD18" s="384"/>
      <c r="AE18" s="385"/>
      <c r="AF18" s="386"/>
      <c r="AH18" s="407">
        <f>AB18-H18</f>
        <v>-988506.24</v>
      </c>
    </row>
    <row r="19" spans="1:38" x14ac:dyDescent="0.25">
      <c r="B19" s="251" t="s">
        <v>689</v>
      </c>
      <c r="C19" s="393" t="s">
        <v>207</v>
      </c>
      <c r="D19" s="402">
        <v>0</v>
      </c>
      <c r="E19" s="402"/>
      <c r="F19" s="400">
        <v>0</v>
      </c>
      <c r="G19" s="400">
        <v>-876011.75</v>
      </c>
      <c r="H19" s="400">
        <v>876011.75</v>
      </c>
      <c r="I19" s="402">
        <v>0</v>
      </c>
      <c r="J19" s="402">
        <v>0</v>
      </c>
      <c r="K19" s="402">
        <v>0</v>
      </c>
      <c r="L19" s="402">
        <v>0</v>
      </c>
      <c r="M19" s="402">
        <v>0</v>
      </c>
      <c r="N19" s="402">
        <v>0</v>
      </c>
      <c r="O19" s="404">
        <v>876011.75</v>
      </c>
      <c r="P19" s="400">
        <v>876011.75</v>
      </c>
      <c r="Q19" s="400">
        <v>0</v>
      </c>
      <c r="R19" s="402">
        <v>0</v>
      </c>
      <c r="S19" s="402">
        <v>0</v>
      </c>
      <c r="T19" s="402">
        <v>0</v>
      </c>
      <c r="U19" s="402">
        <v>0</v>
      </c>
      <c r="V19" s="402">
        <v>0</v>
      </c>
      <c r="W19" s="402">
        <v>0</v>
      </c>
      <c r="X19" s="404">
        <v>0</v>
      </c>
      <c r="Y19" s="402">
        <v>0</v>
      </c>
      <c r="Z19" s="251"/>
      <c r="AA19" s="251"/>
      <c r="AB19" s="400">
        <v>0</v>
      </c>
      <c r="AC19" s="384"/>
      <c r="AD19" s="384"/>
      <c r="AE19" s="385"/>
      <c r="AF19" s="386"/>
      <c r="AH19" s="407">
        <f>AB19-H19</f>
        <v>-876011.75</v>
      </c>
    </row>
    <row r="20" spans="1:38" x14ac:dyDescent="0.25">
      <c r="B20" s="252" t="s">
        <v>342</v>
      </c>
      <c r="C20" s="401" t="s">
        <v>335</v>
      </c>
      <c r="D20" s="402" t="s">
        <v>463</v>
      </c>
      <c r="E20" s="402"/>
      <c r="F20" s="403">
        <v>500000</v>
      </c>
      <c r="G20" s="403">
        <v>-315729</v>
      </c>
      <c r="H20" s="403">
        <v>815729</v>
      </c>
      <c r="I20" s="402">
        <v>0</v>
      </c>
      <c r="J20" s="402">
        <v>0</v>
      </c>
      <c r="K20" s="402">
        <v>0</v>
      </c>
      <c r="L20" s="402">
        <v>0</v>
      </c>
      <c r="M20" s="402">
        <v>0</v>
      </c>
      <c r="N20" s="402">
        <v>0</v>
      </c>
      <c r="O20" s="404">
        <v>0</v>
      </c>
      <c r="P20" s="403">
        <v>0</v>
      </c>
      <c r="Q20" s="403">
        <v>815729</v>
      </c>
      <c r="R20" s="402">
        <v>815729</v>
      </c>
      <c r="S20" s="402">
        <v>0</v>
      </c>
      <c r="T20" s="402">
        <v>0</v>
      </c>
      <c r="U20" s="402">
        <v>0</v>
      </c>
      <c r="V20" s="402">
        <v>0</v>
      </c>
      <c r="W20" s="402">
        <v>0</v>
      </c>
      <c r="X20" s="404">
        <v>0</v>
      </c>
      <c r="Y20" s="402">
        <v>0</v>
      </c>
      <c r="Z20" s="252"/>
      <c r="AA20" s="252"/>
      <c r="AB20" s="403">
        <v>500000</v>
      </c>
      <c r="AC20" s="384"/>
      <c r="AD20" s="384"/>
      <c r="AE20" s="385"/>
      <c r="AF20" s="386"/>
      <c r="AH20" s="407">
        <f>AB20-H20</f>
        <v>-315729</v>
      </c>
    </row>
    <row r="21" spans="1:38" ht="13.95" customHeight="1" x14ac:dyDescent="0.25">
      <c r="B21" s="252" t="s">
        <v>547</v>
      </c>
      <c r="C21" s="401" t="s">
        <v>120</v>
      </c>
      <c r="D21" s="402">
        <v>0</v>
      </c>
      <c r="E21" s="402"/>
      <c r="F21" s="403">
        <v>2500000</v>
      </c>
      <c r="G21" s="403">
        <v>1706188.3</v>
      </c>
      <c r="H21" s="403">
        <v>793811.7</v>
      </c>
      <c r="I21" s="402">
        <v>153506.1</v>
      </c>
      <c r="J21" s="402">
        <v>0</v>
      </c>
      <c r="K21" s="402">
        <v>0</v>
      </c>
      <c r="L21" s="402">
        <v>0</v>
      </c>
      <c r="M21" s="402">
        <v>0</v>
      </c>
      <c r="N21" s="402">
        <v>0</v>
      </c>
      <c r="O21" s="404">
        <v>0</v>
      </c>
      <c r="P21" s="403">
        <v>153506.1</v>
      </c>
      <c r="Q21" s="403">
        <v>640305.6</v>
      </c>
      <c r="R21" s="402">
        <v>640305.6</v>
      </c>
      <c r="S21" s="402">
        <v>0</v>
      </c>
      <c r="T21" s="402">
        <v>0</v>
      </c>
      <c r="U21" s="402">
        <v>0</v>
      </c>
      <c r="V21" s="402">
        <v>0</v>
      </c>
      <c r="W21" s="402">
        <v>0</v>
      </c>
      <c r="X21" s="404">
        <v>0</v>
      </c>
      <c r="Y21" s="402">
        <v>0</v>
      </c>
      <c r="Z21" s="252"/>
      <c r="AA21" s="252"/>
      <c r="AB21" s="403">
        <v>0</v>
      </c>
      <c r="AC21" s="384"/>
      <c r="AD21" s="384"/>
      <c r="AE21" s="385"/>
      <c r="AF21" s="386"/>
      <c r="AH21" s="407">
        <f>AB21-H21</f>
        <v>-793811.7</v>
      </c>
    </row>
    <row r="22" spans="1:38" x14ac:dyDescent="0.25">
      <c r="B22" s="252" t="s">
        <v>547</v>
      </c>
      <c r="C22" s="401" t="s">
        <v>428</v>
      </c>
      <c r="D22" s="402">
        <v>0</v>
      </c>
      <c r="E22" s="402"/>
      <c r="F22" s="403">
        <v>0</v>
      </c>
      <c r="G22" s="403">
        <v>-775264</v>
      </c>
      <c r="H22" s="403">
        <v>775264</v>
      </c>
      <c r="I22" s="402">
        <v>0</v>
      </c>
      <c r="J22" s="402">
        <v>0</v>
      </c>
      <c r="K22" s="402">
        <v>0</v>
      </c>
      <c r="L22" s="402">
        <v>0</v>
      </c>
      <c r="M22" s="402">
        <v>0</v>
      </c>
      <c r="N22" s="402">
        <v>0</v>
      </c>
      <c r="O22" s="404">
        <v>0</v>
      </c>
      <c r="P22" s="403">
        <v>0</v>
      </c>
      <c r="Q22" s="403">
        <v>775264</v>
      </c>
      <c r="R22" s="402">
        <v>171254.1</v>
      </c>
      <c r="S22" s="402">
        <v>459685.9</v>
      </c>
      <c r="T22" s="402">
        <v>144324</v>
      </c>
      <c r="U22" s="402">
        <v>0</v>
      </c>
      <c r="V22" s="402">
        <v>0</v>
      </c>
      <c r="W22" s="402">
        <v>0</v>
      </c>
      <c r="X22" s="404">
        <v>0</v>
      </c>
      <c r="Y22" s="402">
        <v>0</v>
      </c>
      <c r="Z22" s="252"/>
      <c r="AA22" s="252"/>
      <c r="AB22" s="403">
        <v>0</v>
      </c>
      <c r="AC22" s="413"/>
      <c r="AD22" s="413"/>
      <c r="AE22" s="414"/>
      <c r="AF22" s="415"/>
      <c r="AG22" s="251"/>
      <c r="AH22" s="407">
        <f>AB22-H22</f>
        <v>-775264</v>
      </c>
    </row>
    <row r="23" spans="1:38" x14ac:dyDescent="0.25">
      <c r="B23" s="252" t="s">
        <v>342</v>
      </c>
      <c r="C23" s="401" t="s">
        <v>581</v>
      </c>
      <c r="D23" s="402">
        <v>0</v>
      </c>
      <c r="E23" s="402">
        <v>180</v>
      </c>
      <c r="F23" s="403">
        <v>0</v>
      </c>
      <c r="G23" s="403">
        <v>-739540.06</v>
      </c>
      <c r="H23" s="403">
        <v>739540.06</v>
      </c>
      <c r="I23" s="402">
        <v>0</v>
      </c>
      <c r="J23" s="402">
        <v>0</v>
      </c>
      <c r="K23" s="402">
        <v>0</v>
      </c>
      <c r="L23" s="402">
        <v>0</v>
      </c>
      <c r="M23" s="402">
        <v>0</v>
      </c>
      <c r="N23" s="402">
        <v>0</v>
      </c>
      <c r="O23" s="404">
        <v>0</v>
      </c>
      <c r="P23" s="403">
        <v>0</v>
      </c>
      <c r="Q23" s="403">
        <v>739540.06</v>
      </c>
      <c r="R23" s="402">
        <v>644571.16</v>
      </c>
      <c r="S23" s="402">
        <v>94968.9</v>
      </c>
      <c r="T23" s="402">
        <v>0</v>
      </c>
      <c r="U23" s="402">
        <v>0</v>
      </c>
      <c r="V23" s="402">
        <v>0</v>
      </c>
      <c r="W23" s="402">
        <v>0</v>
      </c>
      <c r="X23" s="404">
        <v>0</v>
      </c>
      <c r="Y23" s="402">
        <v>0</v>
      </c>
      <c r="Z23" s="252"/>
      <c r="AA23" s="252"/>
      <c r="AB23" s="403">
        <v>500000</v>
      </c>
      <c r="AC23" s="384"/>
      <c r="AD23" s="384"/>
      <c r="AE23" s="385"/>
      <c r="AF23" s="386"/>
      <c r="AH23" s="407">
        <f>AB23-H23</f>
        <v>-239540.06000000006</v>
      </c>
    </row>
    <row r="24" spans="1:38" s="251" customFormat="1" x14ac:dyDescent="0.25">
      <c r="A24" s="255"/>
      <c r="B24" s="252" t="s">
        <v>342</v>
      </c>
      <c r="C24" s="401" t="s">
        <v>83</v>
      </c>
      <c r="D24" s="402" t="s">
        <v>455</v>
      </c>
      <c r="E24" s="402">
        <v>180</v>
      </c>
      <c r="F24" s="403">
        <v>3000000</v>
      </c>
      <c r="G24" s="403">
        <v>2265046.5300000003</v>
      </c>
      <c r="H24" s="403">
        <v>734953.47</v>
      </c>
      <c r="I24" s="402">
        <v>0</v>
      </c>
      <c r="J24" s="402">
        <v>0</v>
      </c>
      <c r="K24" s="402">
        <v>0</v>
      </c>
      <c r="L24" s="402">
        <v>0</v>
      </c>
      <c r="M24" s="402">
        <v>0</v>
      </c>
      <c r="N24" s="402">
        <v>0</v>
      </c>
      <c r="O24" s="404">
        <v>0</v>
      </c>
      <c r="P24" s="403">
        <v>0</v>
      </c>
      <c r="Q24" s="403">
        <v>734953.47</v>
      </c>
      <c r="R24" s="402">
        <v>0</v>
      </c>
      <c r="S24" s="402">
        <v>332685.27999999997</v>
      </c>
      <c r="T24" s="402">
        <v>402268.19</v>
      </c>
      <c r="U24" s="402">
        <v>0</v>
      </c>
      <c r="V24" s="402">
        <v>0</v>
      </c>
      <c r="W24" s="402">
        <v>0</v>
      </c>
      <c r="X24" s="404">
        <v>0</v>
      </c>
      <c r="Y24" s="402">
        <v>0</v>
      </c>
      <c r="Z24" s="252"/>
      <c r="AA24" s="252"/>
      <c r="AB24" s="403">
        <v>3000000</v>
      </c>
      <c r="AC24" s="384"/>
      <c r="AD24" s="384"/>
      <c r="AE24" s="385"/>
      <c r="AF24" s="386"/>
      <c r="AG24" s="253"/>
      <c r="AH24" s="407">
        <f>AB24-H24</f>
        <v>2265046.5300000003</v>
      </c>
      <c r="AI24" s="255"/>
      <c r="AJ24" s="256"/>
      <c r="AK24" s="256"/>
      <c r="AL24" s="256"/>
    </row>
    <row r="25" spans="1:38" x14ac:dyDescent="0.25">
      <c r="B25" s="252" t="s">
        <v>918</v>
      </c>
      <c r="C25" s="401" t="s">
        <v>635</v>
      </c>
      <c r="D25" s="402" t="s">
        <v>469</v>
      </c>
      <c r="E25" s="402"/>
      <c r="F25" s="403">
        <v>1100000</v>
      </c>
      <c r="G25" s="403">
        <v>412311.08999999997</v>
      </c>
      <c r="H25" s="403">
        <v>687688.91</v>
      </c>
      <c r="I25" s="402">
        <v>0</v>
      </c>
      <c r="J25" s="402">
        <v>0</v>
      </c>
      <c r="K25" s="402">
        <v>0</v>
      </c>
      <c r="L25" s="402">
        <v>0</v>
      </c>
      <c r="M25" s="402">
        <v>0</v>
      </c>
      <c r="N25" s="402">
        <v>0</v>
      </c>
      <c r="O25" s="404">
        <v>0</v>
      </c>
      <c r="P25" s="403">
        <v>0</v>
      </c>
      <c r="Q25" s="403">
        <v>687688.91</v>
      </c>
      <c r="R25" s="402">
        <v>0</v>
      </c>
      <c r="S25" s="402">
        <v>687688.91</v>
      </c>
      <c r="T25" s="402">
        <v>0</v>
      </c>
      <c r="U25" s="402">
        <v>0</v>
      </c>
      <c r="V25" s="402">
        <v>0</v>
      </c>
      <c r="W25" s="402">
        <v>0</v>
      </c>
      <c r="X25" s="404">
        <v>0</v>
      </c>
      <c r="Y25" s="402">
        <v>0</v>
      </c>
      <c r="Z25" s="252"/>
      <c r="AA25" s="252"/>
      <c r="AB25" s="403">
        <v>1100000</v>
      </c>
      <c r="AC25" s="384"/>
      <c r="AD25" s="384"/>
      <c r="AE25" s="385"/>
      <c r="AF25" s="386"/>
      <c r="AH25" s="407">
        <f>AB25-H25</f>
        <v>412311.08999999997</v>
      </c>
    </row>
    <row r="26" spans="1:38" x14ac:dyDescent="0.25">
      <c r="B26" s="252" t="s">
        <v>547</v>
      </c>
      <c r="C26" s="401" t="s">
        <v>30</v>
      </c>
      <c r="D26" s="402" t="s">
        <v>455</v>
      </c>
      <c r="E26" s="402"/>
      <c r="F26" s="403">
        <v>2600000</v>
      </c>
      <c r="G26" s="403">
        <v>2076372.5</v>
      </c>
      <c r="H26" s="403">
        <v>523627.50000000006</v>
      </c>
      <c r="I26" s="402">
        <v>0</v>
      </c>
      <c r="J26" s="402">
        <v>0</v>
      </c>
      <c r="K26" s="402">
        <v>0</v>
      </c>
      <c r="L26" s="402">
        <v>0</v>
      </c>
      <c r="M26" s="402">
        <v>0</v>
      </c>
      <c r="N26" s="402">
        <v>0</v>
      </c>
      <c r="O26" s="404">
        <v>0</v>
      </c>
      <c r="P26" s="403">
        <v>0</v>
      </c>
      <c r="Q26" s="403">
        <v>523627.50000000006</v>
      </c>
      <c r="R26" s="402">
        <v>523627.50000000006</v>
      </c>
      <c r="S26" s="402">
        <v>0</v>
      </c>
      <c r="T26" s="402">
        <v>0</v>
      </c>
      <c r="U26" s="402">
        <v>0</v>
      </c>
      <c r="V26" s="402">
        <v>0</v>
      </c>
      <c r="W26" s="402">
        <v>0</v>
      </c>
      <c r="X26" s="404">
        <v>0</v>
      </c>
      <c r="Y26" s="402">
        <v>0</v>
      </c>
      <c r="Z26" s="252"/>
      <c r="AA26" s="252"/>
      <c r="AB26" s="403">
        <v>2600000</v>
      </c>
      <c r="AC26" s="413"/>
      <c r="AD26" s="413"/>
      <c r="AE26" s="414"/>
      <c r="AF26" s="415"/>
      <c r="AG26" s="251"/>
      <c r="AH26" s="407">
        <f>AB26-H26</f>
        <v>2076372.5</v>
      </c>
    </row>
    <row r="27" spans="1:38" x14ac:dyDescent="0.25">
      <c r="B27" s="252" t="s">
        <v>547</v>
      </c>
      <c r="C27" s="401" t="s">
        <v>683</v>
      </c>
      <c r="D27" s="402" t="s">
        <v>455</v>
      </c>
      <c r="E27" s="402"/>
      <c r="F27" s="403">
        <v>1500000</v>
      </c>
      <c r="G27" s="403">
        <v>983388.60000000009</v>
      </c>
      <c r="H27" s="403">
        <v>516611.39999999997</v>
      </c>
      <c r="I27" s="402">
        <v>0</v>
      </c>
      <c r="J27" s="402">
        <v>0</v>
      </c>
      <c r="K27" s="402">
        <v>0</v>
      </c>
      <c r="L27" s="402">
        <v>0</v>
      </c>
      <c r="M27" s="402">
        <v>0</v>
      </c>
      <c r="N27" s="402">
        <v>0</v>
      </c>
      <c r="O27" s="404">
        <v>0</v>
      </c>
      <c r="P27" s="403">
        <v>0</v>
      </c>
      <c r="Q27" s="403">
        <v>516611.39999999997</v>
      </c>
      <c r="R27" s="402">
        <v>516611.39999999997</v>
      </c>
      <c r="S27" s="402">
        <v>0</v>
      </c>
      <c r="T27" s="402">
        <v>0</v>
      </c>
      <c r="U27" s="402">
        <v>0</v>
      </c>
      <c r="V27" s="402">
        <v>0</v>
      </c>
      <c r="W27" s="402">
        <v>0</v>
      </c>
      <c r="X27" s="404">
        <v>0</v>
      </c>
      <c r="Y27" s="402">
        <v>0</v>
      </c>
      <c r="Z27" s="252"/>
      <c r="AA27" s="252"/>
      <c r="AB27" s="403">
        <v>1500000</v>
      </c>
      <c r="AC27" s="384"/>
      <c r="AD27" s="384"/>
      <c r="AE27" s="385"/>
      <c r="AF27" s="386"/>
      <c r="AH27" s="407">
        <f>AB27-H27</f>
        <v>983388.60000000009</v>
      </c>
    </row>
    <row r="28" spans="1:38" x14ac:dyDescent="0.25">
      <c r="B28" s="252" t="s">
        <v>547</v>
      </c>
      <c r="C28" s="401" t="s">
        <v>416</v>
      </c>
      <c r="D28" s="402">
        <v>0</v>
      </c>
      <c r="E28" s="402"/>
      <c r="F28" s="403">
        <v>6900000</v>
      </c>
      <c r="G28" s="403">
        <v>6388978</v>
      </c>
      <c r="H28" s="403">
        <v>511022</v>
      </c>
      <c r="I28" s="402">
        <v>0</v>
      </c>
      <c r="J28" s="402">
        <v>0</v>
      </c>
      <c r="K28" s="402">
        <v>0</v>
      </c>
      <c r="L28" s="402">
        <v>0</v>
      </c>
      <c r="M28" s="402">
        <v>0</v>
      </c>
      <c r="N28" s="402">
        <v>0</v>
      </c>
      <c r="O28" s="404">
        <v>0</v>
      </c>
      <c r="P28" s="403">
        <v>0</v>
      </c>
      <c r="Q28" s="403">
        <v>511022</v>
      </c>
      <c r="R28" s="402">
        <v>511022</v>
      </c>
      <c r="S28" s="402">
        <v>0</v>
      </c>
      <c r="T28" s="402">
        <v>0</v>
      </c>
      <c r="U28" s="402">
        <v>0</v>
      </c>
      <c r="V28" s="402">
        <v>0</v>
      </c>
      <c r="W28" s="402">
        <v>0</v>
      </c>
      <c r="X28" s="404">
        <v>0</v>
      </c>
      <c r="Y28" s="402">
        <v>1200</v>
      </c>
      <c r="Z28" s="252"/>
      <c r="AA28" s="252"/>
      <c r="AB28" s="403">
        <v>2315000</v>
      </c>
      <c r="AC28" s="402"/>
      <c r="AD28" s="402"/>
      <c r="AE28" s="405"/>
      <c r="AF28" s="406"/>
      <c r="AG28" s="252"/>
      <c r="AH28" s="407">
        <f>AB28-H28</f>
        <v>1803978</v>
      </c>
    </row>
    <row r="29" spans="1:38" x14ac:dyDescent="0.25">
      <c r="B29" s="252" t="s">
        <v>547</v>
      </c>
      <c r="C29" s="401" t="s">
        <v>532</v>
      </c>
      <c r="D29" s="402">
        <v>0</v>
      </c>
      <c r="E29" s="402"/>
      <c r="F29" s="403">
        <v>10000000</v>
      </c>
      <c r="G29" s="403">
        <v>9490920.4000000004</v>
      </c>
      <c r="H29" s="403">
        <v>509079.6</v>
      </c>
      <c r="I29" s="402">
        <v>0</v>
      </c>
      <c r="J29" s="402">
        <v>0</v>
      </c>
      <c r="K29" s="402">
        <v>0</v>
      </c>
      <c r="L29" s="402">
        <v>0</v>
      </c>
      <c r="M29" s="402">
        <v>0</v>
      </c>
      <c r="N29" s="402">
        <v>0</v>
      </c>
      <c r="O29" s="404">
        <v>0</v>
      </c>
      <c r="P29" s="403">
        <v>0</v>
      </c>
      <c r="Q29" s="403">
        <v>509079.6</v>
      </c>
      <c r="R29" s="402">
        <v>169290.6</v>
      </c>
      <c r="S29" s="402">
        <v>339789</v>
      </c>
      <c r="T29" s="402">
        <v>0</v>
      </c>
      <c r="U29" s="402">
        <v>0</v>
      </c>
      <c r="V29" s="402">
        <v>0</v>
      </c>
      <c r="W29" s="402">
        <v>0</v>
      </c>
      <c r="X29" s="404">
        <v>0</v>
      </c>
      <c r="Y29" s="402">
        <v>0</v>
      </c>
      <c r="Z29" s="252"/>
      <c r="AA29" s="252"/>
      <c r="AB29" s="403">
        <v>0</v>
      </c>
      <c r="AC29" s="384"/>
      <c r="AD29" s="384"/>
      <c r="AE29" s="385"/>
      <c r="AF29" s="386"/>
      <c r="AH29" s="407">
        <f>AB29-H29</f>
        <v>-509079.6</v>
      </c>
    </row>
    <row r="30" spans="1:38" x14ac:dyDescent="0.25">
      <c r="B30" s="252" t="s">
        <v>342</v>
      </c>
      <c r="C30" s="401" t="s">
        <v>432</v>
      </c>
      <c r="D30" s="402" t="s">
        <v>455</v>
      </c>
      <c r="E30" s="402">
        <v>270</v>
      </c>
      <c r="F30" s="403">
        <v>1500000</v>
      </c>
      <c r="G30" s="403">
        <v>1001781.6</v>
      </c>
      <c r="H30" s="403">
        <v>498218.4</v>
      </c>
      <c r="I30" s="402">
        <v>0</v>
      </c>
      <c r="J30" s="402">
        <v>0</v>
      </c>
      <c r="K30" s="402">
        <v>0</v>
      </c>
      <c r="L30" s="402">
        <v>0</v>
      </c>
      <c r="M30" s="402">
        <v>0</v>
      </c>
      <c r="N30" s="402">
        <v>0</v>
      </c>
      <c r="O30" s="404">
        <v>0</v>
      </c>
      <c r="P30" s="403">
        <v>0</v>
      </c>
      <c r="Q30" s="403">
        <v>498218.4</v>
      </c>
      <c r="R30" s="402">
        <v>498218.4</v>
      </c>
      <c r="S30" s="402">
        <v>0</v>
      </c>
      <c r="T30" s="402">
        <v>0</v>
      </c>
      <c r="U30" s="402">
        <v>0</v>
      </c>
      <c r="V30" s="402">
        <v>0</v>
      </c>
      <c r="W30" s="402">
        <v>0</v>
      </c>
      <c r="X30" s="404">
        <v>0</v>
      </c>
      <c r="Y30" s="402">
        <v>0</v>
      </c>
      <c r="Z30" s="252"/>
      <c r="AA30" s="252"/>
      <c r="AB30" s="403">
        <v>1000000</v>
      </c>
      <c r="AC30" s="384"/>
      <c r="AD30" s="384"/>
      <c r="AE30" s="385"/>
      <c r="AF30" s="386"/>
      <c r="AH30" s="407">
        <f>AB30-H30</f>
        <v>501781.6</v>
      </c>
    </row>
    <row r="31" spans="1:38" x14ac:dyDescent="0.25">
      <c r="B31" s="252" t="s">
        <v>918</v>
      </c>
      <c r="C31" s="168" t="s">
        <v>126</v>
      </c>
      <c r="D31" s="408" t="s">
        <v>455</v>
      </c>
      <c r="E31" s="409"/>
      <c r="F31" s="182">
        <v>962500</v>
      </c>
      <c r="G31" s="182">
        <v>503291.64</v>
      </c>
      <c r="H31" s="182">
        <v>459208.36</v>
      </c>
      <c r="I31" s="182">
        <v>157607.13</v>
      </c>
      <c r="J31" s="182">
        <v>0</v>
      </c>
      <c r="K31" s="182">
        <v>0</v>
      </c>
      <c r="L31" s="182">
        <v>0</v>
      </c>
      <c r="M31" s="182">
        <v>0</v>
      </c>
      <c r="N31" s="182">
        <v>0</v>
      </c>
      <c r="O31" s="187">
        <v>0</v>
      </c>
      <c r="P31" s="184">
        <v>157607.13</v>
      </c>
      <c r="Q31" s="184">
        <v>301601.23</v>
      </c>
      <c r="R31" s="182">
        <v>301601.23</v>
      </c>
      <c r="S31" s="182">
        <v>0</v>
      </c>
      <c r="T31" s="182">
        <v>0</v>
      </c>
      <c r="U31" s="182">
        <v>0</v>
      </c>
      <c r="V31" s="182">
        <v>0</v>
      </c>
      <c r="W31" s="182">
        <v>0</v>
      </c>
      <c r="X31" s="187">
        <v>0</v>
      </c>
      <c r="Y31" s="182">
        <v>0</v>
      </c>
      <c r="Z31" s="183"/>
      <c r="AA31" s="183"/>
      <c r="AB31" s="182">
        <v>962500</v>
      </c>
      <c r="AC31" s="384"/>
      <c r="AD31" s="384"/>
      <c r="AE31" s="385"/>
      <c r="AF31" s="386"/>
      <c r="AH31" s="407">
        <f>AB31-H31</f>
        <v>503291.64</v>
      </c>
    </row>
    <row r="32" spans="1:38" x14ac:dyDescent="0.25">
      <c r="B32" s="252" t="s">
        <v>918</v>
      </c>
      <c r="C32" s="401" t="s">
        <v>128</v>
      </c>
      <c r="D32" s="402">
        <v>0</v>
      </c>
      <c r="E32" s="402"/>
      <c r="F32" s="403">
        <v>0</v>
      </c>
      <c r="G32" s="403">
        <v>-449507.68999999994</v>
      </c>
      <c r="H32" s="403">
        <v>449507.68999999994</v>
      </c>
      <c r="I32" s="402">
        <v>0</v>
      </c>
      <c r="J32" s="402">
        <v>0</v>
      </c>
      <c r="K32" s="402">
        <v>0</v>
      </c>
      <c r="L32" s="402">
        <v>0</v>
      </c>
      <c r="M32" s="402">
        <v>0</v>
      </c>
      <c r="N32" s="402">
        <v>449507.68999999994</v>
      </c>
      <c r="O32" s="404">
        <v>0</v>
      </c>
      <c r="P32" s="403">
        <v>449507.68999999994</v>
      </c>
      <c r="Q32" s="403">
        <v>0</v>
      </c>
      <c r="R32" s="402">
        <v>0</v>
      </c>
      <c r="S32" s="402">
        <v>0</v>
      </c>
      <c r="T32" s="402">
        <v>0</v>
      </c>
      <c r="U32" s="402">
        <v>0</v>
      </c>
      <c r="V32" s="402">
        <v>0</v>
      </c>
      <c r="W32" s="402">
        <v>0</v>
      </c>
      <c r="X32" s="404">
        <v>0</v>
      </c>
      <c r="Y32" s="402">
        <v>13485.2307</v>
      </c>
      <c r="Z32" s="252"/>
      <c r="AA32" s="252"/>
      <c r="AB32" s="403">
        <v>0</v>
      </c>
      <c r="AC32" s="384"/>
      <c r="AD32" s="384"/>
      <c r="AE32" s="385"/>
      <c r="AF32" s="386"/>
      <c r="AH32" s="407">
        <f>AB32-H32</f>
        <v>-449507.68999999994</v>
      </c>
    </row>
    <row r="33" spans="2:39" x14ac:dyDescent="0.25">
      <c r="B33" s="252" t="s">
        <v>342</v>
      </c>
      <c r="C33" s="401" t="s">
        <v>380</v>
      </c>
      <c r="D33" s="402">
        <v>0</v>
      </c>
      <c r="E33" s="402">
        <v>180</v>
      </c>
      <c r="F33" s="403">
        <v>0</v>
      </c>
      <c r="G33" s="403">
        <v>-419948</v>
      </c>
      <c r="H33" s="403">
        <v>419948</v>
      </c>
      <c r="I33" s="402">
        <v>235730.06</v>
      </c>
      <c r="J33" s="402">
        <v>0</v>
      </c>
      <c r="K33" s="402">
        <v>0</v>
      </c>
      <c r="L33" s="402">
        <v>0</v>
      </c>
      <c r="M33" s="402">
        <v>0</v>
      </c>
      <c r="N33" s="402">
        <v>0</v>
      </c>
      <c r="O33" s="404">
        <v>0</v>
      </c>
      <c r="P33" s="403">
        <v>235730.06</v>
      </c>
      <c r="Q33" s="403">
        <v>184217.94</v>
      </c>
      <c r="R33" s="402">
        <v>184217.94</v>
      </c>
      <c r="S33" s="402">
        <v>0</v>
      </c>
      <c r="T33" s="402">
        <v>0</v>
      </c>
      <c r="U33" s="402">
        <v>0</v>
      </c>
      <c r="V33" s="402">
        <v>0</v>
      </c>
      <c r="W33" s="402">
        <v>0</v>
      </c>
      <c r="X33" s="404">
        <v>0</v>
      </c>
      <c r="Y33" s="402">
        <v>0</v>
      </c>
      <c r="Z33" s="252"/>
      <c r="AA33" s="252"/>
      <c r="AB33" s="403">
        <v>0</v>
      </c>
      <c r="AC33" s="384"/>
      <c r="AD33" s="384"/>
      <c r="AE33" s="385"/>
      <c r="AF33" s="386"/>
      <c r="AH33" s="407">
        <f>AB33-H33</f>
        <v>-419948</v>
      </c>
    </row>
    <row r="34" spans="2:39" x14ac:dyDescent="0.25">
      <c r="B34" s="252" t="s">
        <v>547</v>
      </c>
      <c r="C34" s="401" t="s">
        <v>83</v>
      </c>
      <c r="D34" s="402" t="s">
        <v>455</v>
      </c>
      <c r="E34" s="402"/>
      <c r="F34" s="403">
        <v>3000000</v>
      </c>
      <c r="G34" s="403">
        <v>2589143.48</v>
      </c>
      <c r="H34" s="403">
        <v>410856.52</v>
      </c>
      <c r="I34" s="402">
        <v>0</v>
      </c>
      <c r="J34" s="402">
        <v>0</v>
      </c>
      <c r="K34" s="402">
        <v>0</v>
      </c>
      <c r="L34" s="402">
        <v>0</v>
      </c>
      <c r="M34" s="402">
        <v>0</v>
      </c>
      <c r="N34" s="402">
        <v>0</v>
      </c>
      <c r="O34" s="404">
        <v>0</v>
      </c>
      <c r="P34" s="403">
        <v>0</v>
      </c>
      <c r="Q34" s="403">
        <v>410856.52</v>
      </c>
      <c r="R34" s="402">
        <v>0</v>
      </c>
      <c r="S34" s="402">
        <v>410856.52</v>
      </c>
      <c r="T34" s="402">
        <v>0</v>
      </c>
      <c r="U34" s="402">
        <v>0</v>
      </c>
      <c r="V34" s="402">
        <v>0</v>
      </c>
      <c r="W34" s="402">
        <v>0</v>
      </c>
      <c r="X34" s="404">
        <v>0</v>
      </c>
      <c r="Y34" s="402">
        <v>0</v>
      </c>
      <c r="Z34" s="252"/>
      <c r="AA34" s="252"/>
      <c r="AB34" s="403">
        <v>3000000</v>
      </c>
      <c r="AC34" s="413"/>
      <c r="AD34" s="413"/>
      <c r="AE34" s="414"/>
      <c r="AF34" s="415"/>
      <c r="AG34" s="251"/>
      <c r="AH34" s="407">
        <f>AB34-H34</f>
        <v>2589143.48</v>
      </c>
    </row>
    <row r="35" spans="2:39" x14ac:dyDescent="0.25">
      <c r="B35" s="252" t="s">
        <v>918</v>
      </c>
      <c r="C35" s="401" t="s">
        <v>355</v>
      </c>
      <c r="D35" s="402" t="s">
        <v>469</v>
      </c>
      <c r="E35" s="402"/>
      <c r="F35" s="403">
        <v>770000</v>
      </c>
      <c r="G35" s="403">
        <v>369912.15</v>
      </c>
      <c r="H35" s="403">
        <v>400087.85</v>
      </c>
      <c r="I35" s="402">
        <v>0</v>
      </c>
      <c r="J35" s="402">
        <v>0</v>
      </c>
      <c r="K35" s="402">
        <v>0</v>
      </c>
      <c r="L35" s="402">
        <v>0</v>
      </c>
      <c r="M35" s="402">
        <v>0</v>
      </c>
      <c r="N35" s="402">
        <v>0</v>
      </c>
      <c r="O35" s="404">
        <v>0</v>
      </c>
      <c r="P35" s="403">
        <v>0</v>
      </c>
      <c r="Q35" s="403">
        <v>400087.85</v>
      </c>
      <c r="R35" s="402">
        <v>224812.61</v>
      </c>
      <c r="S35" s="402">
        <v>175275.24</v>
      </c>
      <c r="T35" s="402">
        <v>0</v>
      </c>
      <c r="U35" s="402">
        <v>0</v>
      </c>
      <c r="V35" s="402">
        <v>0</v>
      </c>
      <c r="W35" s="402">
        <v>0</v>
      </c>
      <c r="X35" s="404">
        <v>0</v>
      </c>
      <c r="Y35" s="402">
        <v>0</v>
      </c>
      <c r="Z35" s="252"/>
      <c r="AA35" s="252"/>
      <c r="AB35" s="403">
        <v>770000</v>
      </c>
      <c r="AC35" s="384"/>
      <c r="AD35" s="384"/>
      <c r="AE35" s="385"/>
      <c r="AF35" s="386"/>
      <c r="AH35" s="407">
        <f>AB35-H35</f>
        <v>369912.15</v>
      </c>
    </row>
    <row r="36" spans="2:39" x14ac:dyDescent="0.25">
      <c r="B36" s="252" t="s">
        <v>918</v>
      </c>
      <c r="C36" s="401" t="s">
        <v>295</v>
      </c>
      <c r="D36" s="402" t="s">
        <v>455</v>
      </c>
      <c r="E36" s="402"/>
      <c r="F36" s="403">
        <v>550000</v>
      </c>
      <c r="G36" s="403">
        <v>199990.55000000005</v>
      </c>
      <c r="H36" s="403">
        <v>350009.44999999995</v>
      </c>
      <c r="I36" s="402">
        <v>0</v>
      </c>
      <c r="J36" s="402">
        <v>0</v>
      </c>
      <c r="K36" s="402">
        <v>0</v>
      </c>
      <c r="L36" s="402">
        <v>0</v>
      </c>
      <c r="M36" s="402">
        <v>0</v>
      </c>
      <c r="N36" s="402">
        <v>0</v>
      </c>
      <c r="O36" s="404">
        <v>0</v>
      </c>
      <c r="P36" s="403">
        <v>0</v>
      </c>
      <c r="Q36" s="403">
        <v>350009.44999999995</v>
      </c>
      <c r="R36" s="402">
        <v>350009.44999999995</v>
      </c>
      <c r="S36" s="402">
        <v>0</v>
      </c>
      <c r="T36" s="402">
        <v>0</v>
      </c>
      <c r="U36" s="402">
        <v>0</v>
      </c>
      <c r="V36" s="402">
        <v>0</v>
      </c>
      <c r="W36" s="402">
        <v>0</v>
      </c>
      <c r="X36" s="404">
        <v>0</v>
      </c>
      <c r="Y36" s="402">
        <v>0</v>
      </c>
      <c r="Z36" s="252"/>
      <c r="AA36" s="252"/>
      <c r="AB36" s="403">
        <v>550000</v>
      </c>
      <c r="AC36" s="384"/>
      <c r="AD36" s="384"/>
      <c r="AE36" s="385"/>
      <c r="AF36" s="386"/>
      <c r="AH36" s="407">
        <f>AB36-H36</f>
        <v>199990.55000000005</v>
      </c>
    </row>
    <row r="37" spans="2:39" x14ac:dyDescent="0.25">
      <c r="B37" s="252" t="s">
        <v>547</v>
      </c>
      <c r="C37" s="401" t="s">
        <v>430</v>
      </c>
      <c r="D37" s="402" t="s">
        <v>455</v>
      </c>
      <c r="E37" s="402"/>
      <c r="F37" s="403">
        <v>1000000</v>
      </c>
      <c r="G37" s="403">
        <v>664936</v>
      </c>
      <c r="H37" s="403">
        <v>335064</v>
      </c>
      <c r="I37" s="402">
        <v>0</v>
      </c>
      <c r="J37" s="402">
        <v>0</v>
      </c>
      <c r="K37" s="402">
        <v>0</v>
      </c>
      <c r="L37" s="402">
        <v>0</v>
      </c>
      <c r="M37" s="402">
        <v>0</v>
      </c>
      <c r="N37" s="402">
        <v>0</v>
      </c>
      <c r="O37" s="404">
        <v>0</v>
      </c>
      <c r="P37" s="403">
        <v>0</v>
      </c>
      <c r="Q37" s="403">
        <v>335064</v>
      </c>
      <c r="R37" s="402">
        <v>150024</v>
      </c>
      <c r="S37" s="402">
        <v>0</v>
      </c>
      <c r="T37" s="402">
        <v>0</v>
      </c>
      <c r="U37" s="402">
        <v>185040</v>
      </c>
      <c r="V37" s="402">
        <v>0</v>
      </c>
      <c r="W37" s="402">
        <v>0</v>
      </c>
      <c r="X37" s="404">
        <v>0</v>
      </c>
      <c r="Y37" s="402">
        <v>0</v>
      </c>
      <c r="Z37" s="252"/>
      <c r="AA37" s="252"/>
      <c r="AB37" s="403">
        <v>1000000</v>
      </c>
      <c r="AC37" s="384"/>
      <c r="AD37" s="384"/>
      <c r="AE37" s="385"/>
      <c r="AF37" s="386"/>
      <c r="AH37" s="407">
        <f>AB37-H37</f>
        <v>664936</v>
      </c>
    </row>
    <row r="38" spans="2:39" x14ac:dyDescent="0.25">
      <c r="B38" s="252" t="s">
        <v>342</v>
      </c>
      <c r="C38" s="401" t="s">
        <v>377</v>
      </c>
      <c r="D38" s="402">
        <v>0</v>
      </c>
      <c r="E38" s="402"/>
      <c r="F38" s="403">
        <v>350000</v>
      </c>
      <c r="G38" s="403">
        <v>20672.090000000026</v>
      </c>
      <c r="H38" s="403">
        <v>329327.90999999997</v>
      </c>
      <c r="I38" s="402">
        <v>0</v>
      </c>
      <c r="J38" s="402">
        <v>0</v>
      </c>
      <c r="K38" s="402">
        <v>0</v>
      </c>
      <c r="L38" s="402">
        <v>0</v>
      </c>
      <c r="M38" s="402">
        <v>0</v>
      </c>
      <c r="N38" s="402">
        <v>0</v>
      </c>
      <c r="O38" s="404">
        <v>0</v>
      </c>
      <c r="P38" s="403">
        <v>0</v>
      </c>
      <c r="Q38" s="403">
        <v>329327.90999999997</v>
      </c>
      <c r="R38" s="402">
        <v>329327.90999999997</v>
      </c>
      <c r="S38" s="402">
        <v>0</v>
      </c>
      <c r="T38" s="402">
        <v>0</v>
      </c>
      <c r="U38" s="402">
        <v>0</v>
      </c>
      <c r="V38" s="402">
        <v>0</v>
      </c>
      <c r="W38" s="402">
        <v>0</v>
      </c>
      <c r="X38" s="404">
        <v>0</v>
      </c>
      <c r="Y38" s="402">
        <v>0</v>
      </c>
      <c r="Z38" s="252"/>
      <c r="AA38" s="252"/>
      <c r="AB38" s="403">
        <v>0</v>
      </c>
      <c r="AC38" s="384"/>
      <c r="AD38" s="384"/>
      <c r="AE38" s="385"/>
      <c r="AF38" s="386"/>
      <c r="AH38" s="407">
        <f>AB38-H38</f>
        <v>-329327.90999999997</v>
      </c>
    </row>
    <row r="39" spans="2:39" x14ac:dyDescent="0.25">
      <c r="B39" s="252" t="s">
        <v>342</v>
      </c>
      <c r="C39" s="401" t="s">
        <v>553</v>
      </c>
      <c r="D39" s="402" t="s">
        <v>455</v>
      </c>
      <c r="E39" s="402">
        <v>180</v>
      </c>
      <c r="F39" s="403">
        <v>4000000</v>
      </c>
      <c r="G39" s="403">
        <v>3700357.92</v>
      </c>
      <c r="H39" s="403">
        <v>299642.08</v>
      </c>
      <c r="I39" s="402">
        <v>0</v>
      </c>
      <c r="J39" s="402">
        <v>0</v>
      </c>
      <c r="K39" s="402">
        <v>0</v>
      </c>
      <c r="L39" s="402">
        <v>0</v>
      </c>
      <c r="M39" s="402">
        <v>0</v>
      </c>
      <c r="N39" s="402">
        <v>0</v>
      </c>
      <c r="O39" s="404">
        <v>0</v>
      </c>
      <c r="P39" s="403">
        <v>0</v>
      </c>
      <c r="Q39" s="403">
        <v>299642.08</v>
      </c>
      <c r="R39" s="402">
        <v>0</v>
      </c>
      <c r="S39" s="402">
        <v>0</v>
      </c>
      <c r="T39" s="402">
        <v>0</v>
      </c>
      <c r="U39" s="402">
        <v>0</v>
      </c>
      <c r="V39" s="402">
        <v>0</v>
      </c>
      <c r="W39" s="402">
        <v>299642.08</v>
      </c>
      <c r="X39" s="404">
        <v>0</v>
      </c>
      <c r="Y39" s="402">
        <v>0</v>
      </c>
      <c r="Z39" s="252"/>
      <c r="AA39" s="252"/>
      <c r="AB39" s="403">
        <v>1000000</v>
      </c>
      <c r="AC39" s="384"/>
      <c r="AD39" s="384"/>
      <c r="AE39" s="385"/>
      <c r="AF39" s="386"/>
      <c r="AH39" s="407">
        <f>AB39-H39</f>
        <v>700357.91999999993</v>
      </c>
    </row>
    <row r="40" spans="2:39" x14ac:dyDescent="0.25">
      <c r="B40" s="252" t="s">
        <v>547</v>
      </c>
      <c r="C40" s="401" t="s">
        <v>735</v>
      </c>
      <c r="D40" s="402">
        <v>0</v>
      </c>
      <c r="E40" s="402"/>
      <c r="F40" s="403">
        <v>0</v>
      </c>
      <c r="G40" s="403">
        <v>-290220</v>
      </c>
      <c r="H40" s="403">
        <v>290220</v>
      </c>
      <c r="I40" s="402">
        <v>0</v>
      </c>
      <c r="J40" s="402">
        <v>0</v>
      </c>
      <c r="K40" s="402">
        <v>0</v>
      </c>
      <c r="L40" s="402">
        <v>0</v>
      </c>
      <c r="M40" s="402">
        <v>0</v>
      </c>
      <c r="N40" s="402">
        <v>0</v>
      </c>
      <c r="O40" s="404">
        <v>0</v>
      </c>
      <c r="P40" s="403">
        <v>0</v>
      </c>
      <c r="Q40" s="403">
        <v>290220</v>
      </c>
      <c r="R40" s="402">
        <v>290220</v>
      </c>
      <c r="S40" s="402">
        <v>0</v>
      </c>
      <c r="T40" s="402">
        <v>0</v>
      </c>
      <c r="U40" s="402">
        <v>0</v>
      </c>
      <c r="V40" s="402">
        <v>0</v>
      </c>
      <c r="W40" s="402">
        <v>0</v>
      </c>
      <c r="X40" s="404">
        <v>0</v>
      </c>
      <c r="Y40" s="402">
        <v>0</v>
      </c>
      <c r="Z40" s="252"/>
      <c r="AA40" s="252"/>
      <c r="AB40" s="403">
        <v>0</v>
      </c>
      <c r="AC40" s="384"/>
      <c r="AD40" s="384"/>
      <c r="AE40" s="385"/>
      <c r="AF40" s="386"/>
      <c r="AH40" s="407">
        <f>AB40-H40</f>
        <v>-290220</v>
      </c>
    </row>
    <row r="41" spans="2:39" x14ac:dyDescent="0.25">
      <c r="B41" s="252" t="s">
        <v>342</v>
      </c>
      <c r="C41" s="401" t="s">
        <v>197</v>
      </c>
      <c r="D41" s="402">
        <v>0</v>
      </c>
      <c r="E41" s="402">
        <v>360</v>
      </c>
      <c r="F41" s="403">
        <v>1500000</v>
      </c>
      <c r="G41" s="403">
        <v>1230944</v>
      </c>
      <c r="H41" s="403">
        <v>269056</v>
      </c>
      <c r="I41" s="402">
        <v>0</v>
      </c>
      <c r="J41" s="402">
        <v>0</v>
      </c>
      <c r="K41" s="402">
        <v>0</v>
      </c>
      <c r="L41" s="402">
        <v>0</v>
      </c>
      <c r="M41" s="402">
        <v>0</v>
      </c>
      <c r="N41" s="402">
        <v>0</v>
      </c>
      <c r="O41" s="404">
        <v>0</v>
      </c>
      <c r="P41" s="403">
        <v>0</v>
      </c>
      <c r="Q41" s="403">
        <v>269056</v>
      </c>
      <c r="R41" s="402">
        <v>137376</v>
      </c>
      <c r="S41" s="402">
        <v>0</v>
      </c>
      <c r="T41" s="402">
        <v>0</v>
      </c>
      <c r="U41" s="402">
        <v>0</v>
      </c>
      <c r="V41" s="402">
        <v>131680</v>
      </c>
      <c r="W41" s="402">
        <v>0</v>
      </c>
      <c r="X41" s="404">
        <v>0</v>
      </c>
      <c r="Y41" s="402">
        <v>0</v>
      </c>
      <c r="Z41" s="252"/>
      <c r="AA41" s="252"/>
      <c r="AB41" s="403">
        <v>660000</v>
      </c>
      <c r="AC41" s="384"/>
      <c r="AD41" s="384"/>
      <c r="AE41" s="385"/>
      <c r="AF41" s="386"/>
      <c r="AH41" s="407">
        <f>AB41-H41</f>
        <v>390944</v>
      </c>
    </row>
    <row r="42" spans="2:39" x14ac:dyDescent="0.25">
      <c r="B42" s="252" t="s">
        <v>918</v>
      </c>
      <c r="C42" s="401" t="s">
        <v>382</v>
      </c>
      <c r="D42" s="402" t="s">
        <v>455</v>
      </c>
      <c r="E42" s="402"/>
      <c r="F42" s="403">
        <v>990000</v>
      </c>
      <c r="G42" s="403">
        <v>727686.99</v>
      </c>
      <c r="H42" s="403">
        <v>262313.01</v>
      </c>
      <c r="I42" s="402">
        <v>0</v>
      </c>
      <c r="J42" s="402">
        <v>0</v>
      </c>
      <c r="K42" s="402">
        <v>0</v>
      </c>
      <c r="L42" s="402">
        <v>0</v>
      </c>
      <c r="M42" s="402">
        <v>0</v>
      </c>
      <c r="N42" s="402">
        <v>0</v>
      </c>
      <c r="O42" s="404">
        <v>0</v>
      </c>
      <c r="P42" s="403">
        <v>0</v>
      </c>
      <c r="Q42" s="403">
        <v>262313.01</v>
      </c>
      <c r="R42" s="402">
        <v>262313.01</v>
      </c>
      <c r="S42" s="402">
        <v>0</v>
      </c>
      <c r="T42" s="402">
        <v>0</v>
      </c>
      <c r="U42" s="402">
        <v>0</v>
      </c>
      <c r="V42" s="402">
        <v>0</v>
      </c>
      <c r="W42" s="402">
        <v>0</v>
      </c>
      <c r="X42" s="404">
        <v>0</v>
      </c>
      <c r="Y42" s="402">
        <v>0</v>
      </c>
      <c r="Z42" s="252"/>
      <c r="AA42" s="252"/>
      <c r="AB42" s="403">
        <v>990000</v>
      </c>
      <c r="AC42" s="384"/>
      <c r="AD42" s="384"/>
      <c r="AE42" s="385"/>
      <c r="AF42" s="386"/>
      <c r="AH42" s="407">
        <f>AB42-H42</f>
        <v>727686.99</v>
      </c>
    </row>
    <row r="43" spans="2:39" x14ac:dyDescent="0.25">
      <c r="B43" s="252" t="s">
        <v>918</v>
      </c>
      <c r="C43" s="401" t="s">
        <v>403</v>
      </c>
      <c r="D43" s="402" t="s">
        <v>469</v>
      </c>
      <c r="E43" s="402"/>
      <c r="F43" s="403">
        <v>660000</v>
      </c>
      <c r="G43" s="403">
        <v>409738.47</v>
      </c>
      <c r="H43" s="403">
        <v>250261.53</v>
      </c>
      <c r="I43" s="402">
        <v>0</v>
      </c>
      <c r="J43" s="402">
        <v>0</v>
      </c>
      <c r="K43" s="402">
        <v>0</v>
      </c>
      <c r="L43" s="402">
        <v>0</v>
      </c>
      <c r="M43" s="402">
        <v>0</v>
      </c>
      <c r="N43" s="402">
        <v>0</v>
      </c>
      <c r="O43" s="404">
        <v>0</v>
      </c>
      <c r="P43" s="403">
        <v>0</v>
      </c>
      <c r="Q43" s="403">
        <v>250261.53</v>
      </c>
      <c r="R43" s="402">
        <v>0</v>
      </c>
      <c r="S43" s="402">
        <v>250261.53</v>
      </c>
      <c r="T43" s="402">
        <v>0</v>
      </c>
      <c r="U43" s="402">
        <v>0</v>
      </c>
      <c r="V43" s="402">
        <v>0</v>
      </c>
      <c r="W43" s="402">
        <v>0</v>
      </c>
      <c r="X43" s="404">
        <v>0</v>
      </c>
      <c r="Y43" s="402">
        <v>0</v>
      </c>
      <c r="Z43" s="252"/>
      <c r="AA43" s="252"/>
      <c r="AB43" s="403">
        <v>660000</v>
      </c>
      <c r="AC43" s="384"/>
      <c r="AD43" s="384"/>
      <c r="AE43" s="385"/>
      <c r="AF43" s="386"/>
      <c r="AH43" s="407">
        <f>AB43-H43</f>
        <v>409738.47</v>
      </c>
    </row>
    <row r="44" spans="2:39" x14ac:dyDescent="0.25">
      <c r="B44" s="252" t="s">
        <v>547</v>
      </c>
      <c r="C44" s="401" t="s">
        <v>530</v>
      </c>
      <c r="D44" s="402" t="s">
        <v>455</v>
      </c>
      <c r="E44" s="402"/>
      <c r="F44" s="403">
        <v>3000000</v>
      </c>
      <c r="G44" s="403">
        <v>2751102.39</v>
      </c>
      <c r="H44" s="403">
        <v>248897.61</v>
      </c>
      <c r="I44" s="402">
        <v>0</v>
      </c>
      <c r="J44" s="402">
        <v>0</v>
      </c>
      <c r="K44" s="402">
        <v>0</v>
      </c>
      <c r="L44" s="402">
        <v>0</v>
      </c>
      <c r="M44" s="402">
        <v>0</v>
      </c>
      <c r="N44" s="402">
        <v>0</v>
      </c>
      <c r="O44" s="404">
        <v>0</v>
      </c>
      <c r="P44" s="403">
        <v>0</v>
      </c>
      <c r="Q44" s="403">
        <v>248897.61</v>
      </c>
      <c r="R44" s="402">
        <v>99167.6</v>
      </c>
      <c r="S44" s="402">
        <v>52960</v>
      </c>
      <c r="T44" s="402">
        <v>0</v>
      </c>
      <c r="U44" s="402">
        <v>0</v>
      </c>
      <c r="V44" s="402">
        <v>0</v>
      </c>
      <c r="W44" s="402">
        <v>0</v>
      </c>
      <c r="X44" s="404">
        <v>96770.01</v>
      </c>
      <c r="Y44" s="402">
        <v>0</v>
      </c>
      <c r="Z44" s="252"/>
      <c r="AA44" s="252"/>
      <c r="AB44" s="403">
        <v>0</v>
      </c>
      <c r="AC44" s="402"/>
      <c r="AD44" s="402"/>
      <c r="AE44" s="405"/>
      <c r="AF44" s="406"/>
      <c r="AG44" s="252"/>
      <c r="AH44" s="407">
        <f>AB44-H44</f>
        <v>-248897.61</v>
      </c>
    </row>
    <row r="45" spans="2:39" x14ac:dyDescent="0.25">
      <c r="B45" s="251" t="s">
        <v>689</v>
      </c>
      <c r="C45" s="393" t="s">
        <v>427</v>
      </c>
      <c r="D45" s="402">
        <v>0</v>
      </c>
      <c r="E45" s="402"/>
      <c r="F45" s="400">
        <v>0</v>
      </c>
      <c r="G45" s="400">
        <v>-237309.12</v>
      </c>
      <c r="H45" s="400">
        <v>237309.12</v>
      </c>
      <c r="I45" s="402">
        <v>0</v>
      </c>
      <c r="J45" s="402">
        <v>0</v>
      </c>
      <c r="K45" s="402">
        <v>0</v>
      </c>
      <c r="L45" s="402">
        <v>0</v>
      </c>
      <c r="M45" s="402">
        <v>0</v>
      </c>
      <c r="N45" s="402">
        <v>0</v>
      </c>
      <c r="O45" s="404">
        <v>237309.12</v>
      </c>
      <c r="P45" s="400">
        <v>237309.12</v>
      </c>
      <c r="Q45" s="400">
        <v>0</v>
      </c>
      <c r="R45" s="402">
        <v>0</v>
      </c>
      <c r="S45" s="402">
        <v>0</v>
      </c>
      <c r="T45" s="402">
        <v>0</v>
      </c>
      <c r="U45" s="402">
        <v>0</v>
      </c>
      <c r="V45" s="402">
        <v>0</v>
      </c>
      <c r="W45" s="402">
        <v>0</v>
      </c>
      <c r="X45" s="404">
        <v>0</v>
      </c>
      <c r="Y45" s="402">
        <v>237309.12</v>
      </c>
      <c r="Z45" s="251"/>
      <c r="AA45" s="251"/>
      <c r="AB45" s="400">
        <v>0</v>
      </c>
      <c r="AC45" s="384"/>
      <c r="AD45" s="384"/>
      <c r="AE45" s="385"/>
      <c r="AF45" s="386"/>
      <c r="AH45" s="407">
        <f>AB45-H45</f>
        <v>-237309.12</v>
      </c>
    </row>
    <row r="46" spans="2:39" x14ac:dyDescent="0.25">
      <c r="B46" s="251" t="s">
        <v>926</v>
      </c>
      <c r="C46" s="393" t="s">
        <v>53</v>
      </c>
      <c r="D46" s="402">
        <v>0</v>
      </c>
      <c r="E46" s="402"/>
      <c r="F46" s="400">
        <v>0</v>
      </c>
      <c r="G46" s="400">
        <v>-226233.60000000001</v>
      </c>
      <c r="H46" s="400">
        <v>226233.60000000001</v>
      </c>
      <c r="I46" s="402">
        <v>0</v>
      </c>
      <c r="J46" s="402">
        <v>0</v>
      </c>
      <c r="K46" s="402">
        <v>0</v>
      </c>
      <c r="L46" s="402">
        <v>0</v>
      </c>
      <c r="M46" s="402">
        <v>0</v>
      </c>
      <c r="N46" s="402">
        <v>0</v>
      </c>
      <c r="O46" s="404">
        <v>226233.60000000001</v>
      </c>
      <c r="P46" s="400">
        <v>226233.60000000001</v>
      </c>
      <c r="Q46" s="400">
        <v>0</v>
      </c>
      <c r="R46" s="402">
        <v>0</v>
      </c>
      <c r="S46" s="402">
        <v>0</v>
      </c>
      <c r="T46" s="402">
        <v>0</v>
      </c>
      <c r="U46" s="402">
        <v>0</v>
      </c>
      <c r="V46" s="402">
        <v>0</v>
      </c>
      <c r="W46" s="402">
        <v>0</v>
      </c>
      <c r="X46" s="404">
        <v>0</v>
      </c>
      <c r="Y46" s="402">
        <v>226233.60000000001</v>
      </c>
      <c r="Z46" s="251"/>
      <c r="AA46" s="251"/>
      <c r="AB46" s="400">
        <v>0</v>
      </c>
      <c r="AC46" s="413"/>
      <c r="AD46" s="413"/>
      <c r="AE46" s="414"/>
      <c r="AF46" s="415"/>
      <c r="AG46" s="251"/>
      <c r="AH46" s="407">
        <f>AB46-H46</f>
        <v>-226233.60000000001</v>
      </c>
      <c r="AM46" s="257"/>
    </row>
    <row r="47" spans="2:39" x14ac:dyDescent="0.25">
      <c r="B47" s="252" t="s">
        <v>342</v>
      </c>
      <c r="C47" s="168" t="s">
        <v>378</v>
      </c>
      <c r="D47" s="408" t="s">
        <v>455</v>
      </c>
      <c r="E47" s="409">
        <v>180</v>
      </c>
      <c r="F47" s="182">
        <v>500000</v>
      </c>
      <c r="G47" s="182">
        <v>277191.82999999996</v>
      </c>
      <c r="H47" s="182">
        <v>222808.17</v>
      </c>
      <c r="I47" s="182">
        <v>0</v>
      </c>
      <c r="J47" s="182">
        <v>0</v>
      </c>
      <c r="K47" s="182">
        <v>0</v>
      </c>
      <c r="L47" s="182">
        <v>0</v>
      </c>
      <c r="M47" s="182">
        <v>0</v>
      </c>
      <c r="N47" s="182">
        <v>0</v>
      </c>
      <c r="O47" s="187">
        <v>0</v>
      </c>
      <c r="P47" s="184">
        <v>0</v>
      </c>
      <c r="Q47" s="184">
        <v>222808.17</v>
      </c>
      <c r="R47" s="182">
        <v>222808.17</v>
      </c>
      <c r="S47" s="182">
        <v>0</v>
      </c>
      <c r="T47" s="182">
        <v>0</v>
      </c>
      <c r="U47" s="182">
        <v>0</v>
      </c>
      <c r="V47" s="182">
        <v>0</v>
      </c>
      <c r="W47" s="182">
        <v>0</v>
      </c>
      <c r="X47" s="187">
        <v>0</v>
      </c>
      <c r="Y47" s="182">
        <v>0</v>
      </c>
      <c r="Z47" s="183"/>
      <c r="AA47" s="183"/>
      <c r="AB47" s="182">
        <v>300000</v>
      </c>
      <c r="AC47" s="384"/>
      <c r="AD47" s="384"/>
      <c r="AE47" s="385"/>
      <c r="AF47" s="386"/>
      <c r="AH47" s="407">
        <f>AB47-H47</f>
        <v>77191.829999999987</v>
      </c>
    </row>
    <row r="48" spans="2:39" x14ac:dyDescent="0.25">
      <c r="B48" s="251" t="s">
        <v>926</v>
      </c>
      <c r="C48" s="393" t="s">
        <v>294</v>
      </c>
      <c r="D48" s="402">
        <v>0</v>
      </c>
      <c r="E48" s="402"/>
      <c r="F48" s="400">
        <v>0</v>
      </c>
      <c r="G48" s="400">
        <v>-213750</v>
      </c>
      <c r="H48" s="400">
        <v>213750</v>
      </c>
      <c r="I48" s="402">
        <v>0</v>
      </c>
      <c r="J48" s="402">
        <v>0</v>
      </c>
      <c r="K48" s="402">
        <v>0</v>
      </c>
      <c r="L48" s="402">
        <v>0</v>
      </c>
      <c r="M48" s="402">
        <v>0</v>
      </c>
      <c r="N48" s="402">
        <v>0</v>
      </c>
      <c r="O48" s="404">
        <v>213750</v>
      </c>
      <c r="P48" s="400">
        <v>213750</v>
      </c>
      <c r="Q48" s="400">
        <v>0</v>
      </c>
      <c r="R48" s="402">
        <v>0</v>
      </c>
      <c r="S48" s="402">
        <v>0</v>
      </c>
      <c r="T48" s="402">
        <v>0</v>
      </c>
      <c r="U48" s="402">
        <v>0</v>
      </c>
      <c r="V48" s="402">
        <v>0</v>
      </c>
      <c r="W48" s="402">
        <v>0</v>
      </c>
      <c r="X48" s="404">
        <v>0</v>
      </c>
      <c r="Y48" s="402">
        <v>213750</v>
      </c>
      <c r="Z48" s="251"/>
      <c r="AA48" s="251"/>
      <c r="AB48" s="400">
        <v>0</v>
      </c>
      <c r="AC48" s="384"/>
      <c r="AD48" s="384"/>
      <c r="AE48" s="385"/>
      <c r="AF48" s="386"/>
      <c r="AH48" s="407">
        <f>AB48-H48</f>
        <v>-213750</v>
      </c>
    </row>
    <row r="49" spans="2:39" x14ac:dyDescent="0.25">
      <c r="B49" s="252" t="s">
        <v>547</v>
      </c>
      <c r="C49" s="401" t="s">
        <v>726</v>
      </c>
      <c r="D49" s="402" t="s">
        <v>455</v>
      </c>
      <c r="E49" s="402"/>
      <c r="F49" s="403">
        <v>3500000</v>
      </c>
      <c r="G49" s="403">
        <v>3287599.9</v>
      </c>
      <c r="H49" s="403">
        <v>212400.09999999998</v>
      </c>
      <c r="I49" s="402">
        <v>0</v>
      </c>
      <c r="J49" s="402">
        <v>0</v>
      </c>
      <c r="K49" s="402">
        <v>0</v>
      </c>
      <c r="L49" s="402">
        <v>0</v>
      </c>
      <c r="M49" s="402">
        <v>0</v>
      </c>
      <c r="N49" s="402">
        <v>0</v>
      </c>
      <c r="O49" s="404">
        <v>0</v>
      </c>
      <c r="P49" s="403">
        <v>0</v>
      </c>
      <c r="Q49" s="403">
        <v>212400.09999999998</v>
      </c>
      <c r="R49" s="402">
        <v>212400.09999999998</v>
      </c>
      <c r="S49" s="402">
        <v>0</v>
      </c>
      <c r="T49" s="402">
        <v>0</v>
      </c>
      <c r="U49" s="402">
        <v>0</v>
      </c>
      <c r="V49" s="402">
        <v>0</v>
      </c>
      <c r="W49" s="402">
        <v>0</v>
      </c>
      <c r="X49" s="404">
        <v>0</v>
      </c>
      <c r="Y49" s="402">
        <v>0</v>
      </c>
      <c r="Z49" s="252"/>
      <c r="AA49" s="252"/>
      <c r="AB49" s="403">
        <v>3500000</v>
      </c>
      <c r="AC49" s="384"/>
      <c r="AD49" s="384"/>
      <c r="AE49" s="385"/>
      <c r="AF49" s="386"/>
      <c r="AH49" s="407">
        <f>AB49-H49</f>
        <v>3287599.9</v>
      </c>
      <c r="AM49" s="275"/>
    </row>
    <row r="50" spans="2:39" x14ac:dyDescent="0.25">
      <c r="B50" s="252" t="s">
        <v>547</v>
      </c>
      <c r="C50" s="401" t="s">
        <v>618</v>
      </c>
      <c r="D50" s="402" t="s">
        <v>455</v>
      </c>
      <c r="E50" s="402"/>
      <c r="F50" s="403">
        <v>700000</v>
      </c>
      <c r="G50" s="403">
        <v>488085</v>
      </c>
      <c r="H50" s="403">
        <v>211915</v>
      </c>
      <c r="I50" s="402">
        <v>0</v>
      </c>
      <c r="J50" s="402">
        <v>0</v>
      </c>
      <c r="K50" s="402">
        <v>0</v>
      </c>
      <c r="L50" s="402">
        <v>0</v>
      </c>
      <c r="M50" s="402">
        <v>0</v>
      </c>
      <c r="N50" s="402">
        <v>0</v>
      </c>
      <c r="O50" s="404">
        <v>0</v>
      </c>
      <c r="P50" s="403">
        <v>0</v>
      </c>
      <c r="Q50" s="403">
        <v>211915</v>
      </c>
      <c r="R50" s="402">
        <v>134855</v>
      </c>
      <c r="S50" s="402">
        <v>77060</v>
      </c>
      <c r="T50" s="402">
        <v>0</v>
      </c>
      <c r="U50" s="402">
        <v>0</v>
      </c>
      <c r="V50" s="402">
        <v>0</v>
      </c>
      <c r="W50" s="402">
        <v>0</v>
      </c>
      <c r="X50" s="404">
        <v>0</v>
      </c>
      <c r="Y50" s="402">
        <v>0</v>
      </c>
      <c r="Z50" s="252"/>
      <c r="AA50" s="252"/>
      <c r="AB50" s="403">
        <v>700000</v>
      </c>
      <c r="AC50" s="384"/>
      <c r="AD50" s="384"/>
      <c r="AE50" s="385"/>
      <c r="AF50" s="386"/>
      <c r="AH50" s="407">
        <f>AB50-H50</f>
        <v>488085</v>
      </c>
    </row>
    <row r="51" spans="2:39" x14ac:dyDescent="0.25">
      <c r="B51" s="252" t="s">
        <v>547</v>
      </c>
      <c r="C51" s="401" t="s">
        <v>65</v>
      </c>
      <c r="D51" s="402">
        <v>0</v>
      </c>
      <c r="E51" s="402"/>
      <c r="F51" s="403">
        <v>270000</v>
      </c>
      <c r="G51" s="403">
        <v>80971.299999999988</v>
      </c>
      <c r="H51" s="403">
        <v>189028.7</v>
      </c>
      <c r="I51" s="402">
        <v>37491.5</v>
      </c>
      <c r="J51" s="402">
        <v>0</v>
      </c>
      <c r="K51" s="402">
        <v>0</v>
      </c>
      <c r="L51" s="402">
        <v>0</v>
      </c>
      <c r="M51" s="402">
        <v>0</v>
      </c>
      <c r="N51" s="402">
        <v>0</v>
      </c>
      <c r="O51" s="404">
        <v>0</v>
      </c>
      <c r="P51" s="403">
        <v>37491.5</v>
      </c>
      <c r="Q51" s="403">
        <v>151537.20000000001</v>
      </c>
      <c r="R51" s="402">
        <v>75216.800000000003</v>
      </c>
      <c r="S51" s="402">
        <v>76320.399999999994</v>
      </c>
      <c r="T51" s="402">
        <v>0</v>
      </c>
      <c r="U51" s="402">
        <v>0</v>
      </c>
      <c r="V51" s="402">
        <v>0</v>
      </c>
      <c r="W51" s="402">
        <v>0</v>
      </c>
      <c r="X51" s="404">
        <v>0</v>
      </c>
      <c r="Y51" s="402">
        <v>0</v>
      </c>
      <c r="Z51" s="252"/>
      <c r="AA51" s="252"/>
      <c r="AB51" s="403">
        <v>0</v>
      </c>
      <c r="AC51" s="384"/>
      <c r="AD51" s="384"/>
      <c r="AE51" s="385"/>
      <c r="AF51" s="386"/>
      <c r="AH51" s="407">
        <f>AB51-H51</f>
        <v>-189028.7</v>
      </c>
    </row>
    <row r="52" spans="2:39" x14ac:dyDescent="0.25">
      <c r="B52" s="252" t="s">
        <v>918</v>
      </c>
      <c r="C52" s="401" t="s">
        <v>129</v>
      </c>
      <c r="D52" s="402" t="s">
        <v>469</v>
      </c>
      <c r="E52" s="402"/>
      <c r="F52" s="403">
        <v>1375000</v>
      </c>
      <c r="G52" s="403">
        <v>1217850.53</v>
      </c>
      <c r="H52" s="403">
        <v>157149.47</v>
      </c>
      <c r="I52" s="402">
        <v>0</v>
      </c>
      <c r="J52" s="402">
        <v>0</v>
      </c>
      <c r="K52" s="402">
        <v>0</v>
      </c>
      <c r="L52" s="402">
        <v>0</v>
      </c>
      <c r="M52" s="402">
        <v>0</v>
      </c>
      <c r="N52" s="402">
        <v>0</v>
      </c>
      <c r="O52" s="404">
        <v>0</v>
      </c>
      <c r="P52" s="403">
        <v>0</v>
      </c>
      <c r="Q52" s="403">
        <v>157149.47</v>
      </c>
      <c r="R52" s="402">
        <v>157149.47</v>
      </c>
      <c r="S52" s="402">
        <v>0</v>
      </c>
      <c r="T52" s="402">
        <v>0</v>
      </c>
      <c r="U52" s="402">
        <v>0</v>
      </c>
      <c r="V52" s="402">
        <v>0</v>
      </c>
      <c r="W52" s="402">
        <v>0</v>
      </c>
      <c r="X52" s="404">
        <v>0</v>
      </c>
      <c r="Y52" s="402">
        <v>0</v>
      </c>
      <c r="Z52" s="252"/>
      <c r="AA52" s="252"/>
      <c r="AB52" s="403">
        <v>1375000</v>
      </c>
      <c r="AC52" s="384"/>
      <c r="AD52" s="384"/>
      <c r="AE52" s="385"/>
      <c r="AF52" s="386"/>
      <c r="AH52" s="407">
        <f>AB52-H52</f>
        <v>1217850.53</v>
      </c>
    </row>
    <row r="53" spans="2:39" x14ac:dyDescent="0.25">
      <c r="B53" s="252" t="s">
        <v>547</v>
      </c>
      <c r="C53" s="401" t="s">
        <v>576</v>
      </c>
      <c r="D53" s="402" t="s">
        <v>455</v>
      </c>
      <c r="E53" s="402"/>
      <c r="F53" s="403">
        <v>1500000</v>
      </c>
      <c r="G53" s="403">
        <v>1343936.4</v>
      </c>
      <c r="H53" s="403">
        <v>156063.6</v>
      </c>
      <c r="I53" s="402">
        <v>0</v>
      </c>
      <c r="J53" s="402">
        <v>0</v>
      </c>
      <c r="K53" s="402">
        <v>0</v>
      </c>
      <c r="L53" s="402">
        <v>0</v>
      </c>
      <c r="M53" s="402">
        <v>0</v>
      </c>
      <c r="N53" s="402">
        <v>0</v>
      </c>
      <c r="O53" s="404">
        <v>0</v>
      </c>
      <c r="P53" s="403">
        <v>0</v>
      </c>
      <c r="Q53" s="403">
        <v>156063.6</v>
      </c>
      <c r="R53" s="402">
        <v>156063.6</v>
      </c>
      <c r="S53" s="402">
        <v>0</v>
      </c>
      <c r="T53" s="402">
        <v>0</v>
      </c>
      <c r="U53" s="402">
        <v>0</v>
      </c>
      <c r="V53" s="402">
        <v>0</v>
      </c>
      <c r="W53" s="402">
        <v>0</v>
      </c>
      <c r="X53" s="404">
        <v>0</v>
      </c>
      <c r="Y53" s="402">
        <v>0</v>
      </c>
      <c r="Z53" s="252"/>
      <c r="AA53" s="252"/>
      <c r="AB53" s="403">
        <v>1500000</v>
      </c>
      <c r="AC53" s="384"/>
      <c r="AD53" s="384"/>
      <c r="AE53" s="385"/>
      <c r="AF53" s="386"/>
      <c r="AH53" s="407">
        <f>AB53-H53</f>
        <v>1343936.4</v>
      </c>
    </row>
    <row r="54" spans="2:39" x14ac:dyDescent="0.25">
      <c r="B54" s="252" t="s">
        <v>918</v>
      </c>
      <c r="C54" s="401" t="s">
        <v>571</v>
      </c>
      <c r="D54" s="402" t="s">
        <v>455</v>
      </c>
      <c r="E54" s="402"/>
      <c r="F54" s="403">
        <v>550000</v>
      </c>
      <c r="G54" s="403">
        <v>412283.08999999997</v>
      </c>
      <c r="H54" s="403">
        <v>137716.91</v>
      </c>
      <c r="I54" s="402">
        <v>0</v>
      </c>
      <c r="J54" s="402">
        <v>0</v>
      </c>
      <c r="K54" s="402">
        <v>0</v>
      </c>
      <c r="L54" s="402">
        <v>0</v>
      </c>
      <c r="M54" s="402">
        <v>0</v>
      </c>
      <c r="N54" s="402">
        <v>0</v>
      </c>
      <c r="O54" s="404">
        <v>0</v>
      </c>
      <c r="P54" s="403">
        <v>0</v>
      </c>
      <c r="Q54" s="403">
        <v>137716.91</v>
      </c>
      <c r="R54" s="402">
        <v>137716.91</v>
      </c>
      <c r="S54" s="402">
        <v>0</v>
      </c>
      <c r="T54" s="402">
        <v>0</v>
      </c>
      <c r="U54" s="402">
        <v>0</v>
      </c>
      <c r="V54" s="402">
        <v>0</v>
      </c>
      <c r="W54" s="402">
        <v>0</v>
      </c>
      <c r="X54" s="404">
        <v>0</v>
      </c>
      <c r="Y54" s="402">
        <v>0</v>
      </c>
      <c r="Z54" s="252"/>
      <c r="AA54" s="252"/>
      <c r="AB54" s="403">
        <v>550000</v>
      </c>
      <c r="AC54" s="384"/>
      <c r="AD54" s="384"/>
      <c r="AE54" s="385"/>
      <c r="AF54" s="386"/>
      <c r="AH54" s="407">
        <f>AB54-H54</f>
        <v>412283.08999999997</v>
      </c>
    </row>
    <row r="55" spans="2:39" x14ac:dyDescent="0.25">
      <c r="B55" s="252" t="s">
        <v>342</v>
      </c>
      <c r="C55" s="401" t="s">
        <v>433</v>
      </c>
      <c r="D55" s="402">
        <v>0</v>
      </c>
      <c r="E55" s="402"/>
      <c r="F55" s="403">
        <v>1000000</v>
      </c>
      <c r="G55" s="403">
        <v>866282</v>
      </c>
      <c r="H55" s="403">
        <v>133718</v>
      </c>
      <c r="I55" s="402">
        <v>0</v>
      </c>
      <c r="J55" s="402">
        <v>0</v>
      </c>
      <c r="K55" s="402">
        <v>0</v>
      </c>
      <c r="L55" s="402">
        <v>0</v>
      </c>
      <c r="M55" s="402">
        <v>0</v>
      </c>
      <c r="N55" s="402">
        <v>0</v>
      </c>
      <c r="O55" s="404">
        <v>0</v>
      </c>
      <c r="P55" s="403">
        <v>0</v>
      </c>
      <c r="Q55" s="403">
        <v>133718</v>
      </c>
      <c r="R55" s="402">
        <v>133718</v>
      </c>
      <c r="S55" s="402">
        <v>0</v>
      </c>
      <c r="T55" s="402">
        <v>0</v>
      </c>
      <c r="U55" s="402">
        <v>0</v>
      </c>
      <c r="V55" s="402">
        <v>0</v>
      </c>
      <c r="W55" s="402">
        <v>0</v>
      </c>
      <c r="X55" s="404">
        <v>0</v>
      </c>
      <c r="Y55" s="402">
        <v>0</v>
      </c>
      <c r="Z55" s="252"/>
      <c r="AA55" s="252"/>
      <c r="AB55" s="403">
        <v>1000000</v>
      </c>
      <c r="AC55" s="384"/>
      <c r="AD55" s="384"/>
      <c r="AE55" s="385"/>
      <c r="AF55" s="386"/>
      <c r="AH55" s="407">
        <f>AB55-H55</f>
        <v>866282</v>
      </c>
    </row>
    <row r="56" spans="2:39" x14ac:dyDescent="0.25">
      <c r="B56" s="252" t="s">
        <v>918</v>
      </c>
      <c r="C56" s="401" t="s">
        <v>130</v>
      </c>
      <c r="D56" s="402" t="s">
        <v>469</v>
      </c>
      <c r="E56" s="402"/>
      <c r="F56" s="403">
        <v>687500</v>
      </c>
      <c r="G56" s="403">
        <v>555539.93999999994</v>
      </c>
      <c r="H56" s="403">
        <v>131960.06</v>
      </c>
      <c r="I56" s="402">
        <v>0</v>
      </c>
      <c r="J56" s="402">
        <v>0</v>
      </c>
      <c r="K56" s="402">
        <v>0</v>
      </c>
      <c r="L56" s="402">
        <v>0</v>
      </c>
      <c r="M56" s="402">
        <v>0</v>
      </c>
      <c r="N56" s="402">
        <v>0</v>
      </c>
      <c r="O56" s="404">
        <v>0</v>
      </c>
      <c r="P56" s="403">
        <v>0</v>
      </c>
      <c r="Q56" s="403">
        <v>131960.06</v>
      </c>
      <c r="R56" s="402">
        <v>131960.06</v>
      </c>
      <c r="S56" s="402">
        <v>0</v>
      </c>
      <c r="T56" s="402">
        <v>0</v>
      </c>
      <c r="U56" s="402">
        <v>0</v>
      </c>
      <c r="V56" s="402">
        <v>0</v>
      </c>
      <c r="W56" s="402">
        <v>0</v>
      </c>
      <c r="X56" s="404">
        <v>0</v>
      </c>
      <c r="Y56" s="402">
        <v>0</v>
      </c>
      <c r="Z56" s="252"/>
      <c r="AA56" s="252"/>
      <c r="AB56" s="403">
        <v>687500</v>
      </c>
      <c r="AC56" s="384"/>
      <c r="AD56" s="384"/>
      <c r="AE56" s="385"/>
      <c r="AF56" s="386"/>
      <c r="AH56" s="407">
        <f>AB56-H56</f>
        <v>555539.93999999994</v>
      </c>
    </row>
    <row r="57" spans="2:39" x14ac:dyDescent="0.25">
      <c r="B57" s="252" t="s">
        <v>547</v>
      </c>
      <c r="C57" s="401" t="s">
        <v>744</v>
      </c>
      <c r="D57" s="402" t="s">
        <v>455</v>
      </c>
      <c r="E57" s="402"/>
      <c r="F57" s="403">
        <v>850000</v>
      </c>
      <c r="G57" s="403">
        <v>728148</v>
      </c>
      <c r="H57" s="403">
        <v>121852</v>
      </c>
      <c r="I57" s="402">
        <v>0</v>
      </c>
      <c r="J57" s="402">
        <v>0</v>
      </c>
      <c r="K57" s="402">
        <v>0</v>
      </c>
      <c r="L57" s="402">
        <v>0</v>
      </c>
      <c r="M57" s="402">
        <v>0</v>
      </c>
      <c r="N57" s="402">
        <v>0</v>
      </c>
      <c r="O57" s="404">
        <v>0</v>
      </c>
      <c r="P57" s="403">
        <v>0</v>
      </c>
      <c r="Q57" s="403">
        <v>121852</v>
      </c>
      <c r="R57" s="402">
        <v>0</v>
      </c>
      <c r="S57" s="402">
        <v>121852</v>
      </c>
      <c r="T57" s="402">
        <v>0</v>
      </c>
      <c r="U57" s="402">
        <v>0</v>
      </c>
      <c r="V57" s="402">
        <v>0</v>
      </c>
      <c r="W57" s="402">
        <v>0</v>
      </c>
      <c r="X57" s="404">
        <v>0</v>
      </c>
      <c r="Y57" s="402">
        <v>0</v>
      </c>
      <c r="Z57" s="252"/>
      <c r="AA57" s="252"/>
      <c r="AB57" s="403">
        <v>850000</v>
      </c>
      <c r="AC57" s="384"/>
      <c r="AD57" s="384"/>
      <c r="AE57" s="385"/>
      <c r="AF57" s="386"/>
      <c r="AH57" s="407">
        <f>AB57-H57</f>
        <v>728148</v>
      </c>
    </row>
    <row r="58" spans="2:39" x14ac:dyDescent="0.25">
      <c r="B58" s="252" t="s">
        <v>547</v>
      </c>
      <c r="C58" s="401" t="s">
        <v>290</v>
      </c>
      <c r="D58" s="402" t="s">
        <v>455</v>
      </c>
      <c r="E58" s="402"/>
      <c r="F58" s="403">
        <v>500000</v>
      </c>
      <c r="G58" s="403">
        <v>380000</v>
      </c>
      <c r="H58" s="403">
        <v>120000</v>
      </c>
      <c r="I58" s="402">
        <v>0</v>
      </c>
      <c r="J58" s="402">
        <v>0</v>
      </c>
      <c r="K58" s="402">
        <v>0</v>
      </c>
      <c r="L58" s="402">
        <v>0</v>
      </c>
      <c r="M58" s="402">
        <v>0</v>
      </c>
      <c r="N58" s="402">
        <v>0</v>
      </c>
      <c r="O58" s="404">
        <v>0</v>
      </c>
      <c r="P58" s="403">
        <v>0</v>
      </c>
      <c r="Q58" s="403">
        <v>120000</v>
      </c>
      <c r="R58" s="402">
        <v>120000</v>
      </c>
      <c r="S58" s="402">
        <v>0</v>
      </c>
      <c r="T58" s="402">
        <v>0</v>
      </c>
      <c r="U58" s="402">
        <v>0</v>
      </c>
      <c r="V58" s="402">
        <v>0</v>
      </c>
      <c r="W58" s="402">
        <v>0</v>
      </c>
      <c r="X58" s="404">
        <v>0</v>
      </c>
      <c r="Y58" s="402">
        <v>0</v>
      </c>
      <c r="Z58" s="252"/>
      <c r="AA58" s="252"/>
      <c r="AB58" s="403">
        <v>500000</v>
      </c>
      <c r="AC58" s="384"/>
      <c r="AD58" s="384"/>
      <c r="AE58" s="385"/>
      <c r="AF58" s="386"/>
      <c r="AH58" s="407">
        <f>AB58-H58</f>
        <v>380000</v>
      </c>
    </row>
    <row r="59" spans="2:39" x14ac:dyDescent="0.25">
      <c r="B59" s="252" t="s">
        <v>918</v>
      </c>
      <c r="C59" s="401" t="s">
        <v>535</v>
      </c>
      <c r="D59" s="402" t="s">
        <v>455</v>
      </c>
      <c r="E59" s="402"/>
      <c r="F59" s="403">
        <v>1100000</v>
      </c>
      <c r="G59" s="403">
        <v>996580.11</v>
      </c>
      <c r="H59" s="403">
        <v>103419.88999999998</v>
      </c>
      <c r="I59" s="402">
        <v>0</v>
      </c>
      <c r="J59" s="402">
        <v>0</v>
      </c>
      <c r="K59" s="402">
        <v>0</v>
      </c>
      <c r="L59" s="402">
        <v>0</v>
      </c>
      <c r="M59" s="402">
        <v>0</v>
      </c>
      <c r="N59" s="402">
        <v>0</v>
      </c>
      <c r="O59" s="404">
        <v>0</v>
      </c>
      <c r="P59" s="403">
        <v>0</v>
      </c>
      <c r="Q59" s="403">
        <v>103419.88999999998</v>
      </c>
      <c r="R59" s="402">
        <v>0</v>
      </c>
      <c r="S59" s="402">
        <v>103419.88999999998</v>
      </c>
      <c r="T59" s="402">
        <v>0</v>
      </c>
      <c r="U59" s="402">
        <v>0</v>
      </c>
      <c r="V59" s="402">
        <v>0</v>
      </c>
      <c r="W59" s="402">
        <v>0</v>
      </c>
      <c r="X59" s="404">
        <v>0</v>
      </c>
      <c r="Y59" s="402">
        <v>0</v>
      </c>
      <c r="Z59" s="252"/>
      <c r="AA59" s="252"/>
      <c r="AB59" s="403">
        <v>550000</v>
      </c>
      <c r="AC59" s="384"/>
      <c r="AD59" s="384"/>
      <c r="AE59" s="385"/>
      <c r="AF59" s="386"/>
      <c r="AH59" s="407">
        <f>AB59-H59</f>
        <v>446580.11</v>
      </c>
    </row>
    <row r="60" spans="2:39" x14ac:dyDescent="0.25">
      <c r="B60" s="252" t="s">
        <v>547</v>
      </c>
      <c r="C60" s="401" t="s">
        <v>550</v>
      </c>
      <c r="D60" s="402" t="s">
        <v>455</v>
      </c>
      <c r="E60" s="402"/>
      <c r="F60" s="403">
        <v>200000</v>
      </c>
      <c r="G60" s="403">
        <v>100974.05</v>
      </c>
      <c r="H60" s="403">
        <v>99025.95</v>
      </c>
      <c r="I60" s="402">
        <v>0</v>
      </c>
      <c r="J60" s="402">
        <v>0</v>
      </c>
      <c r="K60" s="402">
        <v>0</v>
      </c>
      <c r="L60" s="402">
        <v>0</v>
      </c>
      <c r="M60" s="402">
        <v>0</v>
      </c>
      <c r="N60" s="402">
        <v>0</v>
      </c>
      <c r="O60" s="404">
        <v>0</v>
      </c>
      <c r="P60" s="403">
        <v>0</v>
      </c>
      <c r="Q60" s="403">
        <v>99025.95</v>
      </c>
      <c r="R60" s="402">
        <v>49512.97</v>
      </c>
      <c r="S60" s="402">
        <v>49512.979999999996</v>
      </c>
      <c r="T60" s="402">
        <v>0</v>
      </c>
      <c r="U60" s="402">
        <v>0</v>
      </c>
      <c r="V60" s="402">
        <v>0</v>
      </c>
      <c r="W60" s="402">
        <v>0</v>
      </c>
      <c r="X60" s="404">
        <v>0</v>
      </c>
      <c r="Y60" s="402">
        <v>0</v>
      </c>
      <c r="Z60" s="252"/>
      <c r="AA60" s="252"/>
      <c r="AB60" s="403">
        <v>200000</v>
      </c>
      <c r="AC60" s="384"/>
      <c r="AD60" s="384"/>
      <c r="AE60" s="385"/>
      <c r="AF60" s="386"/>
      <c r="AH60" s="407">
        <f>AB60-H60</f>
        <v>100974.05</v>
      </c>
    </row>
    <row r="61" spans="2:39" x14ac:dyDescent="0.25">
      <c r="B61" s="252" t="s">
        <v>547</v>
      </c>
      <c r="C61" s="401" t="s">
        <v>303</v>
      </c>
      <c r="D61" s="402" t="s">
        <v>455</v>
      </c>
      <c r="E61" s="402"/>
      <c r="F61" s="403">
        <v>300000</v>
      </c>
      <c r="G61" s="403">
        <v>212860.5</v>
      </c>
      <c r="H61" s="403">
        <v>87139.5</v>
      </c>
      <c r="I61" s="402">
        <v>0</v>
      </c>
      <c r="J61" s="402">
        <v>0</v>
      </c>
      <c r="K61" s="402">
        <v>0</v>
      </c>
      <c r="L61" s="402">
        <v>0</v>
      </c>
      <c r="M61" s="402">
        <v>0</v>
      </c>
      <c r="N61" s="402">
        <v>0</v>
      </c>
      <c r="O61" s="404">
        <v>0</v>
      </c>
      <c r="P61" s="403">
        <v>0</v>
      </c>
      <c r="Q61" s="403">
        <v>87139.5</v>
      </c>
      <c r="R61" s="402">
        <v>43569.75</v>
      </c>
      <c r="S61" s="402">
        <v>43569.75</v>
      </c>
      <c r="T61" s="402">
        <v>0</v>
      </c>
      <c r="U61" s="402">
        <v>0</v>
      </c>
      <c r="V61" s="402">
        <v>0</v>
      </c>
      <c r="W61" s="402">
        <v>0</v>
      </c>
      <c r="X61" s="404">
        <v>0</v>
      </c>
      <c r="Y61" s="402">
        <v>0</v>
      </c>
      <c r="Z61" s="252"/>
      <c r="AA61" s="252"/>
      <c r="AB61" s="403">
        <v>300000</v>
      </c>
      <c r="AC61" s="384"/>
      <c r="AD61" s="384"/>
      <c r="AE61" s="385"/>
      <c r="AF61" s="386"/>
      <c r="AH61" s="407">
        <f>AB61-H61</f>
        <v>212860.5</v>
      </c>
    </row>
    <row r="62" spans="2:39" x14ac:dyDescent="0.25">
      <c r="B62" s="252" t="s">
        <v>918</v>
      </c>
      <c r="C62" s="401" t="s">
        <v>305</v>
      </c>
      <c r="D62" s="402" t="s">
        <v>469</v>
      </c>
      <c r="E62" s="402"/>
      <c r="F62" s="403">
        <v>550000</v>
      </c>
      <c r="G62" s="403">
        <v>463310.9</v>
      </c>
      <c r="H62" s="403">
        <v>86689.1</v>
      </c>
      <c r="I62" s="402">
        <v>0</v>
      </c>
      <c r="J62" s="402">
        <v>0</v>
      </c>
      <c r="K62" s="402">
        <v>0</v>
      </c>
      <c r="L62" s="402">
        <v>0</v>
      </c>
      <c r="M62" s="402">
        <v>0</v>
      </c>
      <c r="N62" s="402">
        <v>0</v>
      </c>
      <c r="O62" s="404">
        <v>0</v>
      </c>
      <c r="P62" s="403">
        <v>0</v>
      </c>
      <c r="Q62" s="403">
        <v>86689.1</v>
      </c>
      <c r="R62" s="402">
        <v>86689.1</v>
      </c>
      <c r="S62" s="402">
        <v>0</v>
      </c>
      <c r="T62" s="402">
        <v>0</v>
      </c>
      <c r="U62" s="402">
        <v>0</v>
      </c>
      <c r="V62" s="402">
        <v>0</v>
      </c>
      <c r="W62" s="402">
        <v>0</v>
      </c>
      <c r="X62" s="404">
        <v>0</v>
      </c>
      <c r="Y62" s="402">
        <v>0</v>
      </c>
      <c r="Z62" s="252"/>
      <c r="AA62" s="252"/>
      <c r="AB62" s="403">
        <v>550000</v>
      </c>
      <c r="AC62" s="384"/>
      <c r="AD62" s="384"/>
      <c r="AE62" s="385"/>
      <c r="AF62" s="386"/>
      <c r="AH62" s="407">
        <f>AB62-H62</f>
        <v>463310.9</v>
      </c>
    </row>
    <row r="63" spans="2:39" x14ac:dyDescent="0.25">
      <c r="B63" s="252" t="s">
        <v>547</v>
      </c>
      <c r="C63" s="401" t="s">
        <v>488</v>
      </c>
      <c r="D63" s="402" t="s">
        <v>455</v>
      </c>
      <c r="E63" s="402"/>
      <c r="F63" s="403">
        <v>2500000</v>
      </c>
      <c r="G63" s="403">
        <v>2419920.7000000002</v>
      </c>
      <c r="H63" s="403">
        <v>80079.3</v>
      </c>
      <c r="I63" s="402">
        <v>0</v>
      </c>
      <c r="J63" s="402">
        <v>0</v>
      </c>
      <c r="K63" s="402">
        <v>0</v>
      </c>
      <c r="L63" s="402">
        <v>0</v>
      </c>
      <c r="M63" s="402">
        <v>0</v>
      </c>
      <c r="N63" s="402">
        <v>0</v>
      </c>
      <c r="O63" s="404">
        <v>0</v>
      </c>
      <c r="P63" s="403">
        <v>0</v>
      </c>
      <c r="Q63" s="403">
        <v>80079.3</v>
      </c>
      <c r="R63" s="402">
        <v>80079.3</v>
      </c>
      <c r="S63" s="402">
        <v>0</v>
      </c>
      <c r="T63" s="402">
        <v>0</v>
      </c>
      <c r="U63" s="402">
        <v>0</v>
      </c>
      <c r="V63" s="402">
        <v>0</v>
      </c>
      <c r="W63" s="402">
        <v>0</v>
      </c>
      <c r="X63" s="404">
        <v>0</v>
      </c>
      <c r="Y63" s="402">
        <v>0</v>
      </c>
      <c r="Z63" s="252"/>
      <c r="AA63" s="252"/>
      <c r="AB63" s="403">
        <v>2500000</v>
      </c>
      <c r="AC63" s="384"/>
      <c r="AD63" s="384"/>
      <c r="AE63" s="385"/>
      <c r="AF63" s="386"/>
      <c r="AH63" s="407">
        <f>AB63-H63</f>
        <v>2419920.7000000002</v>
      </c>
    </row>
    <row r="64" spans="2:39" x14ac:dyDescent="0.25">
      <c r="B64" s="252" t="s">
        <v>918</v>
      </c>
      <c r="C64" s="401" t="s">
        <v>492</v>
      </c>
      <c r="D64" s="402" t="s">
        <v>469</v>
      </c>
      <c r="E64" s="402"/>
      <c r="F64" s="403">
        <v>302500</v>
      </c>
      <c r="G64" s="403">
        <v>226019.77000000002</v>
      </c>
      <c r="H64" s="403">
        <v>76480.23</v>
      </c>
      <c r="I64" s="402">
        <v>0</v>
      </c>
      <c r="J64" s="402">
        <v>0</v>
      </c>
      <c r="K64" s="402">
        <v>0</v>
      </c>
      <c r="L64" s="402">
        <v>0</v>
      </c>
      <c r="M64" s="402">
        <v>0</v>
      </c>
      <c r="N64" s="402">
        <v>0</v>
      </c>
      <c r="O64" s="404">
        <v>0</v>
      </c>
      <c r="P64" s="403">
        <v>0</v>
      </c>
      <c r="Q64" s="403">
        <v>76480.23</v>
      </c>
      <c r="R64" s="402">
        <v>0</v>
      </c>
      <c r="S64" s="402">
        <v>0</v>
      </c>
      <c r="T64" s="402">
        <v>0</v>
      </c>
      <c r="U64" s="402">
        <v>0</v>
      </c>
      <c r="V64" s="402">
        <v>0</v>
      </c>
      <c r="W64" s="402">
        <v>76480.23</v>
      </c>
      <c r="X64" s="404">
        <v>0</v>
      </c>
      <c r="Y64" s="402">
        <v>0</v>
      </c>
      <c r="Z64" s="252"/>
      <c r="AA64" s="252"/>
      <c r="AB64" s="403">
        <v>302500</v>
      </c>
      <c r="AC64" s="384"/>
      <c r="AD64" s="384"/>
      <c r="AE64" s="385"/>
      <c r="AF64" s="386"/>
      <c r="AH64" s="407">
        <f>AB64-H64</f>
        <v>226019.77000000002</v>
      </c>
    </row>
    <row r="65" spans="2:34" x14ac:dyDescent="0.25">
      <c r="B65" s="252" t="s">
        <v>547</v>
      </c>
      <c r="C65" s="401" t="s">
        <v>252</v>
      </c>
      <c r="D65" s="402">
        <v>0</v>
      </c>
      <c r="E65" s="402"/>
      <c r="F65" s="403">
        <v>0</v>
      </c>
      <c r="G65" s="403">
        <v>-66176</v>
      </c>
      <c r="H65" s="403">
        <v>66176</v>
      </c>
      <c r="I65" s="402">
        <v>0</v>
      </c>
      <c r="J65" s="402">
        <v>0</v>
      </c>
      <c r="K65" s="402">
        <v>0</v>
      </c>
      <c r="L65" s="402">
        <v>0</v>
      </c>
      <c r="M65" s="402">
        <v>0</v>
      </c>
      <c r="N65" s="402">
        <v>0</v>
      </c>
      <c r="O65" s="404">
        <v>0</v>
      </c>
      <c r="P65" s="403">
        <v>0</v>
      </c>
      <c r="Q65" s="403">
        <v>66176</v>
      </c>
      <c r="R65" s="402">
        <v>66176</v>
      </c>
      <c r="S65" s="402">
        <v>0</v>
      </c>
      <c r="T65" s="402">
        <v>0</v>
      </c>
      <c r="U65" s="402">
        <v>0</v>
      </c>
      <c r="V65" s="402">
        <v>0</v>
      </c>
      <c r="W65" s="402">
        <v>0</v>
      </c>
      <c r="X65" s="404">
        <v>0</v>
      </c>
      <c r="Y65" s="402">
        <v>0</v>
      </c>
      <c r="Z65" s="252"/>
      <c r="AA65" s="252"/>
      <c r="AB65" s="403">
        <v>0</v>
      </c>
      <c r="AC65" s="384"/>
      <c r="AD65" s="384"/>
      <c r="AE65" s="385"/>
      <c r="AF65" s="386"/>
      <c r="AH65" s="407">
        <f>AB65-H65</f>
        <v>-66176</v>
      </c>
    </row>
    <row r="66" spans="2:34" x14ac:dyDescent="0.25">
      <c r="B66" s="252" t="s">
        <v>547</v>
      </c>
      <c r="C66" s="401" t="s">
        <v>414</v>
      </c>
      <c r="D66" s="402" t="s">
        <v>455</v>
      </c>
      <c r="E66" s="402"/>
      <c r="F66" s="403">
        <v>4000000</v>
      </c>
      <c r="G66" s="403">
        <v>3941082.2</v>
      </c>
      <c r="H66" s="403">
        <v>58917.8</v>
      </c>
      <c r="I66" s="402">
        <v>0</v>
      </c>
      <c r="J66" s="402">
        <v>0</v>
      </c>
      <c r="K66" s="402">
        <v>0</v>
      </c>
      <c r="L66" s="402">
        <v>0</v>
      </c>
      <c r="M66" s="402">
        <v>0</v>
      </c>
      <c r="N66" s="402">
        <v>0</v>
      </c>
      <c r="O66" s="404">
        <v>0</v>
      </c>
      <c r="P66" s="403">
        <v>0</v>
      </c>
      <c r="Q66" s="403">
        <v>58917.8</v>
      </c>
      <c r="R66" s="402">
        <v>58917.8</v>
      </c>
      <c r="S66" s="402">
        <v>0</v>
      </c>
      <c r="T66" s="402">
        <v>0</v>
      </c>
      <c r="U66" s="402">
        <v>0</v>
      </c>
      <c r="V66" s="402">
        <v>0</v>
      </c>
      <c r="W66" s="402">
        <v>0</v>
      </c>
      <c r="X66" s="404">
        <v>0</v>
      </c>
      <c r="Y66" s="402">
        <v>0</v>
      </c>
      <c r="Z66" s="252"/>
      <c r="AA66" s="252"/>
      <c r="AB66" s="403">
        <v>4000000</v>
      </c>
      <c r="AC66" s="384"/>
      <c r="AD66" s="384"/>
      <c r="AE66" s="385"/>
      <c r="AF66" s="386"/>
      <c r="AH66" s="407">
        <f>AB66-H66</f>
        <v>3941082.2</v>
      </c>
    </row>
    <row r="67" spans="2:34" x14ac:dyDescent="0.25">
      <c r="B67" s="252" t="s">
        <v>547</v>
      </c>
      <c r="C67" s="401" t="s">
        <v>95</v>
      </c>
      <c r="D67" s="402">
        <v>0</v>
      </c>
      <c r="E67" s="402"/>
      <c r="F67" s="403">
        <v>0</v>
      </c>
      <c r="G67" s="403">
        <v>-52840</v>
      </c>
      <c r="H67" s="403">
        <v>52840</v>
      </c>
      <c r="I67" s="402">
        <v>0</v>
      </c>
      <c r="J67" s="402">
        <v>0</v>
      </c>
      <c r="K67" s="402">
        <v>0</v>
      </c>
      <c r="L67" s="402">
        <v>0</v>
      </c>
      <c r="M67" s="402">
        <v>0</v>
      </c>
      <c r="N67" s="402">
        <v>0</v>
      </c>
      <c r="O67" s="404">
        <v>0</v>
      </c>
      <c r="P67" s="403">
        <v>0</v>
      </c>
      <c r="Q67" s="403">
        <v>52840</v>
      </c>
      <c r="R67" s="402">
        <v>52840</v>
      </c>
      <c r="S67" s="402">
        <v>0</v>
      </c>
      <c r="T67" s="402">
        <v>0</v>
      </c>
      <c r="U67" s="402">
        <v>0</v>
      </c>
      <c r="V67" s="402">
        <v>0</v>
      </c>
      <c r="W67" s="402">
        <v>0</v>
      </c>
      <c r="X67" s="404">
        <v>0</v>
      </c>
      <c r="Y67" s="402">
        <v>0</v>
      </c>
      <c r="Z67" s="252"/>
      <c r="AA67" s="252"/>
      <c r="AB67" s="403">
        <v>0</v>
      </c>
      <c r="AC67" s="384"/>
      <c r="AD67" s="384"/>
      <c r="AE67" s="385"/>
      <c r="AF67" s="386"/>
      <c r="AH67" s="407">
        <f>AB67-H67</f>
        <v>-52840</v>
      </c>
    </row>
    <row r="68" spans="2:34" x14ac:dyDescent="0.25">
      <c r="B68" s="252" t="s">
        <v>918</v>
      </c>
      <c r="C68" s="401" t="s">
        <v>648</v>
      </c>
      <c r="D68" s="402" t="s">
        <v>455</v>
      </c>
      <c r="E68" s="402"/>
      <c r="F68" s="403">
        <v>550000</v>
      </c>
      <c r="G68" s="403">
        <v>500043.32</v>
      </c>
      <c r="H68" s="403">
        <v>49956.68</v>
      </c>
      <c r="I68" s="402">
        <v>0</v>
      </c>
      <c r="J68" s="402">
        <v>0</v>
      </c>
      <c r="K68" s="402">
        <v>0</v>
      </c>
      <c r="L68" s="402">
        <v>0</v>
      </c>
      <c r="M68" s="402">
        <v>0</v>
      </c>
      <c r="N68" s="402">
        <v>0</v>
      </c>
      <c r="O68" s="404">
        <v>0</v>
      </c>
      <c r="P68" s="403">
        <v>0</v>
      </c>
      <c r="Q68" s="403">
        <v>49956.68</v>
      </c>
      <c r="R68" s="402">
        <v>0</v>
      </c>
      <c r="S68" s="402">
        <v>49956.68</v>
      </c>
      <c r="T68" s="402">
        <v>0</v>
      </c>
      <c r="U68" s="402">
        <v>0</v>
      </c>
      <c r="V68" s="402">
        <v>0</v>
      </c>
      <c r="W68" s="402">
        <v>0</v>
      </c>
      <c r="X68" s="404">
        <v>0</v>
      </c>
      <c r="Y68" s="402">
        <v>0</v>
      </c>
      <c r="Z68" s="252"/>
      <c r="AA68" s="252"/>
      <c r="AB68" s="403">
        <v>550000</v>
      </c>
      <c r="AC68" s="384"/>
      <c r="AD68" s="384"/>
      <c r="AE68" s="385"/>
      <c r="AF68" s="386"/>
      <c r="AH68" s="407">
        <f>AB68-H68</f>
        <v>500043.32</v>
      </c>
    </row>
    <row r="69" spans="2:34" x14ac:dyDescent="0.25">
      <c r="B69" s="252" t="s">
        <v>547</v>
      </c>
      <c r="C69" s="401" t="s">
        <v>841</v>
      </c>
      <c r="D69" s="402">
        <v>0</v>
      </c>
      <c r="E69" s="402"/>
      <c r="F69" s="403">
        <v>0</v>
      </c>
      <c r="G69" s="403">
        <v>-49440</v>
      </c>
      <c r="H69" s="403">
        <v>49440</v>
      </c>
      <c r="I69" s="402">
        <v>0</v>
      </c>
      <c r="J69" s="402">
        <v>49440</v>
      </c>
      <c r="K69" s="402">
        <v>0</v>
      </c>
      <c r="L69" s="402">
        <v>0</v>
      </c>
      <c r="M69" s="402">
        <v>0</v>
      </c>
      <c r="N69" s="402">
        <v>0</v>
      </c>
      <c r="O69" s="404">
        <v>0</v>
      </c>
      <c r="P69" s="403">
        <v>49440</v>
      </c>
      <c r="Q69" s="403">
        <v>0</v>
      </c>
      <c r="R69" s="402">
        <v>0</v>
      </c>
      <c r="S69" s="402">
        <v>0</v>
      </c>
      <c r="T69" s="402">
        <v>0</v>
      </c>
      <c r="U69" s="402">
        <v>0</v>
      </c>
      <c r="V69" s="402">
        <v>0</v>
      </c>
      <c r="W69" s="402">
        <v>0</v>
      </c>
      <c r="X69" s="404">
        <v>0</v>
      </c>
      <c r="Y69" s="402">
        <v>0</v>
      </c>
      <c r="Z69" s="252"/>
      <c r="AA69" s="252"/>
      <c r="AB69" s="403">
        <v>0</v>
      </c>
      <c r="AC69" s="384"/>
      <c r="AD69" s="384"/>
      <c r="AE69" s="385"/>
      <c r="AF69" s="386"/>
      <c r="AH69" s="407">
        <f>AB69-H69</f>
        <v>-49440</v>
      </c>
    </row>
    <row r="70" spans="2:34" x14ac:dyDescent="0.25">
      <c r="B70" s="252" t="s">
        <v>918</v>
      </c>
      <c r="C70" s="401" t="s">
        <v>852</v>
      </c>
      <c r="D70" s="402" t="s">
        <v>476</v>
      </c>
      <c r="E70" s="402"/>
      <c r="F70" s="403">
        <v>275000</v>
      </c>
      <c r="G70" s="403">
        <v>229281.54</v>
      </c>
      <c r="H70" s="403">
        <v>45718.46</v>
      </c>
      <c r="I70" s="402">
        <v>0</v>
      </c>
      <c r="J70" s="402">
        <v>0</v>
      </c>
      <c r="K70" s="402">
        <v>0</v>
      </c>
      <c r="L70" s="402">
        <v>0</v>
      </c>
      <c r="M70" s="402">
        <v>0</v>
      </c>
      <c r="N70" s="402">
        <v>0</v>
      </c>
      <c r="O70" s="404">
        <v>0</v>
      </c>
      <c r="P70" s="403">
        <v>0</v>
      </c>
      <c r="Q70" s="403">
        <v>45718.46</v>
      </c>
      <c r="R70" s="402">
        <v>0</v>
      </c>
      <c r="S70" s="402">
        <v>45718.46</v>
      </c>
      <c r="T70" s="402">
        <v>0</v>
      </c>
      <c r="U70" s="402">
        <v>0</v>
      </c>
      <c r="V70" s="402">
        <v>0</v>
      </c>
      <c r="W70" s="402">
        <v>0</v>
      </c>
      <c r="X70" s="404">
        <v>0</v>
      </c>
      <c r="Y70" s="402">
        <v>0</v>
      </c>
      <c r="Z70" s="252"/>
      <c r="AA70" s="252"/>
      <c r="AB70" s="403">
        <v>275000</v>
      </c>
      <c r="AC70" s="384"/>
      <c r="AD70" s="384"/>
      <c r="AE70" s="385"/>
      <c r="AF70" s="386"/>
      <c r="AH70" s="407">
        <f>AB70-H70</f>
        <v>229281.54</v>
      </c>
    </row>
    <row r="71" spans="2:34" x14ac:dyDescent="0.25">
      <c r="B71" s="252" t="s">
        <v>547</v>
      </c>
      <c r="C71" s="401" t="s">
        <v>89</v>
      </c>
      <c r="D71" s="402" t="s">
        <v>455</v>
      </c>
      <c r="E71" s="402"/>
      <c r="F71" s="403">
        <v>200000</v>
      </c>
      <c r="G71" s="403">
        <v>155081</v>
      </c>
      <c r="H71" s="403">
        <v>44919</v>
      </c>
      <c r="I71" s="402">
        <v>0</v>
      </c>
      <c r="J71" s="402">
        <v>0</v>
      </c>
      <c r="K71" s="402">
        <v>0</v>
      </c>
      <c r="L71" s="402">
        <v>0</v>
      </c>
      <c r="M71" s="402">
        <v>0</v>
      </c>
      <c r="N71" s="402">
        <v>0</v>
      </c>
      <c r="O71" s="404">
        <v>0</v>
      </c>
      <c r="P71" s="403">
        <v>0</v>
      </c>
      <c r="Q71" s="403">
        <v>44919</v>
      </c>
      <c r="R71" s="402">
        <v>44919</v>
      </c>
      <c r="S71" s="402">
        <v>0</v>
      </c>
      <c r="T71" s="402">
        <v>0</v>
      </c>
      <c r="U71" s="402">
        <v>0</v>
      </c>
      <c r="V71" s="402">
        <v>0</v>
      </c>
      <c r="W71" s="402">
        <v>0</v>
      </c>
      <c r="X71" s="404">
        <v>0</v>
      </c>
      <c r="Y71" s="402">
        <v>0</v>
      </c>
      <c r="Z71" s="252"/>
      <c r="AA71" s="252"/>
      <c r="AB71" s="403">
        <v>200000</v>
      </c>
      <c r="AC71" s="384"/>
      <c r="AD71" s="384"/>
      <c r="AE71" s="385"/>
      <c r="AF71" s="386"/>
      <c r="AH71" s="407">
        <f>AB71-H71</f>
        <v>155081</v>
      </c>
    </row>
    <row r="72" spans="2:34" x14ac:dyDescent="0.25">
      <c r="B72" s="252" t="s">
        <v>547</v>
      </c>
      <c r="C72" s="401" t="s">
        <v>418</v>
      </c>
      <c r="D72" s="402" t="s">
        <v>455</v>
      </c>
      <c r="E72" s="402"/>
      <c r="F72" s="403">
        <v>2000000</v>
      </c>
      <c r="G72" s="403">
        <v>1955637</v>
      </c>
      <c r="H72" s="403">
        <v>44363</v>
      </c>
      <c r="I72" s="402">
        <v>0</v>
      </c>
      <c r="J72" s="402">
        <v>0</v>
      </c>
      <c r="K72" s="402">
        <v>0</v>
      </c>
      <c r="L72" s="402">
        <v>0</v>
      </c>
      <c r="M72" s="402">
        <v>0</v>
      </c>
      <c r="N72" s="402">
        <v>0</v>
      </c>
      <c r="O72" s="404">
        <v>0</v>
      </c>
      <c r="P72" s="403">
        <v>0</v>
      </c>
      <c r="Q72" s="403">
        <v>44363</v>
      </c>
      <c r="R72" s="402">
        <v>44363</v>
      </c>
      <c r="S72" s="402">
        <v>0</v>
      </c>
      <c r="T72" s="402">
        <v>0</v>
      </c>
      <c r="U72" s="402">
        <v>0</v>
      </c>
      <c r="V72" s="402">
        <v>0</v>
      </c>
      <c r="W72" s="402">
        <v>0</v>
      </c>
      <c r="X72" s="404">
        <v>0</v>
      </c>
      <c r="Y72" s="402">
        <v>0</v>
      </c>
      <c r="Z72" s="252"/>
      <c r="AA72" s="252"/>
      <c r="AB72" s="403">
        <v>2000000</v>
      </c>
      <c r="AC72" s="384"/>
      <c r="AD72" s="384"/>
      <c r="AE72" s="385"/>
      <c r="AF72" s="386"/>
      <c r="AH72" s="407">
        <f>AB72-H72</f>
        <v>1955637</v>
      </c>
    </row>
    <row r="73" spans="2:34" x14ac:dyDescent="0.25">
      <c r="B73" s="252" t="s">
        <v>918</v>
      </c>
      <c r="C73" s="401" t="s">
        <v>360</v>
      </c>
      <c r="D73" s="402" t="s">
        <v>455</v>
      </c>
      <c r="E73" s="402"/>
      <c r="F73" s="403">
        <v>1100000</v>
      </c>
      <c r="G73" s="403">
        <v>1059982.3600000001</v>
      </c>
      <c r="H73" s="403">
        <v>40017.64</v>
      </c>
      <c r="I73" s="402">
        <v>0</v>
      </c>
      <c r="J73" s="402">
        <v>0</v>
      </c>
      <c r="K73" s="402">
        <v>0</v>
      </c>
      <c r="L73" s="402">
        <v>0</v>
      </c>
      <c r="M73" s="402">
        <v>0</v>
      </c>
      <c r="N73" s="402">
        <v>0</v>
      </c>
      <c r="O73" s="404">
        <v>0</v>
      </c>
      <c r="P73" s="403">
        <v>0</v>
      </c>
      <c r="Q73" s="403">
        <v>40017.64</v>
      </c>
      <c r="R73" s="402">
        <v>40017.64</v>
      </c>
      <c r="S73" s="402">
        <v>0</v>
      </c>
      <c r="T73" s="402">
        <v>0</v>
      </c>
      <c r="U73" s="402">
        <v>0</v>
      </c>
      <c r="V73" s="402">
        <v>0</v>
      </c>
      <c r="W73" s="402">
        <v>0</v>
      </c>
      <c r="X73" s="404">
        <v>0</v>
      </c>
      <c r="Y73" s="402">
        <v>0</v>
      </c>
      <c r="Z73" s="252"/>
      <c r="AA73" s="252"/>
      <c r="AB73" s="403">
        <v>1100000</v>
      </c>
      <c r="AC73" s="384"/>
      <c r="AD73" s="384"/>
      <c r="AE73" s="385"/>
      <c r="AF73" s="386"/>
      <c r="AH73" s="407">
        <f>AB73-H73</f>
        <v>1059982.3600000001</v>
      </c>
    </row>
    <row r="74" spans="2:34" x14ac:dyDescent="0.25">
      <c r="B74" s="252" t="s">
        <v>547</v>
      </c>
      <c r="C74" s="401" t="s">
        <v>493</v>
      </c>
      <c r="D74" s="402">
        <v>0</v>
      </c>
      <c r="E74" s="402"/>
      <c r="F74" s="403">
        <v>500000</v>
      </c>
      <c r="G74" s="403">
        <v>473710</v>
      </c>
      <c r="H74" s="403">
        <v>26290</v>
      </c>
      <c r="I74" s="402">
        <v>0</v>
      </c>
      <c r="J74" s="402">
        <v>0</v>
      </c>
      <c r="K74" s="402">
        <v>0</v>
      </c>
      <c r="L74" s="402">
        <v>0</v>
      </c>
      <c r="M74" s="402">
        <v>0</v>
      </c>
      <c r="N74" s="402">
        <v>0</v>
      </c>
      <c r="O74" s="404">
        <v>0</v>
      </c>
      <c r="P74" s="403">
        <v>0</v>
      </c>
      <c r="Q74" s="403">
        <v>26290</v>
      </c>
      <c r="R74" s="402">
        <v>956</v>
      </c>
      <c r="S74" s="402">
        <v>25334</v>
      </c>
      <c r="T74" s="402">
        <v>0</v>
      </c>
      <c r="U74" s="402">
        <v>0</v>
      </c>
      <c r="V74" s="402">
        <v>0</v>
      </c>
      <c r="W74" s="402">
        <v>0</v>
      </c>
      <c r="X74" s="404">
        <v>0</v>
      </c>
      <c r="Y74" s="402">
        <v>0</v>
      </c>
      <c r="Z74" s="252"/>
      <c r="AA74" s="252"/>
      <c r="AB74" s="403">
        <v>0</v>
      </c>
      <c r="AC74" s="384"/>
      <c r="AD74" s="384"/>
      <c r="AE74" s="385"/>
      <c r="AF74" s="386"/>
      <c r="AH74" s="407">
        <f>AB74-H74</f>
        <v>-26290</v>
      </c>
    </row>
    <row r="75" spans="2:34" x14ac:dyDescent="0.25">
      <c r="B75" s="251" t="s">
        <v>926</v>
      </c>
      <c r="C75" s="393" t="s">
        <v>91</v>
      </c>
      <c r="D75" s="402">
        <v>0</v>
      </c>
      <c r="E75" s="402"/>
      <c r="F75" s="400">
        <v>0</v>
      </c>
      <c r="G75" s="400">
        <v>-20940</v>
      </c>
      <c r="H75" s="400">
        <v>20940</v>
      </c>
      <c r="I75" s="402">
        <v>0</v>
      </c>
      <c r="J75" s="402">
        <v>0</v>
      </c>
      <c r="K75" s="402">
        <v>0</v>
      </c>
      <c r="L75" s="402">
        <v>0</v>
      </c>
      <c r="M75" s="402">
        <v>0</v>
      </c>
      <c r="N75" s="402">
        <v>0</v>
      </c>
      <c r="O75" s="404">
        <v>20940</v>
      </c>
      <c r="P75" s="400">
        <v>20940</v>
      </c>
      <c r="Q75" s="400">
        <v>0</v>
      </c>
      <c r="R75" s="402">
        <v>0</v>
      </c>
      <c r="S75" s="402">
        <v>0</v>
      </c>
      <c r="T75" s="402">
        <v>0</v>
      </c>
      <c r="U75" s="402">
        <v>0</v>
      </c>
      <c r="V75" s="402">
        <v>0</v>
      </c>
      <c r="W75" s="402">
        <v>0</v>
      </c>
      <c r="X75" s="404">
        <v>0</v>
      </c>
      <c r="Y75" s="402">
        <v>20940</v>
      </c>
      <c r="Z75" s="251"/>
      <c r="AA75" s="251"/>
      <c r="AB75" s="400">
        <v>0</v>
      </c>
      <c r="AC75" s="384"/>
      <c r="AD75" s="384"/>
      <c r="AE75" s="385"/>
      <c r="AF75" s="386"/>
      <c r="AH75" s="407">
        <f>AB75-H75</f>
        <v>-20940</v>
      </c>
    </row>
    <row r="76" spans="2:34" x14ac:dyDescent="0.25">
      <c r="B76" s="252" t="s">
        <v>342</v>
      </c>
      <c r="C76" s="401" t="s">
        <v>671</v>
      </c>
      <c r="D76" s="402" t="s">
        <v>455</v>
      </c>
      <c r="E76" s="402">
        <v>180</v>
      </c>
      <c r="F76" s="403">
        <v>1200000</v>
      </c>
      <c r="G76" s="403">
        <v>1179474.2</v>
      </c>
      <c r="H76" s="403">
        <v>20525.8</v>
      </c>
      <c r="I76" s="402">
        <v>0</v>
      </c>
      <c r="J76" s="402">
        <v>0</v>
      </c>
      <c r="K76" s="402">
        <v>0</v>
      </c>
      <c r="L76" s="402">
        <v>0</v>
      </c>
      <c r="M76" s="402">
        <v>0</v>
      </c>
      <c r="N76" s="402">
        <v>0</v>
      </c>
      <c r="O76" s="404">
        <v>0</v>
      </c>
      <c r="P76" s="403">
        <v>0</v>
      </c>
      <c r="Q76" s="403">
        <v>20525.8</v>
      </c>
      <c r="R76" s="402">
        <v>20525.8</v>
      </c>
      <c r="S76" s="402">
        <v>0</v>
      </c>
      <c r="T76" s="402">
        <v>0</v>
      </c>
      <c r="U76" s="402">
        <v>0</v>
      </c>
      <c r="V76" s="402">
        <v>0</v>
      </c>
      <c r="W76" s="402">
        <v>0</v>
      </c>
      <c r="X76" s="404">
        <v>0</v>
      </c>
      <c r="Y76" s="402">
        <v>0</v>
      </c>
      <c r="Z76" s="252"/>
      <c r="AA76" s="252"/>
      <c r="AB76" s="403">
        <v>500000</v>
      </c>
      <c r="AC76" s="384"/>
      <c r="AD76" s="384"/>
      <c r="AE76" s="385"/>
      <c r="AF76" s="386"/>
      <c r="AH76" s="407">
        <f>AB76-H76</f>
        <v>479474.2</v>
      </c>
    </row>
    <row r="77" spans="2:34" x14ac:dyDescent="0.25">
      <c r="B77" s="252" t="s">
        <v>918</v>
      </c>
      <c r="C77" s="401" t="s">
        <v>438</v>
      </c>
      <c r="D77" s="402" t="s">
        <v>455</v>
      </c>
      <c r="E77" s="402"/>
      <c r="F77" s="403">
        <v>275000</v>
      </c>
      <c r="G77" s="403">
        <v>260451.65</v>
      </c>
      <c r="H77" s="403">
        <v>14548.35</v>
      </c>
      <c r="I77" s="402">
        <v>0</v>
      </c>
      <c r="J77" s="402">
        <v>0</v>
      </c>
      <c r="K77" s="402">
        <v>0</v>
      </c>
      <c r="L77" s="402">
        <v>14548.35</v>
      </c>
      <c r="M77" s="402">
        <v>0</v>
      </c>
      <c r="N77" s="402">
        <v>0</v>
      </c>
      <c r="O77" s="404">
        <v>0</v>
      </c>
      <c r="P77" s="403">
        <v>14548.35</v>
      </c>
      <c r="Q77" s="403">
        <v>0</v>
      </c>
      <c r="R77" s="402">
        <v>0</v>
      </c>
      <c r="S77" s="402">
        <v>0</v>
      </c>
      <c r="T77" s="402">
        <v>0</v>
      </c>
      <c r="U77" s="402">
        <v>0</v>
      </c>
      <c r="V77" s="402">
        <v>0</v>
      </c>
      <c r="W77" s="402">
        <v>0</v>
      </c>
      <c r="X77" s="404">
        <v>0</v>
      </c>
      <c r="Y77" s="402">
        <v>0</v>
      </c>
      <c r="Z77" s="252"/>
      <c r="AA77" s="252"/>
      <c r="AB77" s="403">
        <v>275000</v>
      </c>
      <c r="AC77" s="384"/>
      <c r="AD77" s="384"/>
      <c r="AE77" s="385"/>
      <c r="AF77" s="386"/>
      <c r="AH77" s="407">
        <f>AB77-H77</f>
        <v>260451.65</v>
      </c>
    </row>
    <row r="78" spans="2:34" x14ac:dyDescent="0.25">
      <c r="B78" s="252" t="s">
        <v>342</v>
      </c>
      <c r="C78" s="401" t="s">
        <v>426</v>
      </c>
      <c r="D78" s="402" t="s">
        <v>455</v>
      </c>
      <c r="E78" s="402">
        <v>360</v>
      </c>
      <c r="F78" s="403">
        <v>700000</v>
      </c>
      <c r="G78" s="403">
        <v>694969.5</v>
      </c>
      <c r="H78" s="403">
        <v>5030.5</v>
      </c>
      <c r="I78" s="402">
        <v>0</v>
      </c>
      <c r="J78" s="402">
        <v>0</v>
      </c>
      <c r="K78" s="402">
        <v>0</v>
      </c>
      <c r="L78" s="402">
        <v>0</v>
      </c>
      <c r="M78" s="402">
        <v>0</v>
      </c>
      <c r="N78" s="402">
        <v>0</v>
      </c>
      <c r="O78" s="404">
        <v>0</v>
      </c>
      <c r="P78" s="403">
        <v>0</v>
      </c>
      <c r="Q78" s="403">
        <v>5030.5</v>
      </c>
      <c r="R78" s="402">
        <v>0</v>
      </c>
      <c r="S78" s="402">
        <v>0</v>
      </c>
      <c r="T78" s="402">
        <v>0</v>
      </c>
      <c r="U78" s="402">
        <v>5030.5</v>
      </c>
      <c r="V78" s="402">
        <v>0</v>
      </c>
      <c r="W78" s="402">
        <v>0</v>
      </c>
      <c r="X78" s="404">
        <v>0</v>
      </c>
      <c r="Y78" s="402">
        <v>0</v>
      </c>
      <c r="Z78" s="252"/>
      <c r="AA78" s="252"/>
      <c r="AB78" s="403">
        <v>700000</v>
      </c>
      <c r="AC78" s="384"/>
      <c r="AD78" s="384"/>
      <c r="AE78" s="385"/>
      <c r="AF78" s="386"/>
      <c r="AH78" s="407">
        <f>AB78-H78</f>
        <v>694969.5</v>
      </c>
    </row>
    <row r="79" spans="2:34" x14ac:dyDescent="0.25">
      <c r="B79" s="252" t="s">
        <v>918</v>
      </c>
      <c r="C79" s="401" t="s">
        <v>679</v>
      </c>
      <c r="D79" s="402">
        <v>0</v>
      </c>
      <c r="E79" s="402"/>
      <c r="F79" s="403">
        <v>0</v>
      </c>
      <c r="G79" s="403">
        <v>-1380.52</v>
      </c>
      <c r="H79" s="403">
        <v>1380.52</v>
      </c>
      <c r="I79" s="402">
        <v>0</v>
      </c>
      <c r="J79" s="402">
        <v>0</v>
      </c>
      <c r="K79" s="402">
        <v>0</v>
      </c>
      <c r="L79" s="402">
        <v>0</v>
      </c>
      <c r="M79" s="402">
        <v>0</v>
      </c>
      <c r="N79" s="402">
        <v>527.28</v>
      </c>
      <c r="O79" s="404">
        <v>0</v>
      </c>
      <c r="P79" s="403">
        <v>527.28</v>
      </c>
      <c r="Q79" s="403">
        <v>853.24</v>
      </c>
      <c r="R79" s="402">
        <v>853.24</v>
      </c>
      <c r="S79" s="402">
        <v>0</v>
      </c>
      <c r="T79" s="402">
        <v>0</v>
      </c>
      <c r="U79" s="402">
        <v>0</v>
      </c>
      <c r="V79" s="402">
        <v>0</v>
      </c>
      <c r="W79" s="402">
        <v>0</v>
      </c>
      <c r="X79" s="404">
        <v>0</v>
      </c>
      <c r="Y79" s="402">
        <v>15.818399999999999</v>
      </c>
      <c r="Z79" s="252"/>
      <c r="AA79" s="252"/>
      <c r="AB79" s="403">
        <v>0</v>
      </c>
      <c r="AC79" s="384"/>
      <c r="AD79" s="384"/>
      <c r="AE79" s="385"/>
      <c r="AF79" s="386"/>
      <c r="AH79" s="407">
        <f>AB79-H79</f>
        <v>-1380.52</v>
      </c>
    </row>
    <row r="80" spans="2:34" x14ac:dyDescent="0.25">
      <c r="B80" s="252" t="s">
        <v>547</v>
      </c>
      <c r="C80" s="401" t="s">
        <v>875</v>
      </c>
      <c r="D80" s="402">
        <v>0</v>
      </c>
      <c r="E80" s="402"/>
      <c r="F80" s="403">
        <v>0</v>
      </c>
      <c r="G80" s="403">
        <v>-662</v>
      </c>
      <c r="H80" s="403">
        <v>662</v>
      </c>
      <c r="I80" s="402">
        <v>0</v>
      </c>
      <c r="J80" s="402">
        <v>0</v>
      </c>
      <c r="K80" s="402">
        <v>0</v>
      </c>
      <c r="L80" s="402">
        <v>0</v>
      </c>
      <c r="M80" s="402">
        <v>0</v>
      </c>
      <c r="N80" s="402">
        <v>0</v>
      </c>
      <c r="O80" s="404">
        <v>0</v>
      </c>
      <c r="P80" s="403">
        <v>0</v>
      </c>
      <c r="Q80" s="403">
        <v>662</v>
      </c>
      <c r="R80" s="402">
        <v>331</v>
      </c>
      <c r="S80" s="402">
        <v>331</v>
      </c>
      <c r="T80" s="402">
        <v>0</v>
      </c>
      <c r="U80" s="402">
        <v>0</v>
      </c>
      <c r="V80" s="402">
        <v>0</v>
      </c>
      <c r="W80" s="402">
        <v>0</v>
      </c>
      <c r="X80" s="404">
        <v>0</v>
      </c>
      <c r="Y80" s="402">
        <v>0</v>
      </c>
      <c r="Z80" s="252"/>
      <c r="AA80" s="252"/>
      <c r="AB80" s="403">
        <v>0</v>
      </c>
      <c r="AC80" s="384"/>
      <c r="AD80" s="384"/>
      <c r="AE80" s="385"/>
      <c r="AF80" s="386"/>
      <c r="AH80" s="407">
        <f>AB80-H80</f>
        <v>-662</v>
      </c>
    </row>
    <row r="81" spans="2:34" x14ac:dyDescent="0.25">
      <c r="B81" s="252" t="s">
        <v>547</v>
      </c>
      <c r="C81" s="401" t="s">
        <v>854</v>
      </c>
      <c r="D81" s="402">
        <v>0</v>
      </c>
      <c r="E81" s="402"/>
      <c r="F81" s="403">
        <v>0</v>
      </c>
      <c r="G81" s="403">
        <v>-583.34</v>
      </c>
      <c r="H81" s="403">
        <v>583.34</v>
      </c>
      <c r="I81" s="402">
        <v>0</v>
      </c>
      <c r="J81" s="402">
        <v>0</v>
      </c>
      <c r="K81" s="402">
        <v>0</v>
      </c>
      <c r="L81" s="402">
        <v>0</v>
      </c>
      <c r="M81" s="402">
        <v>0</v>
      </c>
      <c r="N81" s="402">
        <v>0</v>
      </c>
      <c r="O81" s="404">
        <v>0</v>
      </c>
      <c r="P81" s="403">
        <v>0</v>
      </c>
      <c r="Q81" s="403">
        <v>583.34</v>
      </c>
      <c r="R81" s="402">
        <v>583.34</v>
      </c>
      <c r="S81" s="402">
        <v>0</v>
      </c>
      <c r="T81" s="402">
        <v>0</v>
      </c>
      <c r="U81" s="402">
        <v>0</v>
      </c>
      <c r="V81" s="402">
        <v>0</v>
      </c>
      <c r="W81" s="402">
        <v>0</v>
      </c>
      <c r="X81" s="404">
        <v>0</v>
      </c>
      <c r="Y81" s="402">
        <v>0</v>
      </c>
      <c r="Z81" s="252"/>
      <c r="AA81" s="252"/>
      <c r="AB81" s="403">
        <v>0</v>
      </c>
      <c r="AC81" s="384"/>
      <c r="AD81" s="384"/>
      <c r="AE81" s="385"/>
      <c r="AF81" s="386"/>
      <c r="AH81" s="407">
        <f>AB81-H81</f>
        <v>-583.34</v>
      </c>
    </row>
    <row r="82" spans="2:34" x14ac:dyDescent="0.25">
      <c r="B82" s="252" t="s">
        <v>547</v>
      </c>
      <c r="C82" s="401" t="s">
        <v>383</v>
      </c>
      <c r="D82" s="402">
        <v>0</v>
      </c>
      <c r="E82" s="402"/>
      <c r="F82" s="403">
        <v>0</v>
      </c>
      <c r="G82" s="403">
        <v>-300</v>
      </c>
      <c r="H82" s="403">
        <v>300</v>
      </c>
      <c r="I82" s="402">
        <v>0</v>
      </c>
      <c r="J82" s="402">
        <v>0</v>
      </c>
      <c r="K82" s="402">
        <v>0</v>
      </c>
      <c r="L82" s="402">
        <v>0</v>
      </c>
      <c r="M82" s="402">
        <v>0</v>
      </c>
      <c r="N82" s="402">
        <v>0</v>
      </c>
      <c r="O82" s="404">
        <v>300</v>
      </c>
      <c r="P82" s="403">
        <v>300</v>
      </c>
      <c r="Q82" s="403">
        <v>0</v>
      </c>
      <c r="R82" s="402">
        <v>0</v>
      </c>
      <c r="S82" s="402">
        <v>0</v>
      </c>
      <c r="T82" s="402">
        <v>0</v>
      </c>
      <c r="U82" s="402">
        <v>0</v>
      </c>
      <c r="V82" s="402">
        <v>0</v>
      </c>
      <c r="W82" s="402">
        <v>0</v>
      </c>
      <c r="X82" s="404">
        <v>0</v>
      </c>
      <c r="Y82" s="402">
        <v>300</v>
      </c>
      <c r="Z82" s="252"/>
      <c r="AA82" s="252"/>
      <c r="AB82" s="403">
        <v>0</v>
      </c>
      <c r="AC82" s="384"/>
      <c r="AD82" s="384"/>
      <c r="AE82" s="385"/>
      <c r="AF82" s="386"/>
      <c r="AH82" s="407">
        <f>AB82-H82</f>
        <v>-300</v>
      </c>
    </row>
    <row r="83" spans="2:34" x14ac:dyDescent="0.25">
      <c r="B83" s="252" t="s">
        <v>547</v>
      </c>
      <c r="C83" s="401" t="s">
        <v>814</v>
      </c>
      <c r="D83" s="402">
        <v>0</v>
      </c>
      <c r="E83" s="402"/>
      <c r="F83" s="403">
        <v>0</v>
      </c>
      <c r="G83" s="403">
        <v>-292.08</v>
      </c>
      <c r="H83" s="403">
        <v>292.08</v>
      </c>
      <c r="I83" s="402">
        <v>0</v>
      </c>
      <c r="J83" s="402">
        <v>0</v>
      </c>
      <c r="K83" s="402">
        <v>0</v>
      </c>
      <c r="L83" s="402">
        <v>0</v>
      </c>
      <c r="M83" s="402">
        <v>0</v>
      </c>
      <c r="N83" s="402">
        <v>0</v>
      </c>
      <c r="O83" s="404">
        <v>0</v>
      </c>
      <c r="P83" s="403">
        <v>0</v>
      </c>
      <c r="Q83" s="403">
        <v>292.08</v>
      </c>
      <c r="R83" s="402">
        <v>292.08</v>
      </c>
      <c r="S83" s="402">
        <v>0</v>
      </c>
      <c r="T83" s="402">
        <v>0</v>
      </c>
      <c r="U83" s="402">
        <v>0</v>
      </c>
      <c r="V83" s="402">
        <v>0</v>
      </c>
      <c r="W83" s="402">
        <v>0</v>
      </c>
      <c r="X83" s="404">
        <v>0</v>
      </c>
      <c r="Y83" s="402">
        <v>0</v>
      </c>
      <c r="Z83" s="252"/>
      <c r="AA83" s="252"/>
      <c r="AB83" s="403">
        <v>0</v>
      </c>
      <c r="AC83" s="384"/>
      <c r="AD83" s="384"/>
      <c r="AE83" s="385"/>
      <c r="AF83" s="386"/>
      <c r="AH83" s="407">
        <f>AB83-H83</f>
        <v>-292.08</v>
      </c>
    </row>
    <row r="84" spans="2:34" x14ac:dyDescent="0.25">
      <c r="B84" s="252" t="s">
        <v>547</v>
      </c>
      <c r="C84" s="401" t="s">
        <v>265</v>
      </c>
      <c r="D84" s="402">
        <v>0</v>
      </c>
      <c r="E84" s="402"/>
      <c r="F84" s="403">
        <v>0</v>
      </c>
      <c r="G84" s="403">
        <v>-100</v>
      </c>
      <c r="H84" s="403">
        <v>100</v>
      </c>
      <c r="I84" s="402">
        <v>0</v>
      </c>
      <c r="J84" s="402">
        <v>0</v>
      </c>
      <c r="K84" s="402">
        <v>0</v>
      </c>
      <c r="L84" s="402">
        <v>0</v>
      </c>
      <c r="M84" s="402">
        <v>0</v>
      </c>
      <c r="N84" s="402">
        <v>0</v>
      </c>
      <c r="O84" s="404">
        <v>100</v>
      </c>
      <c r="P84" s="403">
        <v>100</v>
      </c>
      <c r="Q84" s="403">
        <v>0</v>
      </c>
      <c r="R84" s="402">
        <v>0</v>
      </c>
      <c r="S84" s="402">
        <v>0</v>
      </c>
      <c r="T84" s="402">
        <v>0</v>
      </c>
      <c r="U84" s="402">
        <v>0</v>
      </c>
      <c r="V84" s="402">
        <v>0</v>
      </c>
      <c r="W84" s="402">
        <v>0</v>
      </c>
      <c r="X84" s="404">
        <v>0</v>
      </c>
      <c r="Y84" s="402">
        <v>100</v>
      </c>
      <c r="Z84" s="252"/>
      <c r="AA84" s="252"/>
      <c r="AB84" s="403">
        <v>0</v>
      </c>
      <c r="AC84" s="384"/>
      <c r="AD84" s="384"/>
      <c r="AE84" s="385"/>
      <c r="AF84" s="386"/>
      <c r="AH84" s="407">
        <f>AB84-H84</f>
        <v>-100</v>
      </c>
    </row>
    <row r="85" spans="2:34" x14ac:dyDescent="0.25">
      <c r="B85" s="252" t="s">
        <v>547</v>
      </c>
      <c r="C85" s="401" t="s">
        <v>537</v>
      </c>
      <c r="D85" s="402">
        <v>0</v>
      </c>
      <c r="E85" s="402"/>
      <c r="F85" s="403">
        <v>0</v>
      </c>
      <c r="G85" s="403">
        <v>-100</v>
      </c>
      <c r="H85" s="403">
        <v>100</v>
      </c>
      <c r="I85" s="402">
        <v>100</v>
      </c>
      <c r="J85" s="402">
        <v>0</v>
      </c>
      <c r="K85" s="402">
        <v>0</v>
      </c>
      <c r="L85" s="402">
        <v>0</v>
      </c>
      <c r="M85" s="402">
        <v>0</v>
      </c>
      <c r="N85" s="402">
        <v>0</v>
      </c>
      <c r="O85" s="404">
        <v>0</v>
      </c>
      <c r="P85" s="403">
        <v>100</v>
      </c>
      <c r="Q85" s="403">
        <v>0</v>
      </c>
      <c r="R85" s="402">
        <v>0</v>
      </c>
      <c r="S85" s="402">
        <v>0</v>
      </c>
      <c r="T85" s="402">
        <v>0</v>
      </c>
      <c r="U85" s="402">
        <v>0</v>
      </c>
      <c r="V85" s="402">
        <v>0</v>
      </c>
      <c r="W85" s="402">
        <v>0</v>
      </c>
      <c r="X85" s="404">
        <v>0</v>
      </c>
      <c r="Y85" s="402">
        <v>0</v>
      </c>
      <c r="Z85" s="252"/>
      <c r="AA85" s="252"/>
      <c r="AB85" s="403">
        <v>0</v>
      </c>
      <c r="AC85" s="384"/>
      <c r="AD85" s="384"/>
      <c r="AE85" s="385"/>
      <c r="AF85" s="386"/>
      <c r="AH85" s="407">
        <f>AB85-H85</f>
        <v>-100</v>
      </c>
    </row>
    <row r="86" spans="2:34" x14ac:dyDescent="0.25">
      <c r="B86" s="252" t="s">
        <v>547</v>
      </c>
      <c r="C86" s="401" t="s">
        <v>309</v>
      </c>
      <c r="D86" s="402">
        <v>0</v>
      </c>
      <c r="E86" s="402"/>
      <c r="F86" s="403">
        <v>0</v>
      </c>
      <c r="G86" s="403">
        <v>-50</v>
      </c>
      <c r="H86" s="403">
        <v>50</v>
      </c>
      <c r="I86" s="402">
        <v>0</v>
      </c>
      <c r="J86" s="402">
        <v>0</v>
      </c>
      <c r="K86" s="402">
        <v>0</v>
      </c>
      <c r="L86" s="402">
        <v>0</v>
      </c>
      <c r="M86" s="402">
        <v>0</v>
      </c>
      <c r="N86" s="402">
        <v>0</v>
      </c>
      <c r="O86" s="404">
        <v>50</v>
      </c>
      <c r="P86" s="403">
        <v>50</v>
      </c>
      <c r="Q86" s="403">
        <v>0</v>
      </c>
      <c r="R86" s="402">
        <v>0</v>
      </c>
      <c r="S86" s="402">
        <v>0</v>
      </c>
      <c r="T86" s="402">
        <v>0</v>
      </c>
      <c r="U86" s="402">
        <v>0</v>
      </c>
      <c r="V86" s="402">
        <v>0</v>
      </c>
      <c r="W86" s="402">
        <v>0</v>
      </c>
      <c r="X86" s="404">
        <v>0</v>
      </c>
      <c r="Y86" s="402">
        <v>50</v>
      </c>
      <c r="Z86" s="252"/>
      <c r="AA86" s="252"/>
      <c r="AB86" s="403">
        <v>0</v>
      </c>
      <c r="AC86" s="384"/>
      <c r="AD86" s="384"/>
      <c r="AE86" s="385"/>
      <c r="AF86" s="386"/>
      <c r="AH86" s="407">
        <f>AB86-H86</f>
        <v>-50</v>
      </c>
    </row>
  </sheetData>
  <autoFilter ref="A3:AL86" xr:uid="{F5FB43B8-1ECE-4FE7-8241-98814406AEA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3D16-0A7E-44A7-8B76-8E2842027ED7}">
  <dimension ref="B1:M49"/>
  <sheetViews>
    <sheetView workbookViewId="0">
      <selection activeCell="E41" sqref="E41"/>
    </sheetView>
  </sheetViews>
  <sheetFormatPr defaultRowHeight="13.2" x14ac:dyDescent="0.25"/>
  <cols>
    <col min="2" max="2" width="9.6640625" bestFit="1" customWidth="1"/>
    <col min="3" max="3" width="43.6640625" customWidth="1"/>
    <col min="4" max="4" width="15.44140625" bestFit="1" customWidth="1"/>
    <col min="5" max="5" width="13.88671875" bestFit="1" customWidth="1"/>
    <col min="6" max="6" width="16" bestFit="1" customWidth="1"/>
    <col min="7" max="7" width="2.33203125" customWidth="1"/>
    <col min="8" max="8" width="15.44140625" bestFit="1" customWidth="1"/>
    <col min="9" max="9" width="13.88671875" bestFit="1" customWidth="1"/>
    <col min="10" max="10" width="16" bestFit="1" customWidth="1"/>
    <col min="11" max="11" width="63.5546875" customWidth="1"/>
    <col min="13" max="13" width="9.44140625" bestFit="1" customWidth="1"/>
  </cols>
  <sheetData>
    <row r="1" spans="2:13" ht="14.4" x14ac:dyDescent="0.3">
      <c r="D1" s="366"/>
      <c r="E1" s="366" t="s">
        <v>825</v>
      </c>
      <c r="F1" s="366"/>
      <c r="H1" s="366"/>
      <c r="I1" s="366" t="s">
        <v>824</v>
      </c>
      <c r="J1" s="366"/>
    </row>
    <row r="2" spans="2:13" x14ac:dyDescent="0.25">
      <c r="B2" s="367"/>
      <c r="C2" s="368"/>
      <c r="D2" s="369">
        <f>SUBTOTAL(9,D4:D27)</f>
        <v>19842082.280000005</v>
      </c>
      <c r="E2" s="369">
        <f>SUBTOTAL(9,E4:E27)</f>
        <v>3794382.76</v>
      </c>
      <c r="F2" s="369">
        <f>SUBTOTAL(9,F4:F27)</f>
        <v>16047699.52</v>
      </c>
      <c r="H2" s="369" t="e">
        <f>SUBTOTAL(9,H4:H27)</f>
        <v>#N/A</v>
      </c>
      <c r="I2" s="369" t="e">
        <f>SUBTOTAL(9,I4:I27)</f>
        <v>#N/A</v>
      </c>
      <c r="J2" s="369" t="e">
        <f>SUBTOTAL(9,J4:J27)</f>
        <v>#N/A</v>
      </c>
    </row>
    <row r="3" spans="2:13" ht="13.8" x14ac:dyDescent="0.25">
      <c r="B3" s="289" t="s">
        <v>339</v>
      </c>
      <c r="C3" s="289" t="s">
        <v>22</v>
      </c>
      <c r="D3" s="370" t="s">
        <v>17</v>
      </c>
      <c r="E3" s="371" t="s">
        <v>27</v>
      </c>
      <c r="F3" s="371" t="s">
        <v>8</v>
      </c>
      <c r="H3" s="370" t="s">
        <v>17</v>
      </c>
      <c r="I3" s="371" t="s">
        <v>27</v>
      </c>
      <c r="J3" s="371" t="s">
        <v>8</v>
      </c>
      <c r="K3" s="371" t="s">
        <v>796</v>
      </c>
    </row>
    <row r="4" spans="2:13" x14ac:dyDescent="0.25">
      <c r="B4" s="328" t="s">
        <v>547</v>
      </c>
      <c r="C4" s="329" t="s">
        <v>500</v>
      </c>
      <c r="D4" s="330">
        <v>5370037.1899999995</v>
      </c>
      <c r="E4" s="298">
        <v>16818.920000000002</v>
      </c>
      <c r="F4" s="298">
        <v>5353218.2699999996</v>
      </c>
      <c r="H4" s="330">
        <f>_xlfn.XLOOKUP(C4,'Clientes Consolidado'!$C$4:$C$86,'Clientes Consolidado'!$H$4:$H$86)</f>
        <v>3871241.14</v>
      </c>
      <c r="I4" s="330">
        <f>_xlfn.XLOOKUP(C4,'Clientes Consolidado'!$C$4:$C$86,'Clientes Consolidado'!$P$4:$P$86)</f>
        <v>16818.920000000002</v>
      </c>
      <c r="J4" s="301">
        <f>_xlfn.XLOOKUP(C4,'Clientes Consolidado'!$C$4:$C$86,'Clientes Consolidado'!$Q$4:$Q$86)</f>
        <v>3854422.22</v>
      </c>
      <c r="K4" s="331"/>
      <c r="M4" s="320"/>
    </row>
    <row r="5" spans="2:13" x14ac:dyDescent="0.25">
      <c r="B5" s="332" t="s">
        <v>547</v>
      </c>
      <c r="C5" s="299" t="s">
        <v>420</v>
      </c>
      <c r="D5" s="300">
        <v>3979397.8099999996</v>
      </c>
      <c r="E5" s="301">
        <v>5626.32</v>
      </c>
      <c r="F5" s="301">
        <v>3973771.4899999998</v>
      </c>
      <c r="H5" s="300">
        <f>_xlfn.XLOOKUP(C5,'Clientes Consolidado'!$C$4:$C$86,'Clientes Consolidado'!$H$4:$H$86)</f>
        <v>3957383.11</v>
      </c>
      <c r="I5" s="300">
        <f>_xlfn.XLOOKUP(C5,'Clientes Consolidado'!$C$4:$C$86,'Clientes Consolidado'!$P$4:$P$86)</f>
        <v>5626.32</v>
      </c>
      <c r="J5" s="301">
        <f>_xlfn.XLOOKUP(C5,'Clientes Consolidado'!$C$4:$C$86,'Clientes Consolidado'!$Q$4:$Q$86)</f>
        <v>3951756.79</v>
      </c>
      <c r="K5" s="333"/>
    </row>
    <row r="6" spans="2:13" x14ac:dyDescent="0.25">
      <c r="B6" s="332" t="s">
        <v>547</v>
      </c>
      <c r="C6" t="s">
        <v>30</v>
      </c>
      <c r="D6" s="300">
        <v>690300</v>
      </c>
      <c r="E6" s="301">
        <v>0</v>
      </c>
      <c r="F6" s="301">
        <v>690300</v>
      </c>
      <c r="H6" s="300">
        <f>_xlfn.XLOOKUP(C6,'Clientes Consolidado'!$C$4:$C$86,'Clientes Consolidado'!$H$4:$H$86)</f>
        <v>523627.50000000006</v>
      </c>
      <c r="I6" s="300">
        <f>_xlfn.XLOOKUP(C6,'Clientes Consolidado'!$C$4:$C$86,'Clientes Consolidado'!$P$4:$P$86)</f>
        <v>0</v>
      </c>
      <c r="J6" s="301">
        <f>_xlfn.XLOOKUP(C6,'Clientes Consolidado'!$C$4:$C$86,'Clientes Consolidado'!$Q$4:$Q$86)</f>
        <v>523627.50000000006</v>
      </c>
      <c r="K6" s="333"/>
    </row>
    <row r="7" spans="2:13" ht="14.4" x14ac:dyDescent="0.25">
      <c r="B7" s="334" t="s">
        <v>547</v>
      </c>
      <c r="C7" s="357" t="s">
        <v>530</v>
      </c>
      <c r="D7" s="358">
        <v>520371.3</v>
      </c>
      <c r="E7" s="302">
        <v>220406.5</v>
      </c>
      <c r="F7" s="302">
        <v>299964.79999999999</v>
      </c>
      <c r="H7" s="359">
        <f>_xlfn.XLOOKUP(C7,'Clientes Consolidado'!$C$4:$C$86,'Clientes Consolidado'!$H$4:$H$86)</f>
        <v>248897.61</v>
      </c>
      <c r="I7" s="364">
        <f>_xlfn.XLOOKUP(C7,'Clientes Consolidado'!$C$4:$C$86,'Clientes Consolidado'!$P$4:$P$86)</f>
        <v>0</v>
      </c>
      <c r="J7" s="378">
        <f>_xlfn.XLOOKUP(C7,'Clientes Consolidado'!$C$4:$C$86,'Clientes Consolidado'!$Q$4:$Q$86)</f>
        <v>248897.61</v>
      </c>
      <c r="K7" s="379"/>
    </row>
    <row r="8" spans="2:13" ht="14.4" x14ac:dyDescent="0.25">
      <c r="B8" s="334" t="s">
        <v>547</v>
      </c>
      <c r="C8" s="357" t="s">
        <v>120</v>
      </c>
      <c r="D8" s="358">
        <v>618802.80000000005</v>
      </c>
      <c r="E8" s="302">
        <v>149216.4</v>
      </c>
      <c r="F8" s="302">
        <v>469586.4</v>
      </c>
      <c r="H8" s="359">
        <f>_xlfn.XLOOKUP(C8,'Clientes Consolidado'!$C$4:$C$86,'Clientes Consolidado'!$H$4:$H$86)</f>
        <v>793811.7</v>
      </c>
      <c r="I8" s="364">
        <f>_xlfn.XLOOKUP(C8,'Clientes Consolidado'!$C$4:$C$86,'Clientes Consolidado'!$P$4:$P$86)</f>
        <v>153506.1</v>
      </c>
      <c r="J8" s="378">
        <f>_xlfn.XLOOKUP(C8,'Clientes Consolidado'!$C$4:$C$86,'Clientes Consolidado'!$Q$4:$Q$86)</f>
        <v>640305.6</v>
      </c>
      <c r="K8" s="379"/>
    </row>
    <row r="9" spans="2:13" ht="14.4" x14ac:dyDescent="0.25">
      <c r="B9" s="334" t="s">
        <v>547</v>
      </c>
      <c r="C9" s="357" t="s">
        <v>532</v>
      </c>
      <c r="D9" s="358">
        <v>1682538.8</v>
      </c>
      <c r="E9" s="302">
        <v>0</v>
      </c>
      <c r="F9" s="358">
        <v>1682538.8</v>
      </c>
      <c r="H9" s="359">
        <f>_xlfn.XLOOKUP(C9,'Clientes Consolidado'!$C$4:$C$86,'Clientes Consolidado'!$H$4:$H$86)</f>
        <v>509079.6</v>
      </c>
      <c r="I9" s="364">
        <f>_xlfn.XLOOKUP(C9,'Clientes Consolidado'!$C$4:$C$86,'Clientes Consolidado'!$P$4:$P$86)</f>
        <v>0</v>
      </c>
      <c r="J9" s="378">
        <f>_xlfn.XLOOKUP(C9,'Clientes Consolidado'!$C$4:$C$86,'Clientes Consolidado'!$Q$4:$Q$86)</f>
        <v>509079.6</v>
      </c>
      <c r="K9" s="379"/>
    </row>
    <row r="10" spans="2:13" x14ac:dyDescent="0.25">
      <c r="B10" s="335" t="s">
        <v>547</v>
      </c>
      <c r="C10" s="327" t="s">
        <v>53</v>
      </c>
      <c r="D10" s="326">
        <v>226233.60000000001</v>
      </c>
      <c r="E10" s="303">
        <v>226233.60000000001</v>
      </c>
      <c r="F10" s="303">
        <v>0</v>
      </c>
      <c r="H10" s="360">
        <f>_xlfn.XLOOKUP(C10,'Clientes Consolidado'!$C$4:$C$86,'Clientes Consolidado'!$H$4:$H$86)</f>
        <v>226233.60000000001</v>
      </c>
      <c r="I10" s="326">
        <f>_xlfn.XLOOKUP(C10,'Clientes Consolidado'!$C$4:$C$86,'Clientes Consolidado'!$P$4:$P$86)</f>
        <v>226233.60000000001</v>
      </c>
      <c r="J10" s="303">
        <f>_xlfn.XLOOKUP(C10,'Clientes Consolidado'!$C$4:$C$86,'Clientes Consolidado'!$Q$4:$Q$86)</f>
        <v>0</v>
      </c>
      <c r="K10" s="336"/>
    </row>
    <row r="11" spans="2:13" x14ac:dyDescent="0.25">
      <c r="B11" s="335" t="s">
        <v>547</v>
      </c>
      <c r="C11" s="327" t="s">
        <v>294</v>
      </c>
      <c r="D11" s="326">
        <v>213750</v>
      </c>
      <c r="E11" s="303">
        <v>213750</v>
      </c>
      <c r="F11" s="303">
        <v>0</v>
      </c>
      <c r="H11" s="360">
        <f>_xlfn.XLOOKUP(C11,'Clientes Consolidado'!$C$4:$C$86,'Clientes Consolidado'!$H$4:$H$86)</f>
        <v>213750</v>
      </c>
      <c r="I11" s="326">
        <f>_xlfn.XLOOKUP(C11,'Clientes Consolidado'!$C$4:$C$86,'Clientes Consolidado'!$P$4:$P$86)</f>
        <v>213750</v>
      </c>
      <c r="J11" s="303">
        <f>_xlfn.XLOOKUP(C11,'Clientes Consolidado'!$C$4:$C$86,'Clientes Consolidado'!$Q$4:$Q$86)</f>
        <v>0</v>
      </c>
      <c r="K11" s="336"/>
    </row>
    <row r="12" spans="2:13" x14ac:dyDescent="0.25">
      <c r="B12" s="332" t="s">
        <v>547</v>
      </c>
      <c r="C12" s="304" t="s">
        <v>658</v>
      </c>
      <c r="D12" s="356">
        <v>103960.4</v>
      </c>
      <c r="E12" s="305">
        <v>3393</v>
      </c>
      <c r="F12" s="305">
        <v>100567.4</v>
      </c>
      <c r="H12" s="361" t="e">
        <f>_xlfn.XLOOKUP(C12,'Clientes Consolidado'!$C$4:$C$86,'Clientes Consolidado'!$H$4:$H$86)</f>
        <v>#N/A</v>
      </c>
      <c r="I12" s="300" t="e">
        <f>_xlfn.XLOOKUP(C12,'Clientes Consolidado'!$C$4:$C$86,'Clientes Consolidado'!$P$4:$P$86)</f>
        <v>#N/A</v>
      </c>
      <c r="J12" s="301" t="e">
        <f>_xlfn.XLOOKUP(C12,'Clientes Consolidado'!$C$4:$C$86,'Clientes Consolidado'!$Q$4:$Q$86)</f>
        <v>#N/A</v>
      </c>
      <c r="K12" s="333"/>
    </row>
    <row r="13" spans="2:13" x14ac:dyDescent="0.25">
      <c r="B13" s="332" t="s">
        <v>547</v>
      </c>
      <c r="C13" s="299" t="s">
        <v>91</v>
      </c>
      <c r="D13" s="300">
        <v>20940</v>
      </c>
      <c r="E13" s="301">
        <v>20940</v>
      </c>
      <c r="F13" s="301">
        <v>0</v>
      </c>
      <c r="H13" s="361">
        <f>_xlfn.XLOOKUP(C13,'Clientes Consolidado'!$C$4:$C$86,'Clientes Consolidado'!$H$4:$H$86)</f>
        <v>20940</v>
      </c>
      <c r="I13" s="300">
        <f>_xlfn.XLOOKUP(C13,'Clientes Consolidado'!$C$4:$C$86,'Clientes Consolidado'!$P$4:$P$86)</f>
        <v>20940</v>
      </c>
      <c r="J13" s="301">
        <f>_xlfn.XLOOKUP(C13,'Clientes Consolidado'!$C$4:$C$86,'Clientes Consolidado'!$Q$4:$Q$86)</f>
        <v>0</v>
      </c>
      <c r="K13" s="333"/>
    </row>
    <row r="14" spans="2:13" x14ac:dyDescent="0.25">
      <c r="B14" s="332" t="s">
        <v>547</v>
      </c>
      <c r="C14" s="299" t="s">
        <v>383</v>
      </c>
      <c r="D14" s="300">
        <v>300</v>
      </c>
      <c r="E14" s="301">
        <v>300</v>
      </c>
      <c r="F14" s="301">
        <v>0</v>
      </c>
      <c r="H14" s="361">
        <f>_xlfn.XLOOKUP(C14,'Clientes Consolidado'!$C$4:$C$86,'Clientes Consolidado'!$H$4:$H$86)</f>
        <v>300</v>
      </c>
      <c r="I14" s="300">
        <f>_xlfn.XLOOKUP(C14,'Clientes Consolidado'!$C$4:$C$86,'Clientes Consolidado'!$P$4:$P$86)</f>
        <v>300</v>
      </c>
      <c r="J14" s="301">
        <f>_xlfn.XLOOKUP(C14,'Clientes Consolidado'!$C$4:$C$86,'Clientes Consolidado'!$Q$4:$Q$86)</f>
        <v>0</v>
      </c>
      <c r="K14" s="333"/>
    </row>
    <row r="15" spans="2:13" x14ac:dyDescent="0.25">
      <c r="B15" s="332" t="s">
        <v>547</v>
      </c>
      <c r="C15" s="299" t="s">
        <v>265</v>
      </c>
      <c r="D15" s="300">
        <v>100</v>
      </c>
      <c r="E15" s="301">
        <v>100</v>
      </c>
      <c r="F15" s="301">
        <v>0</v>
      </c>
      <c r="H15" s="361">
        <f>_xlfn.XLOOKUP(C15,'Clientes Consolidado'!$C$4:$C$86,'Clientes Consolidado'!$H$4:$H$86)</f>
        <v>100</v>
      </c>
      <c r="I15" s="300">
        <f>_xlfn.XLOOKUP(C15,'Clientes Consolidado'!$C$4:$C$86,'Clientes Consolidado'!$P$4:$P$86)</f>
        <v>100</v>
      </c>
      <c r="J15" s="301">
        <f>_xlfn.XLOOKUP(C15,'Clientes Consolidado'!$C$4:$C$86,'Clientes Consolidado'!$Q$4:$Q$86)</f>
        <v>0</v>
      </c>
      <c r="K15" s="333"/>
    </row>
    <row r="16" spans="2:13" x14ac:dyDescent="0.25">
      <c r="B16" s="332" t="s">
        <v>547</v>
      </c>
      <c r="C16" s="304" t="s">
        <v>309</v>
      </c>
      <c r="D16" s="356">
        <v>50</v>
      </c>
      <c r="E16" s="305">
        <v>50</v>
      </c>
      <c r="F16" s="305">
        <v>0</v>
      </c>
      <c r="H16" s="361">
        <f>_xlfn.XLOOKUP(C16,'Clientes Consolidado'!$C$4:$C$86,'Clientes Consolidado'!$H$4:$H$86)</f>
        <v>50</v>
      </c>
      <c r="I16" s="300">
        <f>_xlfn.XLOOKUP(C16,'Clientes Consolidado'!$C$4:$C$86,'Clientes Consolidado'!$P$4:$P$86)</f>
        <v>50</v>
      </c>
      <c r="J16" s="301">
        <f>_xlfn.XLOOKUP(C16,'Clientes Consolidado'!$C$4:$C$86,'Clientes Consolidado'!$Q$4:$Q$86)</f>
        <v>0</v>
      </c>
      <c r="K16" s="333"/>
    </row>
    <row r="17" spans="2:11" x14ac:dyDescent="0.25">
      <c r="B17" s="339" t="s">
        <v>342</v>
      </c>
      <c r="C17" s="340" t="s">
        <v>270</v>
      </c>
      <c r="D17" s="341">
        <v>988506.24</v>
      </c>
      <c r="E17" s="306">
        <v>988506.24</v>
      </c>
      <c r="F17" s="306">
        <v>0</v>
      </c>
      <c r="H17" s="365">
        <f>_xlfn.XLOOKUP(C17,'Clientes Consolidado'!$C$4:$C$86,'Clientes Consolidado'!$H$4:$H$86)</f>
        <v>988506.24</v>
      </c>
      <c r="I17" s="341">
        <f>_xlfn.XLOOKUP(C17,'Clientes Consolidado'!$C$4:$C$86,'Clientes Consolidado'!$P$4:$P$86)</f>
        <v>988506.24</v>
      </c>
      <c r="J17" s="306">
        <f>_xlfn.XLOOKUP(C17,'Clientes Consolidado'!$C$4:$C$86,'Clientes Consolidado'!$Q$4:$Q$86)</f>
        <v>0</v>
      </c>
      <c r="K17" s="342"/>
    </row>
    <row r="18" spans="2:11" x14ac:dyDescent="0.25">
      <c r="B18" s="332" t="s">
        <v>342</v>
      </c>
      <c r="C18" s="299" t="s">
        <v>424</v>
      </c>
      <c r="D18" s="300">
        <v>659074</v>
      </c>
      <c r="E18" s="301">
        <v>659074</v>
      </c>
      <c r="F18" s="301">
        <v>0</v>
      </c>
      <c r="H18" s="361" t="e">
        <f>_xlfn.XLOOKUP(C18,'Clientes Consolidado'!$C$4:$C$86,'Clientes Consolidado'!$H$4:$H$86)</f>
        <v>#N/A</v>
      </c>
      <c r="I18" s="300" t="e">
        <f>_xlfn.XLOOKUP(C18,'Clientes Consolidado'!$C$4:$C$86,'Clientes Consolidado'!$P$4:$P$86)</f>
        <v>#N/A</v>
      </c>
      <c r="J18" s="301" t="e">
        <f>_xlfn.XLOOKUP(C18,'Clientes Consolidado'!$C$4:$C$86,'Clientes Consolidado'!$Q$4:$Q$86)</f>
        <v>#N/A</v>
      </c>
      <c r="K18" s="333"/>
    </row>
    <row r="19" spans="2:11" x14ac:dyDescent="0.25">
      <c r="B19" s="337" t="s">
        <v>342</v>
      </c>
      <c r="C19" s="343" t="s">
        <v>83</v>
      </c>
      <c r="D19" s="344">
        <v>2357440.4499999997</v>
      </c>
      <c r="E19" s="307">
        <v>0</v>
      </c>
      <c r="F19" s="307">
        <v>2357440.4499999997</v>
      </c>
      <c r="H19" s="362">
        <f>_xlfn.XLOOKUP(C19,'Clientes Consolidado'!$C$4:$C$86,'Clientes Consolidado'!$H$4:$H$86)</f>
        <v>734953.47</v>
      </c>
      <c r="I19" s="344">
        <f>_xlfn.XLOOKUP(C19,'Clientes Consolidado'!$C$4:$C$86,'Clientes Consolidado'!$P$4:$P$86)</f>
        <v>0</v>
      </c>
      <c r="J19" s="307">
        <f>_xlfn.XLOOKUP(C19,'Clientes Consolidado'!$C$4:$C$86,'Clientes Consolidado'!$Q$4:$Q$86)</f>
        <v>734953.47</v>
      </c>
      <c r="K19" s="338"/>
    </row>
    <row r="20" spans="2:11" ht="20.399999999999999" customHeight="1" x14ac:dyDescent="0.25">
      <c r="B20" s="345" t="s">
        <v>526</v>
      </c>
      <c r="C20" s="346" t="s">
        <v>622</v>
      </c>
      <c r="D20" s="347">
        <v>89211.36</v>
      </c>
      <c r="E20" s="308">
        <v>89211.36</v>
      </c>
      <c r="F20" s="308">
        <v>0</v>
      </c>
      <c r="H20" s="359" t="e">
        <f>_xlfn.XLOOKUP(C20,'Clientes Consolidado'!$C$4:$C$86,'Clientes Consolidado'!$H$4:$H$86)</f>
        <v>#N/A</v>
      </c>
      <c r="I20" s="364" t="e">
        <f>_xlfn.XLOOKUP(C20,'Clientes Consolidado'!$C$4:$C$86,'Clientes Consolidado'!$P$4:$P$86)</f>
        <v>#N/A</v>
      </c>
      <c r="J20" s="378" t="e">
        <f>_xlfn.XLOOKUP(C20,'Clientes Consolidado'!$C$4:$C$86,'Clientes Consolidado'!$Q$4:$Q$86)</f>
        <v>#N/A</v>
      </c>
      <c r="K20" s="348"/>
    </row>
    <row r="21" spans="2:11" x14ac:dyDescent="0.25">
      <c r="B21" s="349" t="s">
        <v>526</v>
      </c>
      <c r="C21" s="380" t="s">
        <v>374</v>
      </c>
      <c r="D21" s="381">
        <v>845708.19</v>
      </c>
      <c r="E21" s="309">
        <v>420567.82</v>
      </c>
      <c r="F21" s="309">
        <v>425140.37</v>
      </c>
      <c r="H21" s="359" t="e">
        <f>_xlfn.XLOOKUP(C21,'Clientes Consolidado'!$C$4:$C$86,'Clientes Consolidado'!$H$4:$H$86)</f>
        <v>#N/A</v>
      </c>
      <c r="I21" s="364" t="e">
        <f>_xlfn.XLOOKUP(C21,'Clientes Consolidado'!$C$4:$C$86,'Clientes Consolidado'!$P$4:$P$86)</f>
        <v>#N/A</v>
      </c>
      <c r="J21" s="378" t="e">
        <f>_xlfn.XLOOKUP(C21,'Clientes Consolidado'!$C$4:$C$86,'Clientes Consolidado'!$Q$4:$Q$86)</f>
        <v>#N/A</v>
      </c>
      <c r="K21" s="350"/>
    </row>
    <row r="22" spans="2:11" x14ac:dyDescent="0.25">
      <c r="B22" s="349" t="s">
        <v>526</v>
      </c>
      <c r="C22" s="380" t="s">
        <v>128</v>
      </c>
      <c r="D22" s="381">
        <v>449507.68999999994</v>
      </c>
      <c r="E22" s="309">
        <v>449507.68999999994</v>
      </c>
      <c r="F22" s="309">
        <v>0</v>
      </c>
      <c r="H22" s="359">
        <f>_xlfn.XLOOKUP(C22,'Clientes Consolidado'!$C$4:$C$86,'Clientes Consolidado'!$H$4:$H$86)</f>
        <v>449507.68999999994</v>
      </c>
      <c r="I22" s="364">
        <f>_xlfn.XLOOKUP(C22,'Clientes Consolidado'!$C$4:$C$86,'Clientes Consolidado'!$P$4:$P$86)</f>
        <v>449507.68999999994</v>
      </c>
      <c r="J22" s="378">
        <f>_xlfn.XLOOKUP(C22,'Clientes Consolidado'!$C$4:$C$86,'Clientes Consolidado'!$Q$4:$Q$86)</f>
        <v>0</v>
      </c>
      <c r="K22" s="350"/>
    </row>
    <row r="23" spans="2:11" x14ac:dyDescent="0.25">
      <c r="B23" s="349" t="s">
        <v>526</v>
      </c>
      <c r="C23" s="380" t="s">
        <v>295</v>
      </c>
      <c r="D23" s="381">
        <v>510177.36</v>
      </c>
      <c r="E23" s="309">
        <v>0</v>
      </c>
      <c r="F23" s="309">
        <v>510177.36</v>
      </c>
      <c r="H23" s="359">
        <f>_xlfn.XLOOKUP(C23,'Clientes Consolidado'!$C$4:$C$86,'Clientes Consolidado'!$H$4:$H$86)</f>
        <v>350009.44999999995</v>
      </c>
      <c r="I23" s="364">
        <f>_xlfn.XLOOKUP(C23,'Clientes Consolidado'!$C$4:$C$86,'Clientes Consolidado'!$P$4:$P$86)</f>
        <v>0</v>
      </c>
      <c r="J23" s="378">
        <f>_xlfn.XLOOKUP(C23,'Clientes Consolidado'!$C$4:$C$86,'Clientes Consolidado'!$Q$4:$Q$86)</f>
        <v>350009.44999999995</v>
      </c>
      <c r="K23" s="350"/>
    </row>
    <row r="24" spans="2:11" x14ac:dyDescent="0.25">
      <c r="B24" s="349" t="s">
        <v>526</v>
      </c>
      <c r="C24" s="380" t="s">
        <v>666</v>
      </c>
      <c r="D24" s="381">
        <v>237744.12</v>
      </c>
      <c r="E24" s="309">
        <v>237744.12</v>
      </c>
      <c r="F24" s="309">
        <v>0</v>
      </c>
      <c r="H24" s="359" t="e">
        <f>_xlfn.XLOOKUP(C24,'Clientes Consolidado'!$C$4:$C$86,'Clientes Consolidado'!$H$4:$H$86)</f>
        <v>#N/A</v>
      </c>
      <c r="I24" s="364" t="e">
        <f>_xlfn.XLOOKUP(C24,'Clientes Consolidado'!$C$4:$C$86,'Clientes Consolidado'!$P$4:$P$86)</f>
        <v>#N/A</v>
      </c>
      <c r="J24" s="378" t="e">
        <f>_xlfn.XLOOKUP(C24,'Clientes Consolidado'!$C$4:$C$86,'Clientes Consolidado'!$Q$4:$Q$86)</f>
        <v>#N/A</v>
      </c>
      <c r="K24" s="350"/>
    </row>
    <row r="25" spans="2:11" x14ac:dyDescent="0.25">
      <c r="B25" s="349" t="s">
        <v>526</v>
      </c>
      <c r="C25" s="380" t="s">
        <v>491</v>
      </c>
      <c r="D25" s="381">
        <v>63312.81</v>
      </c>
      <c r="E25" s="309">
        <v>63312.81</v>
      </c>
      <c r="F25" s="309">
        <v>0</v>
      </c>
      <c r="H25" s="359" t="e">
        <f>_xlfn.XLOOKUP(C25,'Clientes Consolidado'!$C$4:$C$86,'Clientes Consolidado'!$H$4:$H$86)</f>
        <v>#N/A</v>
      </c>
      <c r="I25" s="364" t="e">
        <f>_xlfn.XLOOKUP(C25,'Clientes Consolidado'!$C$4:$C$86,'Clientes Consolidado'!$P$4:$P$86)</f>
        <v>#N/A</v>
      </c>
      <c r="J25" s="378" t="e">
        <f>_xlfn.XLOOKUP(C25,'Clientes Consolidado'!$C$4:$C$86,'Clientes Consolidado'!$Q$4:$Q$86)</f>
        <v>#N/A</v>
      </c>
      <c r="K25" s="351"/>
    </row>
    <row r="26" spans="2:11" x14ac:dyDescent="0.25">
      <c r="B26" s="349" t="s">
        <v>526</v>
      </c>
      <c r="C26" s="380" t="s">
        <v>438</v>
      </c>
      <c r="D26" s="381">
        <v>29096.7</v>
      </c>
      <c r="E26" s="309">
        <v>29096.7</v>
      </c>
      <c r="F26" s="309">
        <v>0</v>
      </c>
      <c r="H26" s="359">
        <f>_xlfn.XLOOKUP(C26,'Clientes Consolidado'!$C$4:$C$86,'Clientes Consolidado'!$H$4:$H$86)</f>
        <v>14548.35</v>
      </c>
      <c r="I26" s="364">
        <f>_xlfn.XLOOKUP(C26,'Clientes Consolidado'!$C$4:$C$86,'Clientes Consolidado'!$P$4:$P$86)</f>
        <v>14548.35</v>
      </c>
      <c r="J26" s="378">
        <f>_xlfn.XLOOKUP(C26,'Clientes Consolidado'!$C$4:$C$86,'Clientes Consolidado'!$Q$4:$Q$86)</f>
        <v>0</v>
      </c>
      <c r="K26" s="350"/>
    </row>
    <row r="27" spans="2:11" x14ac:dyDescent="0.25">
      <c r="B27" s="352" t="s">
        <v>526</v>
      </c>
      <c r="C27" s="353" t="s">
        <v>679</v>
      </c>
      <c r="D27" s="354">
        <v>185521.46</v>
      </c>
      <c r="E27" s="310">
        <v>527.28</v>
      </c>
      <c r="F27" s="310">
        <v>184994.18</v>
      </c>
      <c r="H27" s="363">
        <f>_xlfn.XLOOKUP(C27,'Clientes Consolidado'!$C$4:$C$86,'Clientes Consolidado'!$H$4:$H$86)</f>
        <v>1380.52</v>
      </c>
      <c r="I27" s="372">
        <f>_xlfn.XLOOKUP(C27,'Clientes Consolidado'!$C$4:$C$86,'Clientes Consolidado'!$P$4:$P$86)</f>
        <v>527.28</v>
      </c>
      <c r="J27" s="382">
        <f>_xlfn.XLOOKUP(C27,'Clientes Consolidado'!$C$4:$C$86,'Clientes Consolidado'!$Q$4:$Q$86)</f>
        <v>853.24</v>
      </c>
      <c r="K27" s="355"/>
    </row>
    <row r="28" spans="2:11" x14ac:dyDescent="0.25">
      <c r="B28" s="304"/>
      <c r="C28" s="299"/>
      <c r="D28" s="300"/>
      <c r="E28" s="301"/>
      <c r="F28" s="301"/>
      <c r="H28" s="300"/>
      <c r="I28" s="301"/>
      <c r="J28" s="301"/>
      <c r="K28" s="311"/>
    </row>
    <row r="29" spans="2:11" ht="14.4" thickBot="1" x14ac:dyDescent="0.3">
      <c r="B29" s="438" t="s">
        <v>339</v>
      </c>
      <c r="C29" s="438"/>
      <c r="D29" s="312" t="s">
        <v>17</v>
      </c>
      <c r="E29" s="313" t="s">
        <v>27</v>
      </c>
      <c r="F29" s="313" t="s">
        <v>8</v>
      </c>
      <c r="H29" s="312" t="s">
        <v>17</v>
      </c>
      <c r="I29" s="313" t="s">
        <v>27</v>
      </c>
      <c r="J29" s="313" t="s">
        <v>8</v>
      </c>
      <c r="K29" s="311"/>
    </row>
    <row r="30" spans="2:11" x14ac:dyDescent="0.25">
      <c r="B30" s="439" t="s">
        <v>547</v>
      </c>
      <c r="C30" s="439"/>
      <c r="D30" s="36">
        <f>SUM(D4:D16)</f>
        <v>13426781.900000002</v>
      </c>
      <c r="E30" s="36">
        <f>SUM(E4:E16)</f>
        <v>856834.74</v>
      </c>
      <c r="F30" s="36">
        <f>SUM(F4:F16)</f>
        <v>12569947.160000002</v>
      </c>
      <c r="H30" s="36" t="e">
        <f>SUM(H4:H16)</f>
        <v>#N/A</v>
      </c>
      <c r="I30" s="36" t="e">
        <f>SUM(I4:I16)</f>
        <v>#N/A</v>
      </c>
      <c r="J30" s="36" t="e">
        <f>SUM(J4:J16)</f>
        <v>#N/A</v>
      </c>
      <c r="K30" s="311"/>
    </row>
    <row r="31" spans="2:11" x14ac:dyDescent="0.25">
      <c r="B31" s="440" t="s">
        <v>342</v>
      </c>
      <c r="C31" s="440"/>
      <c r="D31" s="36">
        <f>+SUM(D17:D19)</f>
        <v>4005020.6899999995</v>
      </c>
      <c r="E31" s="36">
        <f>+SUM(E17:E19)</f>
        <v>1647580.24</v>
      </c>
      <c r="F31" s="36">
        <f>+SUM(F17:F19)</f>
        <v>2357440.4499999997</v>
      </c>
      <c r="H31" s="36" t="e">
        <f>+SUM(H17:H19)</f>
        <v>#N/A</v>
      </c>
      <c r="I31" s="36" t="e">
        <f>+SUM(I17:I19)</f>
        <v>#N/A</v>
      </c>
      <c r="J31" s="36" t="e">
        <f>+SUM(J17:J19)</f>
        <v>#N/A</v>
      </c>
      <c r="K31" s="311"/>
    </row>
    <row r="32" spans="2:11" x14ac:dyDescent="0.25">
      <c r="B32" s="440" t="s">
        <v>526</v>
      </c>
      <c r="C32" s="440"/>
      <c r="D32" s="36">
        <f>+SUM(D20:D27)</f>
        <v>2410279.69</v>
      </c>
      <c r="E32" s="36">
        <f>+SUM(E20:E27)</f>
        <v>1289967.7799999998</v>
      </c>
      <c r="F32" s="36">
        <f>+SUM(F20:F27)</f>
        <v>1120311.9099999999</v>
      </c>
      <c r="H32" s="36" t="e">
        <f>+SUM(H20:H27)</f>
        <v>#N/A</v>
      </c>
      <c r="I32" s="36" t="e">
        <f>+SUM(I20:I27)</f>
        <v>#N/A</v>
      </c>
      <c r="J32" s="36" t="e">
        <f>+SUM(J20:J27)</f>
        <v>#N/A</v>
      </c>
      <c r="K32" s="311"/>
    </row>
    <row r="33" spans="2:11" ht="4.95" customHeight="1" x14ac:dyDescent="0.25">
      <c r="K33" s="311"/>
    </row>
    <row r="34" spans="2:11" ht="14.4" x14ac:dyDescent="0.3">
      <c r="B34" s="314" t="s">
        <v>351</v>
      </c>
      <c r="C34" s="315"/>
      <c r="D34" s="316">
        <f>+D32+D31+D30</f>
        <v>19842082.280000001</v>
      </c>
      <c r="E34" s="316">
        <f>+E32+E31+E30</f>
        <v>3794382.76</v>
      </c>
      <c r="F34" s="316">
        <f>+F32+F31+F30</f>
        <v>16047699.520000001</v>
      </c>
      <c r="H34" s="316" t="e">
        <f>+H32+H31+H30</f>
        <v>#N/A</v>
      </c>
      <c r="I34" s="316" t="e">
        <f>+I32+I31+I30</f>
        <v>#N/A</v>
      </c>
      <c r="J34" s="316" t="e">
        <f>+J32+J31+J30</f>
        <v>#N/A</v>
      </c>
    </row>
    <row r="35" spans="2:11" ht="14.4" x14ac:dyDescent="0.3">
      <c r="C35" s="315"/>
      <c r="D35" s="315"/>
      <c r="E35" s="315"/>
      <c r="F35" s="315"/>
      <c r="H35" s="315"/>
      <c r="I35" s="315"/>
      <c r="J35" s="315"/>
    </row>
    <row r="36" spans="2:11" ht="14.4" customHeight="1" x14ac:dyDescent="0.3">
      <c r="B36" s="441" t="s">
        <v>797</v>
      </c>
      <c r="C36" s="441"/>
      <c r="D36" s="441"/>
      <c r="E36" s="316">
        <f>E7+E9+E8</f>
        <v>369622.9</v>
      </c>
      <c r="H36" t="s">
        <v>797</v>
      </c>
      <c r="I36" s="316">
        <f>+I7+I9</f>
        <v>0</v>
      </c>
    </row>
    <row r="37" spans="2:11" ht="14.4" x14ac:dyDescent="0.3">
      <c r="B37" s="441" t="s">
        <v>798</v>
      </c>
      <c r="C37" s="441"/>
      <c r="D37" s="441"/>
      <c r="E37" s="317">
        <f>SUM(E20:E27)</f>
        <v>1289967.7799999998</v>
      </c>
      <c r="H37" t="s">
        <v>798</v>
      </c>
      <c r="I37" s="317" t="e">
        <f>SUM(I20:I27)</f>
        <v>#N/A</v>
      </c>
    </row>
    <row r="38" spans="2:11" ht="14.4" x14ac:dyDescent="0.25">
      <c r="E38" s="318">
        <f>(+E36+E37)/E34</f>
        <v>0.43738093518008703</v>
      </c>
      <c r="F38" s="319" t="s">
        <v>799</v>
      </c>
      <c r="I38" s="318" t="e">
        <f>(+I36+I37)/I34</f>
        <v>#N/A</v>
      </c>
      <c r="J38" s="319" t="s">
        <v>799</v>
      </c>
    </row>
    <row r="40" spans="2:11" ht="14.4" thickBot="1" x14ac:dyDescent="0.3">
      <c r="B40" s="438" t="s">
        <v>339</v>
      </c>
      <c r="C40" s="438"/>
      <c r="D40" s="312" t="s">
        <v>17</v>
      </c>
      <c r="E40" s="313" t="s">
        <v>27</v>
      </c>
      <c r="F40" s="313" t="s">
        <v>8</v>
      </c>
    </row>
    <row r="41" spans="2:11" x14ac:dyDescent="0.25">
      <c r="B41" s="439" t="s">
        <v>547</v>
      </c>
      <c r="C41" s="439"/>
      <c r="D41" s="373" t="e">
        <f>SUM(H4:H16)</f>
        <v>#N/A</v>
      </c>
      <c r="E41" s="373" t="e">
        <f>SUM(I4:I16)</f>
        <v>#N/A</v>
      </c>
      <c r="F41" s="373" t="e">
        <f>SUM(J4:J16)</f>
        <v>#N/A</v>
      </c>
    </row>
    <row r="42" spans="2:11" x14ac:dyDescent="0.25">
      <c r="B42" s="440" t="s">
        <v>342</v>
      </c>
      <c r="C42" s="440"/>
      <c r="D42" s="373" t="e">
        <f>+SUM(H17:H19)</f>
        <v>#N/A</v>
      </c>
      <c r="E42" s="373" t="e">
        <f>+SUM(I17:I19)</f>
        <v>#N/A</v>
      </c>
      <c r="F42" s="373" t="e">
        <f>+SUM(J17:J19)</f>
        <v>#N/A</v>
      </c>
    </row>
    <row r="43" spans="2:11" x14ac:dyDescent="0.25">
      <c r="B43" s="440" t="s">
        <v>526</v>
      </c>
      <c r="C43" s="440"/>
      <c r="D43" s="373" t="e">
        <f>+SUM(H20:H27)</f>
        <v>#N/A</v>
      </c>
      <c r="E43" s="373" t="e">
        <f>+SUM(I20:I27)</f>
        <v>#N/A</v>
      </c>
      <c r="F43" s="373" t="e">
        <f>+SUM(J20:J27)</f>
        <v>#N/A</v>
      </c>
    </row>
    <row r="44" spans="2:11" x14ac:dyDescent="0.25">
      <c r="B44" s="255"/>
      <c r="C44" s="255"/>
      <c r="D44" s="255"/>
      <c r="E44" s="255"/>
      <c r="F44" s="255"/>
    </row>
    <row r="45" spans="2:11" ht="14.4" x14ac:dyDescent="0.3">
      <c r="B45" s="314" t="s">
        <v>351</v>
      </c>
      <c r="C45" s="374"/>
      <c r="D45" s="375" t="e">
        <f>+D43+D42+D41</f>
        <v>#N/A</v>
      </c>
      <c r="E45" s="375" t="e">
        <f>+E43+E42+E41</f>
        <v>#N/A</v>
      </c>
      <c r="F45" s="375" t="e">
        <f>+F43+F42+F41</f>
        <v>#N/A</v>
      </c>
    </row>
    <row r="46" spans="2:11" ht="14.4" x14ac:dyDescent="0.3">
      <c r="B46" s="255"/>
      <c r="C46" s="374"/>
      <c r="D46" s="374"/>
      <c r="E46" s="374"/>
      <c r="F46" s="374"/>
    </row>
    <row r="47" spans="2:11" ht="15" customHeight="1" x14ac:dyDescent="0.3">
      <c r="B47" s="376"/>
      <c r="C47" s="376"/>
      <c r="D47" s="374" t="s">
        <v>797</v>
      </c>
      <c r="E47" s="375">
        <f>I7+I9+I8</f>
        <v>153506.1</v>
      </c>
      <c r="F47" s="255"/>
    </row>
    <row r="48" spans="2:11" ht="15" customHeight="1" x14ac:dyDescent="0.3">
      <c r="B48" s="376"/>
      <c r="C48" s="376"/>
      <c r="D48" s="374" t="s">
        <v>798</v>
      </c>
      <c r="E48" s="377" t="e">
        <f>SUM(I20:I27)</f>
        <v>#N/A</v>
      </c>
      <c r="F48" s="255"/>
    </row>
    <row r="49" spans="2:6" ht="14.4" x14ac:dyDescent="0.25">
      <c r="B49" s="255"/>
      <c r="C49" s="255"/>
      <c r="D49" s="255"/>
      <c r="E49" s="318" t="e">
        <f>(+E47+E48)/E45</f>
        <v>#N/A</v>
      </c>
      <c r="F49" s="319" t="s">
        <v>799</v>
      </c>
    </row>
  </sheetData>
  <mergeCells count="10">
    <mergeCell ref="B42:C42"/>
    <mergeCell ref="B43:C43"/>
    <mergeCell ref="B40:C40"/>
    <mergeCell ref="B36:D36"/>
    <mergeCell ref="B37:D37"/>
    <mergeCell ref="B29:C29"/>
    <mergeCell ref="B30:C30"/>
    <mergeCell ref="B31:C31"/>
    <mergeCell ref="B32:C32"/>
    <mergeCell ref="B41:C41"/>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39"/>
  <sheetViews>
    <sheetView showGridLines="0" zoomScale="80" zoomScaleNormal="80" workbookViewId="0">
      <pane xSplit="14" ySplit="3" topLeftCell="O4" activePane="bottomRight" state="frozen"/>
      <selection activeCell="X86" sqref="X86"/>
      <selection pane="topRight" activeCell="X86" sqref="X86"/>
      <selection pane="bottomLeft" activeCell="X86" sqref="X86"/>
      <selection pane="bottomRight" activeCell="B4" sqref="B4:AA136"/>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7.664062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9"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96">
        <v>46135</v>
      </c>
      <c r="C1" s="11"/>
      <c r="D1" s="11"/>
      <c r="E1" s="11"/>
      <c r="F1" s="11"/>
      <c r="G1" s="9">
        <f t="shared" ref="G1:P1" si="0">SUBTOTAL(9,G4:G101)</f>
        <v>26130016.789999999</v>
      </c>
      <c r="H1" s="115">
        <f t="shared" si="0"/>
        <v>191097.60000000001</v>
      </c>
      <c r="I1" s="9">
        <f t="shared" si="0"/>
        <v>0</v>
      </c>
      <c r="J1" s="9">
        <f t="shared" si="0"/>
        <v>0</v>
      </c>
      <c r="K1" s="9">
        <f t="shared" si="0"/>
        <v>0</v>
      </c>
      <c r="L1" s="9">
        <f t="shared" si="0"/>
        <v>0</v>
      </c>
      <c r="M1" s="9">
        <f t="shared" si="0"/>
        <v>64.2</v>
      </c>
      <c r="N1" s="9">
        <f t="shared" si="0"/>
        <v>483754.64</v>
      </c>
      <c r="O1" s="9">
        <f t="shared" si="0"/>
        <v>674916.44000000006</v>
      </c>
      <c r="P1" s="9">
        <f t="shared" si="0"/>
        <v>25455100.350000001</v>
      </c>
      <c r="Q1" s="9">
        <f t="shared" ref="Q1:W1" si="1">SUM(Q4:Q102)</f>
        <v>11802393.139999997</v>
      </c>
      <c r="R1" s="9">
        <f t="shared" si="1"/>
        <v>9467002.3000000007</v>
      </c>
      <c r="S1" s="9">
        <f t="shared" si="1"/>
        <v>3641384.6999999997</v>
      </c>
      <c r="T1" s="9">
        <f t="shared" si="1"/>
        <v>447550.2</v>
      </c>
      <c r="U1" s="9">
        <f t="shared" si="1"/>
        <v>0</v>
      </c>
      <c r="V1" s="9">
        <f t="shared" si="1"/>
        <v>0</v>
      </c>
      <c r="W1" s="9">
        <f t="shared" si="1"/>
        <v>96770.01</v>
      </c>
      <c r="X1" s="9">
        <f>SUBTOTAL(9,X4:X101)</f>
        <v>628965.47600000002</v>
      </c>
      <c r="Y1" s="10"/>
      <c r="Z1" s="10"/>
      <c r="AA1" s="9">
        <f>SUBTOTAL(9,AA4:AA1048576)</f>
        <v>92737000</v>
      </c>
      <c r="AD1" s="10"/>
      <c r="AE1" s="14"/>
      <c r="AF1" s="10"/>
      <c r="AG1" s="27">
        <f>SUBTOTAL(9,AG4:AG106)</f>
        <v>59616763.209999993</v>
      </c>
      <c r="AH1" s="10"/>
      <c r="AI1" s="233">
        <f>O1/G1</f>
        <v>2.5829162125081056E-2</v>
      </c>
    </row>
    <row r="2" spans="1:39" ht="18.600000000000001" customHeight="1" thickBot="1" x14ac:dyDescent="0.3">
      <c r="B2" s="8"/>
      <c r="C2" s="95"/>
      <c r="D2" s="95"/>
      <c r="E2" s="95"/>
      <c r="F2" s="95"/>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9" t="s">
        <v>482</v>
      </c>
      <c r="AJ2" s="39"/>
      <c r="AK2" s="39"/>
    </row>
    <row r="3" spans="1:39" ht="15"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298</v>
      </c>
      <c r="Y3" s="6" t="s">
        <v>225</v>
      </c>
      <c r="Z3" s="6" t="s">
        <v>225</v>
      </c>
      <c r="AA3" s="12" t="s">
        <v>480</v>
      </c>
      <c r="AB3" s="12" t="s">
        <v>486</v>
      </c>
      <c r="AC3" s="13" t="s">
        <v>20</v>
      </c>
      <c r="AD3" s="13" t="s">
        <v>19</v>
      </c>
      <c r="AE3" s="15" t="s">
        <v>23</v>
      </c>
      <c r="AF3" s="6" t="s">
        <v>225</v>
      </c>
      <c r="AG3" s="37" t="s">
        <v>481</v>
      </c>
      <c r="AH3" s="6" t="s">
        <v>225</v>
      </c>
      <c r="AI3" s="112" t="s">
        <v>483</v>
      </c>
      <c r="AJ3" s="113" t="s">
        <v>484</v>
      </c>
      <c r="AK3" s="113" t="s">
        <v>485</v>
      </c>
    </row>
    <row r="4" spans="1:39" ht="15.75" customHeight="1" thickTop="1" x14ac:dyDescent="0.25">
      <c r="B4" s="41" t="s">
        <v>500</v>
      </c>
      <c r="C4" s="224">
        <f>IFERROR(_xlfn.XLOOKUP(B4,'Limite de crédito'!C:C,'Limite de crédito'!L:L,),0)</f>
        <v>0</v>
      </c>
      <c r="D4" s="93"/>
      <c r="E4" s="18">
        <f>_xlfn.XLOOKUP(B4,'Limite de crédito'!C:C,'Limite de crédito'!G:G,0)</f>
        <v>20000000</v>
      </c>
      <c r="F4" s="18">
        <f>E4-G4</f>
        <v>16128758.859999999</v>
      </c>
      <c r="G4" s="18">
        <f>P4+O4</f>
        <v>3871241.14</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0</v>
      </c>
      <c r="M4" s="19">
        <f>SUMIFS('Data Additive'!$D:$D,'Data Additive'!$P:$P,'Painel Additive'!$B4,'Data Additive'!$Q:$Q,"&gt;180",'Data Additive'!$Q:$Q,"&lt;=360")</f>
        <v>64.2</v>
      </c>
      <c r="N4" s="23">
        <f>SUMIFS('Data Additive'!$D:$D,'Data Additive'!$P:$P,'Painel Additive'!$B4,'Data Additive'!$Q:$Q,"&gt;360")</f>
        <v>16754.72</v>
      </c>
      <c r="O4" s="122">
        <f>SUMIFS('Data Additive'!$D:$D,'Data Additive'!$P:$P,'Painel Additive'!$B4,'Data Additive'!$Q:$Q,"&gt;0")</f>
        <v>16818.920000000002</v>
      </c>
      <c r="P4" s="19">
        <f>SUM(Q4:W4)</f>
        <v>3854422.22</v>
      </c>
      <c r="Q4" s="19">
        <f>SUMIFS('Data Additive'!$D:$D,'Data Additive'!$P:$P,'Painel Additive'!$B4,'Data Additive'!$Q:$Q,"&lt;=0",'Data Additive'!$Q:$Q,"&gt;=-30")</f>
        <v>1696548.62</v>
      </c>
      <c r="R4" s="19">
        <f>SUMIFS('Data Additive'!$D:$D,'Data Additive'!$P:$P,'Painel Additive'!$B4,'Data Additive'!$Q:$Q,"&lt;=-31",'Data Additive'!$Q:$Q,"&gt;=-60")</f>
        <v>1268599.2000000002</v>
      </c>
      <c r="S4" s="19">
        <f>SUMIFS('Data Additive'!$D:$D,'Data Additive'!$P:$P,'Painel Additive'!$B4,'Data Additive'!$Q:$Q,"&lt;=-61",'Data Additive'!$Q:$Q,"&gt;=-90")</f>
        <v>852594.6</v>
      </c>
      <c r="T4" s="19">
        <f>SUMIFS('Data Additive'!$D:$D,'Data Additive'!$P:$P,'Painel Additive'!$B4,'Data Additive'!$Q:$Q,"&lt;=-91",'Data Additive'!$Q:$Q,"&gt;=-120")</f>
        <v>36679.800000000003</v>
      </c>
      <c r="U4" s="19">
        <f>SUMIFS('Data Additive'!$D:$D,'Data Additive'!$P:$P,'Painel Additive'!$B4,'Data Additive'!$Q:$Q,"&lt;=-121",'Data Additive'!$Q:$Q,"&gt;=-180")</f>
        <v>0</v>
      </c>
      <c r="V4" s="19">
        <f>SUMIFS('Data Additive'!$D:$D,'Data Additive'!$P:$P,'Painel Additive'!$B4,'Data Additive'!$Q:$Q,"&lt;=-181",'Data Additive'!$Q:$Q,"&gt;=-360")</f>
        <v>0</v>
      </c>
      <c r="W4" s="23">
        <f>SUMIFS('Data Additive'!$D:$D,'Data Additive'!$P:$P,'Painel Additive'!$B4,'Data Additive'!$Q:$Q,"&lt;-360")</f>
        <v>0</v>
      </c>
      <c r="X4" s="19">
        <f>SUMIFS('Bad Debt Provision'!AB:AB,'Bad Debt Provision'!B:B,'Painel Additive'!B4)</f>
        <v>84763.766000000003</v>
      </c>
      <c r="Y4" s="5"/>
      <c r="Z4" s="5"/>
      <c r="AA4" s="19">
        <f>IFERROR(_xlfn.XLOOKUP(B4,'Limite de crédito'!C:C,'Limite de crédito'!O:O,),0)</f>
        <v>15000000</v>
      </c>
      <c r="AB4" s="19"/>
      <c r="AC4" s="20"/>
      <c r="AD4" s="22"/>
      <c r="AE4" s="22"/>
      <c r="AF4" s="5"/>
      <c r="AG4" s="105">
        <f t="shared" ref="AG4:AG67" si="2">AA4-G4</f>
        <v>11128758.859999999</v>
      </c>
    </row>
    <row r="5" spans="1:39" ht="15" customHeight="1" x14ac:dyDescent="0.25">
      <c r="B5" s="41" t="s">
        <v>416</v>
      </c>
      <c r="C5" s="224">
        <f>IFERROR(_xlfn.XLOOKUP(B5,'Limite de crédito'!C:C,'Limite de crédito'!L:L,),0)</f>
        <v>0</v>
      </c>
      <c r="D5" s="93"/>
      <c r="E5" s="18">
        <f>_xlfn.XLOOKUP(B5,'Limite de crédito'!C:C,'Limite de crédito'!G:G,0)</f>
        <v>6900000</v>
      </c>
      <c r="F5" s="18">
        <f t="shared" ref="F5:F26" si="3">E5-G5</f>
        <v>6388978</v>
      </c>
      <c r="G5" s="18">
        <f t="shared" ref="G5:G26" si="4">P5+O5</f>
        <v>511022</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3">
        <f>SUMIFS('Data Additive'!$D:$D,'Data Additive'!$P:$P,'Painel Additive'!$B5,'Data Additive'!$Q:$Q,"&gt;360")</f>
        <v>0</v>
      </c>
      <c r="O5" s="122">
        <f>SUMIFS('Data Additive'!$D:$D,'Data Additive'!$P:$P,'Painel Additive'!$B5,'Data Additive'!$Q:$Q,"&gt;0")</f>
        <v>0</v>
      </c>
      <c r="P5" s="19">
        <f t="shared" ref="P5:P54" si="5">SUM(Q5:W5)</f>
        <v>511022</v>
      </c>
      <c r="Q5" s="19">
        <f>SUMIFS('Data Additive'!$D:$D,'Data Additive'!$P:$P,'Painel Additive'!$B5,'Data Additive'!$Q:$Q,"&lt;=0",'Data Additive'!$Q:$Q,"&gt;=-30")</f>
        <v>511022</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3">
        <f>SUMIFS('Data Additive'!$D:$D,'Data Additive'!$P:$P,'Painel Additive'!$B5,'Data Additive'!$Q:$Q,"&lt;-360")</f>
        <v>0</v>
      </c>
      <c r="X5" s="19">
        <f>SUMIFS('Bad Debt Provision'!AB:AB,'Bad Debt Provision'!B:B,'Painel Additive'!B5)</f>
        <v>1200</v>
      </c>
      <c r="Y5" s="5"/>
      <c r="Z5" s="5"/>
      <c r="AA5" s="19">
        <f>IFERROR(_xlfn.XLOOKUP(B5,'Limite de crédito'!C:C,'Limite de crédito'!O:O,),0)</f>
        <v>2315000</v>
      </c>
      <c r="AB5" s="19"/>
      <c r="AC5" s="20"/>
      <c r="AD5" s="22"/>
      <c r="AE5" s="22"/>
      <c r="AF5" s="5"/>
      <c r="AG5" s="105">
        <f t="shared" si="2"/>
        <v>1803978</v>
      </c>
    </row>
    <row r="6" spans="1:39" ht="15.75" customHeight="1" x14ac:dyDescent="0.25">
      <c r="B6" s="41" t="s">
        <v>420</v>
      </c>
      <c r="C6" s="224" t="str">
        <f>IFERROR(_xlfn.XLOOKUP(B6,'Limite de crédito'!C:C,'Limite de crédito'!L:L,),0)</f>
        <v>B</v>
      </c>
      <c r="D6" s="93"/>
      <c r="E6" s="18">
        <f>_xlfn.XLOOKUP(B6,'Limite de crédito'!C:C,'Limite de crédito'!G:G,0)</f>
        <v>6000000</v>
      </c>
      <c r="F6" s="18">
        <f t="shared" si="3"/>
        <v>2042616.8900000001</v>
      </c>
      <c r="G6" s="18">
        <f t="shared" si="4"/>
        <v>3957383.11</v>
      </c>
      <c r="H6" s="19">
        <f>SUMIFS('Data Additive'!$D:$D,'Data Additive'!$P:$P,'Painel Additive'!$B6,'Data Additive'!$Q:$Q,"&gt;0",'Data Additive'!$Q:$Q,"&lt;=30")</f>
        <v>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3">
        <f>SUMIFS('Data Additive'!$D:$D,'Data Additive'!$P:$P,'Painel Additive'!$B6,'Data Additive'!$Q:$Q,"&gt;360")</f>
        <v>5626.32</v>
      </c>
      <c r="O6" s="122">
        <f>SUMIFS('Data Additive'!$D:$D,'Data Additive'!$P:$P,'Painel Additive'!$B6,'Data Additive'!$Q:$Q,"&gt;0")</f>
        <v>5626.32</v>
      </c>
      <c r="P6" s="19">
        <f t="shared" si="5"/>
        <v>3951756.79</v>
      </c>
      <c r="Q6" s="19">
        <f>SUMIFS('Data Additive'!$D:$D,'Data Additive'!$P:$P,'Painel Additive'!$B6,'Data Additive'!$Q:$Q,"&lt;=0",'Data Additive'!$Q:$Q,"&gt;=-30")</f>
        <v>2997325.2399999998</v>
      </c>
      <c r="R6" s="19">
        <f>SUMIFS('Data Additive'!$D:$D,'Data Additive'!$P:$P,'Painel Additive'!$B6,'Data Additive'!$Q:$Q,"&lt;=-31",'Data Additive'!$Q:$Q,"&gt;=-60")</f>
        <v>954431.55</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3">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2"/>
      <c r="AE6" s="22"/>
      <c r="AF6" s="5"/>
      <c r="AG6" s="105">
        <f t="shared" si="2"/>
        <v>2042616.8900000001</v>
      </c>
      <c r="AL6" t="s">
        <v>17</v>
      </c>
      <c r="AM6" s="36">
        <f>G1+'Painel Fertilizers'!G1+'Painel International'!G1-AM8</f>
        <v>39196024.5</v>
      </c>
    </row>
    <row r="7" spans="1:39" ht="16.2" customHeight="1" x14ac:dyDescent="0.25">
      <c r="B7" s="41" t="s">
        <v>419</v>
      </c>
      <c r="C7" s="224" t="str">
        <f>IFERROR(_xlfn.XLOOKUP(B7,'Limite de crédito'!C:C,'Limite de crédito'!L:L,),0)</f>
        <v>B</v>
      </c>
      <c r="D7" s="93"/>
      <c r="E7" s="18">
        <f>_xlfn.XLOOKUP(B7,'Limite de crédito'!C:C,'Limite de crédito'!G:G,0)</f>
        <v>500000</v>
      </c>
      <c r="F7" s="18">
        <f t="shared" si="3"/>
        <v>500000</v>
      </c>
      <c r="G7" s="18">
        <f t="shared" si="4"/>
        <v>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3">
        <f>SUMIFS('Data Additive'!$D:$D,'Data Additive'!$P:$P,'Painel Additive'!$B7,'Data Additive'!$Q:$Q,"&gt;360")</f>
        <v>0</v>
      </c>
      <c r="O7" s="122">
        <f>SUMIFS('Data Additive'!$D:$D,'Data Additive'!$P:$P,'Painel Additive'!$B7,'Data Additive'!$Q:$Q,"&gt;0")</f>
        <v>0</v>
      </c>
      <c r="P7" s="19">
        <f t="shared" si="5"/>
        <v>0</v>
      </c>
      <c r="Q7" s="19">
        <f>SUMIFS('Data Additive'!$D:$D,'Data Additive'!$P:$P,'Painel Additive'!$B7,'Data Additive'!$Q:$Q,"&lt;=0",'Data Additive'!$Q:$Q,"&gt;=-30")</f>
        <v>0</v>
      </c>
      <c r="R7" s="19">
        <f>SUMIFS('Data Additive'!$D:$D,'Data Additive'!$P:$P,'Painel Additive'!$B7,'Data Additive'!$Q:$Q,"&lt;=-31",'Data Additive'!$Q:$Q,"&gt;=-60")</f>
        <v>0</v>
      </c>
      <c r="S7" s="19">
        <f>SUMIFS('Data Additive'!$D:$D,'Data Additive'!$P:$P,'Painel Additive'!$B7,'Data Additive'!$Q:$Q,"&lt;=-61",'Data Additive'!$Q:$Q,"&gt;=-90")</f>
        <v>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3">
        <f>SUMIFS('Data Additive'!$D:$D,'Data Additive'!$P:$P,'Painel Additive'!$B7,'Data Additive'!$Q:$Q,"&lt;-360")</f>
        <v>0</v>
      </c>
      <c r="X7" s="19">
        <f>SUMIFS('Bad Debt Provision'!AB:AB,'Bad Debt Provision'!B:B,'Painel Additive'!B7)</f>
        <v>0</v>
      </c>
      <c r="Y7" s="5"/>
      <c r="Z7" s="5"/>
      <c r="AA7" s="19">
        <f>IFERROR(_xlfn.XLOOKUP(B7,'Limite de crédito'!C:C,'Limite de crédito'!O:O,),0)</f>
        <v>500000</v>
      </c>
      <c r="AB7" s="19"/>
      <c r="AC7" s="20"/>
      <c r="AD7" s="22"/>
      <c r="AE7" s="22"/>
      <c r="AF7" s="5"/>
      <c r="AG7" s="105">
        <f t="shared" si="2"/>
        <v>500000</v>
      </c>
      <c r="AL7" t="s">
        <v>499</v>
      </c>
      <c r="AM7" s="29">
        <f>AG1+'Painel Fertilizers'!AG1+'Painel International'!AG1</f>
        <v>97280990.75</v>
      </c>
    </row>
    <row r="8" spans="1:39" ht="16.2" customHeight="1" x14ac:dyDescent="0.25">
      <c r="B8" s="41" t="s">
        <v>414</v>
      </c>
      <c r="C8" s="224" t="str">
        <f>IFERROR(_xlfn.XLOOKUP(B8,'Limite de crédito'!C:C,'Limite de crédito'!L:L,),0)</f>
        <v>B</v>
      </c>
      <c r="D8" s="93"/>
      <c r="E8" s="18">
        <f>_xlfn.XLOOKUP(B8,'Limite de crédito'!C:C,'Limite de crédito'!G:G,0)</f>
        <v>4000000</v>
      </c>
      <c r="F8" s="18">
        <f t="shared" si="3"/>
        <v>3941082.2</v>
      </c>
      <c r="G8" s="18">
        <f t="shared" si="4"/>
        <v>58917.8</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3">
        <f>SUMIFS('Data Additive'!$D:$D,'Data Additive'!$P:$P,'Painel Additive'!$B8,'Data Additive'!$Q:$Q,"&gt;360")</f>
        <v>0</v>
      </c>
      <c r="O8" s="122">
        <f>SUMIFS('Data Additive'!$D:$D,'Data Additive'!$P:$P,'Painel Additive'!$B8,'Data Additive'!$Q:$Q,"&gt;0")</f>
        <v>0</v>
      </c>
      <c r="P8" s="19">
        <f t="shared" si="5"/>
        <v>58917.8</v>
      </c>
      <c r="Q8" s="19">
        <f>SUMIFS('Data Additive'!$D:$D,'Data Additive'!$P:$P,'Painel Additive'!$B8,'Data Additive'!$Q:$Q,"&lt;=0",'Data Additive'!$Q:$Q,"&gt;=-30")</f>
        <v>58917.8</v>
      </c>
      <c r="R8" s="19">
        <f>SUMIFS('Data Additive'!$D:$D,'Data Additive'!$P:$P,'Painel Additive'!$B8,'Data Additive'!$Q:$Q,"&lt;=-31",'Data Additive'!$Q:$Q,"&gt;=-60")</f>
        <v>0</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3">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2"/>
      <c r="AE8" s="22"/>
      <c r="AF8" s="5"/>
      <c r="AG8" s="105">
        <f t="shared" si="2"/>
        <v>3941082.2</v>
      </c>
      <c r="AM8" s="128">
        <v>21461777.98</v>
      </c>
    </row>
    <row r="9" spans="1:39" ht="15.75" customHeight="1" x14ac:dyDescent="0.25">
      <c r="B9" s="41" t="s">
        <v>417</v>
      </c>
      <c r="C9" s="224" t="str">
        <f>IFERROR(_xlfn.XLOOKUP(B9,'Limite de crédito'!C:C,'Limite de crédito'!L:L,),0)</f>
        <v>B</v>
      </c>
      <c r="D9" s="93"/>
      <c r="E9" s="18">
        <f>_xlfn.XLOOKUP(B9,'Limite de crédito'!C:C,'Limite de crédito'!G:G,0)</f>
        <v>3500000</v>
      </c>
      <c r="F9" s="18">
        <f t="shared" si="3"/>
        <v>-173754.79999999981</v>
      </c>
      <c r="G9" s="18">
        <f t="shared" si="4"/>
        <v>3673754.8</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3">
        <f>SUMIFS('Data Additive'!$D:$D,'Data Additive'!$P:$P,'Painel Additive'!$B9,'Data Additive'!$Q:$Q,"&gt;360")</f>
        <v>0</v>
      </c>
      <c r="O9" s="122">
        <f>SUMIFS('Data Additive'!$D:$D,'Data Additive'!$P:$P,'Painel Additive'!$B9,'Data Additive'!$Q:$Q,"&gt;0")</f>
        <v>0</v>
      </c>
      <c r="P9" s="19">
        <f t="shared" si="5"/>
        <v>3673754.8</v>
      </c>
      <c r="Q9" s="19">
        <f>SUMIFS('Data Additive'!$D:$D,'Data Additive'!$P:$P,'Painel Additive'!$B9,'Data Additive'!$Q:$Q,"&lt;=0",'Data Additive'!$Q:$Q,"&gt;=-30")</f>
        <v>956954.8</v>
      </c>
      <c r="R9" s="19">
        <f>SUMIFS('Data Additive'!$D:$D,'Data Additive'!$P:$P,'Painel Additive'!$B9,'Data Additive'!$Q:$Q,"&lt;=-31",'Data Additive'!$Q:$Q,"&gt;=-60")</f>
        <v>2716800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3">
        <f>SUMIFS('Data Additive'!$D:$D,'Data Additive'!$P:$P,'Painel Additive'!$B9,'Data Additive'!$Q:$Q,"&lt;-360")</f>
        <v>0</v>
      </c>
      <c r="X9" s="19">
        <f>SUMIFS('Bad Debt Provision'!AB:AB,'Bad Debt Provision'!B:B,'Painel Additive'!B9)</f>
        <v>0</v>
      </c>
      <c r="Y9" s="5"/>
      <c r="Z9" s="5"/>
      <c r="AA9" s="19">
        <f>IFERROR(_xlfn.XLOOKUP(B9,'Limite de crédito'!C:C,'Limite de crédito'!O:O,),0)</f>
        <v>3500000</v>
      </c>
      <c r="AB9" s="19"/>
      <c r="AC9" s="20"/>
      <c r="AD9" s="22"/>
      <c r="AE9" s="22"/>
      <c r="AF9" s="5"/>
      <c r="AG9" s="105">
        <f t="shared" si="2"/>
        <v>-173754.79999999981</v>
      </c>
      <c r="AM9" s="36">
        <f>AM7+AM8</f>
        <v>118742768.73</v>
      </c>
    </row>
    <row r="10" spans="1:39" ht="13.95" customHeight="1" x14ac:dyDescent="0.25">
      <c r="B10" s="41" t="s">
        <v>428</v>
      </c>
      <c r="C10" s="224">
        <f>IFERROR(_xlfn.XLOOKUP(B10,'Limite de crédito'!C:C,'Limite de crédito'!L:L,),0)</f>
        <v>0</v>
      </c>
      <c r="D10" s="93"/>
      <c r="E10" s="18">
        <f>_xlfn.XLOOKUP(B10,'Limite de crédito'!C:C,'Limite de crédito'!G:G,0)</f>
        <v>0</v>
      </c>
      <c r="F10" s="18">
        <f t="shared" si="3"/>
        <v>-775264</v>
      </c>
      <c r="G10" s="18">
        <f t="shared" si="4"/>
        <v>775264</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3">
        <f>SUMIFS('Data Additive'!$D:$D,'Data Additive'!$P:$P,'Painel Additive'!$B10,'Data Additive'!$Q:$Q,"&gt;360")</f>
        <v>0</v>
      </c>
      <c r="O10" s="122">
        <f>SUMIFS('Data Additive'!$D:$D,'Data Additive'!$P:$P,'Painel Additive'!$B10,'Data Additive'!$Q:$Q,"&gt;0")</f>
        <v>0</v>
      </c>
      <c r="P10" s="19">
        <f t="shared" si="5"/>
        <v>775264</v>
      </c>
      <c r="Q10" s="19">
        <f>SUMIFS('Data Additive'!$D:$D,'Data Additive'!$P:$P,'Painel Additive'!$B10,'Data Additive'!$Q:$Q,"&lt;=0",'Data Additive'!$Q:$Q,"&gt;=-30")</f>
        <v>171254.1</v>
      </c>
      <c r="R10" s="19">
        <f>SUMIFS('Data Additive'!$D:$D,'Data Additive'!$P:$P,'Painel Additive'!$B10,'Data Additive'!$Q:$Q,"&lt;=-31",'Data Additive'!$Q:$Q,"&gt;=-60")</f>
        <v>459685.9</v>
      </c>
      <c r="S10" s="19">
        <f>SUMIFS('Data Additive'!$D:$D,'Data Additive'!$P:$P,'Painel Additive'!$B10,'Data Additive'!$Q:$Q,"&lt;=-61",'Data Additive'!$Q:$Q,"&gt;=-90")</f>
        <v>144324</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3">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2"/>
      <c r="AE10" s="22"/>
      <c r="AF10" s="5"/>
      <c r="AG10" s="105">
        <f t="shared" si="2"/>
        <v>-775264</v>
      </c>
      <c r="AM10" s="129">
        <f>AM9*-1/AM6</f>
        <v>-3.0294594986284897</v>
      </c>
    </row>
    <row r="11" spans="1:39" ht="15" customHeight="1" x14ac:dyDescent="0.25">
      <c r="B11" s="17" t="s">
        <v>77</v>
      </c>
      <c r="C11" s="224">
        <f>IFERROR(_xlfn.XLOOKUP(B11,'Limite de crédito'!C:C,'Limite de crédito'!L:L,),0)</f>
        <v>0</v>
      </c>
      <c r="D11" s="93"/>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3">
        <f>SUMIFS('Data Additive'!$D:$D,'Data Additive'!$P:$P,'Painel Additive'!$B11,'Data Additive'!$Q:$Q,"&gt;360")</f>
        <v>0</v>
      </c>
      <c r="O11" s="122">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3">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2"/>
      <c r="AE11" s="22"/>
      <c r="AF11" s="5"/>
      <c r="AG11" s="105">
        <f t="shared" si="2"/>
        <v>0</v>
      </c>
      <c r="AH11" s="5"/>
      <c r="AM11" s="129"/>
    </row>
    <row r="12" spans="1:39" ht="15.75" customHeight="1" x14ac:dyDescent="0.25">
      <c r="B12" s="41" t="s">
        <v>431</v>
      </c>
      <c r="C12" s="224" t="str">
        <f>IFERROR(_xlfn.XLOOKUP(B12,'Limite de crédito'!C:C,'Limite de crédito'!L:L,),0)</f>
        <v>B</v>
      </c>
      <c r="D12" s="93"/>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3">
        <f>SUMIFS('Data Additive'!$D:$D,'Data Additive'!$P:$P,'Painel Additive'!$B12,'Data Additive'!$Q:$Q,"&gt;360")</f>
        <v>0</v>
      </c>
      <c r="O12" s="122">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3">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2"/>
      <c r="AE12" s="22"/>
      <c r="AF12" s="5"/>
      <c r="AG12" s="105">
        <f t="shared" si="2"/>
        <v>2000000</v>
      </c>
    </row>
    <row r="13" spans="1:39" ht="15.75" customHeight="1" x14ac:dyDescent="0.25">
      <c r="B13" s="41" t="s">
        <v>30</v>
      </c>
      <c r="C13" s="224" t="str">
        <f>IFERROR(_xlfn.XLOOKUP(B13,'Limite de crédito'!C:C,'Limite de crédito'!L:L,),0)</f>
        <v>B</v>
      </c>
      <c r="D13" s="93"/>
      <c r="E13" s="18">
        <f>_xlfn.XLOOKUP(B13,'Limite de crédito'!C:C,'Limite de crédito'!G:G,0)</f>
        <v>2600000</v>
      </c>
      <c r="F13" s="18">
        <f t="shared" si="3"/>
        <v>2076372.5</v>
      </c>
      <c r="G13" s="18">
        <f t="shared" si="4"/>
        <v>523627.50000000006</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3">
        <f>SUMIFS('Data Additive'!$D:$D,'Data Additive'!$P:$P,'Painel Additive'!$B13,'Data Additive'!$Q:$Q,"&gt;360")</f>
        <v>0</v>
      </c>
      <c r="O13" s="122">
        <f>SUMIFS('Data Additive'!$D:$D,'Data Additive'!$P:$P,'Painel Additive'!$B13,'Data Additive'!$Q:$Q,"&gt;0")</f>
        <v>0</v>
      </c>
      <c r="P13" s="19">
        <f t="shared" si="5"/>
        <v>523627.50000000006</v>
      </c>
      <c r="Q13" s="19">
        <f>SUMIFS('Data Additive'!$D:$D,'Data Additive'!$P:$P,'Painel Additive'!$B13,'Data Additive'!$Q:$Q,"&lt;=0",'Data Additive'!$Q:$Q,"&gt;=-30")</f>
        <v>523627.50000000006</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3">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2"/>
      <c r="AE13" s="22"/>
      <c r="AF13" s="5"/>
      <c r="AG13" s="105">
        <f t="shared" si="2"/>
        <v>2076372.5</v>
      </c>
      <c r="AH13" s="5"/>
    </row>
    <row r="14" spans="1:39" ht="15.75" customHeight="1" x14ac:dyDescent="0.25">
      <c r="B14" s="17" t="s">
        <v>83</v>
      </c>
      <c r="C14" s="224" t="str">
        <f>IFERROR(_xlfn.XLOOKUP(B14,'Limite de crédito'!C:C,'Limite de crédito'!L:L,),0)</f>
        <v>B</v>
      </c>
      <c r="D14" s="93"/>
      <c r="E14" s="18">
        <f>_xlfn.XLOOKUP(B14,'Limite de crédito'!C:C,'Limite de crédito'!G:G,0)</f>
        <v>3000000</v>
      </c>
      <c r="F14" s="18">
        <f t="shared" si="3"/>
        <v>2589143.48</v>
      </c>
      <c r="G14" s="18">
        <f t="shared" si="4"/>
        <v>410856.52</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3">
        <f>SUMIFS('Data Additive'!$D:$D,'Data Additive'!$P:$P,'Painel Additive'!$B14,'Data Additive'!$Q:$Q,"&gt;360")</f>
        <v>0</v>
      </c>
      <c r="O14" s="122">
        <f>SUMIFS('Data Additive'!$D:$D,'Data Additive'!$P:$P,'Painel Additive'!$B14,'Data Additive'!$Q:$Q,"&gt;0")</f>
        <v>0</v>
      </c>
      <c r="P14" s="19">
        <f t="shared" si="5"/>
        <v>410856.52</v>
      </c>
      <c r="Q14" s="19">
        <f>SUMIFS('Data Additive'!$D:$D,'Data Additive'!$P:$P,'Painel Additive'!$B14,'Data Additive'!$Q:$Q,"&lt;=0",'Data Additive'!$Q:$Q,"&gt;=-30")</f>
        <v>0</v>
      </c>
      <c r="R14" s="19">
        <f>SUMIFS('Data Additive'!$D:$D,'Data Additive'!$P:$P,'Painel Additive'!$B14,'Data Additive'!$Q:$Q,"&lt;=-31",'Data Additive'!$Q:$Q,"&gt;=-60")</f>
        <v>410856.52</v>
      </c>
      <c r="S14" s="19">
        <f>SUMIFS('Data Additive'!$D:$D,'Data Additive'!$P:$P,'Painel Additive'!$B14,'Data Additive'!$Q:$Q,"&lt;=-61",'Data Additive'!$Q:$Q,"&gt;=-90")</f>
        <v>0</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3">
        <f>SUMIFS('Data Additive'!$D:$D,'Data Additive'!$P:$P,'Painel Additive'!$B14,'Data Additive'!$Q:$Q,"&lt;-360")</f>
        <v>0</v>
      </c>
      <c r="X14" s="19">
        <f>SUMIFS('Bad Debt Provision'!AB:AB,'Bad Debt Provision'!B:B,'Painel Additive'!B14)</f>
        <v>0</v>
      </c>
      <c r="Y14" s="5"/>
      <c r="Z14" s="5"/>
      <c r="AA14" s="19">
        <f>IFERROR(_xlfn.XLOOKUP(B14,'Limite de crédito'!C:C,'Limite de crédito'!O:O,),0)</f>
        <v>3000000</v>
      </c>
      <c r="AB14" s="19"/>
      <c r="AC14" s="20"/>
      <c r="AD14" s="22"/>
      <c r="AE14" s="22"/>
      <c r="AF14" s="5"/>
      <c r="AG14" s="105">
        <f t="shared" si="2"/>
        <v>2589143.48</v>
      </c>
      <c r="AH14" s="5"/>
    </row>
    <row r="15" spans="1:39" ht="15.75" customHeight="1" x14ac:dyDescent="0.25">
      <c r="B15" s="17" t="s">
        <v>65</v>
      </c>
      <c r="C15" s="224">
        <f>IFERROR(_xlfn.XLOOKUP(B15,'Limite de crédito'!C:C,'Limite de crédito'!L:L,),0)</f>
        <v>0</v>
      </c>
      <c r="D15" s="93"/>
      <c r="E15" s="18">
        <f>_xlfn.XLOOKUP(B15,'Limite de crédito'!C:C,'Limite de crédito'!G:G,0)</f>
        <v>270000</v>
      </c>
      <c r="F15" s="18">
        <f t="shared" si="3"/>
        <v>80971.299999999988</v>
      </c>
      <c r="G15" s="18">
        <f t="shared" si="4"/>
        <v>189028.7</v>
      </c>
      <c r="H15" s="19">
        <f>SUMIFS('Data Additive'!$D:$D,'Data Additive'!$P:$P,'Painel Additive'!$B15,'Data Additive'!$Q:$Q,"&gt;0",'Data Additive'!$Q:$Q,"&lt;=30")</f>
        <v>37491.5</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3">
        <f>SUMIFS('Data Additive'!$D:$D,'Data Additive'!$P:$P,'Painel Additive'!$B15,'Data Additive'!$Q:$Q,"&gt;360")</f>
        <v>0</v>
      </c>
      <c r="O15" s="122">
        <f>SUMIFS('Data Additive'!$D:$D,'Data Additive'!$P:$P,'Painel Additive'!$B15,'Data Additive'!$Q:$Q,"&gt;0")</f>
        <v>37491.5</v>
      </c>
      <c r="P15" s="19">
        <f t="shared" si="5"/>
        <v>151537.20000000001</v>
      </c>
      <c r="Q15" s="19">
        <f>SUMIFS('Data Additive'!$D:$D,'Data Additive'!$P:$P,'Painel Additive'!$B15,'Data Additive'!$Q:$Q,"&lt;=0",'Data Additive'!$Q:$Q,"&gt;=-30")</f>
        <v>75216.800000000003</v>
      </c>
      <c r="R15" s="19">
        <f>SUMIFS('Data Additive'!$D:$D,'Data Additive'!$P:$P,'Painel Additive'!$B15,'Data Additive'!$Q:$Q,"&lt;=-31",'Data Additive'!$Q:$Q,"&gt;=-60")</f>
        <v>76320.399999999994</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3">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2"/>
      <c r="AE15" s="22"/>
      <c r="AF15" s="5"/>
      <c r="AG15" s="105">
        <f t="shared" si="2"/>
        <v>-189028.7</v>
      </c>
      <c r="AH15" s="5"/>
    </row>
    <row r="16" spans="1:39" ht="15.75" customHeight="1" x14ac:dyDescent="0.25">
      <c r="B16" s="41" t="s">
        <v>488</v>
      </c>
      <c r="C16" s="224" t="str">
        <f>IFERROR(_xlfn.XLOOKUP(B16,'Limite de crédito'!C:C,'Limite de crédito'!L:L,),0)</f>
        <v>B</v>
      </c>
      <c r="D16" s="93"/>
      <c r="E16" s="18">
        <f>_xlfn.XLOOKUP(B16,'Limite de crédito'!C:C,'Limite de crédito'!G:G,0)</f>
        <v>2500000</v>
      </c>
      <c r="F16" s="18">
        <f t="shared" si="3"/>
        <v>2419920.7000000002</v>
      </c>
      <c r="G16" s="18">
        <f t="shared" si="4"/>
        <v>80079.3</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3">
        <f>SUMIFS('Data Additive'!$D:$D,'Data Additive'!$P:$P,'Painel Additive'!$B16,'Data Additive'!$Q:$Q,"&gt;360")</f>
        <v>0</v>
      </c>
      <c r="O16" s="122">
        <f>SUMIFS('Data Additive'!$D:$D,'Data Additive'!$P:$P,'Painel Additive'!$B16,'Data Additive'!$Q:$Q,"&gt;0")</f>
        <v>0</v>
      </c>
      <c r="P16" s="19">
        <f t="shared" si="5"/>
        <v>80079.3</v>
      </c>
      <c r="Q16" s="19">
        <f>SUMIFS('Data Additive'!$D:$D,'Data Additive'!$P:$P,'Painel Additive'!$B16,'Data Additive'!$Q:$Q,"&lt;=0",'Data Additive'!$Q:$Q,"&gt;=-30")</f>
        <v>80079.3</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3">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2"/>
      <c r="AE16" s="22"/>
      <c r="AF16" s="5"/>
      <c r="AG16" s="105">
        <f t="shared" si="2"/>
        <v>2419920.7000000002</v>
      </c>
    </row>
    <row r="17" spans="2:34" s="119" customFormat="1" x14ac:dyDescent="0.25">
      <c r="B17" s="120" t="s">
        <v>53</v>
      </c>
      <c r="C17" s="224">
        <f>IFERROR(_xlfn.XLOOKUP(B17,'Limite de crédito'!C:C,'Limite de crédito'!L:L,),0)</f>
        <v>0</v>
      </c>
      <c r="D17" s="127"/>
      <c r="E17" s="18">
        <f>_xlfn.XLOOKUP(B17,'Limite de crédito'!C:C,'Limite de crédito'!G:G,0)</f>
        <v>0</v>
      </c>
      <c r="F17" s="121">
        <f t="shared" si="3"/>
        <v>-226233.60000000001</v>
      </c>
      <c r="G17" s="121">
        <f t="shared" si="4"/>
        <v>226233.60000000001</v>
      </c>
      <c r="H17" s="122">
        <f>SUMIFS('Data Additive'!$D:$D,'Data Additive'!$P:$P,'Painel Additive'!$B17,'Data Additive'!$Q:$Q,"&gt;0",'Data Additive'!$Q:$Q,"&lt;=30")</f>
        <v>0</v>
      </c>
      <c r="I17" s="122">
        <f>SUMIFS('Data Additive'!$D:$D,'Data Additive'!$P:$P,'Painel Additive'!$B17,'Data Additive'!$Q:$Q,"&gt;30",'Data Additive'!$Q:$Q,"&lt;=60")</f>
        <v>0</v>
      </c>
      <c r="J17" s="122">
        <f>SUMIFS('Data Additive'!$D:$D,'Data Additive'!$P:$P,'Painel Additive'!$B17,'Data Additive'!$Q:$Q,"&gt;60",'Data Additive'!$Q:$Q,"&lt;=90")</f>
        <v>0</v>
      </c>
      <c r="K17" s="122">
        <f>SUMIFS('Data Additive'!$D:$D,'Data Additive'!$P:$P,'Painel Additive'!$B17,'Data Additive'!$Q:$Q,"&gt;90",'Data Additive'!$Q:$Q,"&lt;=120")</f>
        <v>0</v>
      </c>
      <c r="L17" s="122">
        <f>SUMIFS('Data Additive'!$D:$D,'Data Additive'!$P:$P,'Painel Additive'!$B17,'Data Additive'!$Q:$Q,"&gt;120",'Data Additive'!$Q:$Q,"&lt;=180")</f>
        <v>0</v>
      </c>
      <c r="M17" s="122">
        <f>SUMIFS('Data Additive'!$D:$D,'Data Additive'!$P:$P,'Painel Additive'!$B17,'Data Additive'!$Q:$Q,"&gt;180",'Data Additive'!$Q:$Q,"&lt;=360")</f>
        <v>0</v>
      </c>
      <c r="N17" s="123">
        <f>SUMIFS('Data Additive'!$D:$D,'Data Additive'!$P:$P,'Painel Additive'!$B17,'Data Additive'!$Q:$Q,"&gt;360")</f>
        <v>226233.60000000001</v>
      </c>
      <c r="O17" s="122">
        <f>SUMIFS('Data Additive'!$D:$D,'Data Additive'!$P:$P,'Painel Additive'!$B17,'Data Additive'!$Q:$Q,"&gt;0")</f>
        <v>226233.60000000001</v>
      </c>
      <c r="P17" s="122">
        <f t="shared" si="5"/>
        <v>0</v>
      </c>
      <c r="Q17" s="122">
        <f>SUMIFS('Data Additive'!$D:$D,'Data Additive'!$P:$P,'Painel Additive'!$B17,'Data Additive'!$Q:$Q,"&lt;=0",'Data Additive'!$Q:$Q,"&gt;=-30")</f>
        <v>0</v>
      </c>
      <c r="R17" s="122">
        <f>SUMIFS('Data Additive'!$D:$D,'Data Additive'!$P:$P,'Painel Additive'!$B17,'Data Additive'!$Q:$Q,"&lt;=-31",'Data Additive'!$Q:$Q,"&gt;=-60")</f>
        <v>0</v>
      </c>
      <c r="S17" s="122">
        <f>SUMIFS('Data Additive'!$D:$D,'Data Additive'!$P:$P,'Painel Additive'!$B17,'Data Additive'!$Q:$Q,"&lt;=-61",'Data Additive'!$Q:$Q,"&gt;=-90")</f>
        <v>0</v>
      </c>
      <c r="T17" s="122">
        <f>SUMIFS('Data Additive'!$D:$D,'Data Additive'!$P:$P,'Painel Additive'!$B17,'Data Additive'!$Q:$Q,"&lt;=-91",'Data Additive'!$Q:$Q,"&gt;=-120")</f>
        <v>0</v>
      </c>
      <c r="U17" s="122">
        <f>SUMIFS('Data Additive'!$D:$D,'Data Additive'!$P:$P,'Painel Additive'!$B17,'Data Additive'!$Q:$Q,"&lt;=-121",'Data Additive'!$Q:$Q,"&gt;=-180")</f>
        <v>0</v>
      </c>
      <c r="V17" s="122">
        <f>SUMIFS('Data Additive'!$D:$D,'Data Additive'!$P:$P,'Painel Additive'!$B17,'Data Additive'!$Q:$Q,"&lt;=-181",'Data Additive'!$Q:$Q,"&gt;=-360")</f>
        <v>0</v>
      </c>
      <c r="W17" s="123">
        <f>SUMIFS('Data Additive'!$D:$D,'Data Additive'!$P:$P,'Painel Additive'!$B17,'Data Additive'!$Q:$Q,"&lt;-360")</f>
        <v>0</v>
      </c>
      <c r="X17" s="19">
        <f>SUMIFS('Bad Debt Provision'!AB:AB,'Bad Debt Provision'!B:B,'Painel Additive'!B17)</f>
        <v>226233.60000000001</v>
      </c>
      <c r="Y17" s="124"/>
      <c r="Z17" s="124"/>
      <c r="AA17" s="19">
        <f>IFERROR(_xlfn.XLOOKUP(B17,'Limite de crédito'!C:C,'Limite de crédito'!O:O,),0)</f>
        <v>0</v>
      </c>
      <c r="AB17" s="122"/>
      <c r="AC17" s="125"/>
      <c r="AD17" s="126"/>
      <c r="AE17" s="126"/>
      <c r="AF17" s="124"/>
      <c r="AG17" s="105">
        <f t="shared" si="2"/>
        <v>-226233.60000000001</v>
      </c>
      <c r="AH17" s="124"/>
    </row>
    <row r="18" spans="2:34" s="119" customFormat="1" x14ac:dyDescent="0.25">
      <c r="B18" s="120" t="s">
        <v>294</v>
      </c>
      <c r="C18" s="224">
        <f>IFERROR(_xlfn.XLOOKUP(B18,'Limite de crédito'!C:C,'Limite de crédito'!L:L,),0)</f>
        <v>0</v>
      </c>
      <c r="D18" s="127"/>
      <c r="E18" s="18">
        <f>_xlfn.XLOOKUP(B18,'Limite de crédito'!C:C,'Limite de crédito'!G:G,0)</f>
        <v>0</v>
      </c>
      <c r="F18" s="121">
        <f t="shared" si="3"/>
        <v>-213750</v>
      </c>
      <c r="G18" s="121">
        <f t="shared" si="4"/>
        <v>213750</v>
      </c>
      <c r="H18" s="122">
        <f>SUMIFS('Data Additive'!$D:$D,'Data Additive'!$P:$P,'Painel Additive'!$B18,'Data Additive'!$Q:$Q,"&gt;0",'Data Additive'!$Q:$Q,"&lt;=30")</f>
        <v>0</v>
      </c>
      <c r="I18" s="122">
        <f>SUMIFS('Data Additive'!$D:$D,'Data Additive'!$P:$P,'Painel Additive'!$B18,'Data Additive'!$Q:$Q,"&gt;30",'Data Additive'!$Q:$Q,"&lt;=60")</f>
        <v>0</v>
      </c>
      <c r="J18" s="122">
        <f>SUMIFS('Data Additive'!$D:$D,'Data Additive'!$P:$P,'Painel Additive'!$B18,'Data Additive'!$Q:$Q,"&gt;60",'Data Additive'!$Q:$Q,"&lt;=90")</f>
        <v>0</v>
      </c>
      <c r="K18" s="122">
        <f>SUMIFS('Data Additive'!$D:$D,'Data Additive'!$P:$P,'Painel Additive'!$B18,'Data Additive'!$Q:$Q,"&gt;90",'Data Additive'!$Q:$Q,"&lt;=120")</f>
        <v>0</v>
      </c>
      <c r="L18" s="122">
        <f>SUMIFS('Data Additive'!$D:$D,'Data Additive'!$P:$P,'Painel Additive'!$B18,'Data Additive'!$Q:$Q,"&gt;120",'Data Additive'!$Q:$Q,"&lt;=180")</f>
        <v>0</v>
      </c>
      <c r="M18" s="122">
        <f>SUMIFS('Data Additive'!$D:$D,'Data Additive'!$P:$P,'Painel Additive'!$B18,'Data Additive'!$Q:$Q,"&gt;180",'Data Additive'!$Q:$Q,"&lt;=360")</f>
        <v>0</v>
      </c>
      <c r="N18" s="123">
        <f>SUMIFS('Data Additive'!$D:$D,'Data Additive'!$P:$P,'Painel Additive'!$B18,'Data Additive'!$Q:$Q,"&gt;360")</f>
        <v>213750</v>
      </c>
      <c r="O18" s="122">
        <f>SUMIFS('Data Additive'!$D:$D,'Data Additive'!$P:$P,'Painel Additive'!$B18,'Data Additive'!$Q:$Q,"&gt;0")</f>
        <v>213750</v>
      </c>
      <c r="P18" s="122">
        <f t="shared" si="5"/>
        <v>0</v>
      </c>
      <c r="Q18" s="122">
        <f>SUMIFS('Data Additive'!$D:$D,'Data Additive'!$P:$P,'Painel Additive'!$B18,'Data Additive'!$Q:$Q,"&lt;=0",'Data Additive'!$Q:$Q,"&gt;=-30")</f>
        <v>0</v>
      </c>
      <c r="R18" s="122">
        <f>SUMIFS('Data Additive'!$D:$D,'Data Additive'!$P:$P,'Painel Additive'!$B18,'Data Additive'!$Q:$Q,"&lt;=-31",'Data Additive'!$Q:$Q,"&gt;=-60")</f>
        <v>0</v>
      </c>
      <c r="S18" s="122">
        <f>SUMIFS('Data Additive'!$D:$D,'Data Additive'!$P:$P,'Painel Additive'!$B18,'Data Additive'!$Q:$Q,"&lt;=-61",'Data Additive'!$Q:$Q,"&gt;=-90")</f>
        <v>0</v>
      </c>
      <c r="T18" s="122">
        <f>SUMIFS('Data Additive'!$D:$D,'Data Additive'!$P:$P,'Painel Additive'!$B18,'Data Additive'!$Q:$Q,"&lt;=-91",'Data Additive'!$Q:$Q,"&gt;=-120")</f>
        <v>0</v>
      </c>
      <c r="U18" s="122">
        <f>SUMIFS('Data Additive'!$D:$D,'Data Additive'!$P:$P,'Painel Additive'!$B18,'Data Additive'!$Q:$Q,"&lt;=-121",'Data Additive'!$Q:$Q,"&gt;=-180")</f>
        <v>0</v>
      </c>
      <c r="V18" s="122">
        <f>SUMIFS('Data Additive'!$D:$D,'Data Additive'!$P:$P,'Painel Additive'!$B18,'Data Additive'!$Q:$Q,"&lt;=-181",'Data Additive'!$Q:$Q,"&gt;=-360")</f>
        <v>0</v>
      </c>
      <c r="W18" s="123">
        <f>SUMIFS('Data Additive'!$D:$D,'Data Additive'!$P:$P,'Painel Additive'!$B18,'Data Additive'!$Q:$Q,"&lt;-360")</f>
        <v>0</v>
      </c>
      <c r="X18" s="19">
        <f>SUMIFS('Bad Debt Provision'!AB:AB,'Bad Debt Provision'!B:B,'Painel Additive'!B18)</f>
        <v>213750</v>
      </c>
      <c r="Y18" s="124"/>
      <c r="Z18" s="124"/>
      <c r="AA18" s="19">
        <f>IFERROR(_xlfn.XLOOKUP(B18,'Limite de crédito'!C:C,'Limite de crédito'!O:O,),0)</f>
        <v>0</v>
      </c>
      <c r="AB18" s="122"/>
      <c r="AC18" s="125"/>
      <c r="AD18" s="126"/>
      <c r="AE18" s="126"/>
      <c r="AF18" s="124"/>
      <c r="AG18" s="105">
        <f t="shared" si="2"/>
        <v>-213750</v>
      </c>
    </row>
    <row r="19" spans="2:34" x14ac:dyDescent="0.25">
      <c r="B19" s="41" t="s">
        <v>421</v>
      </c>
      <c r="C19" s="224" t="str">
        <f>IFERROR(_xlfn.XLOOKUP(B19,'Limite de crédito'!C:C,'Limite de crédito'!L:L,),0)</f>
        <v>B</v>
      </c>
      <c r="D19" s="93"/>
      <c r="E19" s="18">
        <f>_xlfn.XLOOKUP(B19,'Limite de crédito'!C:C,'Limite de crédito'!G:G,0)</f>
        <v>1500000</v>
      </c>
      <c r="F19" s="18">
        <f t="shared" si="3"/>
        <v>1500000</v>
      </c>
      <c r="G19" s="18">
        <f t="shared" si="4"/>
        <v>0</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3">
        <f>SUMIFS('Data Additive'!$D:$D,'Data Additive'!$P:$P,'Painel Additive'!$B19,'Data Additive'!$Q:$Q,"&gt;360")</f>
        <v>0</v>
      </c>
      <c r="O19" s="122">
        <f>SUMIFS('Data Additive'!$D:$D,'Data Additive'!$P:$P,'Painel Additive'!$B19,'Data Additive'!$Q:$Q,"&gt;0")</f>
        <v>0</v>
      </c>
      <c r="P19" s="19">
        <f t="shared" si="5"/>
        <v>0</v>
      </c>
      <c r="Q19" s="19">
        <f>SUMIFS('Data Additive'!$D:$D,'Data Additive'!$P:$P,'Painel Additive'!$B19,'Data Additive'!$Q:$Q,"&lt;=0",'Data Additive'!$Q:$Q,"&gt;=-30")</f>
        <v>0</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3">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2"/>
      <c r="AE19" s="22"/>
      <c r="AF19" s="5"/>
      <c r="AG19" s="105">
        <f t="shared" si="2"/>
        <v>750000</v>
      </c>
    </row>
    <row r="20" spans="2:34" x14ac:dyDescent="0.25">
      <c r="B20" s="41" t="s">
        <v>425</v>
      </c>
      <c r="C20" s="224" t="str">
        <f>IFERROR(_xlfn.XLOOKUP(B20,'Limite de crédito'!C:C,'Limite de crédito'!L:L,),0)</f>
        <v>B</v>
      </c>
      <c r="D20" s="93"/>
      <c r="E20" s="18">
        <f>_xlfn.XLOOKUP(B20,'Limite de crédito'!C:C,'Limite de crédito'!G:G,0)</f>
        <v>1500000</v>
      </c>
      <c r="F20" s="18">
        <f t="shared" si="3"/>
        <v>1500000</v>
      </c>
      <c r="G20" s="18">
        <f t="shared" si="4"/>
        <v>0</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3">
        <f>SUMIFS('Data Additive'!$D:$D,'Data Additive'!$P:$P,'Painel Additive'!$B20,'Data Additive'!$Q:$Q,"&gt;360")</f>
        <v>0</v>
      </c>
      <c r="O20" s="122">
        <f>SUMIFS('Data Additive'!$D:$D,'Data Additive'!$P:$P,'Painel Additive'!$B20,'Data Additive'!$Q:$Q,"&gt;0")</f>
        <v>0</v>
      </c>
      <c r="P20" s="19">
        <f t="shared" si="5"/>
        <v>0</v>
      </c>
      <c r="Q20" s="19">
        <f>SUMIFS('Data Additive'!$D:$D,'Data Additive'!$P:$P,'Painel Additive'!$B20,'Data Additive'!$Q:$Q,"&lt;=0",'Data Additive'!$Q:$Q,"&gt;=-30")</f>
        <v>0</v>
      </c>
      <c r="R20" s="19">
        <f>SUMIFS('Data Additive'!$D:$D,'Data Additive'!$P:$P,'Painel Additive'!$B20,'Data Additive'!$Q:$Q,"&lt;=-31",'Data Additive'!$Q:$Q,"&gt;=-60")</f>
        <v>0</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3">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2"/>
      <c r="AE20" s="22"/>
      <c r="AF20" s="5"/>
      <c r="AG20" s="105">
        <f t="shared" si="2"/>
        <v>1500000</v>
      </c>
    </row>
    <row r="21" spans="2:34" x14ac:dyDescent="0.25">
      <c r="B21" s="17" t="s">
        <v>90</v>
      </c>
      <c r="C21" s="224" t="str">
        <f>IFERROR(_xlfn.XLOOKUP(B21,'Limite de crédito'!C:C,'Limite de crédito'!L:L,),0)</f>
        <v>B</v>
      </c>
      <c r="D21" s="93"/>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3">
        <f>SUMIFS('Data Additive'!$D:$D,'Data Additive'!$P:$P,'Painel Additive'!$B21,'Data Additive'!$Q:$Q,"&gt;360")</f>
        <v>0</v>
      </c>
      <c r="O21" s="122">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3">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2"/>
      <c r="AE21" s="22"/>
      <c r="AF21" s="5"/>
      <c r="AG21" s="105">
        <f t="shared" si="2"/>
        <v>1500000</v>
      </c>
      <c r="AH21" s="5"/>
    </row>
    <row r="22" spans="2:34" x14ac:dyDescent="0.25">
      <c r="B22" s="17" t="s">
        <v>168</v>
      </c>
      <c r="C22" s="224" t="str">
        <f>IFERROR(_xlfn.XLOOKUP(B22,'Limite de crédito'!C:C,'Limite de crédito'!L:L,),0)</f>
        <v>B</v>
      </c>
      <c r="D22" s="93"/>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3">
        <f>SUMIFS('Data Additive'!$D:$D,'Data Additive'!$P:$P,'Painel Additive'!$B22,'Data Additive'!$Q:$Q,"&gt;360")</f>
        <v>0</v>
      </c>
      <c r="O22" s="122">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3">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2"/>
      <c r="AE22" s="22"/>
      <c r="AF22" s="5"/>
      <c r="AG22" s="105">
        <f t="shared" si="2"/>
        <v>1500000</v>
      </c>
      <c r="AH22" s="5"/>
    </row>
    <row r="23" spans="2:34" s="119" customFormat="1" x14ac:dyDescent="0.25">
      <c r="B23" s="120" t="s">
        <v>156</v>
      </c>
      <c r="C23" s="224">
        <f>IFERROR(_xlfn.XLOOKUP(B23,'Limite de crédito'!C:C,'Limite de crédito'!L:L,),0)</f>
        <v>0</v>
      </c>
      <c r="D23" s="127"/>
      <c r="E23" s="18">
        <f>_xlfn.XLOOKUP(B23,'Limite de crédito'!C:C,'Limite de crédito'!G:G,0)</f>
        <v>0</v>
      </c>
      <c r="F23" s="121">
        <f t="shared" si="3"/>
        <v>0</v>
      </c>
      <c r="G23" s="121">
        <f t="shared" si="4"/>
        <v>0</v>
      </c>
      <c r="H23" s="122">
        <f>SUMIFS('Data Additive'!$D:$D,'Data Additive'!$P:$P,'Painel Additive'!$B23,'Data Additive'!$Q:$Q,"&gt;0",'Data Additive'!$Q:$Q,"&lt;=30")</f>
        <v>0</v>
      </c>
      <c r="I23" s="122">
        <f>SUMIFS('Data Additive'!$D:$D,'Data Additive'!$P:$P,'Painel Additive'!$B23,'Data Additive'!$Q:$Q,"&gt;30",'Data Additive'!$Q:$Q,"&lt;=60")</f>
        <v>0</v>
      </c>
      <c r="J23" s="122">
        <f>SUMIFS('Data Additive'!$D:$D,'Data Additive'!$P:$P,'Painel Additive'!$B23,'Data Additive'!$Q:$Q,"&gt;60",'Data Additive'!$Q:$Q,"&lt;=90")</f>
        <v>0</v>
      </c>
      <c r="K23" s="122">
        <f>SUMIFS('Data Additive'!$D:$D,'Data Additive'!$P:$P,'Painel Additive'!$B23,'Data Additive'!$Q:$Q,"&gt;90",'Data Additive'!$Q:$Q,"&lt;=120")</f>
        <v>0</v>
      </c>
      <c r="L23" s="122">
        <f>SUMIFS('Data Additive'!$D:$D,'Data Additive'!$P:$P,'Painel Additive'!$B23,'Data Additive'!$Q:$Q,"&gt;120",'Data Additive'!$Q:$Q,"&lt;=180")</f>
        <v>0</v>
      </c>
      <c r="M23" s="122">
        <f>SUMIFS('Data Additive'!$D:$D,'Data Additive'!$P:$P,'Painel Additive'!$B23,'Data Additive'!$Q:$Q,"&gt;180",'Data Additive'!$Q:$Q,"&lt;=360")</f>
        <v>0</v>
      </c>
      <c r="N23" s="123">
        <f>SUMIFS('Data Additive'!$D:$D,'Data Additive'!$P:$P,'Painel Additive'!$B23,'Data Additive'!$Q:$Q,"&gt;360")</f>
        <v>0</v>
      </c>
      <c r="O23" s="122">
        <f>SUMIFS('Data Additive'!$D:$D,'Data Additive'!$P:$P,'Painel Additive'!$B23,'Data Additive'!$Q:$Q,"&gt;0")</f>
        <v>0</v>
      </c>
      <c r="P23" s="122">
        <f t="shared" si="5"/>
        <v>0</v>
      </c>
      <c r="Q23" s="122">
        <f>SUMIFS('Data Additive'!$D:$D,'Data Additive'!$P:$P,'Painel Additive'!$B23,'Data Additive'!$Q:$Q,"&lt;=0",'Data Additive'!$Q:$Q,"&gt;=-30")</f>
        <v>0</v>
      </c>
      <c r="R23" s="122">
        <f>SUMIFS('Data Additive'!$D:$D,'Data Additive'!$P:$P,'Painel Additive'!$B23,'Data Additive'!$Q:$Q,"&lt;=-31",'Data Additive'!$Q:$Q,"&gt;=-60")</f>
        <v>0</v>
      </c>
      <c r="S23" s="122">
        <f>SUMIFS('Data Additive'!$D:$D,'Data Additive'!$P:$P,'Painel Additive'!$B23,'Data Additive'!$Q:$Q,"&lt;=-61",'Data Additive'!$Q:$Q,"&gt;=-90")</f>
        <v>0</v>
      </c>
      <c r="T23" s="122">
        <f>SUMIFS('Data Additive'!$D:$D,'Data Additive'!$P:$P,'Painel Additive'!$B23,'Data Additive'!$Q:$Q,"&lt;=-91",'Data Additive'!$Q:$Q,"&gt;=-120")</f>
        <v>0</v>
      </c>
      <c r="U23" s="122">
        <f>SUMIFS('Data Additive'!$D:$D,'Data Additive'!$P:$P,'Painel Additive'!$B23,'Data Additive'!$Q:$Q,"&lt;=-121",'Data Additive'!$Q:$Q,"&gt;=-180")</f>
        <v>0</v>
      </c>
      <c r="V23" s="122">
        <f>SUMIFS('Data Additive'!$D:$D,'Data Additive'!$P:$P,'Painel Additive'!$B23,'Data Additive'!$Q:$Q,"&lt;=-181",'Data Additive'!$Q:$Q,"&gt;=-360")</f>
        <v>0</v>
      </c>
      <c r="W23" s="123">
        <f>SUMIFS('Data Additive'!$D:$D,'Data Additive'!$P:$P,'Painel Additive'!$B23,'Data Additive'!$Q:$Q,"&lt;-360")</f>
        <v>0</v>
      </c>
      <c r="X23" s="19">
        <f>SUMIFS('Bad Debt Provision'!AB:AB,'Bad Debt Provision'!B:B,'Painel Additive'!B23)</f>
        <v>0</v>
      </c>
      <c r="Y23" s="124"/>
      <c r="Z23" s="124"/>
      <c r="AA23" s="19">
        <f>IFERROR(_xlfn.XLOOKUP(B23,'Limite de crédito'!C:C,'Limite de crédito'!O:O,),0)</f>
        <v>0</v>
      </c>
      <c r="AB23" s="122"/>
      <c r="AC23" s="125"/>
      <c r="AD23" s="126"/>
      <c r="AE23" s="126"/>
      <c r="AF23" s="124"/>
      <c r="AG23" s="105">
        <f t="shared" si="2"/>
        <v>0</v>
      </c>
      <c r="AH23" s="124"/>
    </row>
    <row r="24" spans="2:34" ht="13.95" customHeight="1" x14ac:dyDescent="0.25">
      <c r="B24" s="17" t="s">
        <v>290</v>
      </c>
      <c r="C24" s="224" t="str">
        <f>IFERROR(_xlfn.XLOOKUP(B24,'Limite de crédito'!C:C,'Limite de crédito'!L:L,),0)</f>
        <v>B</v>
      </c>
      <c r="D24" s="93"/>
      <c r="E24" s="18">
        <f>_xlfn.XLOOKUP(B24,'Limite de crédito'!C:C,'Limite de crédito'!G:G,0)</f>
        <v>500000</v>
      </c>
      <c r="F24" s="18">
        <f t="shared" si="3"/>
        <v>380000</v>
      </c>
      <c r="G24" s="18">
        <f t="shared" si="4"/>
        <v>120000</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3">
        <f>SUMIFS('Data Additive'!$D:$D,'Data Additive'!$P:$P,'Painel Additive'!$B24,'Data Additive'!$Q:$Q,"&gt;360")</f>
        <v>0</v>
      </c>
      <c r="O24" s="122">
        <f>SUMIFS('Data Additive'!$D:$D,'Data Additive'!$P:$P,'Painel Additive'!$B24,'Data Additive'!$Q:$Q,"&gt;0")</f>
        <v>0</v>
      </c>
      <c r="P24" s="19">
        <f t="shared" si="5"/>
        <v>120000</v>
      </c>
      <c r="Q24" s="19">
        <f>SUMIFS('Data Additive'!$D:$D,'Data Additive'!$P:$P,'Painel Additive'!$B24,'Data Additive'!$Q:$Q,"&lt;=0",'Data Additive'!$Q:$Q,"&gt;=-30")</f>
        <v>120000</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3">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2"/>
      <c r="AE24" s="22"/>
      <c r="AF24" s="5"/>
      <c r="AG24" s="105">
        <f t="shared" si="2"/>
        <v>380000</v>
      </c>
    </row>
    <row r="25" spans="2:34" s="119" customFormat="1" x14ac:dyDescent="0.25">
      <c r="B25" s="120" t="s">
        <v>422</v>
      </c>
      <c r="C25" s="224">
        <f>IFERROR(_xlfn.XLOOKUP(B25,'Limite de crédito'!C:C,'Limite de crédito'!L:L,),0)</f>
        <v>0</v>
      </c>
      <c r="D25" s="127"/>
      <c r="E25" s="18">
        <f>_xlfn.XLOOKUP(B25,'Limite de crédito'!C:C,'Limite de crédito'!G:G,0)</f>
        <v>0</v>
      </c>
      <c r="F25" s="121">
        <f t="shared" si="3"/>
        <v>0</v>
      </c>
      <c r="G25" s="121">
        <f t="shared" si="4"/>
        <v>0</v>
      </c>
      <c r="H25" s="122">
        <f>SUMIFS('Data Additive'!$D:$D,'Data Additive'!$P:$P,'Painel Additive'!$B25,'Data Additive'!$Q:$Q,"&gt;0",'Data Additive'!$Q:$Q,"&lt;=30")</f>
        <v>0</v>
      </c>
      <c r="I25" s="122">
        <f>SUMIFS('Data Additive'!$D:$D,'Data Additive'!$P:$P,'Painel Additive'!$B25,'Data Additive'!$Q:$Q,"&gt;30",'Data Additive'!$Q:$Q,"&lt;=60")</f>
        <v>0</v>
      </c>
      <c r="J25" s="122">
        <f>SUMIFS('Data Additive'!$D:$D,'Data Additive'!$P:$P,'Painel Additive'!$B25,'Data Additive'!$Q:$Q,"&gt;60",'Data Additive'!$Q:$Q,"&lt;=90")</f>
        <v>0</v>
      </c>
      <c r="K25" s="122">
        <f>SUMIFS('Data Additive'!$D:$D,'Data Additive'!$P:$P,'Painel Additive'!$B25,'Data Additive'!$Q:$Q,"&gt;90",'Data Additive'!$Q:$Q,"&lt;=120")</f>
        <v>0</v>
      </c>
      <c r="L25" s="122">
        <f>SUMIFS('Data Additive'!$D:$D,'Data Additive'!$P:$P,'Painel Additive'!$B25,'Data Additive'!$Q:$Q,"&gt;120",'Data Additive'!$Q:$Q,"&lt;=180")</f>
        <v>0</v>
      </c>
      <c r="M25" s="122">
        <f>SUMIFS('Data Additive'!$D:$D,'Data Additive'!$P:$P,'Painel Additive'!$B25,'Data Additive'!$Q:$Q,"&gt;180",'Data Additive'!$Q:$Q,"&lt;=360")</f>
        <v>0</v>
      </c>
      <c r="N25" s="123">
        <f>SUMIFS('Data Additive'!$D:$D,'Data Additive'!$P:$P,'Painel Additive'!$B25,'Data Additive'!$Q:$Q,"&gt;360")</f>
        <v>0</v>
      </c>
      <c r="O25" s="122">
        <f>SUMIFS('Data Additive'!$D:$D,'Data Additive'!$P:$P,'Painel Additive'!$B25,'Data Additive'!$Q:$Q,"&gt;0")</f>
        <v>0</v>
      </c>
      <c r="P25" s="122">
        <f t="shared" si="5"/>
        <v>0</v>
      </c>
      <c r="Q25" s="122">
        <f>SUMIFS('Data Additive'!$D:$D,'Data Additive'!$P:$P,'Painel Additive'!$B25,'Data Additive'!$Q:$Q,"&lt;=0",'Data Additive'!$Q:$Q,"&gt;=-30")</f>
        <v>0</v>
      </c>
      <c r="R25" s="122">
        <f>SUMIFS('Data Additive'!$D:$D,'Data Additive'!$P:$P,'Painel Additive'!$B25,'Data Additive'!$Q:$Q,"&lt;=-31",'Data Additive'!$Q:$Q,"&gt;=-60")</f>
        <v>0</v>
      </c>
      <c r="S25" s="122">
        <f>SUMIFS('Data Additive'!$D:$D,'Data Additive'!$P:$P,'Painel Additive'!$B25,'Data Additive'!$Q:$Q,"&lt;=-61",'Data Additive'!$Q:$Q,"&gt;=-90")</f>
        <v>0</v>
      </c>
      <c r="T25" s="122">
        <f>SUMIFS('Data Additive'!$D:$D,'Data Additive'!$P:$P,'Painel Additive'!$B25,'Data Additive'!$Q:$Q,"&lt;=-91",'Data Additive'!$Q:$Q,"&gt;=-120")</f>
        <v>0</v>
      </c>
      <c r="U25" s="122">
        <f>SUMIFS('Data Additive'!$D:$D,'Data Additive'!$P:$P,'Painel Additive'!$B25,'Data Additive'!$Q:$Q,"&lt;=-121",'Data Additive'!$Q:$Q,"&gt;=-180")</f>
        <v>0</v>
      </c>
      <c r="V25" s="122">
        <f>SUMIFS('Data Additive'!$D:$D,'Data Additive'!$P:$P,'Painel Additive'!$B25,'Data Additive'!$Q:$Q,"&lt;=-181",'Data Additive'!$Q:$Q,"&gt;=-360")</f>
        <v>0</v>
      </c>
      <c r="W25" s="123">
        <f>SUMIFS('Data Additive'!$D:$D,'Data Additive'!$P:$P,'Painel Additive'!$B25,'Data Additive'!$Q:$Q,"&lt;-360")</f>
        <v>0</v>
      </c>
      <c r="X25" s="19">
        <f>SUMIFS('Bad Debt Provision'!AB:AB,'Bad Debt Provision'!B:B,'Painel Additive'!B25)</f>
        <v>0</v>
      </c>
      <c r="Y25" s="124"/>
      <c r="Z25" s="124"/>
      <c r="AA25" s="19">
        <f>IFERROR(_xlfn.XLOOKUP(B25,'Limite de crédito'!C:C,'Limite de crédito'!O:O,),0)</f>
        <v>0</v>
      </c>
      <c r="AB25" s="122"/>
      <c r="AC25" s="125"/>
      <c r="AD25" s="126"/>
      <c r="AE25" s="126"/>
      <c r="AF25" s="124"/>
      <c r="AG25" s="105">
        <f t="shared" si="2"/>
        <v>0</v>
      </c>
    </row>
    <row r="26" spans="2:34" x14ac:dyDescent="0.25">
      <c r="B26" s="120" t="s">
        <v>566</v>
      </c>
      <c r="C26" s="224">
        <f>IFERROR(_xlfn.XLOOKUP(B26,'Limite de crédito'!C:C,'Limite de crédito'!L:L,),0)</f>
        <v>0</v>
      </c>
      <c r="D26" s="127"/>
      <c r="E26" s="18">
        <f>_xlfn.XLOOKUP(B26,'Limite de crédito'!C:C,'Limite de crédito'!G:G,0)</f>
        <v>0</v>
      </c>
      <c r="F26" s="121">
        <f t="shared" si="3"/>
        <v>0</v>
      </c>
      <c r="G26" s="121">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3">
        <f>SUMIFS('Data Additive'!$D:$D,'Data Additive'!$P:$P,'Painel Additive'!$B26,'Data Additive'!$Q:$Q,"&gt;360")</f>
        <v>0</v>
      </c>
      <c r="O26" s="122">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3">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2"/>
      <c r="AE26" s="22"/>
      <c r="AF26" s="5"/>
      <c r="AG26" s="105">
        <f t="shared" si="2"/>
        <v>0</v>
      </c>
      <c r="AH26" s="5"/>
    </row>
    <row r="27" spans="2:34" ht="13.95" customHeight="1" x14ac:dyDescent="0.25">
      <c r="B27" s="41" t="s">
        <v>489</v>
      </c>
      <c r="C27" s="224">
        <f>IFERROR(_xlfn.XLOOKUP(B27,'Limite de crédito'!C:C,'Limite de crédito'!L:L,),0)</f>
        <v>0</v>
      </c>
      <c r="D27" s="93"/>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3">
        <f>SUMIFS('Data Additive'!$D:$D,'Data Additive'!$P:$P,'Painel Additive'!$B27,'Data Additive'!$Q:$Q,"&gt;360")</f>
        <v>0</v>
      </c>
      <c r="O27" s="122">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3">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2"/>
      <c r="AE27" s="22"/>
      <c r="AF27" s="5"/>
      <c r="AG27" s="105">
        <f t="shared" si="2"/>
        <v>0</v>
      </c>
    </row>
    <row r="28" spans="2:34" ht="12.6" customHeight="1" x14ac:dyDescent="0.25">
      <c r="B28" s="41" t="s">
        <v>418</v>
      </c>
      <c r="C28" s="224" t="str">
        <f>IFERROR(_xlfn.XLOOKUP(B28,'Limite de crédito'!C:C,'Limite de crédito'!L:L,),0)</f>
        <v>B</v>
      </c>
      <c r="D28" s="93"/>
      <c r="E28" s="18">
        <f>_xlfn.XLOOKUP(B28,'Limite de crédito'!C:C,'Limite de crédito'!G:G,0)</f>
        <v>2000000</v>
      </c>
      <c r="F28" s="18">
        <f t="shared" si="6"/>
        <v>1955637</v>
      </c>
      <c r="G28" s="18">
        <f t="shared" si="7"/>
        <v>44363</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3">
        <f>SUMIFS('Data Additive'!$D:$D,'Data Additive'!$P:$P,'Painel Additive'!$B28,'Data Additive'!$Q:$Q,"&gt;360")</f>
        <v>0</v>
      </c>
      <c r="O28" s="122">
        <f>SUMIFS('Data Additive'!$D:$D,'Data Additive'!$P:$P,'Painel Additive'!$B28,'Data Additive'!$Q:$Q,"&gt;0")</f>
        <v>0</v>
      </c>
      <c r="P28" s="19">
        <f t="shared" si="5"/>
        <v>44363</v>
      </c>
      <c r="Q28" s="19">
        <f>SUMIFS('Data Additive'!$D:$D,'Data Additive'!$P:$P,'Painel Additive'!$B28,'Data Additive'!$Q:$Q,"&lt;=0",'Data Additive'!$Q:$Q,"&gt;=-30")</f>
        <v>44363</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3">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2"/>
      <c r="AE28" s="22"/>
      <c r="AF28" s="5"/>
      <c r="AG28" s="105">
        <f t="shared" si="2"/>
        <v>1955637</v>
      </c>
    </row>
    <row r="29" spans="2:34" x14ac:dyDescent="0.25">
      <c r="B29" s="120" t="s">
        <v>153</v>
      </c>
      <c r="C29" s="224">
        <f>IFERROR(_xlfn.XLOOKUP(B29,'Limite de crédito'!C:C,'Limite de crédito'!L:L,),0)</f>
        <v>0</v>
      </c>
      <c r="D29" s="127"/>
      <c r="E29" s="18">
        <f>_xlfn.XLOOKUP(B29,'Limite de crédito'!C:C,'Limite de crédito'!G:G,0)</f>
        <v>0</v>
      </c>
      <c r="F29" s="121">
        <f t="shared" si="6"/>
        <v>0</v>
      </c>
      <c r="G29" s="121">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3">
        <f>SUMIFS('Data Additive'!$D:$D,'Data Additive'!$P:$P,'Painel Additive'!$B29,'Data Additive'!$Q:$Q,"&gt;360")</f>
        <v>0</v>
      </c>
      <c r="O29" s="122">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3">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2"/>
      <c r="AE29" s="22"/>
      <c r="AF29" s="5"/>
      <c r="AG29" s="105">
        <f t="shared" si="2"/>
        <v>0</v>
      </c>
      <c r="AH29" s="5"/>
    </row>
    <row r="30" spans="2:34" s="119" customFormat="1" x14ac:dyDescent="0.25">
      <c r="B30" s="120" t="s">
        <v>154</v>
      </c>
      <c r="C30" s="224">
        <f>IFERROR(_xlfn.XLOOKUP(B30,'Limite de crédito'!C:C,'Limite de crédito'!L:L,),0)</f>
        <v>0</v>
      </c>
      <c r="D30" s="127"/>
      <c r="E30" s="18">
        <f>_xlfn.XLOOKUP(B30,'Limite de crédito'!C:C,'Limite de crédito'!G:G,0)</f>
        <v>0</v>
      </c>
      <c r="F30" s="121">
        <f t="shared" si="6"/>
        <v>0</v>
      </c>
      <c r="G30" s="121">
        <f t="shared" si="7"/>
        <v>0</v>
      </c>
      <c r="H30" s="122">
        <f>SUMIFS('Data Additive'!$D:$D,'Data Additive'!$P:$P,'Painel Additive'!$B30,'Data Additive'!$Q:$Q,"&gt;0",'Data Additive'!$Q:$Q,"&lt;=30")</f>
        <v>0</v>
      </c>
      <c r="I30" s="122">
        <f>SUMIFS('Data Additive'!$D:$D,'Data Additive'!$P:$P,'Painel Additive'!$B30,'Data Additive'!$Q:$Q,"&gt;30",'Data Additive'!$Q:$Q,"&lt;=60")</f>
        <v>0</v>
      </c>
      <c r="J30" s="122">
        <f>SUMIFS('Data Additive'!$D:$D,'Data Additive'!$P:$P,'Painel Additive'!$B30,'Data Additive'!$Q:$Q,"&gt;60",'Data Additive'!$Q:$Q,"&lt;=90")</f>
        <v>0</v>
      </c>
      <c r="K30" s="122">
        <f>SUMIFS('Data Additive'!$D:$D,'Data Additive'!$P:$P,'Painel Additive'!$B30,'Data Additive'!$Q:$Q,"&gt;90",'Data Additive'!$Q:$Q,"&lt;=120")</f>
        <v>0</v>
      </c>
      <c r="L30" s="122">
        <f>SUMIFS('Data Additive'!$D:$D,'Data Additive'!$P:$P,'Painel Additive'!$B30,'Data Additive'!$Q:$Q,"&gt;120",'Data Additive'!$Q:$Q,"&lt;=180")</f>
        <v>0</v>
      </c>
      <c r="M30" s="122">
        <f>SUMIFS('Data Additive'!$D:$D,'Data Additive'!$P:$P,'Painel Additive'!$B30,'Data Additive'!$Q:$Q,"&gt;180",'Data Additive'!$Q:$Q,"&lt;=360")</f>
        <v>0</v>
      </c>
      <c r="N30" s="123">
        <f>SUMIFS('Data Additive'!$D:$D,'Data Additive'!$P:$P,'Painel Additive'!$B30,'Data Additive'!$Q:$Q,"&gt;360")</f>
        <v>0</v>
      </c>
      <c r="O30" s="122">
        <f>SUMIFS('Data Additive'!$D:$D,'Data Additive'!$P:$P,'Painel Additive'!$B30,'Data Additive'!$Q:$Q,"&gt;0")</f>
        <v>0</v>
      </c>
      <c r="P30" s="122">
        <f t="shared" si="5"/>
        <v>0</v>
      </c>
      <c r="Q30" s="122">
        <f>SUMIFS('Data Additive'!$D:$D,'Data Additive'!$P:$P,'Painel Additive'!$B30,'Data Additive'!$Q:$Q,"&lt;=0",'Data Additive'!$Q:$Q,"&gt;=-30")</f>
        <v>0</v>
      </c>
      <c r="R30" s="122">
        <f>SUMIFS('Data Additive'!$D:$D,'Data Additive'!$P:$P,'Painel Additive'!$B30,'Data Additive'!$Q:$Q,"&lt;=-31",'Data Additive'!$Q:$Q,"&gt;=-60")</f>
        <v>0</v>
      </c>
      <c r="S30" s="122">
        <f>SUMIFS('Data Additive'!$D:$D,'Data Additive'!$P:$P,'Painel Additive'!$B30,'Data Additive'!$Q:$Q,"&lt;=-61",'Data Additive'!$Q:$Q,"&gt;=-90")</f>
        <v>0</v>
      </c>
      <c r="T30" s="122">
        <f>SUMIFS('Data Additive'!$D:$D,'Data Additive'!$P:$P,'Painel Additive'!$B30,'Data Additive'!$Q:$Q,"&lt;=-91",'Data Additive'!$Q:$Q,"&gt;=-120")</f>
        <v>0</v>
      </c>
      <c r="U30" s="122">
        <f>SUMIFS('Data Additive'!$D:$D,'Data Additive'!$P:$P,'Painel Additive'!$B30,'Data Additive'!$Q:$Q,"&lt;=-121",'Data Additive'!$Q:$Q,"&gt;=-180")</f>
        <v>0</v>
      </c>
      <c r="V30" s="122">
        <f>SUMIFS('Data Additive'!$D:$D,'Data Additive'!$P:$P,'Painel Additive'!$B30,'Data Additive'!$Q:$Q,"&lt;=-181",'Data Additive'!$Q:$Q,"&gt;=-360")</f>
        <v>0</v>
      </c>
      <c r="W30" s="123">
        <f>SUMIFS('Data Additive'!$D:$D,'Data Additive'!$P:$P,'Painel Additive'!$B30,'Data Additive'!$Q:$Q,"&lt;-360")</f>
        <v>0</v>
      </c>
      <c r="X30" s="19">
        <f>SUMIFS('Bad Debt Provision'!AB:AB,'Bad Debt Provision'!B:B,'Painel Additive'!B30)</f>
        <v>0</v>
      </c>
      <c r="Y30" s="124"/>
      <c r="Z30" s="124"/>
      <c r="AA30" s="19">
        <f>IFERROR(_xlfn.XLOOKUP(B30,'Limite de crédito'!C:C,'Limite de crédito'!O:O,),0)</f>
        <v>0</v>
      </c>
      <c r="AB30" s="122"/>
      <c r="AC30" s="125"/>
      <c r="AD30" s="126"/>
      <c r="AE30" s="126"/>
      <c r="AF30" s="124"/>
      <c r="AG30" s="105">
        <f t="shared" si="2"/>
        <v>0</v>
      </c>
      <c r="AH30" s="124"/>
    </row>
    <row r="31" spans="2:34" x14ac:dyDescent="0.25">
      <c r="B31" s="41" t="s">
        <v>493</v>
      </c>
      <c r="C31" s="224">
        <f>IFERROR(_xlfn.XLOOKUP(B31,'Limite de crédito'!C:C,'Limite de crédito'!L:L,),0)</f>
        <v>0</v>
      </c>
      <c r="D31" s="93"/>
      <c r="E31" s="18">
        <f>_xlfn.XLOOKUP(B31,'Limite de crédito'!C:C,'Limite de crédito'!G:G,0)</f>
        <v>500000</v>
      </c>
      <c r="F31" s="18">
        <f t="shared" si="6"/>
        <v>473710</v>
      </c>
      <c r="G31" s="18">
        <f t="shared" si="7"/>
        <v>26290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3">
        <f>SUMIFS('Data Additive'!$D:$D,'Data Additive'!$P:$P,'Painel Additive'!$B31,'Data Additive'!$Q:$Q,"&gt;360")</f>
        <v>0</v>
      </c>
      <c r="O31" s="122">
        <f>SUMIFS('Data Additive'!$D:$D,'Data Additive'!$P:$P,'Painel Additive'!$B31,'Data Additive'!$Q:$Q,"&gt;0")</f>
        <v>0</v>
      </c>
      <c r="P31" s="19">
        <f t="shared" si="5"/>
        <v>26290</v>
      </c>
      <c r="Q31" s="19">
        <f>SUMIFS('Data Additive'!$D:$D,'Data Additive'!$P:$P,'Painel Additive'!$B31,'Data Additive'!$Q:$Q,"&lt;=0",'Data Additive'!$Q:$Q,"&gt;=-30")</f>
        <v>956</v>
      </c>
      <c r="R31" s="19">
        <f>SUMIFS('Data Additive'!$D:$D,'Data Additive'!$P:$P,'Painel Additive'!$B31,'Data Additive'!$Q:$Q,"&lt;=-31",'Data Additive'!$Q:$Q,"&gt;=-60")</f>
        <v>25334</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3">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2"/>
      <c r="AE31" s="22"/>
      <c r="AF31" s="5"/>
      <c r="AG31" s="105">
        <f t="shared" si="2"/>
        <v>-26290</v>
      </c>
    </row>
    <row r="32" spans="2:34" s="119" customFormat="1" x14ac:dyDescent="0.25">
      <c r="B32" s="120" t="s">
        <v>91</v>
      </c>
      <c r="C32" s="224">
        <f>IFERROR(_xlfn.XLOOKUP(B32,'Limite de crédito'!C:C,'Limite de crédito'!L:L,),0)</f>
        <v>0</v>
      </c>
      <c r="D32" s="127"/>
      <c r="E32" s="18">
        <f>_xlfn.XLOOKUP(B32,'Limite de crédito'!C:C,'Limite de crédito'!G:G,0)</f>
        <v>0</v>
      </c>
      <c r="F32" s="121">
        <f t="shared" si="6"/>
        <v>-20940</v>
      </c>
      <c r="G32" s="121">
        <f t="shared" si="7"/>
        <v>20940</v>
      </c>
      <c r="H32" s="122">
        <f>SUMIFS('Data Additive'!$D:$D,'Data Additive'!$P:$P,'Painel Additive'!$B32,'Data Additive'!$Q:$Q,"&gt;0",'Data Additive'!$Q:$Q,"&lt;=30")</f>
        <v>0</v>
      </c>
      <c r="I32" s="122">
        <f>SUMIFS('Data Additive'!$D:$D,'Data Additive'!$P:$P,'Painel Additive'!$B32,'Data Additive'!$Q:$Q,"&gt;30",'Data Additive'!$Q:$Q,"&lt;=60")</f>
        <v>0</v>
      </c>
      <c r="J32" s="122">
        <f>SUMIFS('Data Additive'!$D:$D,'Data Additive'!$P:$P,'Painel Additive'!$B32,'Data Additive'!$Q:$Q,"&gt;60",'Data Additive'!$Q:$Q,"&lt;=90")</f>
        <v>0</v>
      </c>
      <c r="K32" s="122">
        <f>SUMIFS('Data Additive'!$D:$D,'Data Additive'!$P:$P,'Painel Additive'!$B32,'Data Additive'!$Q:$Q,"&gt;90",'Data Additive'!$Q:$Q,"&lt;=120")</f>
        <v>0</v>
      </c>
      <c r="L32" s="122">
        <f>SUMIFS('Data Additive'!$D:$D,'Data Additive'!$P:$P,'Painel Additive'!$B32,'Data Additive'!$Q:$Q,"&gt;120",'Data Additive'!$Q:$Q,"&lt;=180")</f>
        <v>0</v>
      </c>
      <c r="M32" s="122">
        <f>SUMIFS('Data Additive'!$D:$D,'Data Additive'!$P:$P,'Painel Additive'!$B32,'Data Additive'!$Q:$Q,"&gt;180",'Data Additive'!$Q:$Q,"&lt;=360")</f>
        <v>0</v>
      </c>
      <c r="N32" s="123">
        <f>SUMIFS('Data Additive'!$D:$D,'Data Additive'!$P:$P,'Painel Additive'!$B32,'Data Additive'!$Q:$Q,"&gt;360")</f>
        <v>20940</v>
      </c>
      <c r="O32" s="122">
        <f>SUMIFS('Data Additive'!$D:$D,'Data Additive'!$P:$P,'Painel Additive'!$B32,'Data Additive'!$Q:$Q,"&gt;0")</f>
        <v>20940</v>
      </c>
      <c r="P32" s="122">
        <f t="shared" si="5"/>
        <v>0</v>
      </c>
      <c r="Q32" s="122">
        <f>SUMIFS('Data Additive'!$D:$D,'Data Additive'!$P:$P,'Painel Additive'!$B32,'Data Additive'!$Q:$Q,"&lt;=0",'Data Additive'!$Q:$Q,"&gt;=-30")</f>
        <v>0</v>
      </c>
      <c r="R32" s="122">
        <f>SUMIFS('Data Additive'!$D:$D,'Data Additive'!$P:$P,'Painel Additive'!$B32,'Data Additive'!$Q:$Q,"&lt;=-31",'Data Additive'!$Q:$Q,"&gt;=-60")</f>
        <v>0</v>
      </c>
      <c r="S32" s="122">
        <f>SUMIFS('Data Additive'!$D:$D,'Data Additive'!$P:$P,'Painel Additive'!$B32,'Data Additive'!$Q:$Q,"&lt;=-61",'Data Additive'!$Q:$Q,"&gt;=-90")</f>
        <v>0</v>
      </c>
      <c r="T32" s="122">
        <f>SUMIFS('Data Additive'!$D:$D,'Data Additive'!$P:$P,'Painel Additive'!$B32,'Data Additive'!$Q:$Q,"&lt;=-91",'Data Additive'!$Q:$Q,"&gt;=-120")</f>
        <v>0</v>
      </c>
      <c r="U32" s="122">
        <f>SUMIFS('Data Additive'!$D:$D,'Data Additive'!$P:$P,'Painel Additive'!$B32,'Data Additive'!$Q:$Q,"&lt;=-121",'Data Additive'!$Q:$Q,"&gt;=-180")</f>
        <v>0</v>
      </c>
      <c r="V32" s="122">
        <f>SUMIFS('Data Additive'!$D:$D,'Data Additive'!$P:$P,'Painel Additive'!$B32,'Data Additive'!$Q:$Q,"&lt;=-181",'Data Additive'!$Q:$Q,"&gt;=-360")</f>
        <v>0</v>
      </c>
      <c r="W32" s="123">
        <f>SUMIFS('Data Additive'!$D:$D,'Data Additive'!$P:$P,'Painel Additive'!$B32,'Data Additive'!$Q:$Q,"&lt;-360")</f>
        <v>0</v>
      </c>
      <c r="X32" s="19">
        <f>SUMIFS('Bad Debt Provision'!AB:AB,'Bad Debt Provision'!B:B,'Painel Additive'!B32)</f>
        <v>20940</v>
      </c>
      <c r="Y32" s="124"/>
      <c r="Z32" s="124"/>
      <c r="AA32" s="19">
        <f>IFERROR(_xlfn.XLOOKUP(B32,'Limite de crédito'!C:C,'Limite de crédito'!O:O,),0)</f>
        <v>0</v>
      </c>
      <c r="AB32" s="122"/>
      <c r="AC32" s="125"/>
      <c r="AD32" s="126"/>
      <c r="AE32" s="126"/>
      <c r="AF32" s="124"/>
      <c r="AG32" s="105">
        <f t="shared" si="2"/>
        <v>-20940</v>
      </c>
      <c r="AH32" s="124"/>
    </row>
    <row r="33" spans="2:34" s="119" customFormat="1" x14ac:dyDescent="0.25">
      <c r="B33" s="120" t="s">
        <v>146</v>
      </c>
      <c r="C33" s="224">
        <f>IFERROR(_xlfn.XLOOKUP(B33,'Limite de crédito'!C:C,'Limite de crédito'!L:L,),0)</f>
        <v>0</v>
      </c>
      <c r="D33" s="127"/>
      <c r="E33" s="18">
        <f>_xlfn.XLOOKUP(B33,'Limite de crédito'!C:C,'Limite de crédito'!G:G,0)</f>
        <v>0</v>
      </c>
      <c r="F33" s="121">
        <f t="shared" si="6"/>
        <v>0</v>
      </c>
      <c r="G33" s="121">
        <f t="shared" si="7"/>
        <v>0</v>
      </c>
      <c r="H33" s="122">
        <f>SUMIFS('Data Additive'!$D:$D,'Data Additive'!$P:$P,'Painel Additive'!$B33,'Data Additive'!$Q:$Q,"&gt;0",'Data Additive'!$Q:$Q,"&lt;=30")</f>
        <v>0</v>
      </c>
      <c r="I33" s="122">
        <f>SUMIFS('Data Additive'!$D:$D,'Data Additive'!$P:$P,'Painel Additive'!$B33,'Data Additive'!$Q:$Q,"&gt;30",'Data Additive'!$Q:$Q,"&lt;=60")</f>
        <v>0</v>
      </c>
      <c r="J33" s="122">
        <f>SUMIFS('Data Additive'!$D:$D,'Data Additive'!$P:$P,'Painel Additive'!$B33,'Data Additive'!$Q:$Q,"&gt;60",'Data Additive'!$Q:$Q,"&lt;=90")</f>
        <v>0</v>
      </c>
      <c r="K33" s="122">
        <f>SUMIFS('Data Additive'!$D:$D,'Data Additive'!$P:$P,'Painel Additive'!$B33,'Data Additive'!$Q:$Q,"&gt;90",'Data Additive'!$Q:$Q,"&lt;=120")</f>
        <v>0</v>
      </c>
      <c r="L33" s="122">
        <f>SUMIFS('Data Additive'!$D:$D,'Data Additive'!$P:$P,'Painel Additive'!$B33,'Data Additive'!$Q:$Q,"&gt;120",'Data Additive'!$Q:$Q,"&lt;=180")</f>
        <v>0</v>
      </c>
      <c r="M33" s="122">
        <f>SUMIFS('Data Additive'!$D:$D,'Data Additive'!$P:$P,'Painel Additive'!$B33,'Data Additive'!$Q:$Q,"&gt;180",'Data Additive'!$Q:$Q,"&lt;=360")</f>
        <v>0</v>
      </c>
      <c r="N33" s="123">
        <f>SUMIFS('Data Additive'!$D:$D,'Data Additive'!$P:$P,'Painel Additive'!$B33,'Data Additive'!$Q:$Q,"&gt;360")</f>
        <v>0</v>
      </c>
      <c r="O33" s="122">
        <f>SUMIFS('Data Additive'!$D:$D,'Data Additive'!$P:$P,'Painel Additive'!$B33,'Data Additive'!$Q:$Q,"&gt;0")</f>
        <v>0</v>
      </c>
      <c r="P33" s="122">
        <f t="shared" si="5"/>
        <v>0</v>
      </c>
      <c r="Q33" s="122">
        <f>SUMIFS('Data Additive'!$D:$D,'Data Additive'!$P:$P,'Painel Additive'!$B33,'Data Additive'!$Q:$Q,"&lt;=0",'Data Additive'!$Q:$Q,"&gt;=-30")</f>
        <v>0</v>
      </c>
      <c r="R33" s="122">
        <f>SUMIFS('Data Additive'!$D:$D,'Data Additive'!$P:$P,'Painel Additive'!$B33,'Data Additive'!$Q:$Q,"&lt;=-31",'Data Additive'!$Q:$Q,"&gt;=-60")</f>
        <v>0</v>
      </c>
      <c r="S33" s="122">
        <f>SUMIFS('Data Additive'!$D:$D,'Data Additive'!$P:$P,'Painel Additive'!$B33,'Data Additive'!$Q:$Q,"&lt;=-61",'Data Additive'!$Q:$Q,"&gt;=-90")</f>
        <v>0</v>
      </c>
      <c r="T33" s="122">
        <f>SUMIFS('Data Additive'!$D:$D,'Data Additive'!$P:$P,'Painel Additive'!$B33,'Data Additive'!$Q:$Q,"&lt;=-91",'Data Additive'!$Q:$Q,"&gt;=-120")</f>
        <v>0</v>
      </c>
      <c r="U33" s="122">
        <f>SUMIFS('Data Additive'!$D:$D,'Data Additive'!$P:$P,'Painel Additive'!$B33,'Data Additive'!$Q:$Q,"&lt;=-121",'Data Additive'!$Q:$Q,"&gt;=-180")</f>
        <v>0</v>
      </c>
      <c r="V33" s="122">
        <f>SUMIFS('Data Additive'!$D:$D,'Data Additive'!$P:$P,'Painel Additive'!$B33,'Data Additive'!$Q:$Q,"&lt;=-181",'Data Additive'!$Q:$Q,"&gt;=-360")</f>
        <v>0</v>
      </c>
      <c r="W33" s="123">
        <f>SUMIFS('Data Additive'!$D:$D,'Data Additive'!$P:$P,'Painel Additive'!$B33,'Data Additive'!$Q:$Q,"&lt;-360")</f>
        <v>0</v>
      </c>
      <c r="X33" s="19">
        <f>SUMIFS('Bad Debt Provision'!AB:AB,'Bad Debt Provision'!B:B,'Painel Additive'!B33)</f>
        <v>0</v>
      </c>
      <c r="Y33" s="124"/>
      <c r="Z33" s="124"/>
      <c r="AA33" s="19">
        <f>IFERROR(_xlfn.XLOOKUP(B33,'Limite de crédito'!C:C,'Limite de crédito'!O:O,),0)</f>
        <v>0</v>
      </c>
      <c r="AB33" s="122"/>
      <c r="AC33" s="125"/>
      <c r="AD33" s="126"/>
      <c r="AE33" s="126"/>
      <c r="AF33" s="124"/>
      <c r="AG33" s="105">
        <f t="shared" si="2"/>
        <v>0</v>
      </c>
      <c r="AH33" s="124"/>
    </row>
    <row r="34" spans="2:34" s="119" customFormat="1" x14ac:dyDescent="0.25">
      <c r="B34" s="120" t="s">
        <v>143</v>
      </c>
      <c r="C34" s="224">
        <f>IFERROR(_xlfn.XLOOKUP(B34,'Limite de crédito'!C:C,'Limite de crédito'!L:L,),0)</f>
        <v>0</v>
      </c>
      <c r="D34" s="127"/>
      <c r="E34" s="18">
        <f>_xlfn.XLOOKUP(B34,'Limite de crédito'!C:C,'Limite de crédito'!G:G,0)</f>
        <v>0</v>
      </c>
      <c r="F34" s="121">
        <f t="shared" si="6"/>
        <v>0</v>
      </c>
      <c r="G34" s="121">
        <f t="shared" si="7"/>
        <v>0</v>
      </c>
      <c r="H34" s="122">
        <f>SUMIFS('Data Additive'!$D:$D,'Data Additive'!$P:$P,'Painel Additive'!$B34,'Data Additive'!$Q:$Q,"&gt;0",'Data Additive'!$Q:$Q,"&lt;=30")</f>
        <v>0</v>
      </c>
      <c r="I34" s="122">
        <f>SUMIFS('Data Additive'!$D:$D,'Data Additive'!$P:$P,'Painel Additive'!$B34,'Data Additive'!$Q:$Q,"&gt;30",'Data Additive'!$Q:$Q,"&lt;=60")</f>
        <v>0</v>
      </c>
      <c r="J34" s="122">
        <f>SUMIFS('Data Additive'!$D:$D,'Data Additive'!$P:$P,'Painel Additive'!$B34,'Data Additive'!$Q:$Q,"&gt;60",'Data Additive'!$Q:$Q,"&lt;=90")</f>
        <v>0</v>
      </c>
      <c r="K34" s="122">
        <f>SUMIFS('Data Additive'!$D:$D,'Data Additive'!$P:$P,'Painel Additive'!$B34,'Data Additive'!$Q:$Q,"&gt;90",'Data Additive'!$Q:$Q,"&lt;=120")</f>
        <v>0</v>
      </c>
      <c r="L34" s="122">
        <f>SUMIFS('Data Additive'!$D:$D,'Data Additive'!$P:$P,'Painel Additive'!$B34,'Data Additive'!$Q:$Q,"&gt;120",'Data Additive'!$Q:$Q,"&lt;=180")</f>
        <v>0</v>
      </c>
      <c r="M34" s="122">
        <f>SUMIFS('Data Additive'!$D:$D,'Data Additive'!$P:$P,'Painel Additive'!$B34,'Data Additive'!$Q:$Q,"&gt;180",'Data Additive'!$Q:$Q,"&lt;=360")</f>
        <v>0</v>
      </c>
      <c r="N34" s="123">
        <f>SUMIFS('Data Additive'!$D:$D,'Data Additive'!$P:$P,'Painel Additive'!$B34,'Data Additive'!$Q:$Q,"&gt;360")</f>
        <v>0</v>
      </c>
      <c r="O34" s="122">
        <f>SUMIFS('Data Additive'!$D:$D,'Data Additive'!$P:$P,'Painel Additive'!$B34,'Data Additive'!$Q:$Q,"&gt;0")</f>
        <v>0</v>
      </c>
      <c r="P34" s="122">
        <f t="shared" si="5"/>
        <v>0</v>
      </c>
      <c r="Q34" s="122">
        <f>SUMIFS('Data Additive'!$D:$D,'Data Additive'!$P:$P,'Painel Additive'!$B34,'Data Additive'!$Q:$Q,"&lt;=0",'Data Additive'!$Q:$Q,"&gt;=-30")</f>
        <v>0</v>
      </c>
      <c r="R34" s="122">
        <f>SUMIFS('Data Additive'!$D:$D,'Data Additive'!$P:$P,'Painel Additive'!$B34,'Data Additive'!$Q:$Q,"&lt;=-31",'Data Additive'!$Q:$Q,"&gt;=-60")</f>
        <v>0</v>
      </c>
      <c r="S34" s="122">
        <f>SUMIFS('Data Additive'!$D:$D,'Data Additive'!$P:$P,'Painel Additive'!$B34,'Data Additive'!$Q:$Q,"&lt;=-61",'Data Additive'!$Q:$Q,"&gt;=-90")</f>
        <v>0</v>
      </c>
      <c r="T34" s="122">
        <f>SUMIFS('Data Additive'!$D:$D,'Data Additive'!$P:$P,'Painel Additive'!$B34,'Data Additive'!$Q:$Q,"&lt;=-91",'Data Additive'!$Q:$Q,"&gt;=-120")</f>
        <v>0</v>
      </c>
      <c r="U34" s="122">
        <f>SUMIFS('Data Additive'!$D:$D,'Data Additive'!$P:$P,'Painel Additive'!$B34,'Data Additive'!$Q:$Q,"&lt;=-121",'Data Additive'!$Q:$Q,"&gt;=-180")</f>
        <v>0</v>
      </c>
      <c r="V34" s="122">
        <f>SUMIFS('Data Additive'!$D:$D,'Data Additive'!$P:$P,'Painel Additive'!$B34,'Data Additive'!$Q:$Q,"&lt;=-181",'Data Additive'!$Q:$Q,"&gt;=-360")</f>
        <v>0</v>
      </c>
      <c r="W34" s="123">
        <f>SUMIFS('Data Additive'!$D:$D,'Data Additive'!$P:$P,'Painel Additive'!$B34,'Data Additive'!$Q:$Q,"&lt;-360")</f>
        <v>0</v>
      </c>
      <c r="X34" s="19">
        <f>SUMIFS('Bad Debt Provision'!AB:AB,'Bad Debt Provision'!B:B,'Painel Additive'!B34)</f>
        <v>0</v>
      </c>
      <c r="Y34" s="124"/>
      <c r="Z34" s="124"/>
      <c r="AA34" s="19">
        <f>IFERROR(_xlfn.XLOOKUP(B34,'Limite de crédito'!C:C,'Limite de crédito'!O:O,),0)</f>
        <v>0</v>
      </c>
      <c r="AB34" s="122"/>
      <c r="AC34" s="125"/>
      <c r="AD34" s="126"/>
      <c r="AE34" s="126"/>
      <c r="AF34" s="124"/>
      <c r="AG34" s="105">
        <f t="shared" si="2"/>
        <v>0</v>
      </c>
      <c r="AH34" s="124"/>
    </row>
    <row r="35" spans="2:34" s="119" customFormat="1" x14ac:dyDescent="0.25">
      <c r="B35" s="120" t="s">
        <v>152</v>
      </c>
      <c r="C35" s="224">
        <f>IFERROR(_xlfn.XLOOKUP(B35,'Limite de crédito'!C:C,'Limite de crédito'!L:L,),0)</f>
        <v>0</v>
      </c>
      <c r="D35" s="127"/>
      <c r="E35" s="18">
        <f>_xlfn.XLOOKUP(B35,'Limite de crédito'!C:C,'Limite de crédito'!G:G,0)</f>
        <v>0</v>
      </c>
      <c r="F35" s="121">
        <f t="shared" si="6"/>
        <v>0</v>
      </c>
      <c r="G35" s="121">
        <f t="shared" si="7"/>
        <v>0</v>
      </c>
      <c r="H35" s="122">
        <f>SUMIFS('Data Additive'!$D:$D,'Data Additive'!$P:$P,'Painel Additive'!$B35,'Data Additive'!$Q:$Q,"&gt;0",'Data Additive'!$Q:$Q,"&lt;=30")</f>
        <v>0</v>
      </c>
      <c r="I35" s="122">
        <f>SUMIFS('Data Additive'!$D:$D,'Data Additive'!$P:$P,'Painel Additive'!$B35,'Data Additive'!$Q:$Q,"&gt;30",'Data Additive'!$Q:$Q,"&lt;=60")</f>
        <v>0</v>
      </c>
      <c r="J35" s="122">
        <f>SUMIFS('Data Additive'!$D:$D,'Data Additive'!$P:$P,'Painel Additive'!$B35,'Data Additive'!$Q:$Q,"&gt;60",'Data Additive'!$Q:$Q,"&lt;=90")</f>
        <v>0</v>
      </c>
      <c r="K35" s="122">
        <f>SUMIFS('Data Additive'!$D:$D,'Data Additive'!$P:$P,'Painel Additive'!$B35,'Data Additive'!$Q:$Q,"&gt;90",'Data Additive'!$Q:$Q,"&lt;=120")</f>
        <v>0</v>
      </c>
      <c r="L35" s="122">
        <f>SUMIFS('Data Additive'!$D:$D,'Data Additive'!$P:$P,'Painel Additive'!$B35,'Data Additive'!$Q:$Q,"&gt;120",'Data Additive'!$Q:$Q,"&lt;=180")</f>
        <v>0</v>
      </c>
      <c r="M35" s="122">
        <f>SUMIFS('Data Additive'!$D:$D,'Data Additive'!$P:$P,'Painel Additive'!$B35,'Data Additive'!$Q:$Q,"&gt;180",'Data Additive'!$Q:$Q,"&lt;=360")</f>
        <v>0</v>
      </c>
      <c r="N35" s="123">
        <f>SUMIFS('Data Additive'!$D:$D,'Data Additive'!$P:$P,'Painel Additive'!$B35,'Data Additive'!$Q:$Q,"&gt;360")</f>
        <v>0</v>
      </c>
      <c r="O35" s="122">
        <f>SUMIFS('Data Additive'!$D:$D,'Data Additive'!$P:$P,'Painel Additive'!$B35,'Data Additive'!$Q:$Q,"&gt;0")</f>
        <v>0</v>
      </c>
      <c r="P35" s="122">
        <f t="shared" si="5"/>
        <v>0</v>
      </c>
      <c r="Q35" s="122">
        <f>SUMIFS('Data Additive'!$D:$D,'Data Additive'!$P:$P,'Painel Additive'!$B35,'Data Additive'!$Q:$Q,"&lt;=0",'Data Additive'!$Q:$Q,"&gt;=-30")</f>
        <v>0</v>
      </c>
      <c r="R35" s="122">
        <f>SUMIFS('Data Additive'!$D:$D,'Data Additive'!$P:$P,'Painel Additive'!$B35,'Data Additive'!$Q:$Q,"&lt;=-31",'Data Additive'!$Q:$Q,"&gt;=-60")</f>
        <v>0</v>
      </c>
      <c r="S35" s="122">
        <f>SUMIFS('Data Additive'!$D:$D,'Data Additive'!$P:$P,'Painel Additive'!$B35,'Data Additive'!$Q:$Q,"&lt;=-61",'Data Additive'!$Q:$Q,"&gt;=-90")</f>
        <v>0</v>
      </c>
      <c r="T35" s="122">
        <f>SUMIFS('Data Additive'!$D:$D,'Data Additive'!$P:$P,'Painel Additive'!$B35,'Data Additive'!$Q:$Q,"&lt;=-91",'Data Additive'!$Q:$Q,"&gt;=-120")</f>
        <v>0</v>
      </c>
      <c r="U35" s="122">
        <f>SUMIFS('Data Additive'!$D:$D,'Data Additive'!$P:$P,'Painel Additive'!$B35,'Data Additive'!$Q:$Q,"&lt;=-121",'Data Additive'!$Q:$Q,"&gt;=-180")</f>
        <v>0</v>
      </c>
      <c r="V35" s="122">
        <f>SUMIFS('Data Additive'!$D:$D,'Data Additive'!$P:$P,'Painel Additive'!$B35,'Data Additive'!$Q:$Q,"&lt;=-181",'Data Additive'!$Q:$Q,"&gt;=-360")</f>
        <v>0</v>
      </c>
      <c r="W35" s="123">
        <f>SUMIFS('Data Additive'!$D:$D,'Data Additive'!$P:$P,'Painel Additive'!$B35,'Data Additive'!$Q:$Q,"&lt;-360")</f>
        <v>0</v>
      </c>
      <c r="X35" s="19">
        <f>SUMIFS('Bad Debt Provision'!AB:AB,'Bad Debt Provision'!B:B,'Painel Additive'!B35)</f>
        <v>0</v>
      </c>
      <c r="Y35" s="124"/>
      <c r="Z35" s="124"/>
      <c r="AA35" s="19">
        <f>IFERROR(_xlfn.XLOOKUP(B35,'Limite de crédito'!C:C,'Limite de crédito'!O:O,),0)</f>
        <v>0</v>
      </c>
      <c r="AB35" s="122"/>
      <c r="AC35" s="125"/>
      <c r="AD35" s="126"/>
      <c r="AE35" s="126"/>
      <c r="AF35" s="124"/>
      <c r="AG35" s="105">
        <f t="shared" si="2"/>
        <v>0</v>
      </c>
      <c r="AH35" s="124"/>
    </row>
    <row r="36" spans="2:34" s="119" customFormat="1" x14ac:dyDescent="0.25">
      <c r="B36" s="120" t="s">
        <v>149</v>
      </c>
      <c r="C36" s="224">
        <f>IFERROR(_xlfn.XLOOKUP(B36,'Limite de crédito'!C:C,'Limite de crédito'!L:L,),0)</f>
        <v>0</v>
      </c>
      <c r="D36" s="127"/>
      <c r="E36" s="18">
        <f>_xlfn.XLOOKUP(B36,'Limite de crédito'!C:C,'Limite de crédito'!G:G,0)</f>
        <v>0</v>
      </c>
      <c r="F36" s="121">
        <f t="shared" si="6"/>
        <v>0</v>
      </c>
      <c r="G36" s="121">
        <f t="shared" si="7"/>
        <v>0</v>
      </c>
      <c r="H36" s="122">
        <f>SUMIFS('Data Additive'!$D:$D,'Data Additive'!$P:$P,'Painel Additive'!$B36,'Data Additive'!$Q:$Q,"&gt;0",'Data Additive'!$Q:$Q,"&lt;=30")</f>
        <v>0</v>
      </c>
      <c r="I36" s="122">
        <f>SUMIFS('Data Additive'!$D:$D,'Data Additive'!$P:$P,'Painel Additive'!$B36,'Data Additive'!$Q:$Q,"&gt;30",'Data Additive'!$Q:$Q,"&lt;=60")</f>
        <v>0</v>
      </c>
      <c r="J36" s="122">
        <f>SUMIFS('Data Additive'!$D:$D,'Data Additive'!$P:$P,'Painel Additive'!$B36,'Data Additive'!$Q:$Q,"&gt;60",'Data Additive'!$Q:$Q,"&lt;=90")</f>
        <v>0</v>
      </c>
      <c r="K36" s="122">
        <f>SUMIFS('Data Additive'!$D:$D,'Data Additive'!$P:$P,'Painel Additive'!$B36,'Data Additive'!$Q:$Q,"&gt;90",'Data Additive'!$Q:$Q,"&lt;=120")</f>
        <v>0</v>
      </c>
      <c r="L36" s="122">
        <f>SUMIFS('Data Additive'!$D:$D,'Data Additive'!$P:$P,'Painel Additive'!$B36,'Data Additive'!$Q:$Q,"&gt;120",'Data Additive'!$Q:$Q,"&lt;=180")</f>
        <v>0</v>
      </c>
      <c r="M36" s="122">
        <f>SUMIFS('Data Additive'!$D:$D,'Data Additive'!$P:$P,'Painel Additive'!$B36,'Data Additive'!$Q:$Q,"&gt;180",'Data Additive'!$Q:$Q,"&lt;=360")</f>
        <v>0</v>
      </c>
      <c r="N36" s="123">
        <f>SUMIFS('Data Additive'!$D:$D,'Data Additive'!$P:$P,'Painel Additive'!$B36,'Data Additive'!$Q:$Q,"&gt;360")</f>
        <v>0</v>
      </c>
      <c r="O36" s="122">
        <f>SUMIFS('Data Additive'!$D:$D,'Data Additive'!$P:$P,'Painel Additive'!$B36,'Data Additive'!$Q:$Q,"&gt;0")</f>
        <v>0</v>
      </c>
      <c r="P36" s="122">
        <f t="shared" si="5"/>
        <v>0</v>
      </c>
      <c r="Q36" s="122">
        <f>SUMIFS('Data Additive'!$D:$D,'Data Additive'!$P:$P,'Painel Additive'!$B36,'Data Additive'!$Q:$Q,"&lt;=0",'Data Additive'!$Q:$Q,"&gt;=-30")</f>
        <v>0</v>
      </c>
      <c r="R36" s="122">
        <f>SUMIFS('Data Additive'!$D:$D,'Data Additive'!$P:$P,'Painel Additive'!$B36,'Data Additive'!$Q:$Q,"&lt;=-31",'Data Additive'!$Q:$Q,"&gt;=-60")</f>
        <v>0</v>
      </c>
      <c r="S36" s="122">
        <f>SUMIFS('Data Additive'!$D:$D,'Data Additive'!$P:$P,'Painel Additive'!$B36,'Data Additive'!$Q:$Q,"&lt;=-61",'Data Additive'!$Q:$Q,"&gt;=-90")</f>
        <v>0</v>
      </c>
      <c r="T36" s="122">
        <f>SUMIFS('Data Additive'!$D:$D,'Data Additive'!$P:$P,'Painel Additive'!$B36,'Data Additive'!$Q:$Q,"&lt;=-91",'Data Additive'!$Q:$Q,"&gt;=-120")</f>
        <v>0</v>
      </c>
      <c r="U36" s="122">
        <f>SUMIFS('Data Additive'!$D:$D,'Data Additive'!$P:$P,'Painel Additive'!$B36,'Data Additive'!$Q:$Q,"&lt;=-121",'Data Additive'!$Q:$Q,"&gt;=-180")</f>
        <v>0</v>
      </c>
      <c r="V36" s="122">
        <f>SUMIFS('Data Additive'!$D:$D,'Data Additive'!$P:$P,'Painel Additive'!$B36,'Data Additive'!$Q:$Q,"&lt;=-181",'Data Additive'!$Q:$Q,"&gt;=-360")</f>
        <v>0</v>
      </c>
      <c r="W36" s="123">
        <f>SUMIFS('Data Additive'!$D:$D,'Data Additive'!$P:$P,'Painel Additive'!$B36,'Data Additive'!$Q:$Q,"&lt;-360")</f>
        <v>0</v>
      </c>
      <c r="X36" s="19">
        <f>SUMIFS('Bad Debt Provision'!AB:AB,'Bad Debt Provision'!B:B,'Painel Additive'!B36)</f>
        <v>0</v>
      </c>
      <c r="Y36" s="124"/>
      <c r="Z36" s="124"/>
      <c r="AA36" s="19">
        <f>IFERROR(_xlfn.XLOOKUP(B36,'Limite de crédito'!C:C,'Limite de crédito'!O:O,),0)</f>
        <v>0</v>
      </c>
      <c r="AB36" s="122"/>
      <c r="AC36" s="125"/>
      <c r="AD36" s="126"/>
      <c r="AE36" s="126"/>
      <c r="AF36" s="124"/>
      <c r="AG36" s="105">
        <f t="shared" si="2"/>
        <v>0</v>
      </c>
      <c r="AH36" s="124"/>
    </row>
    <row r="37" spans="2:34" s="119" customFormat="1" x14ac:dyDescent="0.25">
      <c r="B37" s="120" t="s">
        <v>158</v>
      </c>
      <c r="C37" s="224">
        <f>IFERROR(_xlfn.XLOOKUP(B37,'Limite de crédito'!C:C,'Limite de crédito'!L:L,),0)</f>
        <v>0</v>
      </c>
      <c r="D37" s="127"/>
      <c r="E37" s="18">
        <f>_xlfn.XLOOKUP(B37,'Limite de crédito'!C:C,'Limite de crédito'!G:G,0)</f>
        <v>0</v>
      </c>
      <c r="F37" s="121">
        <f t="shared" si="6"/>
        <v>0</v>
      </c>
      <c r="G37" s="121">
        <f t="shared" si="7"/>
        <v>0</v>
      </c>
      <c r="H37" s="122">
        <f>SUMIFS('Data Additive'!$D:$D,'Data Additive'!$P:$P,'Painel Additive'!$B37,'Data Additive'!$Q:$Q,"&gt;0",'Data Additive'!$Q:$Q,"&lt;=30")</f>
        <v>0</v>
      </c>
      <c r="I37" s="122">
        <f>SUMIFS('Data Additive'!$D:$D,'Data Additive'!$P:$P,'Painel Additive'!$B37,'Data Additive'!$Q:$Q,"&gt;30",'Data Additive'!$Q:$Q,"&lt;=60")</f>
        <v>0</v>
      </c>
      <c r="J37" s="122">
        <f>SUMIFS('Data Additive'!$D:$D,'Data Additive'!$P:$P,'Painel Additive'!$B37,'Data Additive'!$Q:$Q,"&gt;60",'Data Additive'!$Q:$Q,"&lt;=90")</f>
        <v>0</v>
      </c>
      <c r="K37" s="122">
        <f>SUMIFS('Data Additive'!$D:$D,'Data Additive'!$P:$P,'Painel Additive'!$B37,'Data Additive'!$Q:$Q,"&gt;90",'Data Additive'!$Q:$Q,"&lt;=120")</f>
        <v>0</v>
      </c>
      <c r="L37" s="122">
        <f>SUMIFS('Data Additive'!$D:$D,'Data Additive'!$P:$P,'Painel Additive'!$B37,'Data Additive'!$Q:$Q,"&gt;120",'Data Additive'!$Q:$Q,"&lt;=180")</f>
        <v>0</v>
      </c>
      <c r="M37" s="122">
        <f>SUMIFS('Data Additive'!$D:$D,'Data Additive'!$P:$P,'Painel Additive'!$B37,'Data Additive'!$Q:$Q,"&gt;180",'Data Additive'!$Q:$Q,"&lt;=360")</f>
        <v>0</v>
      </c>
      <c r="N37" s="123">
        <f>SUMIFS('Data Additive'!$D:$D,'Data Additive'!$P:$P,'Painel Additive'!$B37,'Data Additive'!$Q:$Q,"&gt;360")</f>
        <v>0</v>
      </c>
      <c r="O37" s="122">
        <f>SUMIFS('Data Additive'!$D:$D,'Data Additive'!$P:$P,'Painel Additive'!$B37,'Data Additive'!$Q:$Q,"&gt;0")</f>
        <v>0</v>
      </c>
      <c r="P37" s="122">
        <f t="shared" si="5"/>
        <v>0</v>
      </c>
      <c r="Q37" s="122">
        <f>SUMIFS('Data Additive'!$D:$D,'Data Additive'!$P:$P,'Painel Additive'!$B37,'Data Additive'!$Q:$Q,"&lt;=0",'Data Additive'!$Q:$Q,"&gt;=-30")</f>
        <v>0</v>
      </c>
      <c r="R37" s="122">
        <f>SUMIFS('Data Additive'!$D:$D,'Data Additive'!$P:$P,'Painel Additive'!$B37,'Data Additive'!$Q:$Q,"&lt;=-31",'Data Additive'!$Q:$Q,"&gt;=-60")</f>
        <v>0</v>
      </c>
      <c r="S37" s="122">
        <f>SUMIFS('Data Additive'!$D:$D,'Data Additive'!$P:$P,'Painel Additive'!$B37,'Data Additive'!$Q:$Q,"&lt;=-61",'Data Additive'!$Q:$Q,"&gt;=-90")</f>
        <v>0</v>
      </c>
      <c r="T37" s="122">
        <f>SUMIFS('Data Additive'!$D:$D,'Data Additive'!$P:$P,'Painel Additive'!$B37,'Data Additive'!$Q:$Q,"&lt;=-91",'Data Additive'!$Q:$Q,"&gt;=-120")</f>
        <v>0</v>
      </c>
      <c r="U37" s="122">
        <f>SUMIFS('Data Additive'!$D:$D,'Data Additive'!$P:$P,'Painel Additive'!$B37,'Data Additive'!$Q:$Q,"&lt;=-121",'Data Additive'!$Q:$Q,"&gt;=-180")</f>
        <v>0</v>
      </c>
      <c r="V37" s="122">
        <f>SUMIFS('Data Additive'!$D:$D,'Data Additive'!$P:$P,'Painel Additive'!$B37,'Data Additive'!$Q:$Q,"&lt;=-181",'Data Additive'!$Q:$Q,"&gt;=-360")</f>
        <v>0</v>
      </c>
      <c r="W37" s="123">
        <f>SUMIFS('Data Additive'!$D:$D,'Data Additive'!$P:$P,'Painel Additive'!$B37,'Data Additive'!$Q:$Q,"&lt;-360")</f>
        <v>0</v>
      </c>
      <c r="X37" s="19">
        <f>SUMIFS('Bad Debt Provision'!AB:AB,'Bad Debt Provision'!B:B,'Painel Additive'!B37)</f>
        <v>0</v>
      </c>
      <c r="Y37" s="124"/>
      <c r="Z37" s="124"/>
      <c r="AA37" s="19">
        <f>IFERROR(_xlfn.XLOOKUP(B37,'Limite de crédito'!C:C,'Limite de crédito'!O:O,),0)</f>
        <v>0</v>
      </c>
      <c r="AB37" s="122"/>
      <c r="AC37" s="125"/>
      <c r="AD37" s="126"/>
      <c r="AE37" s="126"/>
      <c r="AF37" s="124">
        <f>AF38+AF39</f>
        <v>0</v>
      </c>
      <c r="AG37" s="105">
        <f>AA37-G37</f>
        <v>0</v>
      </c>
      <c r="AH37" s="124">
        <f>AH38+AH39</f>
        <v>0</v>
      </c>
    </row>
    <row r="38" spans="2:34" s="119" customFormat="1" x14ac:dyDescent="0.25">
      <c r="B38" s="120" t="s">
        <v>155</v>
      </c>
      <c r="C38" s="224">
        <f>IFERROR(_xlfn.XLOOKUP(B38,'Limite de crédito'!C:C,'Limite de crédito'!L:L,),0)</f>
        <v>0</v>
      </c>
      <c r="D38" s="127"/>
      <c r="E38" s="18">
        <f>_xlfn.XLOOKUP(B38,'Limite de crédito'!C:C,'Limite de crédito'!G:G,0)</f>
        <v>0</v>
      </c>
      <c r="F38" s="121">
        <f t="shared" si="6"/>
        <v>0</v>
      </c>
      <c r="G38" s="121">
        <f t="shared" si="7"/>
        <v>0</v>
      </c>
      <c r="H38" s="122">
        <f>SUMIFS('Data Additive'!$D:$D,'Data Additive'!$P:$P,'Painel Additive'!$B38,'Data Additive'!$Q:$Q,"&gt;0",'Data Additive'!$Q:$Q,"&lt;=30")</f>
        <v>0</v>
      </c>
      <c r="I38" s="122">
        <f>SUMIFS('Data Additive'!$D:$D,'Data Additive'!$P:$P,'Painel Additive'!$B38,'Data Additive'!$Q:$Q,"&gt;30",'Data Additive'!$Q:$Q,"&lt;=60")</f>
        <v>0</v>
      </c>
      <c r="J38" s="122">
        <f>SUMIFS('Data Additive'!$D:$D,'Data Additive'!$P:$P,'Painel Additive'!$B38,'Data Additive'!$Q:$Q,"&gt;60",'Data Additive'!$Q:$Q,"&lt;=90")</f>
        <v>0</v>
      </c>
      <c r="K38" s="122">
        <f>SUMIFS('Data Additive'!$D:$D,'Data Additive'!$P:$P,'Painel Additive'!$B38,'Data Additive'!$Q:$Q,"&gt;90",'Data Additive'!$Q:$Q,"&lt;=120")</f>
        <v>0</v>
      </c>
      <c r="L38" s="122">
        <f>SUMIFS('Data Additive'!$D:$D,'Data Additive'!$P:$P,'Painel Additive'!$B38,'Data Additive'!$Q:$Q,"&gt;120",'Data Additive'!$Q:$Q,"&lt;=180")</f>
        <v>0</v>
      </c>
      <c r="M38" s="122">
        <f>SUMIFS('Data Additive'!$D:$D,'Data Additive'!$P:$P,'Painel Additive'!$B38,'Data Additive'!$Q:$Q,"&gt;180",'Data Additive'!$Q:$Q,"&lt;=360")</f>
        <v>0</v>
      </c>
      <c r="N38" s="123">
        <f>SUMIFS('Data Additive'!$D:$D,'Data Additive'!$P:$P,'Painel Additive'!$B38,'Data Additive'!$Q:$Q,"&gt;360")</f>
        <v>0</v>
      </c>
      <c r="O38" s="122">
        <f>SUMIFS('Data Additive'!$D:$D,'Data Additive'!$P:$P,'Painel Additive'!$B38,'Data Additive'!$Q:$Q,"&gt;0")</f>
        <v>0</v>
      </c>
      <c r="P38" s="122">
        <f t="shared" si="5"/>
        <v>0</v>
      </c>
      <c r="Q38" s="122">
        <f>SUMIFS('Data Additive'!$D:$D,'Data Additive'!$P:$P,'Painel Additive'!$B38,'Data Additive'!$Q:$Q,"&lt;=0",'Data Additive'!$Q:$Q,"&gt;=-30")</f>
        <v>0</v>
      </c>
      <c r="R38" s="122">
        <f>SUMIFS('Data Additive'!$D:$D,'Data Additive'!$P:$P,'Painel Additive'!$B38,'Data Additive'!$Q:$Q,"&lt;=-31",'Data Additive'!$Q:$Q,"&gt;=-60")</f>
        <v>0</v>
      </c>
      <c r="S38" s="122">
        <f>SUMIFS('Data Additive'!$D:$D,'Data Additive'!$P:$P,'Painel Additive'!$B38,'Data Additive'!$Q:$Q,"&lt;=-61",'Data Additive'!$Q:$Q,"&gt;=-90")</f>
        <v>0</v>
      </c>
      <c r="T38" s="122">
        <f>SUMIFS('Data Additive'!$D:$D,'Data Additive'!$P:$P,'Painel Additive'!$B38,'Data Additive'!$Q:$Q,"&lt;=-91",'Data Additive'!$Q:$Q,"&gt;=-120")</f>
        <v>0</v>
      </c>
      <c r="U38" s="122">
        <f>SUMIFS('Data Additive'!$D:$D,'Data Additive'!$P:$P,'Painel Additive'!$B38,'Data Additive'!$Q:$Q,"&lt;=-121",'Data Additive'!$Q:$Q,"&gt;=-180")</f>
        <v>0</v>
      </c>
      <c r="V38" s="122">
        <f>SUMIFS('Data Additive'!$D:$D,'Data Additive'!$P:$P,'Painel Additive'!$B38,'Data Additive'!$Q:$Q,"&lt;=-181",'Data Additive'!$Q:$Q,"&gt;=-360")</f>
        <v>0</v>
      </c>
      <c r="W38" s="123">
        <f>SUMIFS('Data Additive'!$D:$D,'Data Additive'!$P:$P,'Painel Additive'!$B38,'Data Additive'!$Q:$Q,"&lt;-360")</f>
        <v>0</v>
      </c>
      <c r="X38" s="19">
        <f>SUMIFS('Bad Debt Provision'!AB:AB,'Bad Debt Provision'!B:B,'Painel Additive'!B38)</f>
        <v>0</v>
      </c>
      <c r="Y38" s="124"/>
      <c r="Z38" s="124"/>
      <c r="AA38" s="19">
        <f>IFERROR(_xlfn.XLOOKUP(B38,'Limite de crédito'!C:C,'Limite de crédito'!O:O,),0)</f>
        <v>0</v>
      </c>
      <c r="AB38" s="122"/>
      <c r="AC38" s="125"/>
      <c r="AD38" s="126"/>
      <c r="AE38" s="126"/>
      <c r="AF38" s="124"/>
      <c r="AG38" s="105">
        <f t="shared" si="2"/>
        <v>0</v>
      </c>
      <c r="AH38" s="124"/>
    </row>
    <row r="39" spans="2:34" s="119" customFormat="1" x14ac:dyDescent="0.25">
      <c r="B39" s="120" t="s">
        <v>145</v>
      </c>
      <c r="C39" s="224">
        <f>IFERROR(_xlfn.XLOOKUP(B39,'Limite de crédito'!C:C,'Limite de crédito'!L:L,),0)</f>
        <v>0</v>
      </c>
      <c r="D39" s="127"/>
      <c r="E39" s="18">
        <f>_xlfn.XLOOKUP(B39,'Limite de crédito'!C:C,'Limite de crédito'!G:G,0)</f>
        <v>0</v>
      </c>
      <c r="F39" s="121">
        <f t="shared" si="6"/>
        <v>0</v>
      </c>
      <c r="G39" s="121">
        <f t="shared" si="7"/>
        <v>0</v>
      </c>
      <c r="H39" s="122">
        <f>SUMIFS('Data Additive'!$D:$D,'Data Additive'!$P:$P,'Painel Additive'!$B39,'Data Additive'!$Q:$Q,"&gt;0",'Data Additive'!$Q:$Q,"&lt;=30")</f>
        <v>0</v>
      </c>
      <c r="I39" s="122">
        <f>SUMIFS('Data Additive'!$D:$D,'Data Additive'!$P:$P,'Painel Additive'!$B39,'Data Additive'!$Q:$Q,"&gt;30",'Data Additive'!$Q:$Q,"&lt;=60")</f>
        <v>0</v>
      </c>
      <c r="J39" s="122">
        <f>SUMIFS('Data Additive'!$D:$D,'Data Additive'!$P:$P,'Painel Additive'!$B39,'Data Additive'!$Q:$Q,"&gt;60",'Data Additive'!$Q:$Q,"&lt;=90")</f>
        <v>0</v>
      </c>
      <c r="K39" s="122">
        <f>SUMIFS('Data Additive'!$D:$D,'Data Additive'!$P:$P,'Painel Additive'!$B39,'Data Additive'!$Q:$Q,"&gt;90",'Data Additive'!$Q:$Q,"&lt;=120")</f>
        <v>0</v>
      </c>
      <c r="L39" s="122">
        <f>SUMIFS('Data Additive'!$D:$D,'Data Additive'!$P:$P,'Painel Additive'!$B39,'Data Additive'!$Q:$Q,"&gt;120",'Data Additive'!$Q:$Q,"&lt;=180")</f>
        <v>0</v>
      </c>
      <c r="M39" s="122">
        <f>SUMIFS('Data Additive'!$D:$D,'Data Additive'!$P:$P,'Painel Additive'!$B39,'Data Additive'!$Q:$Q,"&gt;180",'Data Additive'!$Q:$Q,"&lt;=360")</f>
        <v>0</v>
      </c>
      <c r="N39" s="123">
        <f>SUMIFS('Data Additive'!$D:$D,'Data Additive'!$P:$P,'Painel Additive'!$B39,'Data Additive'!$Q:$Q,"&gt;360")</f>
        <v>0</v>
      </c>
      <c r="O39" s="122">
        <f>SUMIFS('Data Additive'!$D:$D,'Data Additive'!$P:$P,'Painel Additive'!$B39,'Data Additive'!$Q:$Q,"&gt;0")</f>
        <v>0</v>
      </c>
      <c r="P39" s="122">
        <f t="shared" si="5"/>
        <v>0</v>
      </c>
      <c r="Q39" s="122">
        <f>SUMIFS('Data Additive'!$D:$D,'Data Additive'!$P:$P,'Painel Additive'!$B39,'Data Additive'!$Q:$Q,"&lt;=0",'Data Additive'!$Q:$Q,"&gt;=-30")</f>
        <v>0</v>
      </c>
      <c r="R39" s="122">
        <f>SUMIFS('Data Additive'!$D:$D,'Data Additive'!$P:$P,'Painel Additive'!$B39,'Data Additive'!$Q:$Q,"&lt;=-31",'Data Additive'!$Q:$Q,"&gt;=-60")</f>
        <v>0</v>
      </c>
      <c r="S39" s="122">
        <f>SUMIFS('Data Additive'!$D:$D,'Data Additive'!$P:$P,'Painel Additive'!$B39,'Data Additive'!$Q:$Q,"&lt;=-61",'Data Additive'!$Q:$Q,"&gt;=-90")</f>
        <v>0</v>
      </c>
      <c r="T39" s="122">
        <f>SUMIFS('Data Additive'!$D:$D,'Data Additive'!$P:$P,'Painel Additive'!$B39,'Data Additive'!$Q:$Q,"&lt;=-91",'Data Additive'!$Q:$Q,"&gt;=-120")</f>
        <v>0</v>
      </c>
      <c r="U39" s="122">
        <f>SUMIFS('Data Additive'!$D:$D,'Data Additive'!$P:$P,'Painel Additive'!$B39,'Data Additive'!$Q:$Q,"&lt;=-121",'Data Additive'!$Q:$Q,"&gt;=-180")</f>
        <v>0</v>
      </c>
      <c r="V39" s="122">
        <f>SUMIFS('Data Additive'!$D:$D,'Data Additive'!$P:$P,'Painel Additive'!$B39,'Data Additive'!$Q:$Q,"&lt;=-181",'Data Additive'!$Q:$Q,"&gt;=-360")</f>
        <v>0</v>
      </c>
      <c r="W39" s="123">
        <f>SUMIFS('Data Additive'!$D:$D,'Data Additive'!$P:$P,'Painel Additive'!$B39,'Data Additive'!$Q:$Q,"&lt;-360")</f>
        <v>0</v>
      </c>
      <c r="X39" s="19">
        <f>SUMIFS('Bad Debt Provision'!AB:AB,'Bad Debt Provision'!B:B,'Painel Additive'!B39)</f>
        <v>0</v>
      </c>
      <c r="Y39" s="124"/>
      <c r="Z39" s="124"/>
      <c r="AA39" s="19">
        <f>IFERROR(_xlfn.XLOOKUP(B39,'Limite de crédito'!C:C,'Limite de crédito'!O:O,),0)</f>
        <v>0</v>
      </c>
      <c r="AB39" s="122"/>
      <c r="AC39" s="125"/>
      <c r="AD39" s="126"/>
      <c r="AE39" s="126"/>
      <c r="AF39" s="124"/>
      <c r="AG39" s="105">
        <f t="shared" si="2"/>
        <v>0</v>
      </c>
      <c r="AH39" s="124"/>
    </row>
    <row r="40" spans="2:34" s="119" customFormat="1" x14ac:dyDescent="0.25">
      <c r="B40" s="120" t="s">
        <v>175</v>
      </c>
      <c r="C40" s="224">
        <f>IFERROR(_xlfn.XLOOKUP(B40,'Limite de crédito'!C:C,'Limite de crédito'!L:L,),0)</f>
        <v>0</v>
      </c>
      <c r="D40" s="127"/>
      <c r="E40" s="18">
        <f>_xlfn.XLOOKUP(B40,'Limite de crédito'!C:C,'Limite de crédito'!G:G,0)</f>
        <v>0</v>
      </c>
      <c r="F40" s="121">
        <f t="shared" si="6"/>
        <v>0</v>
      </c>
      <c r="G40" s="121">
        <f t="shared" si="7"/>
        <v>0</v>
      </c>
      <c r="H40" s="122">
        <f>SUMIFS('Data Additive'!$D:$D,'Data Additive'!$P:$P,'Painel Additive'!$B40,'Data Additive'!$Q:$Q,"&gt;0",'Data Additive'!$Q:$Q,"&lt;=30")</f>
        <v>0</v>
      </c>
      <c r="I40" s="122">
        <f>SUMIFS('Data Additive'!$D:$D,'Data Additive'!$P:$P,'Painel Additive'!$B40,'Data Additive'!$Q:$Q,"&gt;30",'Data Additive'!$Q:$Q,"&lt;=60")</f>
        <v>0</v>
      </c>
      <c r="J40" s="122">
        <f>SUMIFS('Data Additive'!$D:$D,'Data Additive'!$P:$P,'Painel Additive'!$B40,'Data Additive'!$Q:$Q,"&gt;60",'Data Additive'!$Q:$Q,"&lt;=90")</f>
        <v>0</v>
      </c>
      <c r="K40" s="122">
        <f>SUMIFS('Data Additive'!$D:$D,'Data Additive'!$P:$P,'Painel Additive'!$B40,'Data Additive'!$Q:$Q,"&gt;90",'Data Additive'!$Q:$Q,"&lt;=120")</f>
        <v>0</v>
      </c>
      <c r="L40" s="122">
        <f>SUMIFS('Data Additive'!$D:$D,'Data Additive'!$P:$P,'Painel Additive'!$B40,'Data Additive'!$Q:$Q,"&gt;120",'Data Additive'!$Q:$Q,"&lt;=180")</f>
        <v>0</v>
      </c>
      <c r="M40" s="122">
        <f>SUMIFS('Data Additive'!$D:$D,'Data Additive'!$P:$P,'Painel Additive'!$B40,'Data Additive'!$Q:$Q,"&gt;180",'Data Additive'!$Q:$Q,"&lt;=360")</f>
        <v>0</v>
      </c>
      <c r="N40" s="123">
        <f>SUMIFS('Data Additive'!$D:$D,'Data Additive'!$P:$P,'Painel Additive'!$B40,'Data Additive'!$Q:$Q,"&gt;360")</f>
        <v>0</v>
      </c>
      <c r="O40" s="122">
        <f>SUMIFS('Data Additive'!$D:$D,'Data Additive'!$P:$P,'Painel Additive'!$B40,'Data Additive'!$Q:$Q,"&gt;0")</f>
        <v>0</v>
      </c>
      <c r="P40" s="122">
        <f t="shared" si="5"/>
        <v>0</v>
      </c>
      <c r="Q40" s="122">
        <f>SUMIFS('Data Additive'!$D:$D,'Data Additive'!$P:$P,'Painel Additive'!$B40,'Data Additive'!$Q:$Q,"&lt;=0",'Data Additive'!$Q:$Q,"&gt;=-30")</f>
        <v>0</v>
      </c>
      <c r="R40" s="122">
        <f>SUMIFS('Data Additive'!$D:$D,'Data Additive'!$P:$P,'Painel Additive'!$B40,'Data Additive'!$Q:$Q,"&lt;=-31",'Data Additive'!$Q:$Q,"&gt;=-60")</f>
        <v>0</v>
      </c>
      <c r="S40" s="122">
        <f>SUMIFS('Data Additive'!$D:$D,'Data Additive'!$P:$P,'Painel Additive'!$B40,'Data Additive'!$Q:$Q,"&lt;=-61",'Data Additive'!$Q:$Q,"&gt;=-90")</f>
        <v>0</v>
      </c>
      <c r="T40" s="122">
        <f>SUMIFS('Data Additive'!$D:$D,'Data Additive'!$P:$P,'Painel Additive'!$B40,'Data Additive'!$Q:$Q,"&lt;=-91",'Data Additive'!$Q:$Q,"&gt;=-120")</f>
        <v>0</v>
      </c>
      <c r="U40" s="122">
        <f>SUMIFS('Data Additive'!$D:$D,'Data Additive'!$P:$P,'Painel Additive'!$B40,'Data Additive'!$Q:$Q,"&lt;=-121",'Data Additive'!$Q:$Q,"&gt;=-180")</f>
        <v>0</v>
      </c>
      <c r="V40" s="122">
        <f>SUMIFS('Data Additive'!$D:$D,'Data Additive'!$P:$P,'Painel Additive'!$B40,'Data Additive'!$Q:$Q,"&lt;=-181",'Data Additive'!$Q:$Q,"&gt;=-360")</f>
        <v>0</v>
      </c>
      <c r="W40" s="123">
        <f>SUMIFS('Data Additive'!$D:$D,'Data Additive'!$P:$P,'Painel Additive'!$B40,'Data Additive'!$Q:$Q,"&lt;-360")</f>
        <v>0</v>
      </c>
      <c r="X40" s="19">
        <f>SUMIFS('Bad Debt Provision'!AB:AB,'Bad Debt Provision'!B:B,'Painel Additive'!B40)</f>
        <v>0</v>
      </c>
      <c r="Y40" s="124"/>
      <c r="Z40" s="124"/>
      <c r="AA40" s="19">
        <f>IFERROR(_xlfn.XLOOKUP(B40,'Limite de crédito'!C:C,'Limite de crédito'!O:O,),0)</f>
        <v>0</v>
      </c>
      <c r="AB40" s="122"/>
      <c r="AC40" s="125"/>
      <c r="AD40" s="126"/>
      <c r="AE40" s="126"/>
      <c r="AF40" s="124"/>
      <c r="AG40" s="105">
        <f t="shared" si="2"/>
        <v>0</v>
      </c>
      <c r="AH40" s="124"/>
    </row>
    <row r="41" spans="2:34" s="119" customFormat="1" x14ac:dyDescent="0.25">
      <c r="B41" s="120" t="s">
        <v>273</v>
      </c>
      <c r="C41" s="224">
        <f>IFERROR(_xlfn.XLOOKUP(B41,'Limite de crédito'!C:C,'Limite de crédito'!L:L,),0)</f>
        <v>0</v>
      </c>
      <c r="D41" s="127"/>
      <c r="E41" s="18">
        <f>_xlfn.XLOOKUP(B41,'Limite de crédito'!C:C,'Limite de crédito'!G:G,0)</f>
        <v>0</v>
      </c>
      <c r="F41" s="121">
        <f t="shared" si="6"/>
        <v>0</v>
      </c>
      <c r="G41" s="121">
        <f t="shared" si="7"/>
        <v>0</v>
      </c>
      <c r="H41" s="122">
        <f>SUMIFS('Data Additive'!$D:$D,'Data Additive'!$P:$P,'Painel Additive'!$B41,'Data Additive'!$Q:$Q,"&gt;0",'Data Additive'!$Q:$Q,"&lt;=30")</f>
        <v>0</v>
      </c>
      <c r="I41" s="122">
        <f>SUMIFS('Data Additive'!$D:$D,'Data Additive'!$P:$P,'Painel Additive'!$B41,'Data Additive'!$Q:$Q,"&gt;30",'Data Additive'!$Q:$Q,"&lt;=60")</f>
        <v>0</v>
      </c>
      <c r="J41" s="122">
        <f>SUMIFS('Data Additive'!$D:$D,'Data Additive'!$P:$P,'Painel Additive'!$B41,'Data Additive'!$Q:$Q,"&gt;60",'Data Additive'!$Q:$Q,"&lt;=90")</f>
        <v>0</v>
      </c>
      <c r="K41" s="122">
        <f>SUMIFS('Data Additive'!$D:$D,'Data Additive'!$P:$P,'Painel Additive'!$B41,'Data Additive'!$Q:$Q,"&gt;90",'Data Additive'!$Q:$Q,"&lt;=120")</f>
        <v>0</v>
      </c>
      <c r="L41" s="122">
        <f>SUMIFS('Data Additive'!$D:$D,'Data Additive'!$P:$P,'Painel Additive'!$B41,'Data Additive'!$Q:$Q,"&gt;120",'Data Additive'!$Q:$Q,"&lt;=180")</f>
        <v>0</v>
      </c>
      <c r="M41" s="122">
        <f>SUMIFS('Data Additive'!$D:$D,'Data Additive'!$P:$P,'Painel Additive'!$B41,'Data Additive'!$Q:$Q,"&gt;180",'Data Additive'!$Q:$Q,"&lt;=360")</f>
        <v>0</v>
      </c>
      <c r="N41" s="123">
        <f>SUMIFS('Data Additive'!$D:$D,'Data Additive'!$P:$P,'Painel Additive'!$B41,'Data Additive'!$Q:$Q,"&gt;360")</f>
        <v>0</v>
      </c>
      <c r="O41" s="122">
        <f>SUMIFS('Data Additive'!$D:$D,'Data Additive'!$P:$P,'Painel Additive'!$B41,'Data Additive'!$Q:$Q,"&gt;0")</f>
        <v>0</v>
      </c>
      <c r="P41" s="122">
        <f t="shared" si="5"/>
        <v>0</v>
      </c>
      <c r="Q41" s="122">
        <f>SUMIFS('Data Additive'!$D:$D,'Data Additive'!$P:$P,'Painel Additive'!$B41,'Data Additive'!$Q:$Q,"&lt;=0",'Data Additive'!$Q:$Q,"&gt;=-30")</f>
        <v>0</v>
      </c>
      <c r="R41" s="122">
        <f>SUMIFS('Data Additive'!$D:$D,'Data Additive'!$P:$P,'Painel Additive'!$B41,'Data Additive'!$Q:$Q,"&lt;=-31",'Data Additive'!$Q:$Q,"&gt;=-60")</f>
        <v>0</v>
      </c>
      <c r="S41" s="122">
        <f>SUMIFS('Data Additive'!$D:$D,'Data Additive'!$P:$P,'Painel Additive'!$B41,'Data Additive'!$Q:$Q,"&lt;=-61",'Data Additive'!$Q:$Q,"&gt;=-90")</f>
        <v>0</v>
      </c>
      <c r="T41" s="122">
        <f>SUMIFS('Data Additive'!$D:$D,'Data Additive'!$P:$P,'Painel Additive'!$B41,'Data Additive'!$Q:$Q,"&lt;=-91",'Data Additive'!$Q:$Q,"&gt;=-120")</f>
        <v>0</v>
      </c>
      <c r="U41" s="122">
        <f>SUMIFS('Data Additive'!$D:$D,'Data Additive'!$P:$P,'Painel Additive'!$B41,'Data Additive'!$Q:$Q,"&lt;=-121",'Data Additive'!$Q:$Q,"&gt;=-180")</f>
        <v>0</v>
      </c>
      <c r="V41" s="122">
        <f>SUMIFS('Data Additive'!$D:$D,'Data Additive'!$P:$P,'Painel Additive'!$B41,'Data Additive'!$Q:$Q,"&lt;=-181",'Data Additive'!$Q:$Q,"&gt;=-360")</f>
        <v>0</v>
      </c>
      <c r="W41" s="123">
        <f>SUMIFS('Data Additive'!$D:$D,'Data Additive'!$P:$P,'Painel Additive'!$B41,'Data Additive'!$Q:$Q,"&lt;-360")</f>
        <v>0</v>
      </c>
      <c r="X41" s="19">
        <f>SUMIFS('Bad Debt Provision'!AB:AB,'Bad Debt Provision'!B:B,'Painel Additive'!B41)</f>
        <v>0</v>
      </c>
      <c r="Y41" s="124"/>
      <c r="Z41" s="124"/>
      <c r="AA41" s="19">
        <f>IFERROR(_xlfn.XLOOKUP(B41,'Limite de crédito'!C:C,'Limite de crédito'!O:O,),0)</f>
        <v>0</v>
      </c>
      <c r="AB41" s="122"/>
      <c r="AC41" s="125"/>
      <c r="AD41" s="126"/>
      <c r="AE41" s="126"/>
      <c r="AF41" s="124"/>
      <c r="AG41" s="105">
        <f t="shared" si="2"/>
        <v>0</v>
      </c>
    </row>
    <row r="42" spans="2:34" s="119" customFormat="1" x14ac:dyDescent="0.25">
      <c r="B42" s="120" t="s">
        <v>383</v>
      </c>
      <c r="C42" s="224">
        <f>IFERROR(_xlfn.XLOOKUP(B42,'Limite de crédito'!C:C,'Limite de crédito'!L:L,),0)</f>
        <v>0</v>
      </c>
      <c r="D42" s="127"/>
      <c r="E42" s="18">
        <f>_xlfn.XLOOKUP(B42,'Limite de crédito'!C:C,'Limite de crédito'!G:G,0)</f>
        <v>0</v>
      </c>
      <c r="F42" s="121">
        <f>E42-G42</f>
        <v>-300</v>
      </c>
      <c r="G42" s="121">
        <f>P42+O42</f>
        <v>300</v>
      </c>
      <c r="H42" s="122">
        <f>SUMIFS('Data Additive'!$D:$D,'Data Additive'!$P:$P,'Painel Additive'!$B42,'Data Additive'!$Q:$Q,"&gt;0",'Data Additive'!$Q:$Q,"&lt;=30")</f>
        <v>0</v>
      </c>
      <c r="I42" s="122">
        <f>SUMIFS('Data Additive'!$D:$D,'Data Additive'!$P:$P,'Painel Additive'!$B42,'Data Additive'!$Q:$Q,"&gt;30",'Data Additive'!$Q:$Q,"&lt;=60")</f>
        <v>0</v>
      </c>
      <c r="J42" s="122">
        <f>SUMIFS('Data Additive'!$D:$D,'Data Additive'!$P:$P,'Painel Additive'!$B42,'Data Additive'!$Q:$Q,"&gt;60",'Data Additive'!$Q:$Q,"&lt;=90")</f>
        <v>0</v>
      </c>
      <c r="K42" s="122">
        <f>SUMIFS('Data Additive'!$D:$D,'Data Additive'!$P:$P,'Painel Additive'!$B42,'Data Additive'!$Q:$Q,"&gt;90",'Data Additive'!$Q:$Q,"&lt;=120")</f>
        <v>0</v>
      </c>
      <c r="L42" s="122">
        <f>SUMIFS('Data Additive'!$D:$D,'Data Additive'!$P:$P,'Painel Additive'!$B42,'Data Additive'!$Q:$Q,"&gt;120",'Data Additive'!$Q:$Q,"&lt;=180")</f>
        <v>0</v>
      </c>
      <c r="M42" s="122">
        <f>SUMIFS('Data Additive'!$D:$D,'Data Additive'!$P:$P,'Painel Additive'!$B42,'Data Additive'!$Q:$Q,"&gt;180",'Data Additive'!$Q:$Q,"&lt;=360")</f>
        <v>0</v>
      </c>
      <c r="N42" s="123">
        <f>SUMIFS('Data Additive'!$D:$D,'Data Additive'!$P:$P,'Painel Additive'!$B42,'Data Additive'!$Q:$Q,"&gt;360")</f>
        <v>300</v>
      </c>
      <c r="O42" s="122">
        <f>SUMIFS('Data Additive'!$D:$D,'Data Additive'!$P:$P,'Painel Additive'!$B42,'Data Additive'!$Q:$Q,"&gt;0")</f>
        <v>300</v>
      </c>
      <c r="P42" s="122">
        <f t="shared" si="5"/>
        <v>0</v>
      </c>
      <c r="Q42" s="122">
        <f>SUMIFS('Data Additive'!$D:$D,'Data Additive'!$P:$P,'Painel Additive'!$B42,'Data Additive'!$Q:$Q,"&lt;=0",'Data Additive'!$Q:$Q,"&gt;=-30")</f>
        <v>0</v>
      </c>
      <c r="R42" s="122">
        <f>SUMIFS('Data Additive'!$D:$D,'Data Additive'!$P:$P,'Painel Additive'!$B42,'Data Additive'!$Q:$Q,"&lt;=-31",'Data Additive'!$Q:$Q,"&gt;=-60")</f>
        <v>0</v>
      </c>
      <c r="S42" s="122">
        <f>SUMIFS('Data Additive'!$D:$D,'Data Additive'!$P:$P,'Painel Additive'!$B42,'Data Additive'!$Q:$Q,"&lt;=-61",'Data Additive'!$Q:$Q,"&gt;=-90")</f>
        <v>0</v>
      </c>
      <c r="T42" s="122">
        <f>SUMIFS('Data Additive'!$D:$D,'Data Additive'!$P:$P,'Painel Additive'!$B42,'Data Additive'!$Q:$Q,"&lt;=-91",'Data Additive'!$Q:$Q,"&gt;=-120")</f>
        <v>0</v>
      </c>
      <c r="U42" s="122">
        <f>SUMIFS('Data Additive'!$D:$D,'Data Additive'!$P:$P,'Painel Additive'!$B42,'Data Additive'!$Q:$Q,"&lt;=-121",'Data Additive'!$Q:$Q,"&gt;=-180")</f>
        <v>0</v>
      </c>
      <c r="V42" s="122">
        <f>SUMIFS('Data Additive'!$D:$D,'Data Additive'!$P:$P,'Painel Additive'!$B42,'Data Additive'!$Q:$Q,"&lt;=-181",'Data Additive'!$Q:$Q,"&gt;=-360")</f>
        <v>0</v>
      </c>
      <c r="W42" s="123">
        <f>SUMIFS('Data Additive'!$D:$D,'Data Additive'!$P:$P,'Painel Additive'!$B42,'Data Additive'!$Q:$Q,"&lt;-360")</f>
        <v>0</v>
      </c>
      <c r="X42" s="19">
        <f>SUMIFS('Bad Debt Provision'!AB:AB,'Bad Debt Provision'!B:B,'Painel Additive'!B42)</f>
        <v>300</v>
      </c>
      <c r="Y42" s="124"/>
      <c r="Z42" s="124"/>
      <c r="AA42" s="19">
        <f>IFERROR(_xlfn.XLOOKUP(B42,'Limite de crédito'!C:C,'Limite de crédito'!O:O,),0)</f>
        <v>0</v>
      </c>
      <c r="AB42" s="122"/>
      <c r="AC42" s="125"/>
      <c r="AD42" s="126"/>
      <c r="AE42" s="126"/>
      <c r="AF42" s="124"/>
      <c r="AG42" s="105">
        <f t="shared" si="2"/>
        <v>-300</v>
      </c>
    </row>
    <row r="43" spans="2:34" s="119" customFormat="1" x14ac:dyDescent="0.25">
      <c r="B43" s="120" t="s">
        <v>137</v>
      </c>
      <c r="C43" s="224">
        <f>IFERROR(_xlfn.XLOOKUP(B43,'Limite de crédito'!C:C,'Limite de crédito'!L:L,),0)</f>
        <v>0</v>
      </c>
      <c r="D43" s="127"/>
      <c r="E43" s="18">
        <f>_xlfn.XLOOKUP(B43,'Limite de crédito'!C:C,'Limite de crédito'!G:G,0)</f>
        <v>0</v>
      </c>
      <c r="F43" s="121">
        <f t="shared" si="6"/>
        <v>0</v>
      </c>
      <c r="G43" s="121">
        <f t="shared" si="7"/>
        <v>0</v>
      </c>
      <c r="H43" s="122">
        <f>SUMIFS('Data Additive'!$D:$D,'Data Additive'!$P:$P,'Painel Additive'!$B43,'Data Additive'!$Q:$Q,"&gt;0",'Data Additive'!$Q:$Q,"&lt;=30")</f>
        <v>0</v>
      </c>
      <c r="I43" s="122">
        <f>SUMIFS('Data Additive'!$D:$D,'Data Additive'!$P:$P,'Painel Additive'!$B43,'Data Additive'!$Q:$Q,"&gt;30",'Data Additive'!$Q:$Q,"&lt;=60")</f>
        <v>0</v>
      </c>
      <c r="J43" s="122">
        <f>SUMIFS('Data Additive'!$D:$D,'Data Additive'!$P:$P,'Painel Additive'!$B43,'Data Additive'!$Q:$Q,"&gt;60",'Data Additive'!$Q:$Q,"&lt;=90")</f>
        <v>0</v>
      </c>
      <c r="K43" s="122">
        <f>SUMIFS('Data Additive'!$D:$D,'Data Additive'!$P:$P,'Painel Additive'!$B43,'Data Additive'!$Q:$Q,"&gt;90",'Data Additive'!$Q:$Q,"&lt;=120")</f>
        <v>0</v>
      </c>
      <c r="L43" s="122">
        <f>SUMIFS('Data Additive'!$D:$D,'Data Additive'!$P:$P,'Painel Additive'!$B43,'Data Additive'!$Q:$Q,"&gt;120",'Data Additive'!$Q:$Q,"&lt;=180")</f>
        <v>0</v>
      </c>
      <c r="M43" s="122">
        <f>SUMIFS('Data Additive'!$D:$D,'Data Additive'!$P:$P,'Painel Additive'!$B43,'Data Additive'!$Q:$Q,"&gt;180",'Data Additive'!$Q:$Q,"&lt;=360")</f>
        <v>0</v>
      </c>
      <c r="N43" s="123">
        <f>SUMIFS('Data Additive'!$D:$D,'Data Additive'!$P:$P,'Painel Additive'!$B43,'Data Additive'!$Q:$Q,"&gt;360")</f>
        <v>0</v>
      </c>
      <c r="O43" s="122">
        <f>SUMIFS('Data Additive'!$D:$D,'Data Additive'!$P:$P,'Painel Additive'!$B43,'Data Additive'!$Q:$Q,"&gt;0")</f>
        <v>0</v>
      </c>
      <c r="P43" s="122">
        <f t="shared" si="5"/>
        <v>0</v>
      </c>
      <c r="Q43" s="122">
        <f>SUMIFS('Data Additive'!$D:$D,'Data Additive'!$P:$P,'Painel Additive'!$B43,'Data Additive'!$Q:$Q,"&lt;=0",'Data Additive'!$Q:$Q,"&gt;=-30")</f>
        <v>0</v>
      </c>
      <c r="R43" s="122">
        <f>SUMIFS('Data Additive'!$D:$D,'Data Additive'!$P:$P,'Painel Additive'!$B43,'Data Additive'!$Q:$Q,"&lt;=-31",'Data Additive'!$Q:$Q,"&gt;=-60")</f>
        <v>0</v>
      </c>
      <c r="S43" s="122">
        <f>SUMIFS('Data Additive'!$D:$D,'Data Additive'!$P:$P,'Painel Additive'!$B43,'Data Additive'!$Q:$Q,"&lt;=-61",'Data Additive'!$Q:$Q,"&gt;=-90")</f>
        <v>0</v>
      </c>
      <c r="T43" s="122">
        <f>SUMIFS('Data Additive'!$D:$D,'Data Additive'!$P:$P,'Painel Additive'!$B43,'Data Additive'!$Q:$Q,"&lt;=-91",'Data Additive'!$Q:$Q,"&gt;=-120")</f>
        <v>0</v>
      </c>
      <c r="U43" s="122">
        <f>SUMIFS('Data Additive'!$D:$D,'Data Additive'!$P:$P,'Painel Additive'!$B43,'Data Additive'!$Q:$Q,"&lt;=-121",'Data Additive'!$Q:$Q,"&gt;=-180")</f>
        <v>0</v>
      </c>
      <c r="V43" s="122">
        <f>SUMIFS('Data Additive'!$D:$D,'Data Additive'!$P:$P,'Painel Additive'!$B43,'Data Additive'!$Q:$Q,"&lt;=-181",'Data Additive'!$Q:$Q,"&gt;=-360")</f>
        <v>0</v>
      </c>
      <c r="W43" s="123">
        <f>SUMIFS('Data Additive'!$D:$D,'Data Additive'!$P:$P,'Painel Additive'!$B43,'Data Additive'!$Q:$Q,"&lt;-360")</f>
        <v>0</v>
      </c>
      <c r="X43" s="19">
        <f>SUMIFS('Bad Debt Provision'!AB:AB,'Bad Debt Provision'!B:B,'Painel Additive'!B43)</f>
        <v>0</v>
      </c>
      <c r="Y43" s="124"/>
      <c r="Z43" s="124"/>
      <c r="AA43" s="19">
        <f>IFERROR(_xlfn.XLOOKUP(B43,'Limite de crédito'!C:C,'Limite de crédito'!O:O,),0)</f>
        <v>0</v>
      </c>
      <c r="AB43" s="122"/>
      <c r="AC43" s="125"/>
      <c r="AD43" s="126"/>
      <c r="AE43" s="126"/>
      <c r="AF43" s="124"/>
      <c r="AG43" s="105">
        <f t="shared" si="2"/>
        <v>0</v>
      </c>
      <c r="AH43" s="124"/>
    </row>
    <row r="44" spans="2:34" s="119" customFormat="1" x14ac:dyDescent="0.25">
      <c r="B44" s="120" t="s">
        <v>265</v>
      </c>
      <c r="C44" s="224">
        <f>IFERROR(_xlfn.XLOOKUP(B44,'Limite de crédito'!C:C,'Limite de crédito'!L:L,),0)</f>
        <v>0</v>
      </c>
      <c r="D44" s="127"/>
      <c r="E44" s="18">
        <f>_xlfn.XLOOKUP(B44,'Limite de crédito'!C:C,'Limite de crédito'!G:G,0)</f>
        <v>0</v>
      </c>
      <c r="F44" s="121">
        <f t="shared" si="6"/>
        <v>-100</v>
      </c>
      <c r="G44" s="121">
        <f t="shared" si="7"/>
        <v>100</v>
      </c>
      <c r="H44" s="122">
        <f>SUMIFS('Data Additive'!$D:$D,'Data Additive'!$P:$P,'Painel Additive'!$B44,'Data Additive'!$Q:$Q,"&gt;0",'Data Additive'!$Q:$Q,"&lt;=30")</f>
        <v>0</v>
      </c>
      <c r="I44" s="122">
        <f>SUMIFS('Data Additive'!$D:$D,'Data Additive'!$P:$P,'Painel Additive'!$B44,'Data Additive'!$Q:$Q,"&gt;30",'Data Additive'!$Q:$Q,"&lt;=60")</f>
        <v>0</v>
      </c>
      <c r="J44" s="122">
        <f>SUMIFS('Data Additive'!$D:$D,'Data Additive'!$P:$P,'Painel Additive'!$B44,'Data Additive'!$Q:$Q,"&gt;60",'Data Additive'!$Q:$Q,"&lt;=90")</f>
        <v>0</v>
      </c>
      <c r="K44" s="122">
        <f>SUMIFS('Data Additive'!$D:$D,'Data Additive'!$P:$P,'Painel Additive'!$B44,'Data Additive'!$Q:$Q,"&gt;90",'Data Additive'!$Q:$Q,"&lt;=120")</f>
        <v>0</v>
      </c>
      <c r="L44" s="122">
        <f>SUMIFS('Data Additive'!$D:$D,'Data Additive'!$P:$P,'Painel Additive'!$B44,'Data Additive'!$Q:$Q,"&gt;120",'Data Additive'!$Q:$Q,"&lt;=180")</f>
        <v>0</v>
      </c>
      <c r="M44" s="122">
        <f>SUMIFS('Data Additive'!$D:$D,'Data Additive'!$P:$P,'Painel Additive'!$B44,'Data Additive'!$Q:$Q,"&gt;180",'Data Additive'!$Q:$Q,"&lt;=360")</f>
        <v>0</v>
      </c>
      <c r="N44" s="123">
        <f>SUMIFS('Data Additive'!$D:$D,'Data Additive'!$P:$P,'Painel Additive'!$B44,'Data Additive'!$Q:$Q,"&gt;360")</f>
        <v>100</v>
      </c>
      <c r="O44" s="122">
        <f>SUMIFS('Data Additive'!$D:$D,'Data Additive'!$P:$P,'Painel Additive'!$B44,'Data Additive'!$Q:$Q,"&gt;0")</f>
        <v>100</v>
      </c>
      <c r="P44" s="122">
        <f t="shared" si="5"/>
        <v>0</v>
      </c>
      <c r="Q44" s="122">
        <f>SUMIFS('Data Additive'!$D:$D,'Data Additive'!$P:$P,'Painel Additive'!$B44,'Data Additive'!$Q:$Q,"&lt;=0",'Data Additive'!$Q:$Q,"&gt;=-30")</f>
        <v>0</v>
      </c>
      <c r="R44" s="122">
        <f>SUMIFS('Data Additive'!$D:$D,'Data Additive'!$P:$P,'Painel Additive'!$B44,'Data Additive'!$Q:$Q,"&lt;=-31",'Data Additive'!$Q:$Q,"&gt;=-60")</f>
        <v>0</v>
      </c>
      <c r="S44" s="122">
        <f>SUMIFS('Data Additive'!$D:$D,'Data Additive'!$P:$P,'Painel Additive'!$B44,'Data Additive'!$Q:$Q,"&lt;=-61",'Data Additive'!$Q:$Q,"&gt;=-90")</f>
        <v>0</v>
      </c>
      <c r="T44" s="122">
        <f>SUMIFS('Data Additive'!$D:$D,'Data Additive'!$P:$P,'Painel Additive'!$B44,'Data Additive'!$Q:$Q,"&lt;=-91",'Data Additive'!$Q:$Q,"&gt;=-120")</f>
        <v>0</v>
      </c>
      <c r="U44" s="122">
        <f>SUMIFS('Data Additive'!$D:$D,'Data Additive'!$P:$P,'Painel Additive'!$B44,'Data Additive'!$Q:$Q,"&lt;=-121",'Data Additive'!$Q:$Q,"&gt;=-180")</f>
        <v>0</v>
      </c>
      <c r="V44" s="122">
        <f>SUMIFS('Data Additive'!$D:$D,'Data Additive'!$P:$P,'Painel Additive'!$B44,'Data Additive'!$Q:$Q,"&lt;=-181",'Data Additive'!$Q:$Q,"&gt;=-360")</f>
        <v>0</v>
      </c>
      <c r="W44" s="123">
        <f>SUMIFS('Data Additive'!$D:$D,'Data Additive'!$P:$P,'Painel Additive'!$B44,'Data Additive'!$Q:$Q,"&lt;-360")</f>
        <v>0</v>
      </c>
      <c r="X44" s="19">
        <f>SUMIFS('Bad Debt Provision'!AB:AB,'Bad Debt Provision'!B:B,'Painel Additive'!B44)</f>
        <v>100</v>
      </c>
      <c r="Y44" s="124"/>
      <c r="Z44" s="124"/>
      <c r="AA44" s="19">
        <f>IFERROR(_xlfn.XLOOKUP(B44,'Limite de crédito'!C:C,'Limite de crédito'!O:O,),0)</f>
        <v>0</v>
      </c>
      <c r="AB44" s="122"/>
      <c r="AC44" s="125"/>
      <c r="AD44" s="126"/>
      <c r="AE44" s="126"/>
      <c r="AF44" s="124"/>
      <c r="AG44" s="105">
        <f t="shared" si="2"/>
        <v>-100</v>
      </c>
    </row>
    <row r="45" spans="2:34" s="119" customFormat="1" ht="13.95" customHeight="1" x14ac:dyDescent="0.25">
      <c r="B45" s="120" t="s">
        <v>309</v>
      </c>
      <c r="C45" s="224">
        <f>IFERROR(_xlfn.XLOOKUP(B45,'Limite de crédito'!C:C,'Limite de crédito'!L:L,),0)</f>
        <v>0</v>
      </c>
      <c r="D45" s="127"/>
      <c r="E45" s="18">
        <f>_xlfn.XLOOKUP(B45,'Limite de crédito'!C:C,'Limite de crédito'!G:G,0)</f>
        <v>0</v>
      </c>
      <c r="F45" s="121">
        <f t="shared" si="6"/>
        <v>-50</v>
      </c>
      <c r="G45" s="121">
        <f t="shared" si="7"/>
        <v>50</v>
      </c>
      <c r="H45" s="122">
        <f>SUMIFS('Data Additive'!$D:$D,'Data Additive'!$P:$P,'Painel Additive'!$B45,'Data Additive'!$Q:$Q,"&gt;0",'Data Additive'!$Q:$Q,"&lt;=30")</f>
        <v>0</v>
      </c>
      <c r="I45" s="122">
        <f>SUMIFS('Data Additive'!$D:$D,'Data Additive'!$P:$P,'Painel Additive'!$B45,'Data Additive'!$Q:$Q,"&gt;30",'Data Additive'!$Q:$Q,"&lt;=60")</f>
        <v>0</v>
      </c>
      <c r="J45" s="122">
        <f>SUMIFS('Data Additive'!$D:$D,'Data Additive'!$P:$P,'Painel Additive'!$B45,'Data Additive'!$Q:$Q,"&gt;60",'Data Additive'!$Q:$Q,"&lt;=90")</f>
        <v>0</v>
      </c>
      <c r="K45" s="122">
        <f>SUMIFS('Data Additive'!$D:$D,'Data Additive'!$P:$P,'Painel Additive'!$B45,'Data Additive'!$Q:$Q,"&gt;90",'Data Additive'!$Q:$Q,"&lt;=120")</f>
        <v>0</v>
      </c>
      <c r="L45" s="122">
        <f>SUMIFS('Data Additive'!$D:$D,'Data Additive'!$P:$P,'Painel Additive'!$B45,'Data Additive'!$Q:$Q,"&gt;120",'Data Additive'!$Q:$Q,"&lt;=180")</f>
        <v>0</v>
      </c>
      <c r="M45" s="122">
        <f>SUMIFS('Data Additive'!$D:$D,'Data Additive'!$P:$P,'Painel Additive'!$B45,'Data Additive'!$Q:$Q,"&gt;180",'Data Additive'!$Q:$Q,"&lt;=360")</f>
        <v>0</v>
      </c>
      <c r="N45" s="123">
        <f>SUMIFS('Data Additive'!$D:$D,'Data Additive'!$P:$P,'Painel Additive'!$B45,'Data Additive'!$Q:$Q,"&gt;360")</f>
        <v>50</v>
      </c>
      <c r="O45" s="122">
        <f>SUMIFS('Data Additive'!$D:$D,'Data Additive'!$P:$P,'Painel Additive'!$B45,'Data Additive'!$Q:$Q,"&gt;0")</f>
        <v>50</v>
      </c>
      <c r="P45" s="122">
        <f t="shared" si="5"/>
        <v>0</v>
      </c>
      <c r="Q45" s="122">
        <f>SUMIFS('Data Additive'!$D:$D,'Data Additive'!$P:$P,'Painel Additive'!$B45,'Data Additive'!$Q:$Q,"&lt;=0",'Data Additive'!$Q:$Q,"&gt;=-30")</f>
        <v>0</v>
      </c>
      <c r="R45" s="122">
        <f>SUMIFS('Data Additive'!$D:$D,'Data Additive'!$P:$P,'Painel Additive'!$B45,'Data Additive'!$Q:$Q,"&lt;=-31",'Data Additive'!$Q:$Q,"&gt;=-60")</f>
        <v>0</v>
      </c>
      <c r="S45" s="122">
        <f>SUMIFS('Data Additive'!$D:$D,'Data Additive'!$P:$P,'Painel Additive'!$B45,'Data Additive'!$Q:$Q,"&lt;=-61",'Data Additive'!$Q:$Q,"&gt;=-90")</f>
        <v>0</v>
      </c>
      <c r="T45" s="122">
        <f>SUMIFS('Data Additive'!$D:$D,'Data Additive'!$P:$P,'Painel Additive'!$B45,'Data Additive'!$Q:$Q,"&lt;=-91",'Data Additive'!$Q:$Q,"&gt;=-120")</f>
        <v>0</v>
      </c>
      <c r="U45" s="122">
        <f>SUMIFS('Data Additive'!$D:$D,'Data Additive'!$P:$P,'Painel Additive'!$B45,'Data Additive'!$Q:$Q,"&lt;=-121",'Data Additive'!$Q:$Q,"&gt;=-180")</f>
        <v>0</v>
      </c>
      <c r="V45" s="122">
        <f>SUMIFS('Data Additive'!$D:$D,'Data Additive'!$P:$P,'Painel Additive'!$B45,'Data Additive'!$Q:$Q,"&lt;=-181",'Data Additive'!$Q:$Q,"&gt;=-360")</f>
        <v>0</v>
      </c>
      <c r="W45" s="123">
        <f>SUMIFS('Data Additive'!$D:$D,'Data Additive'!$P:$P,'Painel Additive'!$B45,'Data Additive'!$Q:$Q,"&lt;-360")</f>
        <v>0</v>
      </c>
      <c r="X45" s="19">
        <f>SUMIFS('Bad Debt Provision'!AB:AB,'Bad Debt Provision'!B:B,'Painel Additive'!B45)</f>
        <v>50</v>
      </c>
      <c r="Y45" s="124"/>
      <c r="Z45" s="124"/>
      <c r="AA45" s="19">
        <f>IFERROR(_xlfn.XLOOKUP(B45,'Limite de crédito'!C:C,'Limite de crédito'!O:O,),0)</f>
        <v>0</v>
      </c>
      <c r="AB45" s="122"/>
      <c r="AC45" s="125"/>
      <c r="AD45" s="126"/>
      <c r="AE45" s="126"/>
      <c r="AF45" s="124"/>
      <c r="AG45" s="105">
        <f t="shared" si="2"/>
        <v>-50</v>
      </c>
    </row>
    <row r="46" spans="2:34" x14ac:dyDescent="0.25">
      <c r="B46" s="17" t="s">
        <v>40</v>
      </c>
      <c r="C46" s="224" t="str">
        <f>IFERROR(_xlfn.XLOOKUP(B46,'Limite de crédito'!C:C,'Limite de crédito'!L:L,),0)</f>
        <v>B</v>
      </c>
      <c r="D46" s="93"/>
      <c r="E46" s="18">
        <f>_xlfn.XLOOKUP(B46,'Limite de crédito'!C:C,'Limite de crédito'!G:G,0)</f>
        <v>3000000</v>
      </c>
      <c r="F46" s="18">
        <f t="shared" si="6"/>
        <v>3000000</v>
      </c>
      <c r="G46" s="18">
        <f t="shared" si="7"/>
        <v>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3">
        <f>SUMIFS('Data Additive'!$D:$D,'Data Additive'!$P:$P,'Painel Additive'!$B46,'Data Additive'!$Q:$Q,"&gt;360")</f>
        <v>0</v>
      </c>
      <c r="O46" s="122">
        <f>SUMIFS('Data Additive'!$D:$D,'Data Additive'!$P:$P,'Painel Additive'!$B46,'Data Additive'!$Q:$Q,"&gt;0")</f>
        <v>0</v>
      </c>
      <c r="P46" s="19">
        <f t="shared" si="5"/>
        <v>0</v>
      </c>
      <c r="Q46" s="19">
        <f>SUMIFS('Data Additive'!$D:$D,'Data Additive'!$P:$P,'Painel Additive'!$B46,'Data Additive'!$Q:$Q,"&lt;=0",'Data Additive'!$Q:$Q,"&gt;=-30")</f>
        <v>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3">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2"/>
      <c r="AE46" s="22"/>
      <c r="AF46" s="5"/>
      <c r="AG46" s="105">
        <f t="shared" si="2"/>
        <v>3000000</v>
      </c>
      <c r="AH46" s="5"/>
    </row>
    <row r="47" spans="2:34" x14ac:dyDescent="0.25">
      <c r="B47" s="17" t="s">
        <v>120</v>
      </c>
      <c r="C47" s="224">
        <f>IFERROR(_xlfn.XLOOKUP(B47,'Limite de crédito'!C:C,'Limite de crédito'!L:L,),0)</f>
        <v>0</v>
      </c>
      <c r="D47" s="93"/>
      <c r="E47" s="18">
        <f>_xlfn.XLOOKUP(B47,'Limite de crédito'!C:C,'Limite de crédito'!G:G,0)</f>
        <v>2500000</v>
      </c>
      <c r="F47" s="18">
        <f t="shared" ref="F47" si="8">E47-G47</f>
        <v>1706188.3</v>
      </c>
      <c r="G47" s="18">
        <f t="shared" ref="G47" si="9">P47+O47</f>
        <v>793811.7</v>
      </c>
      <c r="H47" s="19">
        <f>SUMIFS('Data Additive'!$D:$D,'Data Additive'!$P:$P,'Painel Additive'!$B47,'Data Additive'!$Q:$Q,"&gt;0",'Data Additive'!$Q:$Q,"&lt;=30")</f>
        <v>153506.1</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3">
        <f>SUMIFS('Data Additive'!$D:$D,'Data Additive'!$P:$P,'Painel Additive'!$B47,'Data Additive'!$Q:$Q,"&gt;360")</f>
        <v>0</v>
      </c>
      <c r="O47" s="122">
        <f>SUMIFS('Data Additive'!$D:$D,'Data Additive'!$P:$P,'Painel Additive'!$B47,'Data Additive'!$Q:$Q,"&gt;0")</f>
        <v>153506.1</v>
      </c>
      <c r="P47" s="19">
        <f t="shared" si="5"/>
        <v>640305.6</v>
      </c>
      <c r="Q47" s="19">
        <f>SUMIFS('Data Additive'!$D:$D,'Data Additive'!$P:$P,'Painel Additive'!$B47,'Data Additive'!$Q:$Q,"&lt;=0",'Data Additive'!$Q:$Q,"&gt;=-30")</f>
        <v>640305.6</v>
      </c>
      <c r="R47" s="19">
        <f>SUMIFS('Data Additive'!$D:$D,'Data Additive'!$P:$P,'Painel Additive'!$B47,'Data Additive'!$Q:$Q,"&lt;=-31",'Data Additive'!$Q:$Q,"&gt;=-60")</f>
        <v>0</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3">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2"/>
      <c r="AE47" s="22"/>
      <c r="AF47" s="5"/>
      <c r="AG47" s="105">
        <f t="shared" si="2"/>
        <v>-793811.7</v>
      </c>
      <c r="AH47" s="5"/>
    </row>
    <row r="48" spans="2:34" x14ac:dyDescent="0.25">
      <c r="B48" s="41" t="s">
        <v>490</v>
      </c>
      <c r="C48" s="224">
        <f>IFERROR(_xlfn.XLOOKUP(B48,'Limite de crédito'!C:C,'Limite de crédito'!L:L,),0)</f>
        <v>0</v>
      </c>
      <c r="D48" s="93"/>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3">
        <f>SUMIFS('Data Additive'!$D:$D,'Data Additive'!$P:$P,'Painel Additive'!$B48,'Data Additive'!$Q:$Q,"&gt;360")</f>
        <v>0</v>
      </c>
      <c r="O48" s="122">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3">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2"/>
      <c r="AE48" s="22"/>
      <c r="AF48" s="5"/>
      <c r="AG48" s="105">
        <f t="shared" si="2"/>
        <v>0</v>
      </c>
    </row>
    <row r="49" spans="2:33" x14ac:dyDescent="0.25">
      <c r="B49" s="41" t="s">
        <v>496</v>
      </c>
      <c r="C49" s="224" t="str">
        <f>IFERROR(_xlfn.XLOOKUP(B49,'Limite de crédito'!C:C,'Limite de crédito'!L:L,),0)</f>
        <v>B</v>
      </c>
      <c r="D49" s="93"/>
      <c r="E49" s="18">
        <f>_xlfn.XLOOKUP(B49,'Limite de crédito'!C:C,'Limite de crédito'!G:G,0)</f>
        <v>200000</v>
      </c>
      <c r="F49" s="18">
        <f t="shared" si="10"/>
        <v>200000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3">
        <f>SUMIFS('Data Additive'!$D:$D,'Data Additive'!$P:$P,'Painel Additive'!$B49,'Data Additive'!$Q:$Q,"&gt;360")</f>
        <v>0</v>
      </c>
      <c r="O49" s="122">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3">
        <f>SUMIFS('Data Additive'!$D:$D,'Data Additive'!$P:$P,'Painel Additive'!$B49,'Data Additive'!$Q:$Q,"&lt;-360")</f>
        <v>0</v>
      </c>
      <c r="X49" s="19">
        <f>SUMIFS('Bad Debt Provision'!AB:AB,'Bad Debt Provision'!B:B,'Painel Additive'!B49)</f>
        <v>0</v>
      </c>
      <c r="Y49" s="5"/>
      <c r="Z49" s="5"/>
      <c r="AA49" s="19">
        <f>IFERROR(_xlfn.XLOOKUP(B49,'Limite de crédito'!C:C,'Limite de crédito'!O:O,),0)</f>
        <v>200000</v>
      </c>
      <c r="AB49" s="19"/>
      <c r="AC49" s="20"/>
      <c r="AD49" s="22"/>
      <c r="AE49" s="22"/>
      <c r="AF49" s="5"/>
      <c r="AG49" s="105">
        <f t="shared" si="2"/>
        <v>200000</v>
      </c>
    </row>
    <row r="50" spans="2:33" x14ac:dyDescent="0.25">
      <c r="B50" s="41" t="s">
        <v>100</v>
      </c>
      <c r="C50" s="224">
        <f>IFERROR(_xlfn.XLOOKUP(B50,'Limite de crédito'!C:C,'Limite de crédito'!L:L,),0)</f>
        <v>0</v>
      </c>
      <c r="D50" s="93"/>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3">
        <f>SUMIFS('Data Additive'!$D:$D,'Data Additive'!$P:$P,'Painel Additive'!$B50,'Data Additive'!$Q:$Q,"&gt;360")</f>
        <v>0</v>
      </c>
      <c r="O50" s="122">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3">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2"/>
      <c r="AE50" s="22"/>
      <c r="AF50" s="5"/>
      <c r="AG50" s="105">
        <f t="shared" si="2"/>
        <v>0</v>
      </c>
    </row>
    <row r="51" spans="2:33" x14ac:dyDescent="0.25">
      <c r="B51" s="41" t="s">
        <v>532</v>
      </c>
      <c r="C51" s="224">
        <f>IFERROR(_xlfn.XLOOKUP(B51,'Limite de crédito'!C:C,'Limite de crédito'!L:L,),0)</f>
        <v>0</v>
      </c>
      <c r="D51" s="93"/>
      <c r="E51" s="18">
        <f>_xlfn.XLOOKUP(B51,'Limite de crédito'!C:C,'Limite de crédito'!G:G,0)</f>
        <v>10000000</v>
      </c>
      <c r="F51" s="18">
        <f t="shared" ref="F51" si="14">E51-G51</f>
        <v>9490920.4000000004</v>
      </c>
      <c r="G51" s="18">
        <f t="shared" ref="G51" si="15">P51+O51</f>
        <v>509079.6</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3">
        <f>SUMIFS('Data Additive'!$D:$D,'Data Additive'!$P:$P,'Painel Additive'!$B51,'Data Additive'!$Q:$Q,"&gt;360")</f>
        <v>0</v>
      </c>
      <c r="O51" s="122">
        <f>SUMIFS('Data Additive'!$D:$D,'Data Additive'!$P:$P,'Painel Additive'!$B51,'Data Additive'!$Q:$Q,"&gt;0")</f>
        <v>0</v>
      </c>
      <c r="P51" s="19">
        <f t="shared" si="5"/>
        <v>509079.6</v>
      </c>
      <c r="Q51" s="19">
        <f>SUMIFS('Data Additive'!$D:$D,'Data Additive'!$P:$P,'Painel Additive'!$B51,'Data Additive'!$Q:$Q,"&lt;=0",'Data Additive'!$Q:$Q,"&gt;=-30")</f>
        <v>169290.6</v>
      </c>
      <c r="R51" s="19">
        <f>SUMIFS('Data Additive'!$D:$D,'Data Additive'!$P:$P,'Painel Additive'!$B51,'Data Additive'!$Q:$Q,"&lt;=-31",'Data Additive'!$Q:$Q,"&gt;=-60")</f>
        <v>339789</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3">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2"/>
      <c r="AE51" s="22"/>
      <c r="AF51" s="5"/>
      <c r="AG51" s="105">
        <f t="shared" si="2"/>
        <v>-509079.6</v>
      </c>
    </row>
    <row r="52" spans="2:33" ht="13.95" customHeight="1" x14ac:dyDescent="0.25">
      <c r="B52" s="41" t="s">
        <v>530</v>
      </c>
      <c r="C52" s="224" t="str">
        <f>IFERROR(_xlfn.XLOOKUP(B52,'Limite de crédito'!C:C,'Limite de crédito'!L:L,),0)</f>
        <v>B</v>
      </c>
      <c r="D52" s="93"/>
      <c r="E52" s="18">
        <f>_xlfn.XLOOKUP(B52,'Limite de crédito'!C:C,'Limite de crédito'!G:G,0)</f>
        <v>3000000</v>
      </c>
      <c r="F52" s="18">
        <f t="shared" ref="F52" si="16">E52-G52</f>
        <v>2751102.39</v>
      </c>
      <c r="G52" s="18">
        <f t="shared" ref="G52" si="17">P52+O52</f>
        <v>248897.61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3">
        <f>SUMIFS('Data Additive'!$D:$D,'Data Additive'!$P:$P,'Painel Additive'!$B52,'Data Additive'!$Q:$Q,"&gt;360")</f>
        <v>0</v>
      </c>
      <c r="O52" s="122">
        <f>SUMIFS('Data Additive'!$D:$D,'Data Additive'!$P:$P,'Painel Additive'!$B52,'Data Additive'!$Q:$Q,"&gt;0")</f>
        <v>0</v>
      </c>
      <c r="P52" s="19">
        <f t="shared" si="5"/>
        <v>248897.61</v>
      </c>
      <c r="Q52" s="19">
        <f>SUMIFS('Data Additive'!$D:$D,'Data Additive'!$P:$P,'Painel Additive'!$B52,'Data Additive'!$Q:$Q,"&lt;=0",'Data Additive'!$Q:$Q,"&gt;=-30")</f>
        <v>99167.6</v>
      </c>
      <c r="R52" s="19">
        <f>SUMIFS('Data Additive'!$D:$D,'Data Additive'!$P:$P,'Painel Additive'!$B52,'Data Additive'!$Q:$Q,"&lt;=-31",'Data Additive'!$Q:$Q,"&gt;=-60")</f>
        <v>52960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3">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2"/>
      <c r="AE52" s="22"/>
      <c r="AF52" s="5"/>
      <c r="AG52" s="105">
        <f t="shared" si="2"/>
        <v>-248897.61</v>
      </c>
    </row>
    <row r="53" spans="2:33" ht="13.95" customHeight="1" x14ac:dyDescent="0.25">
      <c r="B53" s="41" t="s">
        <v>531</v>
      </c>
      <c r="C53" s="224" t="str">
        <f>IFERROR(_xlfn.XLOOKUP(B53,'Limite de crédito'!C:C,'Limite de crédito'!L:L,),0)</f>
        <v>B</v>
      </c>
      <c r="D53" s="93"/>
      <c r="E53" s="18">
        <f>_xlfn.XLOOKUP(B53,'Limite de crédito'!C:C,'Limite de crédito'!G:G,0)</f>
        <v>10000000</v>
      </c>
      <c r="F53" s="18">
        <f t="shared" ref="F53" si="18">E53-G53</f>
        <v>3010042.9000000004</v>
      </c>
      <c r="G53" s="18">
        <f t="shared" ref="G53" si="19">P53+O53</f>
        <v>6989957.0999999996</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3">
        <f>SUMIFS('Data Additive'!$D:$D,'Data Additive'!$P:$P,'Painel Additive'!$B53,'Data Additive'!$Q:$Q,"&gt;360")</f>
        <v>0</v>
      </c>
      <c r="O53" s="122">
        <f>SUMIFS('Data Additive'!$D:$D,'Data Additive'!$P:$P,'Painel Additive'!$B53,'Data Additive'!$Q:$Q,"&gt;0")</f>
        <v>0</v>
      </c>
      <c r="P53" s="19">
        <f t="shared" si="5"/>
        <v>6989957.0999999996</v>
      </c>
      <c r="Q53" s="19">
        <f>SUMIFS('Data Additive'!$D:$D,'Data Additive'!$P:$P,'Painel Additive'!$B53,'Data Additive'!$Q:$Q,"&lt;=0",'Data Additive'!$Q:$Q,"&gt;=-30")</f>
        <v>1127577.5999999999</v>
      </c>
      <c r="R53" s="19">
        <f>SUMIFS('Data Additive'!$D:$D,'Data Additive'!$P:$P,'Painel Additive'!$B53,'Data Additive'!$Q:$Q,"&lt;=-31",'Data Additive'!$Q:$Q,"&gt;=-60")</f>
        <v>2992082.9999999995</v>
      </c>
      <c r="S53" s="19">
        <f>SUMIFS('Data Additive'!$D:$D,'Data Additive'!$P:$P,'Painel Additive'!$B53,'Data Additive'!$Q:$Q,"&lt;=-61",'Data Additive'!$Q:$Q,"&gt;=-90")</f>
        <v>2644466.0999999996</v>
      </c>
      <c r="T53" s="19">
        <f>SUMIFS('Data Additive'!$D:$D,'Data Additive'!$P:$P,'Painel Additive'!$B53,'Data Additive'!$Q:$Q,"&lt;=-91",'Data Additive'!$Q:$Q,"&gt;=-120")</f>
        <v>225830.39999999999</v>
      </c>
      <c r="U53" s="19">
        <f>SUMIFS('Data Additive'!$D:$D,'Data Additive'!$P:$P,'Painel Additive'!$B53,'Data Additive'!$Q:$Q,"&lt;=-121",'Data Additive'!$Q:$Q,"&gt;=-180")</f>
        <v>0</v>
      </c>
      <c r="V53" s="19">
        <f>SUMIFS('Data Additive'!$D:$D,'Data Additive'!$P:$P,'Painel Additive'!$B53,'Data Additive'!$Q:$Q,"&lt;=-181",'Data Additive'!$Q:$Q,"&gt;=-360")</f>
        <v>0</v>
      </c>
      <c r="W53" s="23">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2"/>
      <c r="AE53" s="22"/>
      <c r="AF53" s="5"/>
      <c r="AG53" s="105">
        <f t="shared" si="2"/>
        <v>3010042.9000000004</v>
      </c>
    </row>
    <row r="54" spans="2:33" ht="13.95" customHeight="1" x14ac:dyDescent="0.25">
      <c r="B54" s="41" t="s">
        <v>89</v>
      </c>
      <c r="C54" s="224" t="str">
        <f>IFERROR(_xlfn.XLOOKUP(B54,'Limite de crédito'!C:C,'Limite de crédito'!L:L,),0)</f>
        <v>B</v>
      </c>
      <c r="D54" s="93"/>
      <c r="E54" s="18">
        <f>_xlfn.XLOOKUP(B54,'Limite de crédito'!C:C,'Limite de crédito'!G:G,0)</f>
        <v>200000</v>
      </c>
      <c r="F54" s="18">
        <f t="shared" ref="F54" si="20">E54-G54</f>
        <v>155081</v>
      </c>
      <c r="G54" s="18">
        <f t="shared" ref="G54" si="21">P54+O54</f>
        <v>44919</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3">
        <f>SUMIFS('Data Additive'!$D:$D,'Data Additive'!$P:$P,'Painel Additive'!$B54,'Data Additive'!$Q:$Q,"&gt;360")</f>
        <v>0</v>
      </c>
      <c r="O54" s="122">
        <f>SUMIFS('Data Additive'!$D:$D,'Data Additive'!$P:$P,'Painel Additive'!$B54,'Data Additive'!$Q:$Q,"&gt;0")</f>
        <v>0</v>
      </c>
      <c r="P54" s="19">
        <f t="shared" si="5"/>
        <v>44919</v>
      </c>
      <c r="Q54" s="19">
        <f>SUMIFS('Data Additive'!$D:$D,'Data Additive'!$P:$P,'Painel Additive'!$B54,'Data Additive'!$Q:$Q,"&lt;=0",'Data Additive'!$Q:$Q,"&gt;=-30")</f>
        <v>44919</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3">
        <f>SUMIFS('Data Additive'!$D:$D,'Data Additive'!$P:$P,'Painel Additive'!$B54,'Data Additive'!$Q:$Q,"&lt;-360")</f>
        <v>0</v>
      </c>
      <c r="X54" s="19">
        <f>SUMIFS('Bad Debt Provision'!AB:AB,'Bad Debt Provision'!B:B,'Painel Additive'!B54)</f>
        <v>0</v>
      </c>
      <c r="Y54" s="5"/>
      <c r="Z54" s="5"/>
      <c r="AA54" s="19">
        <f>IFERROR(_xlfn.XLOOKUP(B54,'Limite de crédito'!C:C,'Limite de crédito'!O:O,),0)</f>
        <v>200000</v>
      </c>
      <c r="AB54" s="19"/>
      <c r="AC54" s="20"/>
      <c r="AD54" s="22"/>
      <c r="AE54" s="22"/>
      <c r="AF54" s="5"/>
      <c r="AG54" s="105">
        <f t="shared" si="2"/>
        <v>155081</v>
      </c>
    </row>
    <row r="55" spans="2:33" ht="13.95" customHeight="1" x14ac:dyDescent="0.25">
      <c r="B55" s="41" t="s">
        <v>166</v>
      </c>
      <c r="C55" s="224">
        <f>IFERROR(_xlfn.XLOOKUP(B55,'Limite de crédito'!C:C,'Limite de crédito'!L:L,),0)</f>
        <v>0</v>
      </c>
      <c r="D55" s="93"/>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3">
        <f>SUMIFS('Data Additive'!$D:$D,'Data Additive'!$P:$P,'Painel Additive'!$B55,'Data Additive'!$Q:$Q,"&gt;360")</f>
        <v>0</v>
      </c>
      <c r="O55" s="122">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3">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2"/>
      <c r="AE55" s="22"/>
      <c r="AF55" s="5"/>
      <c r="AG55" s="105">
        <f t="shared" si="2"/>
        <v>0</v>
      </c>
    </row>
    <row r="56" spans="2:33" ht="13.95" customHeight="1" x14ac:dyDescent="0.25">
      <c r="B56" s="41" t="s">
        <v>303</v>
      </c>
      <c r="C56" s="224" t="str">
        <f>IFERROR(_xlfn.XLOOKUP(B56,'Limite de crédito'!C:C,'Limite de crédito'!L:L,),0)</f>
        <v>B</v>
      </c>
      <c r="D56" s="93"/>
      <c r="E56" s="18">
        <f>_xlfn.XLOOKUP(B56,'Limite de crédito'!C:C,'Limite de crédito'!G:G,0)</f>
        <v>300000</v>
      </c>
      <c r="F56" s="18">
        <f t="shared" si="22"/>
        <v>212860.5</v>
      </c>
      <c r="G56" s="18">
        <f t="shared" si="23"/>
        <v>87139.5</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3">
        <f>SUMIFS('Data Additive'!$D:$D,'Data Additive'!$P:$P,'Painel Additive'!$B56,'Data Additive'!$Q:$Q,"&gt;360")</f>
        <v>0</v>
      </c>
      <c r="O56" s="122">
        <f>SUMIFS('Data Additive'!$D:$D,'Data Additive'!$P:$P,'Painel Additive'!$B56,'Data Additive'!$Q:$Q,"&gt;0")</f>
        <v>0</v>
      </c>
      <c r="P56" s="19">
        <f t="shared" si="24"/>
        <v>87139.5</v>
      </c>
      <c r="Q56" s="19">
        <f>SUMIFS('Data Additive'!$D:$D,'Data Additive'!$P:$P,'Painel Additive'!$B56,'Data Additive'!$Q:$Q,"&lt;=0",'Data Additive'!$Q:$Q,"&gt;=-30")</f>
        <v>43569.75</v>
      </c>
      <c r="R56" s="19">
        <f>SUMIFS('Data Additive'!$D:$D,'Data Additive'!$P:$P,'Painel Additive'!$B56,'Data Additive'!$Q:$Q,"&lt;=-31",'Data Additive'!$Q:$Q,"&gt;=-60")</f>
        <v>43569.75</v>
      </c>
      <c r="S56" s="19">
        <f>SUMIFS('Data Additive'!$D:$D,'Data Additive'!$P:$P,'Painel Additive'!$B56,'Data Additive'!$Q:$Q,"&lt;=-61",'Data Additive'!$Q:$Q,"&gt;=-90")</f>
        <v>0</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3">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2"/>
      <c r="AE56" s="22"/>
      <c r="AF56" s="5"/>
      <c r="AG56" s="105">
        <f t="shared" si="2"/>
        <v>212860.5</v>
      </c>
    </row>
    <row r="57" spans="2:33" ht="13.95" customHeight="1" x14ac:dyDescent="0.25">
      <c r="B57" s="41" t="s">
        <v>252</v>
      </c>
      <c r="C57" s="224">
        <f>IFERROR(_xlfn.XLOOKUP(B57,'Limite de crédito'!C:C,'Limite de crédito'!L:L,),0)</f>
        <v>0</v>
      </c>
      <c r="D57" s="93"/>
      <c r="E57" s="18">
        <f>_xlfn.XLOOKUP(B57,'Limite de crédito'!C:C,'Limite de crédito'!G:G,0)</f>
        <v>0</v>
      </c>
      <c r="F57" s="18">
        <f t="shared" si="22"/>
        <v>-66176</v>
      </c>
      <c r="G57" s="18">
        <f t="shared" si="23"/>
        <v>66176</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3">
        <f>SUMIFS('Data Additive'!$D:$D,'Data Additive'!$P:$P,'Painel Additive'!$B57,'Data Additive'!$Q:$Q,"&gt;360")</f>
        <v>0</v>
      </c>
      <c r="O57" s="122">
        <f>SUMIFS('Data Additive'!$D:$D,'Data Additive'!$P:$P,'Painel Additive'!$B57,'Data Additive'!$Q:$Q,"&gt;0")</f>
        <v>0</v>
      </c>
      <c r="P57" s="19">
        <f t="shared" si="24"/>
        <v>66176</v>
      </c>
      <c r="Q57" s="19">
        <f>SUMIFS('Data Additive'!$D:$D,'Data Additive'!$P:$P,'Painel Additive'!$B57,'Data Additive'!$Q:$Q,"&lt;=0",'Data Additive'!$Q:$Q,"&gt;=-30")</f>
        <v>66176</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3">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2"/>
      <c r="AE57" s="22"/>
      <c r="AF57" s="5"/>
      <c r="AG57" s="105">
        <f t="shared" si="2"/>
        <v>-66176</v>
      </c>
    </row>
    <row r="58" spans="2:33" ht="13.95" customHeight="1" x14ac:dyDescent="0.25">
      <c r="B58" s="41" t="s">
        <v>537</v>
      </c>
      <c r="C58" s="224">
        <f>IFERROR(_xlfn.XLOOKUP(B58,'Limite de crédito'!C:C,'Limite de crédito'!L:L,),0)</f>
        <v>0</v>
      </c>
      <c r="D58" s="93"/>
      <c r="E58" s="18">
        <f>_xlfn.XLOOKUP(B58,'Limite de crédito'!C:C,'Limite de crédito'!G:G,0)</f>
        <v>0</v>
      </c>
      <c r="F58" s="18">
        <f t="shared" si="22"/>
        <v>-100</v>
      </c>
      <c r="G58" s="18">
        <f t="shared" si="23"/>
        <v>100</v>
      </c>
      <c r="H58" s="19">
        <f>SUMIFS('Data Additive'!$D:$D,'Data Additive'!$P:$P,'Painel Additive'!$B58,'Data Additive'!$Q:$Q,"&gt;0",'Data Additive'!$Q:$Q,"&lt;=30")</f>
        <v>100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3">
        <f>SUMIFS('Data Additive'!$D:$D,'Data Additive'!$P:$P,'Painel Additive'!$B58,'Data Additive'!$Q:$Q,"&gt;360")</f>
        <v>0</v>
      </c>
      <c r="O58" s="122">
        <f>SUMIFS('Data Additive'!$D:$D,'Data Additive'!$P:$P,'Painel Additive'!$B58,'Data Additive'!$Q:$Q,"&gt;0")</f>
        <v>100</v>
      </c>
      <c r="P58" s="19">
        <f t="shared" si="24"/>
        <v>0</v>
      </c>
      <c r="Q58" s="19">
        <f>SUMIFS('Data Additive'!$D:$D,'Data Additive'!$P:$P,'Painel Additive'!$B58,'Data Additive'!$Q:$Q,"&lt;=0",'Data Additive'!$Q:$Q,"&gt;=-30")</f>
        <v>0</v>
      </c>
      <c r="R58" s="19">
        <f>SUMIFS('Data Additive'!$D:$D,'Data Additive'!$P:$P,'Painel Additive'!$B58,'Data Additive'!$Q:$Q,"&lt;=-31",'Data Additive'!$Q:$Q,"&gt;=-60")</f>
        <v>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3">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2"/>
      <c r="AE58" s="22"/>
      <c r="AF58" s="5"/>
      <c r="AG58" s="105">
        <f t="shared" si="2"/>
        <v>-100</v>
      </c>
    </row>
    <row r="59" spans="2:33" ht="13.95" customHeight="1" x14ac:dyDescent="0.25">
      <c r="B59" s="41" t="s">
        <v>550</v>
      </c>
      <c r="C59" s="224" t="str">
        <f>IFERROR(_xlfn.XLOOKUP(B59,'Limite de crédito'!C:C,'Limite de crédito'!L:L,),0)</f>
        <v>B</v>
      </c>
      <c r="D59" s="93"/>
      <c r="E59" s="18">
        <f>_xlfn.XLOOKUP(B59,'Limite de crédito'!C:C,'Limite de crédito'!G:G,0)</f>
        <v>200000</v>
      </c>
      <c r="F59" s="18">
        <f t="shared" ref="F59" si="25">E59-G59</f>
        <v>100974.05</v>
      </c>
      <c r="G59" s="18">
        <f t="shared" ref="G59" si="26">P59+O59</f>
        <v>99025.95</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3">
        <f>SUMIFS('Data Additive'!$D:$D,'Data Additive'!$P:$P,'Painel Additive'!$B59,'Data Additive'!$Q:$Q,"&gt;360")</f>
        <v>0</v>
      </c>
      <c r="O59" s="122">
        <f>SUMIFS('Data Additive'!$D:$D,'Data Additive'!$P:$P,'Painel Additive'!$B59,'Data Additive'!$Q:$Q,"&gt;0")</f>
        <v>0</v>
      </c>
      <c r="P59" s="19">
        <f t="shared" ref="P59" si="27">SUM(Q59:W59)</f>
        <v>99025.95</v>
      </c>
      <c r="Q59" s="19">
        <f>SUMIFS('Data Additive'!$D:$D,'Data Additive'!$P:$P,'Painel Additive'!$B59,'Data Additive'!$Q:$Q,"&lt;=0",'Data Additive'!$Q:$Q,"&gt;=-30")</f>
        <v>49512.97</v>
      </c>
      <c r="R59" s="19">
        <f>SUMIFS('Data Additive'!$D:$D,'Data Additive'!$P:$P,'Painel Additive'!$B59,'Data Additive'!$Q:$Q,"&lt;=-31",'Data Additive'!$Q:$Q,"&gt;=-60")</f>
        <v>49512.979999999996</v>
      </c>
      <c r="S59" s="19">
        <f>SUMIFS('Data Additive'!$D:$D,'Data Additive'!$P:$P,'Painel Additive'!$B59,'Data Additive'!$Q:$Q,"&lt;=-61",'Data Additive'!$Q:$Q,"&gt;=-90")</f>
        <v>0</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3">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2"/>
      <c r="AE59" s="22"/>
      <c r="AF59" s="5"/>
      <c r="AG59" s="105">
        <f t="shared" si="2"/>
        <v>100974.05</v>
      </c>
    </row>
    <row r="60" spans="2:33" ht="13.95" customHeight="1" x14ac:dyDescent="0.25">
      <c r="B60" s="41" t="s">
        <v>106</v>
      </c>
      <c r="C60" s="224">
        <f>IFERROR(_xlfn.XLOOKUP(B60,'Limite de crédito'!C:C,'Limite de crédito'!L:L,),0)</f>
        <v>0</v>
      </c>
      <c r="D60" s="93"/>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3">
        <f>SUMIFS('Data Additive'!$D:$D,'Data Additive'!$P:$P,'Painel Additive'!$B60,'Data Additive'!$Q:$Q,"&gt;360")</f>
        <v>0</v>
      </c>
      <c r="O60" s="122">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3">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2"/>
      <c r="AE60" s="22"/>
      <c r="AF60" s="5"/>
      <c r="AG60" s="105">
        <f t="shared" si="2"/>
        <v>0</v>
      </c>
    </row>
    <row r="61" spans="2:33" x14ac:dyDescent="0.25">
      <c r="B61" s="41" t="s">
        <v>302</v>
      </c>
      <c r="C61" s="224">
        <f>IFERROR(_xlfn.XLOOKUP(B61,'Limite de crédito'!C:C,'Limite de crédito'!L:L,),0)</f>
        <v>0</v>
      </c>
      <c r="D61" s="93"/>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3">
        <f>SUMIFS('Data Additive'!$D:$D,'Data Additive'!$P:$P,'Painel Additive'!$B61,'Data Additive'!$Q:$Q,"&gt;360")</f>
        <v>0</v>
      </c>
      <c r="O61" s="122">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3">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2"/>
      <c r="AE61" s="22"/>
      <c r="AF61" s="5"/>
      <c r="AG61" s="105">
        <f t="shared" si="2"/>
        <v>0</v>
      </c>
    </row>
    <row r="62" spans="2:33" x14ac:dyDescent="0.25">
      <c r="B62" s="41" t="s">
        <v>272</v>
      </c>
      <c r="C62" s="224">
        <f>IFERROR(_xlfn.XLOOKUP(B62,'Limite de crédito'!C:C,'Limite de crédito'!L:L,),0)</f>
        <v>0</v>
      </c>
      <c r="D62" s="93"/>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3">
        <f>SUMIFS('Data Additive'!$D:$D,'Data Additive'!$P:$P,'Painel Additive'!$B62,'Data Additive'!$Q:$Q,"&gt;360")</f>
        <v>0</v>
      </c>
      <c r="O62" s="122">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3">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2"/>
      <c r="AE62" s="22"/>
      <c r="AF62" s="5"/>
      <c r="AG62" s="105">
        <f t="shared" si="2"/>
        <v>300000</v>
      </c>
    </row>
    <row r="63" spans="2:33" x14ac:dyDescent="0.25">
      <c r="B63" s="41" t="s">
        <v>555</v>
      </c>
      <c r="C63" s="224">
        <f>IFERROR(_xlfn.XLOOKUP(B63,'Limite de crédito'!C:C,'Limite de crédito'!L:L,),0)</f>
        <v>0</v>
      </c>
      <c r="D63" s="93"/>
      <c r="E63" s="18">
        <f>_xlfn.XLOOKUP(B63,'Limite de crédito'!C:C,'Limite de crédito'!G:G,0)</f>
        <v>1000000</v>
      </c>
      <c r="F63" s="18">
        <f t="shared" ref="F63" si="37">E63-G63</f>
        <v>1000000</v>
      </c>
      <c r="G63" s="18">
        <f t="shared" ref="G63" si="38">P63+O63</f>
        <v>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3">
        <f>SUMIFS('Data Additive'!$D:$D,'Data Additive'!$P:$P,'Painel Additive'!$B63,'Data Additive'!$Q:$Q,"&gt;360")</f>
        <v>0</v>
      </c>
      <c r="O63" s="122">
        <f>SUMIFS('Data Additive'!$D:$D,'Data Additive'!$P:$P,'Painel Additive'!$B63,'Data Additive'!$Q:$Q,"&gt;0")</f>
        <v>0</v>
      </c>
      <c r="P63" s="19">
        <f t="shared" ref="P63" si="39">SUM(Q63:W63)</f>
        <v>0</v>
      </c>
      <c r="Q63" s="19">
        <f>SUMIFS('Data Additive'!$D:$D,'Data Additive'!$P:$P,'Painel Additive'!$B63,'Data Additive'!$Q:$Q,"&lt;=0",'Data Additive'!$Q:$Q,"&gt;=-30")</f>
        <v>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3">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2"/>
      <c r="AE63" s="22"/>
      <c r="AF63" s="5"/>
      <c r="AG63" s="105">
        <f t="shared" si="2"/>
        <v>1000000</v>
      </c>
    </row>
    <row r="64" spans="2:33" x14ac:dyDescent="0.25">
      <c r="B64" s="41" t="s">
        <v>176</v>
      </c>
      <c r="C64" s="224" t="str">
        <f>IFERROR(_xlfn.XLOOKUP(B64,'Limite de crédito'!C:C,'Limite de crédito'!L:L,),0)</f>
        <v>B</v>
      </c>
      <c r="D64" s="93"/>
      <c r="E64" s="18">
        <f>_xlfn.XLOOKUP(B64,'Limite de crédito'!C:C,'Limite de crédito'!G:G,0)</f>
        <v>1000000</v>
      </c>
      <c r="F64" s="18">
        <f t="shared" ref="F64:F67" si="40">E64-G64</f>
        <v>1000000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3">
        <f>SUMIFS('Data Additive'!$D:$D,'Data Additive'!$P:$P,'Painel Additive'!$B64,'Data Additive'!$Q:$Q,"&gt;360")</f>
        <v>0</v>
      </c>
      <c r="O64" s="122">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3">
        <f>SUMIFS('Data Additive'!$D:$D,'Data Additive'!$P:$P,'Painel Additive'!$B64,'Data Additive'!$Q:$Q,"&lt;-360")</f>
        <v>0</v>
      </c>
      <c r="X64" s="19">
        <f>SUMIFS('Bad Debt Provision'!AB:AB,'Bad Debt Provision'!B:B,'Painel Additive'!B64)</f>
        <v>0</v>
      </c>
      <c r="Y64" s="5"/>
      <c r="Z64" s="5"/>
      <c r="AA64" s="19">
        <f>IFERROR(_xlfn.XLOOKUP(B64,'Limite de crédito'!C:C,'Limite de crédito'!O:O,),0)</f>
        <v>1000000</v>
      </c>
      <c r="AB64" s="19"/>
      <c r="AC64" s="20"/>
      <c r="AD64" s="22"/>
      <c r="AE64" s="22"/>
      <c r="AF64" s="5"/>
      <c r="AG64" s="105">
        <f t="shared" si="2"/>
        <v>1000000</v>
      </c>
    </row>
    <row r="65" spans="2:33" x14ac:dyDescent="0.25">
      <c r="B65" s="41" t="s">
        <v>568</v>
      </c>
      <c r="C65" s="224">
        <f>IFERROR(_xlfn.XLOOKUP(B65,'Limite de crédito'!C:C,'Limite de crédito'!L:L,),0)</f>
        <v>0</v>
      </c>
      <c r="D65" s="93"/>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3">
        <f>SUMIFS('Data Additive'!$D:$D,'Data Additive'!$P:$P,'Painel Additive'!$B65,'Data Additive'!$Q:$Q,"&gt;360")</f>
        <v>0</v>
      </c>
      <c r="O65" s="122">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3">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2"/>
      <c r="AE65" s="22"/>
      <c r="AF65" s="5"/>
      <c r="AG65" s="105">
        <f t="shared" si="2"/>
        <v>0</v>
      </c>
    </row>
    <row r="66" spans="2:33" x14ac:dyDescent="0.25">
      <c r="B66" s="41" t="s">
        <v>572</v>
      </c>
      <c r="C66" s="224" t="str">
        <f>IFERROR(_xlfn.XLOOKUP(B66,'Limite de crédito'!C:C,'Limite de crédito'!L:L,),0)</f>
        <v>B</v>
      </c>
      <c r="D66" s="93"/>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3">
        <f>SUMIFS('Data Additive'!$D:$D,'Data Additive'!$P:$P,'Painel Additive'!$B66,'Data Additive'!$Q:$Q,"&gt;360")</f>
        <v>0</v>
      </c>
      <c r="O66" s="122">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3">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2"/>
      <c r="AE66" s="22"/>
      <c r="AF66" s="5"/>
      <c r="AG66" s="105">
        <f t="shared" si="2"/>
        <v>500000</v>
      </c>
    </row>
    <row r="67" spans="2:33" x14ac:dyDescent="0.25">
      <c r="B67" s="41" t="s">
        <v>573</v>
      </c>
      <c r="C67" s="224">
        <f>IFERROR(_xlfn.XLOOKUP(B67,'Limite de crédito'!C:C,'Limite de crédito'!L:L,),0)</f>
        <v>0</v>
      </c>
      <c r="D67" s="93"/>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3">
        <f>SUMIFS('Data Additive'!$D:$D,'Data Additive'!$P:$P,'Painel Additive'!$B67,'Data Additive'!$Q:$Q,"&gt;360")</f>
        <v>0</v>
      </c>
      <c r="O67" s="122">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3">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2"/>
      <c r="AE67" s="22"/>
      <c r="AF67" s="5"/>
      <c r="AG67" s="105">
        <f t="shared" si="2"/>
        <v>0</v>
      </c>
    </row>
    <row r="68" spans="2:33" x14ac:dyDescent="0.25">
      <c r="B68" s="41" t="s">
        <v>577</v>
      </c>
      <c r="C68" s="224" t="str">
        <f>IFERROR(_xlfn.XLOOKUP(B68,'Limite de crédito'!C:C,'Limite de crédito'!L:L,),0)</f>
        <v>B</v>
      </c>
      <c r="D68" s="93"/>
      <c r="E68" s="18">
        <f>_xlfn.XLOOKUP(B68,'Limite de crédito'!C:C,'Limite de crédito'!G:G,0)</f>
        <v>3000000</v>
      </c>
      <c r="F68" s="18">
        <f t="shared" ref="F68" si="43">E68-G68</f>
        <v>1897185.24</v>
      </c>
      <c r="G68" s="18">
        <f t="shared" ref="G68" si="44">P68+O68</f>
        <v>1102814.76</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3">
        <f>SUMIFS('Data Additive'!$D:$D,'Data Additive'!$P:$P,'Painel Additive'!$B68,'Data Additive'!$Q:$Q,"&gt;360")</f>
        <v>0</v>
      </c>
      <c r="O68" s="122">
        <f>SUMIFS('Data Additive'!$D:$D,'Data Additive'!$P:$P,'Painel Additive'!$B68,'Data Additive'!$Q:$Q,"&gt;0")</f>
        <v>0</v>
      </c>
      <c r="P68" s="19">
        <f t="shared" ref="P68" si="45">SUM(Q68:W68)</f>
        <v>1102814.76</v>
      </c>
      <c r="Q68" s="19">
        <f>SUMIFS('Data Additive'!$D:$D,'Data Additive'!$P:$P,'Painel Additive'!$B68,'Data Additive'!$Q:$Q,"&lt;=0",'Data Additive'!$Q:$Q,"&gt;=-30")</f>
        <v>1102814.76</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3">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2"/>
      <c r="AE68" s="22"/>
      <c r="AF68" s="5"/>
      <c r="AG68" s="105">
        <f t="shared" ref="AG68:AG80" si="46">AA68-G68</f>
        <v>1897185.24</v>
      </c>
    </row>
    <row r="69" spans="2:33" x14ac:dyDescent="0.25">
      <c r="B69" s="41" t="s">
        <v>576</v>
      </c>
      <c r="C69" s="224" t="str">
        <f>IFERROR(_xlfn.XLOOKUP(B69,'Limite de crédito'!C:C,'Limite de crédito'!L:L,),0)</f>
        <v>B</v>
      </c>
      <c r="D69" s="93"/>
      <c r="E69" s="18">
        <f>_xlfn.XLOOKUP(B69,'Limite de crédito'!C:C,'Limite de crédito'!G:G,0)</f>
        <v>1500000</v>
      </c>
      <c r="F69" s="18">
        <f t="shared" ref="F69" si="47">E69-G69</f>
        <v>1343936.4</v>
      </c>
      <c r="G69" s="18">
        <f t="shared" ref="G69" si="48">P69+O69</f>
        <v>156063.6</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3">
        <f>SUMIFS('Data Additive'!$D:$D,'Data Additive'!$P:$P,'Painel Additive'!$B69,'Data Additive'!$Q:$Q,"&gt;360")</f>
        <v>0</v>
      </c>
      <c r="O69" s="122">
        <f>SUMIFS('Data Additive'!$D:$D,'Data Additive'!$P:$P,'Painel Additive'!$B69,'Data Additive'!$Q:$Q,"&gt;0")</f>
        <v>0</v>
      </c>
      <c r="P69" s="19">
        <f t="shared" ref="P69" si="49">SUM(Q69:W69)</f>
        <v>156063.6</v>
      </c>
      <c r="Q69" s="19">
        <f>SUMIFS('Data Additive'!$D:$D,'Data Additive'!$P:$P,'Painel Additive'!$B69,'Data Additive'!$Q:$Q,"&lt;=0",'Data Additive'!$Q:$Q,"&gt;=-30")</f>
        <v>156063.6</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3">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2"/>
      <c r="AE69" s="22"/>
      <c r="AF69" s="5"/>
      <c r="AG69" s="105">
        <f t="shared" si="46"/>
        <v>1343936.4</v>
      </c>
    </row>
    <row r="70" spans="2:33" x14ac:dyDescent="0.25">
      <c r="B70" s="41" t="s">
        <v>578</v>
      </c>
      <c r="C70" s="224" t="str">
        <f>IFERROR(_xlfn.XLOOKUP(B70,'Limite de crédito'!C:C,'Limite de crédito'!L:L,),0)</f>
        <v>B</v>
      </c>
      <c r="D70" s="93"/>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3">
        <f>SUMIFS('Data Additive'!$D:$D,'Data Additive'!$P:$P,'Painel Additive'!$B70,'Data Additive'!$Q:$Q,"&gt;360")</f>
        <v>0</v>
      </c>
      <c r="O70" s="122">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3">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2"/>
      <c r="AE70" s="22"/>
      <c r="AF70" s="5"/>
      <c r="AG70" s="105">
        <f t="shared" si="46"/>
        <v>1472000</v>
      </c>
    </row>
    <row r="71" spans="2:33" x14ac:dyDescent="0.25">
      <c r="B71" s="41" t="s">
        <v>579</v>
      </c>
      <c r="C71" s="224">
        <f>IFERROR(_xlfn.XLOOKUP(B71,'Limite de crédito'!C:C,'Limite de crédito'!L:L,),0)</f>
        <v>0</v>
      </c>
      <c r="D71" s="93"/>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3">
        <f>SUMIFS('Data Additive'!$D:$D,'Data Additive'!$P:$P,'Painel Additive'!$B71,'Data Additive'!$Q:$Q,"&gt;360")</f>
        <v>0</v>
      </c>
      <c r="O71" s="122">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3">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2"/>
      <c r="AE71" s="22"/>
      <c r="AF71" s="5"/>
      <c r="AG71" s="105">
        <f t="shared" si="46"/>
        <v>0</v>
      </c>
    </row>
    <row r="72" spans="2:33" x14ac:dyDescent="0.25">
      <c r="B72" s="41" t="s">
        <v>580</v>
      </c>
      <c r="C72" s="224" t="str">
        <f>IFERROR(_xlfn.XLOOKUP(B72,'Limite de crédito'!C:C,'Limite de crédito'!L:L,),0)</f>
        <v>B</v>
      </c>
      <c r="D72" s="93"/>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3">
        <f>SUMIFS('Data Additive'!$D:$D,'Data Additive'!$P:$P,'Painel Additive'!$B72,'Data Additive'!$Q:$Q,"&gt;360")</f>
        <v>0</v>
      </c>
      <c r="O72" s="122">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3">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2"/>
      <c r="AE72" s="22"/>
      <c r="AF72" s="5"/>
      <c r="AG72" s="105">
        <f t="shared" si="46"/>
        <v>100000</v>
      </c>
    </row>
    <row r="73" spans="2:33" x14ac:dyDescent="0.25">
      <c r="B73" s="41" t="s">
        <v>617</v>
      </c>
      <c r="C73" s="224">
        <f>IFERROR(_xlfn.XLOOKUP(B73,'Limite de crédito'!C:C,'Limite de crédito'!L:L,),0)</f>
        <v>0</v>
      </c>
      <c r="D73" s="93"/>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3">
        <f>SUMIFS('Data Additive'!$D:$D,'Data Additive'!$P:$P,'Painel Additive'!$B73,'Data Additive'!$Q:$Q,"&gt;360")</f>
        <v>0</v>
      </c>
      <c r="O73" s="122">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3">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2"/>
      <c r="AE73" s="22"/>
      <c r="AF73" s="5"/>
      <c r="AG73" s="105">
        <f t="shared" si="46"/>
        <v>0</v>
      </c>
    </row>
    <row r="74" spans="2:33" x14ac:dyDescent="0.25">
      <c r="B74" s="41" t="s">
        <v>258</v>
      </c>
      <c r="C74" s="224" t="str">
        <f>IFERROR(_xlfn.XLOOKUP(B74,'Limite de crédito'!C:C,'Limite de crédito'!L:L,),0)</f>
        <v>B</v>
      </c>
      <c r="D74" s="93"/>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3">
        <f>SUMIFS('Data Additive'!$D:$D,'Data Additive'!$P:$P,'Painel Additive'!$B74,'Data Additive'!$Q:$Q,"&gt;360")</f>
        <v>0</v>
      </c>
      <c r="O74" s="122">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3">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2"/>
      <c r="AE74" s="22"/>
      <c r="AF74" s="5"/>
      <c r="AG74" s="105">
        <f t="shared" si="46"/>
        <v>400000</v>
      </c>
    </row>
    <row r="75" spans="2:33" x14ac:dyDescent="0.25">
      <c r="B75" s="41" t="s">
        <v>618</v>
      </c>
      <c r="C75" s="224" t="str">
        <f>IFERROR(_xlfn.XLOOKUP(B75,'Limite de crédito'!C:C,'Limite de crédito'!L:L,),0)</f>
        <v>B</v>
      </c>
      <c r="D75" s="93"/>
      <c r="E75" s="18">
        <f>_xlfn.XLOOKUP(B75,'Limite de crédito'!C:C,'Limite de crédito'!G:G,0)</f>
        <v>700000</v>
      </c>
      <c r="F75" s="18">
        <f t="shared" ref="F75" si="62">E75-G75</f>
        <v>488085</v>
      </c>
      <c r="G75" s="18">
        <f t="shared" ref="G75" si="63">P75+O75</f>
        <v>211915</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3">
        <f>SUMIFS('Data Additive'!$D:$D,'Data Additive'!$P:$P,'Painel Additive'!$B75,'Data Additive'!$Q:$Q,"&gt;360")</f>
        <v>0</v>
      </c>
      <c r="O75" s="122">
        <f>SUMIFS('Data Additive'!$D:$D,'Data Additive'!$P:$P,'Painel Additive'!$B75,'Data Additive'!$Q:$Q,"&gt;0")</f>
        <v>0</v>
      </c>
      <c r="P75" s="19">
        <f t="shared" ref="P75" si="64">SUM(Q75:W75)</f>
        <v>211915</v>
      </c>
      <c r="Q75" s="19">
        <f>SUMIFS('Data Additive'!$D:$D,'Data Additive'!$P:$P,'Painel Additive'!$B75,'Data Additive'!$Q:$Q,"&lt;=0",'Data Additive'!$Q:$Q,"&gt;=-30")</f>
        <v>134855</v>
      </c>
      <c r="R75" s="19">
        <f>SUMIFS('Data Additive'!$D:$D,'Data Additive'!$P:$P,'Painel Additive'!$B75,'Data Additive'!$Q:$Q,"&lt;=-31",'Data Additive'!$Q:$Q,"&gt;=-60")</f>
        <v>77060</v>
      </c>
      <c r="S75" s="19">
        <f>SUMIFS('Data Additive'!$D:$D,'Data Additive'!$P:$P,'Painel Additive'!$B75,'Data Additive'!$Q:$Q,"&lt;=-61",'Data Additive'!$Q:$Q,"&gt;=-90")</f>
        <v>0</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3">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2"/>
      <c r="AE75" s="22"/>
      <c r="AF75" s="5"/>
      <c r="AG75" s="105">
        <f t="shared" si="46"/>
        <v>488085</v>
      </c>
    </row>
    <row r="76" spans="2:33" x14ac:dyDescent="0.25">
      <c r="B76" s="41" t="s">
        <v>605</v>
      </c>
      <c r="C76" s="224" t="str">
        <f>IFERROR(_xlfn.XLOOKUP(B76,'Limite de crédito'!C:C,'Limite de crédito'!L:L,),0)</f>
        <v>B</v>
      </c>
      <c r="D76" s="93"/>
      <c r="E76" s="18">
        <f>_xlfn.XLOOKUP(B76,'Limite de crédito'!C:C,'Limite de crédito'!G:G,0)</f>
        <v>1500000</v>
      </c>
      <c r="F76" s="18">
        <f t="shared" ref="F76" si="65">E76-G76</f>
        <v>1500000</v>
      </c>
      <c r="G76" s="18">
        <f t="shared" ref="G76" si="66">P76+O76</f>
        <v>0</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3">
        <f>SUMIFS('Data Additive'!$D:$D,'Data Additive'!$P:$P,'Painel Additive'!$B76,'Data Additive'!$Q:$Q,"&gt;360")</f>
        <v>0</v>
      </c>
      <c r="O76" s="122">
        <f>SUMIFS('Data Additive'!$D:$D,'Data Additive'!$P:$P,'Painel Additive'!$B76,'Data Additive'!$Q:$Q,"&gt;0")</f>
        <v>0</v>
      </c>
      <c r="P76" s="19">
        <f t="shared" ref="P76" si="67">SUM(Q76:W76)</f>
        <v>0</v>
      </c>
      <c r="Q76" s="19">
        <f>SUMIFS('Data Additive'!$D:$D,'Data Additive'!$P:$P,'Painel Additive'!$B76,'Data Additive'!$Q:$Q,"&lt;=0",'Data Additive'!$Q:$Q,"&gt;=-30")</f>
        <v>0</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3">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2"/>
      <c r="AE76" s="22"/>
      <c r="AF76" s="5"/>
      <c r="AG76" s="105">
        <f t="shared" si="46"/>
        <v>1500000</v>
      </c>
    </row>
    <row r="77" spans="2:33" x14ac:dyDescent="0.25">
      <c r="B77" s="41" t="s">
        <v>296</v>
      </c>
      <c r="C77" s="224" t="str">
        <f>IFERROR(_xlfn.XLOOKUP(B77,'Limite de crédito'!C:C,'Limite de crédito'!L:L,),0)</f>
        <v>B</v>
      </c>
      <c r="D77" s="93"/>
      <c r="E77" s="18">
        <f>_xlfn.XLOOKUP(B77,'Limite de crédito'!C:C,'Limite de crédito'!G:G,0)</f>
        <v>800000</v>
      </c>
      <c r="F77" s="18">
        <f t="shared" ref="F77" si="68">E77-G77</f>
        <v>800000</v>
      </c>
      <c r="G77" s="18">
        <f t="shared" ref="G77" si="69">P77+O77</f>
        <v>0</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3">
        <f>SUMIFS('Data Additive'!$D:$D,'Data Additive'!$P:$P,'Painel Additive'!$B77,'Data Additive'!$Q:$Q,"&gt;360")</f>
        <v>0</v>
      </c>
      <c r="O77" s="122">
        <f>SUMIFS('Data Additive'!$D:$D,'Data Additive'!$P:$P,'Painel Additive'!$B77,'Data Additive'!$Q:$Q,"&gt;0")</f>
        <v>0</v>
      </c>
      <c r="P77" s="19">
        <f t="shared" ref="P77" si="70">SUM(Q77:W77)</f>
        <v>0</v>
      </c>
      <c r="Q77" s="19">
        <f>SUMIFS('Data Additive'!$D:$D,'Data Additive'!$P:$P,'Painel Additive'!$B77,'Data Additive'!$Q:$Q,"&lt;=0",'Data Additive'!$Q:$Q,"&gt;=-30")</f>
        <v>0</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3">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2"/>
      <c r="AE77" s="22"/>
      <c r="AF77" s="5"/>
      <c r="AG77" s="105">
        <f t="shared" si="46"/>
        <v>800000</v>
      </c>
    </row>
    <row r="78" spans="2:33" x14ac:dyDescent="0.25">
      <c r="B78" s="41" t="s">
        <v>620</v>
      </c>
      <c r="C78" s="224" t="str">
        <f>IFERROR(_xlfn.XLOOKUP(B78,'Limite de crédito'!C:C,'Limite de crédito'!L:L,),0)</f>
        <v>B</v>
      </c>
      <c r="D78" s="93"/>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3">
        <f>SUMIFS('Data Additive'!$D:$D,'Data Additive'!$P:$P,'Painel Additive'!$B78,'Data Additive'!$Q:$Q,"&gt;360")</f>
        <v>0</v>
      </c>
      <c r="O78" s="122">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3">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2"/>
      <c r="AE78" s="22"/>
      <c r="AF78" s="5"/>
      <c r="AG78" s="105">
        <f t="shared" si="46"/>
        <v>500000</v>
      </c>
    </row>
    <row r="79" spans="2:33" x14ac:dyDescent="0.25">
      <c r="B79" s="41" t="s">
        <v>621</v>
      </c>
      <c r="C79" s="224">
        <f>IFERROR(_xlfn.XLOOKUP(B79,'Limite de crédito'!C:C,'Limite de crédito'!L:L,),0)</f>
        <v>0</v>
      </c>
      <c r="D79" s="93"/>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3">
        <f>SUMIFS('Data Additive'!$D:$D,'Data Additive'!$P:$P,'Painel Additive'!$B79,'Data Additive'!$Q:$Q,"&gt;360")</f>
        <v>0</v>
      </c>
      <c r="O79" s="122">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3">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2"/>
      <c r="AE79" s="22"/>
      <c r="AF79" s="5"/>
      <c r="AG79" s="105">
        <f t="shared" si="46"/>
        <v>300000</v>
      </c>
    </row>
    <row r="80" spans="2:33" x14ac:dyDescent="0.25">
      <c r="B80" s="41" t="s">
        <v>430</v>
      </c>
      <c r="C80" s="224" t="str">
        <f>IFERROR(_xlfn.XLOOKUP(B80,'Limite de crédito'!C:C,'Limite de crédito'!L:L,),0)</f>
        <v>B</v>
      </c>
      <c r="D80" s="93"/>
      <c r="E80" s="18">
        <f>_xlfn.XLOOKUP(B80,'Limite de crédito'!C:C,'Limite de crédito'!G:G,0)</f>
        <v>1000000</v>
      </c>
      <c r="F80" s="18">
        <f t="shared" ref="F80" si="77">E80-G80</f>
        <v>664936</v>
      </c>
      <c r="G80" s="18">
        <f t="shared" ref="G80" si="78">P80+O80</f>
        <v>335064</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3">
        <f>SUMIFS('Data Additive'!$D:$D,'Data Additive'!$P:$P,'Painel Additive'!$B80,'Data Additive'!$Q:$Q,"&gt;360")</f>
        <v>0</v>
      </c>
      <c r="O80" s="122">
        <f>SUMIFS('Data Additive'!$D:$D,'Data Additive'!$P:$P,'Painel Additive'!$B80,'Data Additive'!$Q:$Q,"&gt;0")</f>
        <v>0</v>
      </c>
      <c r="P80" s="19">
        <f t="shared" ref="P80" si="79">SUM(Q80:W80)</f>
        <v>335064</v>
      </c>
      <c r="Q80" s="19">
        <f>SUMIFS('Data Additive'!$D:$D,'Data Additive'!$P:$P,'Painel Additive'!$B80,'Data Additive'!$Q:$Q,"&lt;=0",'Data Additive'!$Q:$Q,"&gt;=-30")</f>
        <v>150024</v>
      </c>
      <c r="R80" s="19">
        <f>SUMIFS('Data Additive'!$D:$D,'Data Additive'!$P:$P,'Painel Additive'!$B80,'Data Additive'!$Q:$Q,"&lt;=-31",'Data Additive'!$Q:$Q,"&gt;=-60")</f>
        <v>0</v>
      </c>
      <c r="S80" s="19">
        <f>SUMIFS('Data Additive'!$D:$D,'Data Additive'!$P:$P,'Painel Additive'!$B80,'Data Additive'!$Q:$Q,"&lt;=-61",'Data Additive'!$Q:$Q,"&gt;=-90")</f>
        <v>0</v>
      </c>
      <c r="T80" s="19">
        <f>SUMIFS('Data Additive'!$D:$D,'Data Additive'!$P:$P,'Painel Additive'!$B80,'Data Additive'!$Q:$Q,"&lt;=-91",'Data Additive'!$Q:$Q,"&gt;=-120")</f>
        <v>185040</v>
      </c>
      <c r="U80" s="19">
        <f>SUMIFS('Data Additive'!$D:$D,'Data Additive'!$P:$P,'Painel Additive'!$B80,'Data Additive'!$Q:$Q,"&lt;=-121",'Data Additive'!$Q:$Q,"&gt;=-180")</f>
        <v>0</v>
      </c>
      <c r="V80" s="19">
        <f>SUMIFS('Data Additive'!$D:$D,'Data Additive'!$P:$P,'Painel Additive'!$B80,'Data Additive'!$Q:$Q,"&lt;=-181",'Data Additive'!$Q:$Q,"&gt;=-360")</f>
        <v>0</v>
      </c>
      <c r="W80" s="23">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2"/>
      <c r="AE80" s="22"/>
      <c r="AF80" s="5"/>
      <c r="AG80" s="105">
        <f t="shared" si="46"/>
        <v>664936</v>
      </c>
    </row>
    <row r="81" spans="2:33" x14ac:dyDescent="0.25">
      <c r="B81" s="41" t="s">
        <v>464</v>
      </c>
      <c r="C81" s="224" t="str">
        <f>IFERROR(_xlfn.XLOOKUP(B81,'Limite de crédito'!C:C,'Limite de crédito'!L:L,),0)</f>
        <v>O</v>
      </c>
      <c r="D81" s="93"/>
      <c r="E81" s="18">
        <f>_xlfn.XLOOKUP(B81,'Limite de crédito'!C:C,'Limite de crédito'!G:G,0)</f>
        <v>100000</v>
      </c>
      <c r="F81" s="18">
        <f t="shared" ref="F81" si="80">E81-G81</f>
        <v>100000</v>
      </c>
      <c r="G81" s="18">
        <f t="shared" ref="G81" si="81">P81+O81</f>
        <v>0</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3">
        <f>SUMIFS('Data Additive'!$D:$D,'Data Additive'!$P:$P,'Painel Additive'!$B81,'Data Additive'!$Q:$Q,"&gt;360")</f>
        <v>0</v>
      </c>
      <c r="O81" s="122">
        <f>SUMIFS('Data Additive'!$D:$D,'Data Additive'!$P:$P,'Painel Additive'!$B81,'Data Additive'!$Q:$Q,"&gt;0")</f>
        <v>0</v>
      </c>
      <c r="P81" s="19">
        <f t="shared" ref="P81" si="82">SUM(Q81:W81)</f>
        <v>0</v>
      </c>
      <c r="Q81" s="19">
        <f>SUMIFS('Data Additive'!$D:$D,'Data Additive'!$P:$P,'Painel Additive'!$B81,'Data Additive'!$Q:$Q,"&lt;=0",'Data Additive'!$Q:$Q,"&gt;=-30")</f>
        <v>0</v>
      </c>
      <c r="R81" s="19">
        <f>SUMIFS('Data Additive'!$D:$D,'Data Additive'!$P:$P,'Painel Additive'!$B81,'Data Additive'!$Q:$Q,"&lt;=-31",'Data Additive'!$Q:$Q,"&gt;=-60")</f>
        <v>0</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3">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2"/>
      <c r="AE81" s="22"/>
      <c r="AF81" s="5"/>
      <c r="AG81" s="105">
        <f t="shared" ref="AG81:AG86" si="83">AA81-G81</f>
        <v>0</v>
      </c>
    </row>
    <row r="82" spans="2:33" x14ac:dyDescent="0.25">
      <c r="B82" s="41" t="s">
        <v>656</v>
      </c>
      <c r="C82" s="224">
        <f>IFERROR(_xlfn.XLOOKUP(B82,'Limite de crédito'!C:C,'Limite de crédito'!L:L,),0)</f>
        <v>0</v>
      </c>
      <c r="D82" s="93"/>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3">
        <f>SUMIFS('Data Additive'!$D:$D,'Data Additive'!$P:$P,'Painel Additive'!$B82,'Data Additive'!$Q:$Q,"&gt;360")</f>
        <v>0</v>
      </c>
      <c r="O82" s="122">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3">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2"/>
      <c r="AE82" s="22"/>
      <c r="AF82" s="5"/>
      <c r="AG82" s="105">
        <f t="shared" si="83"/>
        <v>0</v>
      </c>
    </row>
    <row r="83" spans="2:33" x14ac:dyDescent="0.25">
      <c r="B83" s="41" t="s">
        <v>658</v>
      </c>
      <c r="C83" s="224" t="str">
        <f>IFERROR(_xlfn.XLOOKUP(B83,'Limite de crédito'!C:C,'Limite de crédito'!L:L,),0)</f>
        <v>B</v>
      </c>
      <c r="D83" s="93"/>
      <c r="E83" s="18">
        <f>_xlfn.XLOOKUP(B83,'Limite de crédito'!C:C,'Limite de crédito'!G:G,0)</f>
        <v>1000000</v>
      </c>
      <c r="F83" s="18">
        <f t="shared" ref="F83" si="87">E83-G83</f>
        <v>1000000</v>
      </c>
      <c r="G83" s="18">
        <f t="shared" ref="G83" si="88">P83+O83</f>
        <v>0</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0</v>
      </c>
      <c r="L83" s="19">
        <f>SUMIFS('Data Additive'!$D:$D,'Data Additive'!$P:$P,'Painel Additive'!$B83,'Data Additive'!$Q:$Q,"&gt;120",'Data Additive'!$Q:$Q,"&lt;=180")</f>
        <v>0</v>
      </c>
      <c r="M83" s="19">
        <f>SUMIFS('Data Additive'!$D:$D,'Data Additive'!$P:$P,'Painel Additive'!$B83,'Data Additive'!$Q:$Q,"&gt;180",'Data Additive'!$Q:$Q,"&lt;=360")</f>
        <v>0</v>
      </c>
      <c r="N83" s="23">
        <f>SUMIFS('Data Additive'!$D:$D,'Data Additive'!$P:$P,'Painel Additive'!$B83,'Data Additive'!$Q:$Q,"&gt;360")</f>
        <v>0</v>
      </c>
      <c r="O83" s="122">
        <f>SUMIFS('Data Additive'!$D:$D,'Data Additive'!$P:$P,'Painel Additive'!$B83,'Data Additive'!$Q:$Q,"&gt;0")</f>
        <v>0</v>
      </c>
      <c r="P83" s="19">
        <f t="shared" ref="P83" si="89">SUM(Q83:W83)</f>
        <v>0</v>
      </c>
      <c r="Q83" s="19">
        <f>SUMIFS('Data Additive'!$D:$D,'Data Additive'!$P:$P,'Painel Additive'!$B83,'Data Additive'!$Q:$Q,"&lt;=0",'Data Additive'!$Q:$Q,"&gt;=-30")</f>
        <v>0</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3">
        <f>SUMIFS('Data Additive'!$D:$D,'Data Additive'!$P:$P,'Painel Additive'!$B83,'Data Additive'!$Q:$Q,"&lt;-360")</f>
        <v>0</v>
      </c>
      <c r="X83" s="19">
        <f>SUMIFS('Bad Debt Provision'!AB:AB,'Bad Debt Provision'!B:B,'Painel Additive'!B83)</f>
        <v>101.78999999999999</v>
      </c>
      <c r="Y83" s="5"/>
      <c r="Z83" s="5"/>
      <c r="AA83" s="19">
        <f>IFERROR(_xlfn.XLOOKUP(B83,'Limite de crédito'!C:C,'Limite de crédito'!O:O,),0)</f>
        <v>1500000</v>
      </c>
      <c r="AB83" s="19"/>
      <c r="AC83" s="20"/>
      <c r="AD83" s="22"/>
      <c r="AE83" s="22"/>
      <c r="AF83" s="5"/>
      <c r="AG83" s="105">
        <f t="shared" si="83"/>
        <v>1500000</v>
      </c>
    </row>
    <row r="84" spans="2:33" x14ac:dyDescent="0.25">
      <c r="B84" s="41" t="s">
        <v>94</v>
      </c>
      <c r="C84" s="224" t="str">
        <f>IFERROR(_xlfn.XLOOKUP(B84,'Limite de crédito'!C:C,'Limite de crédito'!L:L,),0)</f>
        <v>B</v>
      </c>
      <c r="D84" s="93"/>
      <c r="E84" s="18">
        <f>_xlfn.XLOOKUP(B84,'Limite de crédito'!C:C,'Limite de crédito'!G:G,0)</f>
        <v>100000</v>
      </c>
      <c r="F84" s="18">
        <f t="shared" ref="F84" si="90">E84-G84</f>
        <v>100000</v>
      </c>
      <c r="G84" s="18">
        <f t="shared" ref="G84" si="91">P84+O84</f>
        <v>0</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3">
        <f>SUMIFS('Data Additive'!$D:$D,'Data Additive'!$P:$P,'Painel Additive'!$B84,'Data Additive'!$Q:$Q,"&gt;360")</f>
        <v>0</v>
      </c>
      <c r="O84" s="122">
        <f>SUMIFS('Data Additive'!$D:$D,'Data Additive'!$P:$P,'Painel Additive'!$B84,'Data Additive'!$Q:$Q,"&gt;0")</f>
        <v>0</v>
      </c>
      <c r="P84" s="19">
        <f t="shared" ref="P84" si="92">SUM(Q84:W84)</f>
        <v>0</v>
      </c>
      <c r="Q84" s="19">
        <f>SUMIFS('Data Additive'!$D:$D,'Data Additive'!$P:$P,'Painel Additive'!$B84,'Data Additive'!$Q:$Q,"&lt;=0",'Data Additive'!$Q:$Q,"&gt;=-30")</f>
        <v>0</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3">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2"/>
      <c r="AE84" s="22"/>
      <c r="AF84" s="5"/>
      <c r="AG84" s="105">
        <f t="shared" si="83"/>
        <v>100000</v>
      </c>
    </row>
    <row r="85" spans="2:33" x14ac:dyDescent="0.25">
      <c r="B85" s="41" t="s">
        <v>657</v>
      </c>
      <c r="C85" s="224">
        <f>IFERROR(_xlfn.XLOOKUP(B85,'Limite de crédito'!C:C,'Limite de crédito'!L:L,),0)</f>
        <v>0</v>
      </c>
      <c r="D85" s="93"/>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3">
        <f>SUMIFS('Data Additive'!$D:$D,'Data Additive'!$P:$P,'Painel Additive'!$B85,'Data Additive'!$Q:$Q,"&gt;360")</f>
        <v>0</v>
      </c>
      <c r="O85" s="122">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3">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2"/>
      <c r="AE85" s="22"/>
      <c r="AF85" s="5"/>
      <c r="AG85" s="105">
        <f t="shared" si="83"/>
        <v>0</v>
      </c>
    </row>
    <row r="86" spans="2:33" x14ac:dyDescent="0.25">
      <c r="B86" s="41" t="s">
        <v>95</v>
      </c>
      <c r="C86" s="224">
        <f>IFERROR(_xlfn.XLOOKUP(B86,'Limite de crédito'!C:C,'Limite de crédito'!L:L,),0)</f>
        <v>0</v>
      </c>
      <c r="D86" s="93"/>
      <c r="E86" s="18">
        <f>_xlfn.XLOOKUP(B86,'Limite de crédito'!C:C,'Limite de crédito'!G:G,0)</f>
        <v>0</v>
      </c>
      <c r="F86" s="18">
        <f t="shared" ref="F86" si="96">E86-G86</f>
        <v>-52840</v>
      </c>
      <c r="G86" s="18">
        <f t="shared" ref="G86" si="97">P86+O86</f>
        <v>52840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3">
        <f>SUMIFS('Data Additive'!$D:$D,'Data Additive'!$P:$P,'Painel Additive'!$B86,'Data Additive'!$Q:$Q,"&gt;360")</f>
        <v>0</v>
      </c>
      <c r="O86" s="122">
        <f>SUMIFS('Data Additive'!$D:$D,'Data Additive'!$P:$P,'Painel Additive'!$B86,'Data Additive'!$Q:$Q,"&gt;0")</f>
        <v>0</v>
      </c>
      <c r="P86" s="19">
        <f t="shared" ref="P86" si="98">SUM(Q86:W86)</f>
        <v>52840</v>
      </c>
      <c r="Q86" s="19">
        <f>SUMIFS('Data Additive'!$D:$D,'Data Additive'!$P:$P,'Painel Additive'!$B86,'Data Additive'!$Q:$Q,"&lt;=0",'Data Additive'!$Q:$Q,"&gt;=-30")</f>
        <v>52840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3">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2"/>
      <c r="AE86" s="22"/>
      <c r="AF86" s="5"/>
      <c r="AG86" s="105">
        <f t="shared" si="83"/>
        <v>-52840</v>
      </c>
    </row>
    <row r="87" spans="2:33" x14ac:dyDescent="0.25">
      <c r="B87" s="41" t="s">
        <v>606</v>
      </c>
      <c r="C87" s="224" t="str">
        <f>IFERROR(_xlfn.XLOOKUP(B87,'Limite de crédito'!C:C,'Limite de crédito'!L:L,),0)</f>
        <v>B</v>
      </c>
      <c r="D87" s="93"/>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3">
        <f>SUMIFS('Data Additive'!$D:$D,'Data Additive'!$P:$P,'Painel Additive'!$B87,'Data Additive'!$Q:$Q,"&gt;360")</f>
        <v>0</v>
      </c>
      <c r="O87" s="122">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3">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2"/>
      <c r="AE87" s="22"/>
      <c r="AF87" s="5"/>
      <c r="AG87" s="105">
        <f t="shared" ref="AG87" si="102">AA87-G87</f>
        <v>500000</v>
      </c>
    </row>
    <row r="88" spans="2:33" x14ac:dyDescent="0.25">
      <c r="B88" s="41" t="s">
        <v>597</v>
      </c>
      <c r="C88" s="224" t="str">
        <f>IFERROR(_xlfn.XLOOKUP(B88,'Limite de crédito'!C:C,'Limite de crédito'!L:L,),0)</f>
        <v>B</v>
      </c>
      <c r="D88" s="93"/>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3">
        <f>SUMIFS('Data Additive'!$D:$D,'Data Additive'!$P:$P,'Painel Additive'!$B88,'Data Additive'!$Q:$Q,"&gt;360")</f>
        <v>0</v>
      </c>
      <c r="O88" s="122">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3">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2"/>
      <c r="AE88" s="22"/>
      <c r="AF88" s="5"/>
      <c r="AG88" s="105">
        <f t="shared" ref="AG88" si="106">AA88-G88</f>
        <v>1300000</v>
      </c>
    </row>
    <row r="89" spans="2:33" x14ac:dyDescent="0.25">
      <c r="B89" s="41" t="s">
        <v>683</v>
      </c>
      <c r="C89" s="224" t="str">
        <f>IFERROR(_xlfn.XLOOKUP(B89,'Limite de crédito'!C:C,'Limite de crédito'!L:L,),0)</f>
        <v>B</v>
      </c>
      <c r="D89" s="93"/>
      <c r="E89" s="18">
        <f>_xlfn.XLOOKUP(B89,'Limite de crédito'!C:C,'Limite de crédito'!G:G,0)</f>
        <v>1500000</v>
      </c>
      <c r="F89" s="18">
        <f t="shared" ref="F89" si="107">E89-G89</f>
        <v>983388.60000000009</v>
      </c>
      <c r="G89" s="18">
        <f t="shared" ref="G89" si="108">P89+O89</f>
        <v>516611.39999999997</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3">
        <f>SUMIFS('Data Additive'!$D:$D,'Data Additive'!$P:$P,'Painel Additive'!$B89,'Data Additive'!$Q:$Q,"&gt;360")</f>
        <v>0</v>
      </c>
      <c r="O89" s="122">
        <f>SUMIFS('Data Additive'!$D:$D,'Data Additive'!$P:$P,'Painel Additive'!$B89,'Data Additive'!$Q:$Q,"&gt;0")</f>
        <v>0</v>
      </c>
      <c r="P89" s="19">
        <f t="shared" ref="P89" si="109">SUM(Q89:W89)</f>
        <v>516611.39999999997</v>
      </c>
      <c r="Q89" s="19">
        <f>SUMIFS('Data Additive'!$D:$D,'Data Additive'!$P:$P,'Painel Additive'!$B89,'Data Additive'!$Q:$Q,"&lt;=0",'Data Additive'!$Q:$Q,"&gt;=-30")</f>
        <v>516611.39999999997</v>
      </c>
      <c r="R89" s="19">
        <f>SUMIFS('Data Additive'!$D:$D,'Data Additive'!$P:$P,'Painel Additive'!$B89,'Data Additive'!$Q:$Q,"&lt;=-31",'Data Additive'!$Q:$Q,"&gt;=-60")</f>
        <v>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0</v>
      </c>
      <c r="W89" s="23">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2"/>
      <c r="AE89" s="22"/>
      <c r="AF89" s="5"/>
      <c r="AG89" s="105">
        <f t="shared" ref="AG89" si="110">AA89-G89</f>
        <v>983388.60000000009</v>
      </c>
    </row>
    <row r="90" spans="2:33" x14ac:dyDescent="0.25">
      <c r="B90" s="41" t="s">
        <v>688</v>
      </c>
      <c r="C90" s="224">
        <f>IFERROR(_xlfn.XLOOKUP(B90,'Limite de crédito'!C:C,'Limite de crédito'!L:L,),0)</f>
        <v>0</v>
      </c>
      <c r="D90" s="93"/>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3">
        <f>SUMIFS('Data Additive'!$D:$D,'Data Additive'!$P:$P,'Painel Additive'!$B90,'Data Additive'!$Q:$Q,"&gt;360")</f>
        <v>0</v>
      </c>
      <c r="O90" s="122">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3">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2"/>
      <c r="AE90" s="22"/>
      <c r="AF90" s="5"/>
      <c r="AG90" s="105">
        <f t="shared" ref="AG90" si="114">AA90-G90</f>
        <v>0</v>
      </c>
    </row>
    <row r="91" spans="2:33" x14ac:dyDescent="0.25">
      <c r="B91" s="41" t="s">
        <v>323</v>
      </c>
      <c r="C91" s="224">
        <f>IFERROR(_xlfn.XLOOKUP(B91,'Limite de crédito'!C:C,'Limite de crédito'!L:L,),0)</f>
        <v>0</v>
      </c>
      <c r="D91" s="93"/>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3">
        <f>SUMIFS('Data Additive'!$D:$D,'Data Additive'!$P:$P,'Painel Additive'!$B91,'Data Additive'!$Q:$Q,"&gt;360")</f>
        <v>0</v>
      </c>
      <c r="O91" s="122">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3">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2"/>
      <c r="AE91" s="22"/>
      <c r="AF91" s="5"/>
      <c r="AG91" s="105">
        <f t="shared" ref="AG91" si="118">AA91-G91</f>
        <v>0</v>
      </c>
    </row>
    <row r="92" spans="2:33" x14ac:dyDescent="0.25">
      <c r="B92" s="41" t="s">
        <v>333</v>
      </c>
      <c r="C92" s="224">
        <f>IFERROR(_xlfn.XLOOKUP(B92,'Limite de crédito'!C:C,'Limite de crédito'!L:L,),0)</f>
        <v>0</v>
      </c>
      <c r="D92" s="93"/>
      <c r="E92" s="18">
        <f>_xlfn.XLOOKUP(B92,'Limite de crédito'!C:C,'Limite de crédito'!G:G,0)</f>
        <v>100000</v>
      </c>
      <c r="F92" s="18">
        <f t="shared" ref="F92" si="119">E92-G92</f>
        <v>100000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3">
        <f>SUMIFS('Data Additive'!$D:$D,'Data Additive'!$P:$P,'Painel Additive'!$B92,'Data Additive'!$Q:$Q,"&gt;360")</f>
        <v>0</v>
      </c>
      <c r="O92" s="122">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3">
        <f>SUMIFS('Data Additive'!$D:$D,'Data Additive'!$P:$P,'Painel Additive'!$B92,'Data Additive'!$Q:$Q,"&lt;-360")</f>
        <v>0</v>
      </c>
      <c r="X92" s="19">
        <f>SUMIFS('Bad Debt Provision'!AB:AB,'Bad Debt Provision'!B:B,'Painel Additive'!B92)</f>
        <v>0</v>
      </c>
      <c r="Y92" s="5"/>
      <c r="Z92" s="5"/>
      <c r="AA92" s="19">
        <f>IFERROR(_xlfn.XLOOKUP(B92,'Limite de crédito'!C:C,'Limite de crédito'!O:O,),0)</f>
        <v>100000</v>
      </c>
      <c r="AB92" s="19"/>
      <c r="AC92" s="20"/>
      <c r="AD92" s="22"/>
      <c r="AE92" s="22"/>
      <c r="AF92" s="5"/>
      <c r="AG92" s="105">
        <f>AA92-G92</f>
        <v>100000</v>
      </c>
    </row>
    <row r="93" spans="2:33" x14ac:dyDescent="0.25">
      <c r="B93" s="41" t="s">
        <v>701</v>
      </c>
      <c r="C93" s="224">
        <f>IFERROR(_xlfn.XLOOKUP(B93,'Limite de crédito'!C:C,'Limite de crédito'!L:L,),0)</f>
        <v>0</v>
      </c>
      <c r="D93" s="93"/>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3">
        <f>SUMIFS('Data Additive'!$D:$D,'Data Additive'!$P:$P,'Painel Additive'!$B93,'Data Additive'!$Q:$Q,"&gt;360")</f>
        <v>0</v>
      </c>
      <c r="O93" s="122">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3">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2"/>
      <c r="AE93" s="22"/>
      <c r="AF93" s="5"/>
      <c r="AG93" s="105">
        <f t="shared" ref="AG93:AG94" si="125">AA93-G93</f>
        <v>0</v>
      </c>
    </row>
    <row r="94" spans="2:33" x14ac:dyDescent="0.25">
      <c r="B94" s="41" t="s">
        <v>703</v>
      </c>
      <c r="C94" s="224">
        <f>IFERROR(_xlfn.XLOOKUP(B94,'Limite de crédito'!C:C,'Limite de crédito'!L:L,),0)</f>
        <v>0</v>
      </c>
      <c r="D94" s="93"/>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3">
        <f>SUMIFS('Data Additive'!$D:$D,'Data Additive'!$P:$P,'Painel Additive'!$B94,'Data Additive'!$Q:$Q,"&gt;360")</f>
        <v>0</v>
      </c>
      <c r="O94" s="122">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3">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2"/>
      <c r="AE94" s="22"/>
      <c r="AF94" s="5"/>
      <c r="AG94" s="105">
        <f t="shared" si="125"/>
        <v>0</v>
      </c>
    </row>
    <row r="95" spans="2:33" x14ac:dyDescent="0.25">
      <c r="B95" s="41" t="s">
        <v>415</v>
      </c>
      <c r="C95" s="224">
        <f>IFERROR(_xlfn.XLOOKUP(B95,'Limite de crédito'!C:C,'Limite de crédito'!L:L,),0)</f>
        <v>0</v>
      </c>
      <c r="D95" s="93"/>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3">
        <f>SUMIFS('Data Additive'!$D:$D,'Data Additive'!$P:$P,'Painel Additive'!$B95,'Data Additive'!$Q:$Q,"&gt;360")</f>
        <v>0</v>
      </c>
      <c r="O95" s="122">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3">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2"/>
      <c r="AE95" s="22"/>
      <c r="AF95" s="5"/>
      <c r="AG95" s="105">
        <f t="shared" ref="AG95:AG97" si="129">AA95-G95</f>
        <v>0</v>
      </c>
    </row>
    <row r="96" spans="2:33" x14ac:dyDescent="0.25">
      <c r="B96" s="41" t="s">
        <v>359</v>
      </c>
      <c r="C96" s="224" t="str">
        <f>IFERROR(_xlfn.XLOOKUP(B96,'Limite de crédito'!C:C,'Limite de crédito'!L:L,),0)</f>
        <v>B</v>
      </c>
      <c r="D96" s="93"/>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3">
        <f>SUMIFS('Data Additive'!$D:$D,'Data Additive'!$P:$P,'Painel Additive'!$B96,'Data Additive'!$Q:$Q,"&gt;360")</f>
        <v>0</v>
      </c>
      <c r="O96" s="122">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3">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2"/>
      <c r="AE96" s="22"/>
      <c r="AF96" s="5"/>
      <c r="AG96" s="105">
        <f t="shared" si="129"/>
        <v>250000</v>
      </c>
    </row>
    <row r="97" spans="2:33" x14ac:dyDescent="0.25">
      <c r="B97" s="41" t="s">
        <v>117</v>
      </c>
      <c r="C97" s="224">
        <f>IFERROR(_xlfn.XLOOKUP(B97,'Limite de crédito'!C:C,'Limite de crédito'!L:L,),0)</f>
        <v>0</v>
      </c>
      <c r="D97" s="93"/>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3">
        <f>SUMIFS('Data Additive'!$D:$D,'Data Additive'!$P:$P,'Painel Additive'!$B97,'Data Additive'!$Q:$Q,"&gt;360")</f>
        <v>0</v>
      </c>
      <c r="O97" s="122">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3">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2"/>
      <c r="AE97" s="22"/>
      <c r="AF97" s="5"/>
      <c r="AG97" s="105">
        <f t="shared" si="129"/>
        <v>0</v>
      </c>
    </row>
    <row r="98" spans="2:33" x14ac:dyDescent="0.25">
      <c r="B98" s="41" t="s">
        <v>713</v>
      </c>
      <c r="C98" s="224">
        <f>IFERROR(_xlfn.XLOOKUP(B98,'Limite de crédito'!C:C,'Limite de crédito'!L:L,),0)</f>
        <v>0</v>
      </c>
      <c r="D98" s="93"/>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3">
        <f>SUMIFS('Data Additive'!$D:$D,'Data Additive'!$P:$P,'Painel Additive'!$B98,'Data Additive'!$Q:$Q,"&gt;360")</f>
        <v>0</v>
      </c>
      <c r="O98" s="122">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3">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2"/>
      <c r="AE98" s="22"/>
      <c r="AF98" s="5"/>
      <c r="AG98" s="105">
        <f t="shared" ref="AG98" si="133">AA98-G98</f>
        <v>0</v>
      </c>
    </row>
    <row r="99" spans="2:33" x14ac:dyDescent="0.25">
      <c r="B99" s="41" t="s">
        <v>716</v>
      </c>
      <c r="C99" s="224">
        <f>IFERROR(_xlfn.XLOOKUP(B99,'Limite de crédito'!C:C,'Limite de crédito'!L:L,),0)</f>
        <v>0</v>
      </c>
      <c r="D99" s="93"/>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3">
        <f>SUMIFS('Data Additive'!$D:$D,'Data Additive'!$P:$P,'Painel Additive'!$B99,'Data Additive'!$Q:$Q,"&gt;360")</f>
        <v>0</v>
      </c>
      <c r="O99" s="122">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3">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2"/>
      <c r="AE99" s="22"/>
      <c r="AF99" s="5"/>
      <c r="AG99" s="105">
        <f t="shared" ref="AG99" si="137">AA99-G99</f>
        <v>0</v>
      </c>
    </row>
    <row r="100" spans="2:33" x14ac:dyDescent="0.25">
      <c r="B100" s="41" t="s">
        <v>726</v>
      </c>
      <c r="C100" s="224" t="str">
        <f>IFERROR(_xlfn.XLOOKUP(B100,'Limite de crédito'!C:C,'Limite de crédito'!L:L,),0)</f>
        <v>B</v>
      </c>
      <c r="D100" s="93"/>
      <c r="E100" s="18">
        <f>_xlfn.XLOOKUP(B100,'Limite de crédito'!C:C,'Limite de crédito'!G:G,0)</f>
        <v>3500000</v>
      </c>
      <c r="F100" s="18">
        <f t="shared" ref="F100" si="138">E100-G100</f>
        <v>3287599.9</v>
      </c>
      <c r="G100" s="18">
        <f t="shared" ref="G100" si="139">P100+O100</f>
        <v>212400.09999999998</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3">
        <f>SUMIFS('Data Additive'!$D:$D,'Data Additive'!$P:$P,'Painel Additive'!$B100,'Data Additive'!$Q:$Q,"&gt;360")</f>
        <v>0</v>
      </c>
      <c r="O100" s="122">
        <f>SUMIFS('Data Additive'!$D:$D,'Data Additive'!$P:$P,'Painel Additive'!$B100,'Data Additive'!$Q:$Q,"&gt;0")</f>
        <v>0</v>
      </c>
      <c r="P100" s="19">
        <f t="shared" ref="P100" si="140">SUM(Q100:W100)</f>
        <v>212400.09999999998</v>
      </c>
      <c r="Q100" s="19">
        <f>SUMIFS('Data Additive'!$D:$D,'Data Additive'!$P:$P,'Painel Additive'!$B100,'Data Additive'!$Q:$Q,"&lt;=0",'Data Additive'!$Q:$Q,"&gt;=-30")</f>
        <v>212400.09999999998</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3">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2"/>
      <c r="AE100" s="22"/>
      <c r="AF100" s="5"/>
      <c r="AG100" s="105">
        <f t="shared" ref="AG100" si="141">AA100-G100</f>
        <v>3287599.9</v>
      </c>
    </row>
    <row r="101" spans="2:33" x14ac:dyDescent="0.25">
      <c r="B101" s="41" t="s">
        <v>727</v>
      </c>
      <c r="C101" s="224">
        <f>IFERROR(_xlfn.XLOOKUP(B101,'Limite de crédito'!C:C,'Limite de crédito'!L:L,),0)</f>
        <v>0</v>
      </c>
      <c r="D101" s="93"/>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3">
        <f>SUMIFS('Data Additive'!$D:$D,'Data Additive'!$P:$P,'Painel Additive'!$B101,'Data Additive'!$Q:$Q,"&gt;360")</f>
        <v>0</v>
      </c>
      <c r="O101" s="122">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3">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2"/>
      <c r="AE101" s="22"/>
      <c r="AF101" s="5"/>
      <c r="AG101" s="105">
        <f t="shared" ref="AG101" si="145">AA101-G101</f>
        <v>0</v>
      </c>
    </row>
    <row r="102" spans="2:33" x14ac:dyDescent="0.25">
      <c r="B102" s="41" t="s">
        <v>50</v>
      </c>
      <c r="C102" s="224" t="str">
        <f>IFERROR(_xlfn.XLOOKUP(B102,'Limite de crédito'!C:C,'Limite de crédito'!L:L,),0)</f>
        <v>B</v>
      </c>
      <c r="D102" s="93"/>
      <c r="E102" s="18">
        <f>_xlfn.XLOOKUP(B102,'Limite de crédito'!C:C,'Limite de crédito'!G:G,0)</f>
        <v>150000</v>
      </c>
      <c r="F102" s="18">
        <f t="shared" ref="F102:F104" si="146">E102-G102</f>
        <v>150000</v>
      </c>
      <c r="G102" s="18">
        <f t="shared" ref="G102:G104" si="147">P102+O102</f>
        <v>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3">
        <f>SUMIFS('Data Additive'!$D:$D,'Data Additive'!$P:$P,'Painel Additive'!$B102,'Data Additive'!$Q:$Q,"&gt;360")</f>
        <v>0</v>
      </c>
      <c r="O102" s="122">
        <f>SUMIFS('Data Additive'!$D:$D,'Data Additive'!$P:$P,'Painel Additive'!$B102,'Data Additive'!$Q:$Q,"&gt;0")</f>
        <v>0</v>
      </c>
      <c r="P102" s="19">
        <f t="shared" ref="P102:P104" si="148">SUM(Q102:W102)</f>
        <v>0</v>
      </c>
      <c r="Q102" s="19">
        <f>SUMIFS('Data Additive'!$D:$D,'Data Additive'!$P:$P,'Painel Additive'!$B102,'Data Additive'!$Q:$Q,"&lt;=0",'Data Additive'!$Q:$Q,"&gt;=-30")</f>
        <v>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3">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2"/>
      <c r="AE102" s="22"/>
      <c r="AF102" s="5"/>
      <c r="AG102" s="105">
        <f t="shared" ref="AG102:AG104" si="149">AA102-G102</f>
        <v>150000</v>
      </c>
    </row>
    <row r="103" spans="2:33" x14ac:dyDescent="0.25">
      <c r="B103" s="41" t="s">
        <v>730</v>
      </c>
      <c r="C103" s="224">
        <f>IFERROR(_xlfn.XLOOKUP(B103,'Limite de crédito'!C:C,'Limite de crédito'!L:L,),0)</f>
        <v>0</v>
      </c>
      <c r="D103" s="93"/>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3">
        <f>SUMIFS('Data Additive'!$D:$D,'Data Additive'!$P:$P,'Painel Additive'!$B103,'Data Additive'!$Q:$Q,"&gt;360")</f>
        <v>0</v>
      </c>
      <c r="O103" s="122">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3">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2"/>
      <c r="AE103" s="22"/>
      <c r="AF103" s="5"/>
      <c r="AG103" s="105">
        <f t="shared" si="149"/>
        <v>0</v>
      </c>
    </row>
    <row r="104" spans="2:33" x14ac:dyDescent="0.25">
      <c r="B104" s="41" t="s">
        <v>735</v>
      </c>
      <c r="C104" s="224">
        <f>IFERROR(_xlfn.XLOOKUP(B104,'Limite de crédito'!C:C,'Limite de crédito'!L:L,),0)</f>
        <v>0</v>
      </c>
      <c r="D104" s="93"/>
      <c r="E104" s="18">
        <f>_xlfn.XLOOKUP(B104,'Limite de crédito'!C:C,'Limite de crédito'!G:G,0)</f>
        <v>0</v>
      </c>
      <c r="F104" s="18">
        <f t="shared" si="146"/>
        <v>-290220</v>
      </c>
      <c r="G104" s="18">
        <f t="shared" si="147"/>
        <v>290220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3">
        <f>SUMIFS('Data Additive'!$D:$D,'Data Additive'!$P:$P,'Painel Additive'!$B104,'Data Additive'!$Q:$Q,"&gt;360")</f>
        <v>0</v>
      </c>
      <c r="O104" s="122">
        <f>SUMIFS('Data Additive'!$D:$D,'Data Additive'!$P:$P,'Painel Additive'!$B104,'Data Additive'!$Q:$Q,"&gt;0")</f>
        <v>0</v>
      </c>
      <c r="P104" s="19">
        <f t="shared" si="148"/>
        <v>290220</v>
      </c>
      <c r="Q104" s="19">
        <f>SUMIFS('Data Additive'!$D:$D,'Data Additive'!$P:$P,'Painel Additive'!$B104,'Data Additive'!$Q:$Q,"&lt;=0",'Data Additive'!$Q:$Q,"&gt;=-30")</f>
        <v>290220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3">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2"/>
      <c r="AE104" s="22"/>
      <c r="AF104" s="5"/>
      <c r="AG104" s="105">
        <f t="shared" si="149"/>
        <v>-290220</v>
      </c>
    </row>
    <row r="105" spans="2:33" x14ac:dyDescent="0.25">
      <c r="B105" s="41" t="s">
        <v>731</v>
      </c>
      <c r="C105" s="224">
        <f>IFERROR(_xlfn.XLOOKUP(B105,'Limite de crédito'!C:C,'Limite de crédito'!L:L,),0)</f>
        <v>0</v>
      </c>
      <c r="D105" s="93"/>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3">
        <f>SUMIFS('Data Additive'!$D:$D,'Data Additive'!$P:$P,'Painel Additive'!$B105,'Data Additive'!$Q:$Q,"&gt;360")</f>
        <v>0</v>
      </c>
      <c r="O105" s="122">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3">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2"/>
      <c r="AE105" s="22"/>
      <c r="AF105" s="5"/>
      <c r="AG105" s="105">
        <f t="shared" ref="AG105" si="153">AA105-G105</f>
        <v>0</v>
      </c>
    </row>
    <row r="106" spans="2:33" x14ac:dyDescent="0.25">
      <c r="B106" s="41" t="s">
        <v>734</v>
      </c>
      <c r="C106" s="224">
        <f>IFERROR(_xlfn.XLOOKUP(B106,'Limite de crédito'!C:C,'Limite de crédito'!L:L,),0)</f>
        <v>0</v>
      </c>
      <c r="D106" s="93"/>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3">
        <f>SUMIFS('Data Additive'!$D:$D,'Data Additive'!$P:$P,'Painel Additive'!$B106,'Data Additive'!$Q:$Q,"&gt;360")</f>
        <v>0</v>
      </c>
      <c r="O106" s="122">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3">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2"/>
      <c r="AE106" s="22"/>
      <c r="AF106" s="5"/>
      <c r="AG106" s="105">
        <f t="shared" ref="AG106" si="157">AA106-G106</f>
        <v>0</v>
      </c>
    </row>
    <row r="107" spans="2:33" x14ac:dyDescent="0.25">
      <c r="B107" s="41" t="s">
        <v>736</v>
      </c>
      <c r="C107" s="224">
        <f>IFERROR(_xlfn.XLOOKUP(B107,'Limite de crédito'!C:C,'Limite de crédito'!L:L,),0)</f>
        <v>0</v>
      </c>
      <c r="D107" s="93"/>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3">
        <f>SUMIFS('Data Additive'!$D:$D,'Data Additive'!$P:$P,'Painel Additive'!$B107,'Data Additive'!$Q:$Q,"&gt;360")</f>
        <v>0</v>
      </c>
      <c r="O107" s="122">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3">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2"/>
      <c r="AE107" s="22"/>
      <c r="AF107" s="5"/>
      <c r="AG107" s="105">
        <f t="shared" ref="AG107" si="161">AA107-G107</f>
        <v>0</v>
      </c>
    </row>
    <row r="108" spans="2:33" x14ac:dyDescent="0.25">
      <c r="B108" s="41" t="s">
        <v>737</v>
      </c>
      <c r="C108" s="224">
        <f>IFERROR(_xlfn.XLOOKUP(B108,'Limite de crédito'!C:C,'Limite de crédito'!L:L,),0)</f>
        <v>0</v>
      </c>
      <c r="D108" s="93"/>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3">
        <f>SUMIFS('Data Additive'!$D:$D,'Data Additive'!$P:$P,'Painel Additive'!$B108,'Data Additive'!$Q:$Q,"&gt;360")</f>
        <v>0</v>
      </c>
      <c r="O108" s="122">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3">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2"/>
      <c r="AE108" s="22"/>
      <c r="AF108" s="5"/>
      <c r="AG108" s="105">
        <f t="shared" ref="AG108" si="165">AA108-G108</f>
        <v>0</v>
      </c>
    </row>
    <row r="109" spans="2:33" x14ac:dyDescent="0.25">
      <c r="B109" s="41" t="s">
        <v>739</v>
      </c>
      <c r="C109" s="224">
        <f>IFERROR(_xlfn.XLOOKUP(B109,'Limite de crédito'!C:C,'Limite de crédito'!L:L,),0)</f>
        <v>0</v>
      </c>
      <c r="D109" s="93"/>
      <c r="E109" s="18">
        <f>_xlfn.XLOOKUP(B109,'Limite de crédito'!C:C,'Limite de crédito'!G:G,0)</f>
        <v>0</v>
      </c>
      <c r="F109" s="18">
        <f t="shared" ref="F109" si="166">E109-G109</f>
        <v>0</v>
      </c>
      <c r="G109" s="18">
        <f t="shared" ref="G109" si="167">P109+O109</f>
        <v>0</v>
      </c>
      <c r="H109" s="19">
        <f>SUMIFS('Data Additive'!$D:$D,'Data Additive'!$P:$P,'Painel Additive'!$B109,'Data Additive'!$Q:$Q,"&gt;0",'Data Additive'!$Q:$Q,"&lt;=30")</f>
        <v>0</v>
      </c>
      <c r="I109" s="19">
        <f>SUMIFS('Data Additive'!$D:$D,'Data Additive'!$P:$P,'Painel Additive'!$B109,'Data Additive'!$Q:$Q,"&gt;30",'Data Additive'!$Q:$Q,"&lt;=60")</f>
        <v>0</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3">
        <f>SUMIFS('Data Additive'!$D:$D,'Data Additive'!$P:$P,'Painel Additive'!$B109,'Data Additive'!$Q:$Q,"&gt;360")</f>
        <v>0</v>
      </c>
      <c r="O109" s="122">
        <f>SUMIFS('Data Additive'!$D:$D,'Data Additive'!$P:$P,'Painel Additive'!$B109,'Data Additive'!$Q:$Q,"&gt;0")</f>
        <v>0</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3">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2"/>
      <c r="AE109" s="22"/>
      <c r="AF109" s="5"/>
      <c r="AG109" s="105">
        <f t="shared" ref="AG109" si="169">AA109-G109</f>
        <v>0</v>
      </c>
    </row>
    <row r="110" spans="2:33" x14ac:dyDescent="0.25">
      <c r="B110" s="41" t="s">
        <v>743</v>
      </c>
      <c r="C110" s="224" t="str">
        <f>IFERROR(_xlfn.XLOOKUP(B110,'Limite de crédito'!C:C,'Limite de crédito'!L:L,),0)</f>
        <v>C</v>
      </c>
      <c r="D110" s="93"/>
      <c r="E110" s="18">
        <f>_xlfn.XLOOKUP(B110,'Limite de crédito'!C:C,'Limite de crédito'!G:G,0)</f>
        <v>400000</v>
      </c>
      <c r="F110" s="18">
        <f t="shared" ref="F110:F113" si="170">E110-G110</f>
        <v>400000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3">
        <f>SUMIFS('Data Additive'!$D:$D,'Data Additive'!$P:$P,'Painel Additive'!$B110,'Data Additive'!$Q:$Q,"&gt;360")</f>
        <v>0</v>
      </c>
      <c r="O110" s="122">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3">
        <f>SUMIFS('Data Additive'!$D:$D,'Data Additive'!$P:$P,'Painel Additive'!$B110,'Data Additive'!$Q:$Q,"&lt;-360")</f>
        <v>0</v>
      </c>
      <c r="X110" s="19">
        <f>SUMIFS('Bad Debt Provision'!AB:AB,'Bad Debt Provision'!B:B,'Painel Additive'!B110)</f>
        <v>0</v>
      </c>
      <c r="Y110" s="5"/>
      <c r="Z110" s="5"/>
      <c r="AA110" s="19">
        <f>IFERROR(_xlfn.XLOOKUP(B110,'Limite de crédito'!C:C,'Limite de crédito'!O:O,),0)</f>
        <v>400000</v>
      </c>
      <c r="AB110" s="19"/>
      <c r="AC110" s="20"/>
      <c r="AD110" s="22"/>
      <c r="AE110" s="22"/>
      <c r="AF110" s="5"/>
      <c r="AG110" s="105">
        <f t="shared" ref="AG110:AG113" si="173">AA110-G110</f>
        <v>400000</v>
      </c>
    </row>
    <row r="111" spans="2:33" x14ac:dyDescent="0.25">
      <c r="B111" s="41" t="s">
        <v>744</v>
      </c>
      <c r="C111" s="224" t="str">
        <f>IFERROR(_xlfn.XLOOKUP(B111,'Limite de crédito'!C:C,'Limite de crédito'!L:L,),0)</f>
        <v>B</v>
      </c>
      <c r="D111" s="93"/>
      <c r="E111" s="18">
        <f>_xlfn.XLOOKUP(B111,'Limite de crédito'!C:C,'Limite de crédito'!G:G,0)</f>
        <v>850000</v>
      </c>
      <c r="F111" s="18">
        <f t="shared" si="170"/>
        <v>728148</v>
      </c>
      <c r="G111" s="18">
        <f t="shared" si="171"/>
        <v>121852</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3">
        <f>SUMIFS('Data Additive'!$D:$D,'Data Additive'!$P:$P,'Painel Additive'!$B111,'Data Additive'!$Q:$Q,"&gt;360")</f>
        <v>0</v>
      </c>
      <c r="O111" s="122">
        <f>SUMIFS('Data Additive'!$D:$D,'Data Additive'!$P:$P,'Painel Additive'!$B111,'Data Additive'!$Q:$Q,"&gt;0")</f>
        <v>0</v>
      </c>
      <c r="P111" s="19">
        <f t="shared" si="172"/>
        <v>121852</v>
      </c>
      <c r="Q111" s="19">
        <f>SUMIFS('Data Additive'!$D:$D,'Data Additive'!$P:$P,'Painel Additive'!$B111,'Data Additive'!$Q:$Q,"&lt;=0",'Data Additive'!$Q:$Q,"&gt;=-30")</f>
        <v>0</v>
      </c>
      <c r="R111" s="19">
        <f>SUMIFS('Data Additive'!$D:$D,'Data Additive'!$P:$P,'Painel Additive'!$B111,'Data Additive'!$Q:$Q,"&lt;=-31",'Data Additive'!$Q:$Q,"&gt;=-60")</f>
        <v>121852</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3">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2"/>
      <c r="AE111" s="22"/>
      <c r="AF111" s="5"/>
      <c r="AG111" s="105">
        <f t="shared" si="173"/>
        <v>728148</v>
      </c>
    </row>
    <row r="112" spans="2:33" x14ac:dyDescent="0.25">
      <c r="B112" s="41" t="s">
        <v>741</v>
      </c>
      <c r="C112" s="224">
        <f>IFERROR(_xlfn.XLOOKUP(B112,'Limite de crédito'!C:C,'Limite de crédito'!L:L,),0)</f>
        <v>0</v>
      </c>
      <c r="D112" s="93"/>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3">
        <f>SUMIFS('Data Additive'!$D:$D,'Data Additive'!$P:$P,'Painel Additive'!$B112,'Data Additive'!$Q:$Q,"&gt;360")</f>
        <v>0</v>
      </c>
      <c r="O112" s="122">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3">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2"/>
      <c r="AE112" s="22"/>
      <c r="AF112" s="5"/>
      <c r="AG112" s="105">
        <f t="shared" si="173"/>
        <v>0</v>
      </c>
    </row>
    <row r="113" spans="2:33" x14ac:dyDescent="0.25">
      <c r="B113" s="41" t="s">
        <v>748</v>
      </c>
      <c r="C113" s="224">
        <f>IFERROR(_xlfn.XLOOKUP(B113,'Limite de crédito'!C:C,'Limite de crédito'!L:L,),0)</f>
        <v>0</v>
      </c>
      <c r="D113" s="93"/>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3">
        <f>SUMIFS('Data Additive'!$D:$D,'Data Additive'!$P:$P,'Painel Additive'!$B113,'Data Additive'!$Q:$Q,"&gt;360")</f>
        <v>0</v>
      </c>
      <c r="O113" s="122">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3">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2"/>
      <c r="AE113" s="22"/>
      <c r="AF113" s="5"/>
      <c r="AG113" s="105">
        <f t="shared" si="173"/>
        <v>650000</v>
      </c>
    </row>
    <row r="114" spans="2:33" x14ac:dyDescent="0.25">
      <c r="B114" s="41" t="s">
        <v>742</v>
      </c>
      <c r="C114" s="224">
        <f>IFERROR(_xlfn.XLOOKUP(B114,'Limite de crédito'!C:C,'Limite de crédito'!L:L,),0)</f>
        <v>0</v>
      </c>
      <c r="D114" s="93"/>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3">
        <f>SUMIFS('Data Additive'!$D:$D,'Data Additive'!$P:$P,'Painel Additive'!$B114,'Data Additive'!$Q:$Q,"&gt;360")</f>
        <v>0</v>
      </c>
      <c r="O114" s="122">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3">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2"/>
      <c r="AE114" s="22"/>
      <c r="AF114" s="5"/>
      <c r="AG114" s="105">
        <f t="shared" ref="AG114" si="177">AA114-G114</f>
        <v>0</v>
      </c>
    </row>
    <row r="115" spans="2:33" x14ac:dyDescent="0.25">
      <c r="B115" s="41" t="s">
        <v>792</v>
      </c>
      <c r="C115" s="224" t="str">
        <f>IFERROR(_xlfn.XLOOKUP(B115,'Limite de crédito'!C:C,'Limite de crédito'!L:L,),0)</f>
        <v>A</v>
      </c>
      <c r="D115" s="93"/>
      <c r="E115" s="18">
        <f>_xlfn.XLOOKUP(B115,'Limite de crédito'!C:C,'Limite de crédito'!G:G,0)</f>
        <v>1500000</v>
      </c>
      <c r="F115" s="18">
        <f t="shared" ref="F115" si="178">E115-G115</f>
        <v>437150.39999999991</v>
      </c>
      <c r="G115" s="18">
        <f t="shared" ref="G115" si="179">P115+O115</f>
        <v>1062849.6000000001</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3">
        <f>SUMIFS('Data Additive'!$D:$D,'Data Additive'!$P:$P,'Painel Additive'!$B115,'Data Additive'!$Q:$Q,"&gt;360")</f>
        <v>0</v>
      </c>
      <c r="O115" s="122">
        <f>SUMIFS('Data Additive'!$D:$D,'Data Additive'!$P:$P,'Painel Additive'!$B115,'Data Additive'!$Q:$Q,"&gt;0")</f>
        <v>0</v>
      </c>
      <c r="P115" s="19">
        <f t="shared" ref="P115" si="180">SUM(Q115:W115)</f>
        <v>1062849.6000000001</v>
      </c>
      <c r="Q115" s="19">
        <f>SUMIFS('Data Additive'!$D:$D,'Data Additive'!$P:$P,'Painel Additive'!$B115,'Data Additive'!$Q:$Q,"&lt;=0",'Data Additive'!$Q:$Q,"&gt;=-30")</f>
        <v>426003.60000000003</v>
      </c>
      <c r="R115" s="19">
        <f>SUMIFS('Data Additive'!$D:$D,'Data Additive'!$P:$P,'Painel Additive'!$B115,'Data Additive'!$Q:$Q,"&lt;=-31",'Data Additive'!$Q:$Q,"&gt;=-60")</f>
        <v>70705.600000000006</v>
      </c>
      <c r="S115" s="19">
        <f>SUMIFS('Data Additive'!$D:$D,'Data Additive'!$P:$P,'Painel Additive'!$B115,'Data Additive'!$Q:$Q,"&lt;=-61",'Data Additive'!$Q:$Q,"&gt;=-90")</f>
        <v>566140.4</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3">
        <f>SUMIFS('Data Additive'!$D:$D,'Data Additive'!$P:$P,'Painel Additive'!$B115,'Data Additive'!$Q:$Q,"&lt;-360")</f>
        <v>0</v>
      </c>
      <c r="X115" s="19">
        <f>SUMIFS('Bad Debt Provision'!AB:AB,'Bad Debt Provision'!B:B,'Painel Additive'!B115)</f>
        <v>1800</v>
      </c>
      <c r="Y115" s="5"/>
      <c r="Z115" s="5"/>
      <c r="AA115" s="19">
        <f>IFERROR(_xlfn.XLOOKUP(B115,'Limite de crédito'!C:C,'Limite de crédito'!O:O,),0)</f>
        <v>1500000</v>
      </c>
      <c r="AB115" s="19"/>
      <c r="AC115" s="20"/>
      <c r="AD115" s="22"/>
      <c r="AE115" s="22"/>
      <c r="AF115" s="5"/>
      <c r="AG115" s="105">
        <f t="shared" ref="AG115" si="181">AA115-G115</f>
        <v>437150.39999999991</v>
      </c>
    </row>
    <row r="116" spans="2:33" x14ac:dyDescent="0.25">
      <c r="B116" s="41" t="s">
        <v>794</v>
      </c>
      <c r="C116" s="224">
        <f>IFERROR(_xlfn.XLOOKUP(B116,'Limite de crédito'!C:C,'Limite de crédito'!L:L,),0)</f>
        <v>0</v>
      </c>
      <c r="D116" s="93"/>
      <c r="E116" s="18">
        <f>_xlfn.XLOOKUP(B116,'Limite de crédito'!C:C,'Limite de crédito'!G:G,0)</f>
        <v>0</v>
      </c>
      <c r="F116" s="18">
        <f t="shared" ref="F116" si="182">E116-G116</f>
        <v>0</v>
      </c>
      <c r="G116" s="18">
        <f t="shared" ref="G116" si="183">P116+O116</f>
        <v>0</v>
      </c>
      <c r="H116" s="19">
        <f>SUMIFS('Data Additive'!$D:$D,'Data Additive'!$P:$P,'Painel Additive'!$B116,'Data Additive'!$Q:$Q,"&gt;0",'Data Additive'!$Q:$Q,"&lt;=30")</f>
        <v>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3">
        <f>SUMIFS('Data Additive'!$D:$D,'Data Additive'!$P:$P,'Painel Additive'!$B116,'Data Additive'!$Q:$Q,"&gt;360")</f>
        <v>0</v>
      </c>
      <c r="O116" s="122">
        <f>SUMIFS('Data Additive'!$D:$D,'Data Additive'!$P:$P,'Painel Additive'!$B116,'Data Additive'!$Q:$Q,"&gt;0")</f>
        <v>0</v>
      </c>
      <c r="P116" s="19">
        <f t="shared" ref="P116" si="184">SUM(Q116:W116)</f>
        <v>0</v>
      </c>
      <c r="Q116" s="19">
        <f>SUMIFS('Data Additive'!$D:$D,'Data Additive'!$P:$P,'Painel Additive'!$B116,'Data Additive'!$Q:$Q,"&lt;=0",'Data Additive'!$Q:$Q,"&gt;=-30")</f>
        <v>0</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3">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2"/>
      <c r="AE116" s="22"/>
      <c r="AF116" s="5"/>
      <c r="AG116" s="105">
        <f t="shared" ref="AG116" si="185">AA116-G116</f>
        <v>0</v>
      </c>
    </row>
    <row r="117" spans="2:33" x14ac:dyDescent="0.25">
      <c r="B117" s="41" t="s">
        <v>801</v>
      </c>
      <c r="C117" s="224" t="str">
        <f>IFERROR(_xlfn.XLOOKUP(B117,'Limite de crédito'!C:C,'Limite de crédito'!L:L,),0)</f>
        <v>B</v>
      </c>
      <c r="D117" s="93"/>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3">
        <f>SUMIFS('Data Additive'!$D:$D,'Data Additive'!$P:$P,'Painel Additive'!$B117,'Data Additive'!$Q:$Q,"&gt;360")</f>
        <v>0</v>
      </c>
      <c r="O117" s="122">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3">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2"/>
      <c r="AE117" s="22"/>
      <c r="AF117" s="5"/>
      <c r="AG117" s="105">
        <f t="shared" ref="AG117" si="189">AA117-G117</f>
        <v>50000</v>
      </c>
    </row>
    <row r="118" spans="2:33" x14ac:dyDescent="0.25">
      <c r="B118" s="41" t="s">
        <v>803</v>
      </c>
      <c r="C118" s="224">
        <f>IFERROR(_xlfn.XLOOKUP(B118,'Limite de crédito'!C:C,'Limite de crédito'!L:L,),0)</f>
        <v>0</v>
      </c>
      <c r="D118" s="93"/>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3">
        <f>SUMIFS('Data Additive'!$D:$D,'Data Additive'!$P:$P,'Painel Additive'!$B118,'Data Additive'!$Q:$Q,"&gt;360")</f>
        <v>0</v>
      </c>
      <c r="O118" s="122">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3">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2"/>
      <c r="AE118" s="22"/>
      <c r="AF118" s="5"/>
      <c r="AG118" s="105">
        <f t="shared" ref="AG118:AG123" si="193">AA118-G118</f>
        <v>0</v>
      </c>
    </row>
    <row r="119" spans="2:33" x14ac:dyDescent="0.25">
      <c r="B119" s="41" t="s">
        <v>802</v>
      </c>
      <c r="C119" s="224">
        <f>IFERROR(_xlfn.XLOOKUP(B119,'Limite de crédito'!C:C,'Limite de crédito'!L:L,),0)</f>
        <v>0</v>
      </c>
      <c r="D119" s="93"/>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3">
        <f>SUMIFS('Data Additive'!$D:$D,'Data Additive'!$P:$P,'Painel Additive'!$B119,'Data Additive'!$Q:$Q,"&gt;360")</f>
        <v>0</v>
      </c>
      <c r="O119" s="122">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3">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2"/>
      <c r="AE119" s="22"/>
      <c r="AF119" s="5"/>
      <c r="AG119" s="105">
        <f t="shared" si="193"/>
        <v>0</v>
      </c>
    </row>
    <row r="120" spans="2:33" x14ac:dyDescent="0.25">
      <c r="B120" s="41" t="s">
        <v>814</v>
      </c>
      <c r="C120" s="224">
        <f>IFERROR(_xlfn.XLOOKUP(B120,'Limite de crédito'!C:C,'Limite de crédito'!L:L,),0)</f>
        <v>0</v>
      </c>
      <c r="D120" s="93"/>
      <c r="E120" s="18">
        <f>_xlfn.XLOOKUP(B120,'Limite de crédito'!C:C,'Limite de crédito'!G:G,0)</f>
        <v>0</v>
      </c>
      <c r="F120" s="18">
        <f t="shared" si="190"/>
        <v>-292.08</v>
      </c>
      <c r="G120" s="18">
        <f t="shared" si="191"/>
        <v>292.08</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3">
        <f>SUMIFS('Data Additive'!$D:$D,'Data Additive'!$P:$P,'Painel Additive'!$B120,'Data Additive'!$Q:$Q,"&gt;360")</f>
        <v>0</v>
      </c>
      <c r="O120" s="122">
        <f>SUMIFS('Data Additive'!$D:$D,'Data Additive'!$P:$P,'Painel Additive'!$B120,'Data Additive'!$Q:$Q,"&gt;0")</f>
        <v>0</v>
      </c>
      <c r="P120" s="19">
        <f t="shared" si="192"/>
        <v>292.08</v>
      </c>
      <c r="Q120" s="19">
        <f>SUMIFS('Data Additive'!$D:$D,'Data Additive'!$P:$P,'Painel Additive'!$B120,'Data Additive'!$Q:$Q,"&lt;=0",'Data Additive'!$Q:$Q,"&gt;=-30")</f>
        <v>292.08</v>
      </c>
      <c r="R120" s="19">
        <f>SUMIFS('Data Additive'!$D:$D,'Data Additive'!$P:$P,'Painel Additive'!$B120,'Data Additive'!$Q:$Q,"&lt;=-31",'Data Additive'!$Q:$Q,"&gt;=-60")</f>
        <v>0</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3">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2"/>
      <c r="AE120" s="22"/>
      <c r="AF120" s="5"/>
      <c r="AG120" s="105">
        <f t="shared" si="193"/>
        <v>-292.08</v>
      </c>
    </row>
    <row r="121" spans="2:33" x14ac:dyDescent="0.25">
      <c r="B121" s="41" t="s">
        <v>816</v>
      </c>
      <c r="C121" s="224">
        <f>IFERROR(_xlfn.XLOOKUP(B121,'Limite de crédito'!C:C,'Limite de crédito'!L:L,),0)</f>
        <v>0</v>
      </c>
      <c r="D121" s="93"/>
      <c r="E121" s="18">
        <f>_xlfn.XLOOKUP(B121,'Limite de crédito'!C:C,'Limite de crédito'!G:G,0)</f>
        <v>0</v>
      </c>
      <c r="F121" s="18">
        <f t="shared" si="190"/>
        <v>0</v>
      </c>
      <c r="G121" s="18">
        <f t="shared" si="191"/>
        <v>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3">
        <f>SUMIFS('Data Additive'!$D:$D,'Data Additive'!$P:$P,'Painel Additive'!$B121,'Data Additive'!$Q:$Q,"&gt;360")</f>
        <v>0</v>
      </c>
      <c r="O121" s="122">
        <f>SUMIFS('Data Additive'!$D:$D,'Data Additive'!$P:$P,'Painel Additive'!$B121,'Data Additive'!$Q:$Q,"&gt;0")</f>
        <v>0</v>
      </c>
      <c r="P121" s="19">
        <f t="shared" si="192"/>
        <v>0</v>
      </c>
      <c r="Q121" s="19">
        <f>SUMIFS('Data Additive'!$D:$D,'Data Additive'!$P:$P,'Painel Additive'!$B121,'Data Additive'!$Q:$Q,"&lt;=0",'Data Additive'!$Q:$Q,"&gt;=-30")</f>
        <v>0</v>
      </c>
      <c r="R121" s="19">
        <f>SUMIFS('Data Additive'!$D:$D,'Data Additive'!$P:$P,'Painel Additive'!$B121,'Data Additive'!$Q:$Q,"&lt;=-31",'Data Additive'!$Q:$Q,"&gt;=-60")</f>
        <v>0</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3">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2"/>
      <c r="AE121" s="22"/>
      <c r="AF121" s="5"/>
      <c r="AG121" s="105">
        <f t="shared" si="193"/>
        <v>0</v>
      </c>
    </row>
    <row r="122" spans="2:33" x14ac:dyDescent="0.25">
      <c r="B122" s="41" t="s">
        <v>818</v>
      </c>
      <c r="C122" s="224">
        <f>IFERROR(_xlfn.XLOOKUP(B122,'Limite de crédito'!C:C,'Limite de crédito'!L:L,),0)</f>
        <v>0</v>
      </c>
      <c r="D122" s="93"/>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3">
        <f>SUMIFS('Data Additive'!$D:$D,'Data Additive'!$P:$P,'Painel Additive'!$B122,'Data Additive'!$Q:$Q,"&gt;360")</f>
        <v>0</v>
      </c>
      <c r="O122" s="122">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3">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2"/>
      <c r="AE122" s="22"/>
      <c r="AF122" s="5"/>
      <c r="AG122" s="105">
        <f t="shared" si="193"/>
        <v>0</v>
      </c>
    </row>
    <row r="123" spans="2:33" x14ac:dyDescent="0.25">
      <c r="B123" s="41" t="s">
        <v>136</v>
      </c>
      <c r="C123" s="224">
        <f>IFERROR(_xlfn.XLOOKUP(B123,'Limite de crédito'!C:C,'Limite de crédito'!L:L,),0)</f>
        <v>0</v>
      </c>
      <c r="D123" s="93"/>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3">
        <f>SUMIFS('Data Additive'!$D:$D,'Data Additive'!$P:$P,'Painel Additive'!$B123,'Data Additive'!$Q:$Q,"&gt;360")</f>
        <v>0</v>
      </c>
      <c r="O123" s="122">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3">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2"/>
      <c r="AE123" s="22"/>
      <c r="AF123" s="5"/>
      <c r="AG123" s="105">
        <f t="shared" si="193"/>
        <v>0</v>
      </c>
    </row>
    <row r="124" spans="2:33" x14ac:dyDescent="0.25">
      <c r="B124" s="41" t="s">
        <v>819</v>
      </c>
      <c r="C124" s="224">
        <f>IFERROR(_xlfn.XLOOKUP(B124,'Limite de crédito'!C:C,'Limite de crédito'!L:L,),0)</f>
        <v>0</v>
      </c>
      <c r="D124" s="93"/>
      <c r="E124" s="18">
        <f>_xlfn.XLOOKUP(B124,'Limite de crédito'!C:C,'Limite de crédito'!G:G,0)</f>
        <v>250000</v>
      </c>
      <c r="F124" s="18">
        <f t="shared" ref="F124:F125" si="194">E124-G124</f>
        <v>250000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3">
        <f>SUMIFS('Data Additive'!$D:$D,'Data Additive'!$P:$P,'Painel Additive'!$B124,'Data Additive'!$Q:$Q,"&gt;360")</f>
        <v>0</v>
      </c>
      <c r="O124" s="122">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3">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2"/>
      <c r="AE124" s="22"/>
      <c r="AF124" s="5"/>
      <c r="AG124" s="105">
        <f t="shared" ref="AG124:AG125" si="197">AA124-G124</f>
        <v>0</v>
      </c>
    </row>
    <row r="125" spans="2:33" x14ac:dyDescent="0.25">
      <c r="B125" s="41" t="s">
        <v>78</v>
      </c>
      <c r="C125" s="224" t="str">
        <f>IFERROR(_xlfn.XLOOKUP(B125,'Limite de crédito'!C:C,'Limite de crédito'!L:L,),0)</f>
        <v>B</v>
      </c>
      <c r="D125" s="93"/>
      <c r="E125" s="18">
        <f>_xlfn.XLOOKUP(B125,'Limite de crédito'!C:C,'Limite de crédito'!G:G,0)</f>
        <v>500000</v>
      </c>
      <c r="F125" s="18">
        <f t="shared" si="194"/>
        <v>500000</v>
      </c>
      <c r="G125" s="18">
        <f t="shared" si="195"/>
        <v>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3">
        <f>SUMIFS('Data Additive'!$D:$D,'Data Additive'!$P:$P,'Painel Additive'!$B125,'Data Additive'!$Q:$Q,"&gt;360")</f>
        <v>0</v>
      </c>
      <c r="O125" s="122">
        <f>SUMIFS('Data Additive'!$D:$D,'Data Additive'!$P:$P,'Painel Additive'!$B125,'Data Additive'!$Q:$Q,"&gt;0")</f>
        <v>0</v>
      </c>
      <c r="P125" s="19">
        <f t="shared" si="196"/>
        <v>0</v>
      </c>
      <c r="Q125" s="19">
        <f>SUMIFS('Data Additive'!$D:$D,'Data Additive'!$P:$P,'Painel Additive'!$B125,'Data Additive'!$Q:$Q,"&lt;=0",'Data Additive'!$Q:$Q,"&gt;=-30")</f>
        <v>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3">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2"/>
      <c r="AE125" s="22"/>
      <c r="AF125" s="5"/>
      <c r="AG125" s="105">
        <f t="shared" si="197"/>
        <v>500000</v>
      </c>
    </row>
    <row r="126" spans="2:33" x14ac:dyDescent="0.25">
      <c r="B126" s="41" t="s">
        <v>820</v>
      </c>
      <c r="C126" s="224">
        <f>IFERROR(_xlfn.XLOOKUP(B126,'Limite de crédito'!C:C,'Limite de crédito'!L:L,),0)</f>
        <v>0</v>
      </c>
      <c r="D126" s="93"/>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3">
        <f>SUMIFS('Data Additive'!$D:$D,'Data Additive'!$P:$P,'Painel Additive'!$B126,'Data Additive'!$Q:$Q,"&gt;360")</f>
        <v>0</v>
      </c>
      <c r="O126" s="122">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3">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2"/>
      <c r="AE126" s="22"/>
      <c r="AF126" s="5"/>
      <c r="AG126" s="105">
        <f t="shared" ref="AG126" si="201">AA126-G126</f>
        <v>0</v>
      </c>
    </row>
    <row r="127" spans="2:33" x14ac:dyDescent="0.25">
      <c r="B127" s="41" t="s">
        <v>822</v>
      </c>
      <c r="C127" s="224" t="str">
        <f>IFERROR(_xlfn.XLOOKUP(B127,'Limite de crédito'!C:C,'Limite de crédito'!L:L,),0)</f>
        <v>B</v>
      </c>
      <c r="D127" s="93"/>
      <c r="E127" s="18">
        <f>_xlfn.XLOOKUP(B127,'Limite de crédito'!C:C,'Limite de crédito'!G:G,0)</f>
        <v>200000</v>
      </c>
      <c r="F127" s="18">
        <f t="shared" ref="F127" si="202">E127-G127</f>
        <v>200000</v>
      </c>
      <c r="G127" s="18">
        <f t="shared" ref="G127" si="203">P127+O127</f>
        <v>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3">
        <f>SUMIFS('Data Additive'!$D:$D,'Data Additive'!$P:$P,'Painel Additive'!$B127,'Data Additive'!$Q:$Q,"&gt;360")</f>
        <v>0</v>
      </c>
      <c r="O127" s="122">
        <f>SUMIFS('Data Additive'!$D:$D,'Data Additive'!$P:$P,'Painel Additive'!$B127,'Data Additive'!$Q:$Q,"&gt;0")</f>
        <v>0</v>
      </c>
      <c r="P127" s="19">
        <f t="shared" ref="P127" si="204">SUM(Q127:W127)</f>
        <v>0</v>
      </c>
      <c r="Q127" s="19">
        <f>SUMIFS('Data Additive'!$D:$D,'Data Additive'!$P:$P,'Painel Additive'!$B127,'Data Additive'!$Q:$Q,"&lt;=0",'Data Additive'!$Q:$Q,"&gt;=-30")</f>
        <v>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3">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2"/>
      <c r="AE127" s="22"/>
      <c r="AF127" s="5"/>
      <c r="AG127" s="105">
        <f t="shared" ref="AG127" si="205">AA127-G127</f>
        <v>200000</v>
      </c>
    </row>
    <row r="128" spans="2:33" x14ac:dyDescent="0.25">
      <c r="B128" s="41" t="s">
        <v>823</v>
      </c>
      <c r="C128" s="224" t="str">
        <f>IFERROR(_xlfn.XLOOKUP(B128,'Limite de crédito'!C:C,'Limite de crédito'!L:L,),0)</f>
        <v>C</v>
      </c>
      <c r="D128" s="93"/>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3">
        <f>SUMIFS('Data Additive'!$D:$D,'Data Additive'!$P:$P,'Painel Additive'!$B128,'Data Additive'!$Q:$Q,"&gt;360")</f>
        <v>0</v>
      </c>
      <c r="O128" s="122">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3">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2"/>
      <c r="AE128" s="22"/>
      <c r="AF128" s="5"/>
      <c r="AG128" s="105">
        <f t="shared" ref="AG128" si="209">AA128-G128</f>
        <v>550000</v>
      </c>
    </row>
    <row r="129" spans="2:33" x14ac:dyDescent="0.25">
      <c r="B129" s="41" t="s">
        <v>694</v>
      </c>
      <c r="C129" s="224" t="str">
        <f>IFERROR(_xlfn.XLOOKUP(B129,'Limite de crédito'!C:C,'Limite de crédito'!L:L,),0)</f>
        <v>B</v>
      </c>
      <c r="D129" s="93"/>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3">
        <f>SUMIFS('Data Additive'!$D:$D,'Data Additive'!$P:$P,'Painel Additive'!$B129,'Data Additive'!$Q:$Q,"&gt;360")</f>
        <v>0</v>
      </c>
      <c r="O129" s="122">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3">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2"/>
      <c r="AE129" s="22"/>
      <c r="AF129" s="5"/>
      <c r="AG129" s="105">
        <f t="shared" ref="AG129" si="213">AA129-G129</f>
        <v>1000000</v>
      </c>
    </row>
    <row r="130" spans="2:33" x14ac:dyDescent="0.25">
      <c r="B130" s="41" t="s">
        <v>841</v>
      </c>
      <c r="C130" s="224">
        <f>IFERROR(_xlfn.XLOOKUP(B130,'Limite de crédito'!C:C,'Limite de crédito'!L:L,),0)</f>
        <v>0</v>
      </c>
      <c r="D130" s="93"/>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0</v>
      </c>
      <c r="I130" s="19">
        <f>SUMIFS('Data Additive'!$D:$D,'Data Additive'!$P:$P,'Painel Additive'!$B130,'Data Additive'!$Q:$Q,"&gt;30",'Data Additive'!$Q:$Q,"&lt;=60")</f>
        <v>49440</v>
      </c>
      <c r="J130" s="19">
        <f>SUMIFS('Data Additive'!$D:$D,'Data Additive'!$P:$P,'Painel Additive'!$B130,'Data Additive'!$Q:$Q,"&gt;60",'Data Additive'!$Q:$Q,"&lt;=90")</f>
        <v>0</v>
      </c>
      <c r="K130" s="19">
        <f>SUMIFS('Data Additive'!$D:$D,'Data Additive'!$P:$P,'Painel Additive'!$B130,'Data Additive'!$Q:$Q,"&gt;90",'Data Additive'!$Q:$Q,"&lt;=120")</f>
        <v>0</v>
      </c>
      <c r="L130" s="19">
        <f>SUMIFS('Data Additive'!$D:$D,'Data Additive'!$P:$P,'Painel Additive'!$B130,'Data Additive'!$Q:$Q,"&gt;120",'Data Additive'!$Q:$Q,"&lt;=180")</f>
        <v>0</v>
      </c>
      <c r="M130" s="19">
        <f>SUMIFS('Data Additive'!$D:$D,'Data Additive'!$P:$P,'Painel Additive'!$B130,'Data Additive'!$Q:$Q,"&gt;180",'Data Additive'!$Q:$Q,"&lt;=360")</f>
        <v>0</v>
      </c>
      <c r="N130" s="23">
        <f>SUMIFS('Data Additive'!$D:$D,'Data Additive'!$P:$P,'Painel Additive'!$B130,'Data Additive'!$Q:$Q,"&gt;360")</f>
        <v>0</v>
      </c>
      <c r="O130" s="122">
        <f>SUMIFS('Data Additive'!$D:$D,'Data Additive'!$P:$P,'Painel Additive'!$B130,'Data Additive'!$Q:$Q,"&gt;0")</f>
        <v>49440</v>
      </c>
      <c r="P130" s="19">
        <f t="shared" ref="P130" si="216">SUM(Q130:W130)</f>
        <v>0</v>
      </c>
      <c r="Q130" s="19">
        <f>SUMIFS('Data Additive'!$D:$D,'Data Additive'!$P:$P,'Painel Additive'!$B130,'Data Additive'!$Q:$Q,"&lt;=0",'Data Additive'!$Q:$Q,"&gt;=-30")</f>
        <v>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3">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2"/>
      <c r="AE130" s="22"/>
      <c r="AF130" s="5"/>
      <c r="AG130" s="105">
        <f t="shared" ref="AG130" si="217">AA130-G130</f>
        <v>-49440</v>
      </c>
    </row>
    <row r="131" spans="2:33" x14ac:dyDescent="0.25">
      <c r="B131" s="41" t="s">
        <v>846</v>
      </c>
      <c r="C131" s="224">
        <f>IFERROR(_xlfn.XLOOKUP(B131,'Limite de crédito'!C:C,'Limite de crédito'!L:L,),0)</f>
        <v>0</v>
      </c>
      <c r="D131" s="93"/>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3">
        <f>SUMIFS('Data Additive'!$D:$D,'Data Additive'!$P:$P,'Painel Additive'!$B131,'Data Additive'!$Q:$Q,"&gt;360")</f>
        <v>0</v>
      </c>
      <c r="O131" s="122">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3">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2"/>
      <c r="AE131" s="22"/>
      <c r="AF131" s="5"/>
      <c r="AG131" s="105">
        <f t="shared" ref="AG131" si="221">AA131-G131</f>
        <v>0</v>
      </c>
    </row>
    <row r="132" spans="2:33" x14ac:dyDescent="0.25">
      <c r="B132" s="41" t="s">
        <v>259</v>
      </c>
      <c r="C132" s="224" t="str">
        <f>IFERROR(_xlfn.XLOOKUP(B132,'Limite de crédito'!C:C,'Limite de crédito'!L:L,),0)</f>
        <v>B</v>
      </c>
      <c r="D132" s="93"/>
      <c r="E132" s="18">
        <f>_xlfn.XLOOKUP(B132,'Limite de crédito'!C:C,'Limite de crédito'!G:G,0)</f>
        <v>1000000</v>
      </c>
      <c r="F132" s="18">
        <f t="shared" ref="F132" si="222">E132-G132</f>
        <v>1000000</v>
      </c>
      <c r="G132" s="18">
        <f t="shared" ref="G132" si="223">P132+O132</f>
        <v>0</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3">
        <f>SUMIFS('Data Additive'!$D:$D,'Data Additive'!$P:$P,'Painel Additive'!$B132,'Data Additive'!$Q:$Q,"&gt;360")</f>
        <v>0</v>
      </c>
      <c r="O132" s="122">
        <f>SUMIFS('Data Additive'!$D:$D,'Data Additive'!$P:$P,'Painel Additive'!$B132,'Data Additive'!$Q:$Q,"&gt;0")</f>
        <v>0</v>
      </c>
      <c r="P132" s="19">
        <f t="shared" ref="P132" si="224">SUM(Q132:W132)</f>
        <v>0</v>
      </c>
      <c r="Q132" s="19">
        <f>SUMIFS('Data Additive'!$D:$D,'Data Additive'!$P:$P,'Painel Additive'!$B132,'Data Additive'!$Q:$Q,"&lt;=0",'Data Additive'!$Q:$Q,"&gt;=-30")</f>
        <v>0</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3">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2"/>
      <c r="AE132" s="22"/>
      <c r="AF132" s="5"/>
      <c r="AG132" s="105">
        <f t="shared" ref="AG132" si="225">AA132-G132</f>
        <v>1000000</v>
      </c>
    </row>
    <row r="133" spans="2:33" x14ac:dyDescent="0.25">
      <c r="B133" s="41" t="s">
        <v>854</v>
      </c>
      <c r="C133" s="224">
        <f>IFERROR(_xlfn.XLOOKUP(B133,'Limite de crédito'!C:C,'Limite de crédito'!L:L,),0)</f>
        <v>0</v>
      </c>
      <c r="D133" s="93"/>
      <c r="E133" s="18">
        <f>_xlfn.XLOOKUP(B133,'Limite de crédito'!C:C,'Limite de crédito'!G:G,0)</f>
        <v>0</v>
      </c>
      <c r="F133" s="18">
        <f t="shared" ref="F133" si="226">E133-G133</f>
        <v>-583.34</v>
      </c>
      <c r="G133" s="18">
        <f t="shared" ref="G133" si="227">P133+O133</f>
        <v>583.34</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3">
        <f>SUMIFS('Data Additive'!$D:$D,'Data Additive'!$P:$P,'Painel Additive'!$B133,'Data Additive'!$Q:$Q,"&gt;360")</f>
        <v>0</v>
      </c>
      <c r="O133" s="122">
        <f>SUMIFS('Data Additive'!$D:$D,'Data Additive'!$P:$P,'Painel Additive'!$B133,'Data Additive'!$Q:$Q,"&gt;0")</f>
        <v>0</v>
      </c>
      <c r="P133" s="19">
        <f t="shared" ref="P133" si="228">SUM(Q133:W133)</f>
        <v>583.34</v>
      </c>
      <c r="Q133" s="19">
        <f>SUMIFS('Data Additive'!$D:$D,'Data Additive'!$P:$P,'Painel Additive'!$B133,'Data Additive'!$Q:$Q,"&lt;=0",'Data Additive'!$Q:$Q,"&gt;=-30")</f>
        <v>583.34</v>
      </c>
      <c r="R133" s="19">
        <f>SUMIFS('Data Additive'!$D:$D,'Data Additive'!$P:$P,'Painel Additive'!$B133,'Data Additive'!$Q:$Q,"&lt;=-31",'Data Additive'!$Q:$Q,"&gt;=-60")</f>
        <v>0</v>
      </c>
      <c r="S133" s="19">
        <f>SUMIFS('Data Additive'!$D:$D,'Data Additive'!$P:$P,'Painel Additive'!$B133,'Data Additive'!$Q:$Q,"&lt;=-61",'Data Additive'!$Q:$Q,"&gt;=-90")</f>
        <v>0</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3">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2"/>
      <c r="AE133" s="22"/>
      <c r="AF133" s="5"/>
      <c r="AG133" s="105">
        <f t="shared" ref="AG133" si="229">AA133-G133</f>
        <v>-583.34</v>
      </c>
    </row>
    <row r="134" spans="2:33" x14ac:dyDescent="0.25">
      <c r="B134" s="41" t="s">
        <v>875</v>
      </c>
      <c r="C134" s="224">
        <f>IFERROR(_xlfn.XLOOKUP(B134,'Limite de crédito'!C:C,'Limite de crédito'!L:L,),0)</f>
        <v>0</v>
      </c>
      <c r="D134" s="93"/>
      <c r="E134" s="18">
        <f>_xlfn.XLOOKUP(B134,'Limite de crédito'!C:C,'Limite de crédito'!G:G,0)</f>
        <v>0</v>
      </c>
      <c r="F134" s="18">
        <f t="shared" ref="F134" si="230">E134-G134</f>
        <v>-662</v>
      </c>
      <c r="G134" s="18">
        <f t="shared" ref="G134" si="231">P134+O134</f>
        <v>662</v>
      </c>
      <c r="H134" s="19">
        <f>SUMIFS('Data Additive'!$D:$D,'Data Additive'!$P:$P,'Painel Additive'!$B134,'Data Additive'!$Q:$Q,"&gt;0",'Data Additive'!$Q:$Q,"&lt;=30")</f>
        <v>0</v>
      </c>
      <c r="I134" s="19">
        <f>SUMIFS('Data Additive'!$D:$D,'Data Additive'!$P:$P,'Painel Additive'!$B134,'Data Additive'!$Q:$Q,"&gt;30",'Data Additive'!$Q:$Q,"&lt;=60")</f>
        <v>0</v>
      </c>
      <c r="J134" s="19">
        <f>SUMIFS('Data Additive'!$D:$D,'Data Additive'!$P:$P,'Painel Additive'!$B134,'Data Additive'!$Q:$Q,"&gt;60",'Data Additive'!$Q:$Q,"&lt;=90")</f>
        <v>0</v>
      </c>
      <c r="K134" s="19">
        <f>SUMIFS('Data Additive'!$D:$D,'Data Additive'!$P:$P,'Painel Additive'!$B134,'Data Additive'!$Q:$Q,"&gt;90",'Data Additive'!$Q:$Q,"&lt;=120")</f>
        <v>0</v>
      </c>
      <c r="L134" s="19">
        <f>SUMIFS('Data Additive'!$D:$D,'Data Additive'!$P:$P,'Painel Additive'!$B134,'Data Additive'!$Q:$Q,"&gt;120",'Data Additive'!$Q:$Q,"&lt;=180")</f>
        <v>0</v>
      </c>
      <c r="M134" s="19">
        <f>SUMIFS('Data Additive'!$D:$D,'Data Additive'!$P:$P,'Painel Additive'!$B134,'Data Additive'!$Q:$Q,"&gt;180",'Data Additive'!$Q:$Q,"&lt;=360")</f>
        <v>0</v>
      </c>
      <c r="N134" s="23">
        <f>SUMIFS('Data Additive'!$D:$D,'Data Additive'!$P:$P,'Painel Additive'!$B134,'Data Additive'!$Q:$Q,"&gt;360")</f>
        <v>0</v>
      </c>
      <c r="O134" s="122">
        <f>SUMIFS('Data Additive'!$D:$D,'Data Additive'!$P:$P,'Painel Additive'!$B134,'Data Additive'!$Q:$Q,"&gt;0")</f>
        <v>0</v>
      </c>
      <c r="P134" s="19">
        <f t="shared" ref="P134" si="232">SUM(Q134:W134)</f>
        <v>662</v>
      </c>
      <c r="Q134" s="19">
        <f>SUMIFS('Data Additive'!$D:$D,'Data Additive'!$P:$P,'Painel Additive'!$B134,'Data Additive'!$Q:$Q,"&lt;=0",'Data Additive'!$Q:$Q,"&gt;=-30")</f>
        <v>331</v>
      </c>
      <c r="R134" s="19">
        <f>SUMIFS('Data Additive'!$D:$D,'Data Additive'!$P:$P,'Painel Additive'!$B134,'Data Additive'!$Q:$Q,"&lt;=-31",'Data Additive'!$Q:$Q,"&gt;=-60")</f>
        <v>331</v>
      </c>
      <c r="S134" s="19">
        <f>SUMIFS('Data Additive'!$D:$D,'Data Additive'!$P:$P,'Painel Additive'!$B134,'Data Additive'!$Q:$Q,"&lt;=-61",'Data Additive'!$Q:$Q,"&gt;=-90")</f>
        <v>0</v>
      </c>
      <c r="T134" s="19">
        <f>SUMIFS('Data Additive'!$D:$D,'Data Additive'!$P:$P,'Painel Additive'!$B134,'Data Additive'!$Q:$Q,"&lt;=-91",'Data Additive'!$Q:$Q,"&gt;=-120")</f>
        <v>0</v>
      </c>
      <c r="U134" s="19">
        <f>SUMIFS('Data Additive'!$D:$D,'Data Additive'!$P:$P,'Painel Additive'!$B134,'Data Additive'!$Q:$Q,"&lt;=-121",'Data Additive'!$Q:$Q,"&gt;=-180")</f>
        <v>0</v>
      </c>
      <c r="V134" s="19">
        <f>SUMIFS('Data Additive'!$D:$D,'Data Additive'!$P:$P,'Painel Additive'!$B134,'Data Additive'!$Q:$Q,"&lt;=-181",'Data Additive'!$Q:$Q,"&gt;=-360")</f>
        <v>0</v>
      </c>
      <c r="W134" s="23">
        <f>SUMIFS('Data Additive'!$D:$D,'Data Additive'!$P:$P,'Painel Additive'!$B134,'Data Additive'!$Q:$Q,"&lt;-360")</f>
        <v>0</v>
      </c>
      <c r="X134" s="19">
        <f>SUMIFS('Bad Debt Provision'!AB:AB,'Bad Debt Provision'!B:B,'Painel Additive'!B134)</f>
        <v>0</v>
      </c>
      <c r="Y134" s="5"/>
      <c r="Z134" s="5"/>
      <c r="AA134" s="19">
        <f>IFERROR(_xlfn.XLOOKUP(B134,'Limite de crédito'!C:C,'Limite de crédito'!O:O,),0)</f>
        <v>0</v>
      </c>
      <c r="AB134" s="19"/>
      <c r="AC134" s="20"/>
      <c r="AD134" s="22"/>
      <c r="AE134" s="22"/>
      <c r="AF134" s="5"/>
      <c r="AG134" s="105">
        <f t="shared" ref="AG134" si="233">AA134-G134</f>
        <v>-662</v>
      </c>
    </row>
    <row r="135" spans="2:33" x14ac:dyDescent="0.25">
      <c r="B135" s="41" t="s">
        <v>877</v>
      </c>
      <c r="C135" s="224">
        <f>IFERROR(_xlfn.XLOOKUP(B135,'Limite de crédito'!C:C,'Limite de crédito'!L:L,),0)</f>
        <v>0</v>
      </c>
      <c r="D135" s="93"/>
      <c r="E135" s="18">
        <f>_xlfn.XLOOKUP(B135,'Limite de crédito'!C:C,'Limite de crédito'!G:G,0)</f>
        <v>0</v>
      </c>
      <c r="F135" s="18">
        <f>E135-G135</f>
        <v>0</v>
      </c>
      <c r="G135" s="18">
        <f>P135+O135</f>
        <v>0</v>
      </c>
      <c r="H135" s="19">
        <f>SUMIFS('Data Additive'!$D:$D,'Data Additive'!$P:$P,'Painel Additive'!$B135,'Data Additive'!$Q:$Q,"&gt;0",'Data Additive'!$Q:$Q,"&lt;=30")</f>
        <v>0</v>
      </c>
      <c r="I135" s="19">
        <f>SUMIFS('Data Additive'!$D:$D,'Data Additive'!$P:$P,'Painel Additive'!$B135,'Data Additive'!$Q:$Q,"&gt;30",'Data Additive'!$Q:$Q,"&lt;=60")</f>
        <v>0</v>
      </c>
      <c r="J135" s="19">
        <f>SUMIFS('Data Additive'!$D:$D,'Data Additive'!$P:$P,'Painel Additive'!$B135,'Data Additive'!$Q:$Q,"&gt;60",'Data Additive'!$Q:$Q,"&lt;=90")</f>
        <v>0</v>
      </c>
      <c r="K135" s="19">
        <f>SUMIFS('Data Additive'!$D:$D,'Data Additive'!$P:$P,'Painel Additive'!$B135,'Data Additive'!$Q:$Q,"&gt;90",'Data Additive'!$Q:$Q,"&lt;=120")</f>
        <v>0</v>
      </c>
      <c r="L135" s="19">
        <f>SUMIFS('Data Additive'!$D:$D,'Data Additive'!$P:$P,'Painel Additive'!$B135,'Data Additive'!$Q:$Q,"&gt;120",'Data Additive'!$Q:$Q,"&lt;=180")</f>
        <v>0</v>
      </c>
      <c r="M135" s="19">
        <f>SUMIFS('Data Additive'!$D:$D,'Data Additive'!$P:$P,'Painel Additive'!$B135,'Data Additive'!$Q:$Q,"&gt;180",'Data Additive'!$Q:$Q,"&lt;=360")</f>
        <v>0</v>
      </c>
      <c r="N135" s="23">
        <f>SUMIFS('Data Additive'!$D:$D,'Data Additive'!$P:$P,'Painel Additive'!$B135,'Data Additive'!$Q:$Q,"&gt;360")</f>
        <v>0</v>
      </c>
      <c r="O135" s="122">
        <f>SUMIFS('Data Additive'!$D:$D,'Data Additive'!$P:$P,'Painel Additive'!$B135,'Data Additive'!$Q:$Q,"&gt;0")</f>
        <v>0</v>
      </c>
      <c r="P135" s="19">
        <f>SUM(Q135:W135)</f>
        <v>0</v>
      </c>
      <c r="Q135" s="19">
        <f>SUMIFS('Data Additive'!$D:$D,'Data Additive'!$P:$P,'Painel Additive'!$B135,'Data Additive'!$Q:$Q,"&lt;=0",'Data Additive'!$Q:$Q,"&gt;=-30")</f>
        <v>0</v>
      </c>
      <c r="R135" s="19">
        <f>SUMIFS('Data Additive'!$D:$D,'Data Additive'!$P:$P,'Painel Additive'!$B135,'Data Additive'!$Q:$Q,"&lt;=-31",'Data Additive'!$Q:$Q,"&gt;=-60")</f>
        <v>0</v>
      </c>
      <c r="S135" s="19">
        <f>SUMIFS('Data Additive'!$D:$D,'Data Additive'!$P:$P,'Painel Additive'!$B135,'Data Additive'!$Q:$Q,"&lt;=-61",'Data Additive'!$Q:$Q,"&gt;=-90")</f>
        <v>0</v>
      </c>
      <c r="T135" s="19">
        <f>SUMIFS('Data Additive'!$D:$D,'Data Additive'!$P:$P,'Painel Additive'!$B135,'Data Additive'!$Q:$Q,"&lt;=-91",'Data Additive'!$Q:$Q,"&gt;=-120")</f>
        <v>0</v>
      </c>
      <c r="U135" s="19">
        <f>SUMIFS('Data Additive'!$D:$D,'Data Additive'!$P:$P,'Painel Additive'!$B135,'Data Additive'!$Q:$Q,"&lt;=-121",'Data Additive'!$Q:$Q,"&gt;=-180")</f>
        <v>0</v>
      </c>
      <c r="V135" s="19">
        <f>SUMIFS('Data Additive'!$D:$D,'Data Additive'!$P:$P,'Painel Additive'!$B135,'Data Additive'!$Q:$Q,"&lt;=-181",'Data Additive'!$Q:$Q,"&gt;=-360")</f>
        <v>0</v>
      </c>
      <c r="W135" s="23">
        <f>SUMIFS('Data Additive'!$D:$D,'Data Additive'!$P:$P,'Painel Additive'!$B135,'Data Additive'!$Q:$Q,"&lt;-360")</f>
        <v>0</v>
      </c>
      <c r="X135" s="19">
        <f>SUMIFS('Bad Debt Provision'!AB:AB,'Bad Debt Provision'!B:B,'Painel Additive'!B135)</f>
        <v>0</v>
      </c>
      <c r="Y135" s="5"/>
      <c r="Z135" s="5"/>
      <c r="AA135" s="19">
        <f>IFERROR(_xlfn.XLOOKUP(B135,'Limite de crédito'!C:C,'Limite de crédito'!O:O,),0)</f>
        <v>0</v>
      </c>
      <c r="AB135" s="19"/>
      <c r="AC135" s="20"/>
      <c r="AD135" s="22"/>
      <c r="AE135" s="22"/>
      <c r="AF135" s="5"/>
      <c r="AG135" s="105">
        <f>AA135-G135</f>
        <v>0</v>
      </c>
    </row>
    <row r="136" spans="2:33" x14ac:dyDescent="0.25">
      <c r="B136" s="41" t="s">
        <v>925</v>
      </c>
      <c r="C136" s="224">
        <f>IFERROR(_xlfn.XLOOKUP(B136,'Limite de crédito'!C:C,'Limite de crédito'!L:L,),0)</f>
        <v>0</v>
      </c>
      <c r="D136" s="93"/>
      <c r="E136" s="18">
        <f>_xlfn.XLOOKUP(B136,'Limite de crédito'!C:C,'Limite de crédito'!G:G,0)</f>
        <v>0</v>
      </c>
      <c r="F136" s="18">
        <f>E136-G136</f>
        <v>0</v>
      </c>
      <c r="G136" s="18">
        <f>P136+O136</f>
        <v>0</v>
      </c>
      <c r="H136" s="19">
        <f>SUMIFS('Data Additive'!$D:$D,'Data Additive'!$P:$P,'Painel Additive'!$B136,'Data Additive'!$Q:$Q,"&gt;0",'Data Additive'!$Q:$Q,"&lt;=30")</f>
        <v>0</v>
      </c>
      <c r="I136" s="19">
        <f>SUMIFS('Data Additive'!$D:$D,'Data Additive'!$P:$P,'Painel Additive'!$B136,'Data Additive'!$Q:$Q,"&gt;30",'Data Additive'!$Q:$Q,"&lt;=60")</f>
        <v>0</v>
      </c>
      <c r="J136" s="19">
        <f>SUMIFS('Data Additive'!$D:$D,'Data Additive'!$P:$P,'Painel Additive'!$B136,'Data Additive'!$Q:$Q,"&gt;60",'Data Additive'!$Q:$Q,"&lt;=90")</f>
        <v>0</v>
      </c>
      <c r="K136" s="19">
        <f>SUMIFS('Data Additive'!$D:$D,'Data Additive'!$P:$P,'Painel Additive'!$B136,'Data Additive'!$Q:$Q,"&gt;90",'Data Additive'!$Q:$Q,"&lt;=120")</f>
        <v>0</v>
      </c>
      <c r="L136" s="19">
        <f>SUMIFS('Data Additive'!$D:$D,'Data Additive'!$P:$P,'Painel Additive'!$B136,'Data Additive'!$Q:$Q,"&gt;120",'Data Additive'!$Q:$Q,"&lt;=180")</f>
        <v>0</v>
      </c>
      <c r="M136" s="19">
        <f>SUMIFS('Data Additive'!$D:$D,'Data Additive'!$P:$P,'Painel Additive'!$B136,'Data Additive'!$Q:$Q,"&gt;180",'Data Additive'!$Q:$Q,"&lt;=360")</f>
        <v>0</v>
      </c>
      <c r="N136" s="23">
        <f>SUMIFS('Data Additive'!$D:$D,'Data Additive'!$P:$P,'Painel Additive'!$B136,'Data Additive'!$Q:$Q,"&gt;360")</f>
        <v>0</v>
      </c>
      <c r="O136" s="122">
        <f>SUMIFS('Data Additive'!$D:$D,'Data Additive'!$P:$P,'Painel Additive'!$B136,'Data Additive'!$Q:$Q,"&gt;0")</f>
        <v>0</v>
      </c>
      <c r="P136" s="19">
        <f>SUM(Q136:W136)</f>
        <v>0</v>
      </c>
      <c r="Q136" s="19">
        <f>SUMIFS('Data Additive'!$D:$D,'Data Additive'!$P:$P,'Painel Additive'!$B136,'Data Additive'!$Q:$Q,"&lt;=0",'Data Additive'!$Q:$Q,"&gt;=-30")</f>
        <v>0</v>
      </c>
      <c r="R136" s="19">
        <f>SUMIFS('Data Additive'!$D:$D,'Data Additive'!$P:$P,'Painel Additive'!$B136,'Data Additive'!$Q:$Q,"&lt;=-31",'Data Additive'!$Q:$Q,"&gt;=-60")</f>
        <v>0</v>
      </c>
      <c r="S136" s="19">
        <f>SUMIFS('Data Additive'!$D:$D,'Data Additive'!$P:$P,'Painel Additive'!$B136,'Data Additive'!$Q:$Q,"&lt;=-61",'Data Additive'!$Q:$Q,"&gt;=-90")</f>
        <v>0</v>
      </c>
      <c r="T136" s="19">
        <f>SUMIFS('Data Additive'!$D:$D,'Data Additive'!$P:$P,'Painel Additive'!$B136,'Data Additive'!$Q:$Q,"&lt;=-91",'Data Additive'!$Q:$Q,"&gt;=-120")</f>
        <v>0</v>
      </c>
      <c r="U136" s="19">
        <f>SUMIFS('Data Additive'!$D:$D,'Data Additive'!$P:$P,'Painel Additive'!$B136,'Data Additive'!$Q:$Q,"&lt;=-121",'Data Additive'!$Q:$Q,"&gt;=-180")</f>
        <v>0</v>
      </c>
      <c r="V136" s="19">
        <f>SUMIFS('Data Additive'!$D:$D,'Data Additive'!$P:$P,'Painel Additive'!$B136,'Data Additive'!$Q:$Q,"&lt;=-181",'Data Additive'!$Q:$Q,"&gt;=-360")</f>
        <v>0</v>
      </c>
      <c r="W136" s="23">
        <f>SUMIFS('Data Additive'!$D:$D,'Data Additive'!$P:$P,'Painel Additive'!$B136,'Data Additive'!$Q:$Q,"&lt;-360")</f>
        <v>0</v>
      </c>
      <c r="X136" s="19">
        <f>SUMIFS('Bad Debt Provision'!AB:AB,'Bad Debt Provision'!B:B,'Painel Additive'!B136)</f>
        <v>0</v>
      </c>
      <c r="Y136" s="5"/>
      <c r="Z136" s="5"/>
      <c r="AA136" s="19">
        <f>IFERROR(_xlfn.XLOOKUP(B136,'Limite de crédito'!C:C,'Limite de crédito'!O:O,),0)</f>
        <v>0</v>
      </c>
      <c r="AB136" s="19"/>
      <c r="AC136" s="20"/>
      <c r="AD136" s="22"/>
      <c r="AE136" s="22"/>
      <c r="AF136" s="5"/>
      <c r="AG136" s="105">
        <f>AA136-G136</f>
        <v>0</v>
      </c>
    </row>
    <row r="139" spans="2:33" x14ac:dyDescent="0.25">
      <c r="B139" s="392"/>
    </row>
  </sheetData>
  <autoFilter ref="A3:AK135" xr:uid="{8425CF93-5C5C-4FF0-82A9-E9478886963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2"/>
  <sheetViews>
    <sheetView showGridLines="0" zoomScale="80" zoomScaleNormal="80" workbookViewId="0">
      <pane xSplit="2" ySplit="3" topLeftCell="C18" activePane="bottomRight" state="frozen"/>
      <selection activeCell="C125" sqref="C125"/>
      <selection pane="topRight" activeCell="C125" sqref="C125"/>
      <selection pane="bottomLeft" activeCell="C125" sqref="C125"/>
      <selection pane="bottomRight" activeCell="B4" sqref="B4:AA62"/>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100"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169"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9" customWidth="1"/>
    <col min="34" max="34" width="1.6640625" customWidth="1"/>
    <col min="35" max="35" width="14.5546875" bestFit="1" customWidth="1"/>
    <col min="36" max="36" width="14.6640625" customWidth="1"/>
    <col min="37" max="37" width="12.6640625" customWidth="1"/>
  </cols>
  <sheetData>
    <row r="1" spans="1:37" s="9" customFormat="1" ht="12" x14ac:dyDescent="0.25">
      <c r="B1" s="96">
        <v>46135</v>
      </c>
      <c r="C1" s="99"/>
      <c r="D1" s="99"/>
      <c r="E1" s="101">
        <f>SUBTOTAL(9,E4:E40)</f>
        <v>20083000</v>
      </c>
      <c r="F1" s="11"/>
      <c r="G1" s="9">
        <f t="shared" ref="G1:P1" si="0">SUBTOTAL(9,G4:G158)</f>
        <v>27543516.399999995</v>
      </c>
      <c r="H1" s="9">
        <f t="shared" si="0"/>
        <v>235730.06</v>
      </c>
      <c r="I1" s="9">
        <f t="shared" si="0"/>
        <v>0</v>
      </c>
      <c r="J1" s="9">
        <f t="shared" si="0"/>
        <v>0</v>
      </c>
      <c r="K1" s="9">
        <f t="shared" si="0"/>
        <v>0</v>
      </c>
      <c r="L1" s="9">
        <f t="shared" si="0"/>
        <v>0</v>
      </c>
      <c r="M1" s="9">
        <f t="shared" si="0"/>
        <v>988506.24</v>
      </c>
      <c r="N1" s="9">
        <f t="shared" si="0"/>
        <v>20866322.349999998</v>
      </c>
      <c r="O1" s="9">
        <f t="shared" si="0"/>
        <v>22090558.649999995</v>
      </c>
      <c r="P1" s="9">
        <f t="shared" si="0"/>
        <v>5452957.75</v>
      </c>
      <c r="Q1" s="9">
        <f t="shared" ref="Q1:W1" si="1">SUM(Q4:Q159)</f>
        <v>3261225.7399999998</v>
      </c>
      <c r="R1" s="9">
        <f t="shared" si="1"/>
        <v>427654.17999999993</v>
      </c>
      <c r="S1" s="9">
        <f t="shared" si="1"/>
        <v>402268.19</v>
      </c>
      <c r="T1" s="9">
        <f t="shared" si="1"/>
        <v>5030.5</v>
      </c>
      <c r="U1" s="9">
        <f t="shared" si="1"/>
        <v>1057137.06</v>
      </c>
      <c r="V1" s="9">
        <f t="shared" si="1"/>
        <v>299642.08</v>
      </c>
      <c r="W1" s="9">
        <f t="shared" si="1"/>
        <v>0</v>
      </c>
      <c r="X1" s="9">
        <f>SUBTOTAL(9,X4:X158)</f>
        <v>9966395.9372000005</v>
      </c>
      <c r="Y1" s="10"/>
      <c r="Z1" s="10"/>
      <c r="AA1" s="189">
        <f>SUBTOTAL(9,AA4:AA279)</f>
        <v>24943000</v>
      </c>
      <c r="AD1" s="10"/>
      <c r="AE1" s="14"/>
      <c r="AF1" s="10"/>
      <c r="AG1" s="27">
        <f>SUBTOTAL(9,AG12:AG319)</f>
        <v>18028496.829999998</v>
      </c>
      <c r="AH1" s="10"/>
      <c r="AJ1" s="233">
        <f>O1/G1</f>
        <v>0.80202390752111807</v>
      </c>
    </row>
    <row r="2" spans="1:37" ht="14.4" customHeight="1" thickBot="1" x14ac:dyDescent="0.3">
      <c r="B2" s="8"/>
      <c r="C2" s="8"/>
      <c r="D2" s="8"/>
      <c r="E2" s="102"/>
      <c r="F2" s="8"/>
      <c r="G2" s="8"/>
      <c r="H2" s="442" t="s">
        <v>26</v>
      </c>
      <c r="I2" s="442"/>
      <c r="J2" s="442"/>
      <c r="K2" s="442"/>
      <c r="L2" s="442"/>
      <c r="M2" s="442"/>
      <c r="N2" s="442"/>
      <c r="O2" s="33"/>
      <c r="P2" s="33"/>
      <c r="Q2" s="442" t="s">
        <v>16</v>
      </c>
      <c r="R2" s="442"/>
      <c r="S2" s="442"/>
      <c r="T2" s="442"/>
      <c r="U2" s="442"/>
      <c r="V2" s="442"/>
      <c r="W2" s="442"/>
      <c r="X2" s="8"/>
      <c r="Y2" s="6"/>
      <c r="Z2" s="6"/>
      <c r="AA2" s="243"/>
      <c r="AB2" s="46"/>
      <c r="AC2" s="46"/>
      <c r="AD2" s="46"/>
      <c r="AE2" s="46"/>
      <c r="AF2" s="6"/>
      <c r="AG2" s="37"/>
      <c r="AH2" s="6"/>
      <c r="AI2" s="443" t="s">
        <v>482</v>
      </c>
      <c r="AJ2" s="443"/>
      <c r="AK2" s="443"/>
    </row>
    <row r="3" spans="1:37" ht="28.8"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14" t="s">
        <v>298</v>
      </c>
      <c r="Y3" s="6" t="s">
        <v>225</v>
      </c>
      <c r="Z3" s="6" t="s">
        <v>225</v>
      </c>
      <c r="AA3" s="12" t="s">
        <v>480</v>
      </c>
      <c r="AB3" s="12" t="s">
        <v>486</v>
      </c>
      <c r="AC3" s="13" t="s">
        <v>20</v>
      </c>
      <c r="AD3" s="13" t="s">
        <v>19</v>
      </c>
      <c r="AE3" s="15" t="s">
        <v>23</v>
      </c>
      <c r="AF3" s="6" t="s">
        <v>225</v>
      </c>
      <c r="AG3" s="37" t="s">
        <v>481</v>
      </c>
      <c r="AH3" s="6" t="s">
        <v>225</v>
      </c>
      <c r="AI3" s="112" t="s">
        <v>483</v>
      </c>
      <c r="AJ3" s="113" t="s">
        <v>484</v>
      </c>
      <c r="AK3" s="113" t="s">
        <v>485</v>
      </c>
    </row>
    <row r="4" spans="1:37" s="234" customFormat="1" ht="15.75" customHeight="1" thickTop="1" x14ac:dyDescent="0.25">
      <c r="B4" s="235" t="s">
        <v>177</v>
      </c>
      <c r="C4" s="244">
        <f>IFERROR(_xlfn.XLOOKUP(B4,'Limite de crédito'!C:C,'Limite de crédito'!L:L),0)</f>
        <v>0</v>
      </c>
      <c r="D4" s="245"/>
      <c r="E4" s="246">
        <f>_xlfn.XLOOKUP(B4,'Limite de crédito'!C:C,'Limite de crédito'!G:G,0)</f>
        <v>0</v>
      </c>
      <c r="F4" s="237">
        <f>E4-G4</f>
        <v>-7560727.799999997</v>
      </c>
      <c r="G4" s="236">
        <f>P4+O4</f>
        <v>7560727.799999997</v>
      </c>
      <c r="H4" s="237">
        <f>SUMIFS('Data Fertilizers'!$D:$D,'Data Fertilizers'!$P:$P,$B4,'Data Fertilizers'!$Q:$Q,"&gt;0",'Data Fertilizers'!$Q:$Q,"&lt;=30")</f>
        <v>0</v>
      </c>
      <c r="I4" s="237">
        <f>SUMIFS('Data Fertilizers'!$D:$D,'Data Fertilizers'!$P:$P,$B4,'Data Fertilizers'!$Q:$Q,"&gt;30",'Data Fertilizers'!$Q:$Q,"&lt;=60")</f>
        <v>0</v>
      </c>
      <c r="J4" s="237">
        <f>SUMIFS('Data Fertilizers'!$D:$D,'Data Fertilizers'!$P:$P,$B4,'Data Fertilizers'!$Q:$Q,"&gt;60",'Data Fertilizers'!$Q:$Q,"&lt;=90")</f>
        <v>0</v>
      </c>
      <c r="K4" s="237">
        <f>SUMIFS('Data Fertilizers'!$D:$D,'Data Fertilizers'!$P:$P,$B4,'Data Fertilizers'!$Q:$Q,"&gt;90",'Data Fertilizers'!$Q:$Q,"&lt;=120")</f>
        <v>0</v>
      </c>
      <c r="L4" s="237">
        <f>SUMIFS('Data Fertilizers'!$D:$D,'Data Fertilizers'!$P:$P,$B4,'Data Fertilizers'!$Q:$Q,"&gt;120",'Data Fertilizers'!$Q:$Q,"&lt;=180")</f>
        <v>0</v>
      </c>
      <c r="M4" s="237">
        <f>SUMIFS('Data Fertilizers'!$D:$D,'Data Fertilizers'!$P:$P,$B4,'Data Fertilizers'!$Q:$Q,"&gt;180",'Data Fertilizers'!$Q:$Q,"&lt;=360")</f>
        <v>0</v>
      </c>
      <c r="N4" s="241">
        <f>SUMIFS('Data Fertilizers'!$D:$D,'Data Fertilizers'!$P:$P,$B4,'Data Fertilizers'!$Q:$Q,"&gt;360")</f>
        <v>7560727.799999997</v>
      </c>
      <c r="O4" s="237">
        <f>SUMIFS('Data Fertilizers'!$D:$D,'Data Fertilizers'!$P:$P,$B4,'Data Fertilizers'!$Q:$Q,"&gt;0")</f>
        <v>7560727.799999997</v>
      </c>
      <c r="P4" s="237">
        <f>SUM(Q4:W4)</f>
        <v>0</v>
      </c>
      <c r="Q4" s="237">
        <f>SUMIFS('Data Fertilizers'!$D:$D,'Data Fertilizers'!$P:$P,$B4,'Data Fertilizers'!$Q:$Q,"&lt;=0",'Data Fertilizers'!$Q:$Q,"&gt;=-30")</f>
        <v>0</v>
      </c>
      <c r="R4" s="237">
        <f>SUMIFS('Data Fertilizers'!$D:$D,'Data Fertilizers'!$P:$P,$B4,'Data Fertilizers'!$Q:$Q,"&lt;=-31",'Data Fertilizers'!$Q:$Q,"&gt;=-60")</f>
        <v>0</v>
      </c>
      <c r="S4" s="237">
        <f>SUMIFS('Data Fertilizers'!$D:$D,'Data Fertilizers'!$P:$P,$B4,'Data Fertilizers'!$Q:$Q,"&lt;=-61",'Data Fertilizers'!$Q:$Q,"&gt;=-90")</f>
        <v>0</v>
      </c>
      <c r="T4" s="237">
        <f>SUMIFS('Data Fertilizers'!$D:$D,'Data Fertilizers'!$P:$P,$B4,'Data Fertilizers'!$Q:$Q,"&lt;=-91",'Data Fertilizers'!$Q:$Q,"&gt;=-120")</f>
        <v>0</v>
      </c>
      <c r="U4" s="237">
        <f>SUMIFS('Data Fertilizers'!$D:$D,'Data Fertilizers'!$P:$P,$B4,'Data Fertilizers'!$Q:$Q,"&lt;=-121",'Data Fertilizers'!$Q:$Q,"&gt;=-180")</f>
        <v>0</v>
      </c>
      <c r="V4" s="237">
        <f>SUMIFS('Data Fertilizers'!$D:$D,'Data Fertilizers'!$P:$P,$B4,'Data Fertilizers'!$Q:$Q,"&lt;=-181",'Data Fertilizers'!$Q:$Q,"&gt;=-360")</f>
        <v>0</v>
      </c>
      <c r="W4" s="241">
        <f>SUMIFS('Data Fertilizers'!$D:$D,'Data Fertilizers'!$P:$P,$B4,'Data Fertilizers'!$Q:$Q,"&lt;-360")</f>
        <v>0</v>
      </c>
      <c r="X4" s="237">
        <f>SUMIFS('Bad Debt Provision'!AB:AB,'Bad Debt Provision'!B:B,'Painel Fertilizers'!B4)</f>
        <v>0</v>
      </c>
      <c r="Y4" s="238"/>
      <c r="Z4" s="238"/>
      <c r="AA4" s="182">
        <f>_xlfn.XLOOKUP(B4,'Limite de crédito'!C:C,'Limite de crédito'!O:O,0)</f>
        <v>0</v>
      </c>
      <c r="AB4" s="237"/>
      <c r="AC4" s="239"/>
      <c r="AD4" s="240"/>
      <c r="AE4" s="240"/>
      <c r="AF4" s="238"/>
      <c r="AG4" s="237">
        <f t="shared" ref="AG4:AG32" si="2">AA4-G4</f>
        <v>-7560727.799999997</v>
      </c>
      <c r="AH4" s="238"/>
      <c r="AI4" s="247">
        <v>7560727.799999997</v>
      </c>
    </row>
    <row r="5" spans="1:37" s="234" customFormat="1" ht="15.75" customHeight="1" x14ac:dyDescent="0.25">
      <c r="B5" s="235" t="s">
        <v>429</v>
      </c>
      <c r="C5" s="244">
        <f>IFERROR(_xlfn.XLOOKUP(B5,'Limite de crédito'!C:C,'Limite de crédito'!L:L),0)</f>
        <v>0</v>
      </c>
      <c r="D5" s="245"/>
      <c r="E5" s="246">
        <f>_xlfn.XLOOKUP(B5,'Limite de crédito'!C:C,'Limite de crédito'!G:G,0)</f>
        <v>0</v>
      </c>
      <c r="F5" s="236">
        <f t="shared" ref="F5:F32" si="3">E5-G5</f>
        <v>-3088531.0700000008</v>
      </c>
      <c r="G5" s="236">
        <f t="shared" ref="G5:G32" si="4">P5+O5</f>
        <v>3088531.0700000008</v>
      </c>
      <c r="H5" s="237">
        <f>SUMIFS('Data Fertilizers'!$D:$D,'Data Fertilizers'!$P:$P,$B5,'Data Fertilizers'!$Q:$Q,"&gt;0",'Data Fertilizers'!$Q:$Q,"&lt;=30")</f>
        <v>0</v>
      </c>
      <c r="I5" s="237">
        <f>SUMIFS('Data Fertilizers'!$D:$D,'Data Fertilizers'!$P:$P,$B5,'Data Fertilizers'!$Q:$Q,"&gt;30",'Data Fertilizers'!$Q:$Q,"&lt;=60")</f>
        <v>0</v>
      </c>
      <c r="J5" s="237">
        <f>SUMIFS('Data Fertilizers'!$D:$D,'Data Fertilizers'!$P:$P,$B5,'Data Fertilizers'!$Q:$Q,"&gt;60",'Data Fertilizers'!$Q:$Q,"&lt;=90")</f>
        <v>0</v>
      </c>
      <c r="K5" s="237">
        <f>SUMIFS('Data Fertilizers'!$D:$D,'Data Fertilizers'!$P:$P,$B5,'Data Fertilizers'!$Q:$Q,"&gt;90",'Data Fertilizers'!$Q:$Q,"&lt;=120")</f>
        <v>0</v>
      </c>
      <c r="L5" s="237">
        <f>SUMIFS('Data Fertilizers'!$D:$D,'Data Fertilizers'!$P:$P,$B5,'Data Fertilizers'!$Q:$Q,"&gt;120",'Data Fertilizers'!$Q:$Q,"&lt;=180")</f>
        <v>0</v>
      </c>
      <c r="M5" s="237">
        <f>SUMIFS('Data Fertilizers'!$D:$D,'Data Fertilizers'!$P:$P,$B5,'Data Fertilizers'!$Q:$Q,"&gt;180",'Data Fertilizers'!$Q:$Q,"&lt;=360")</f>
        <v>0</v>
      </c>
      <c r="N5" s="241">
        <f>SUMIFS('Data Fertilizers'!$D:$D,'Data Fertilizers'!$P:$P,$B5,'Data Fertilizers'!$Q:$Q,"&gt;360")</f>
        <v>3088531.0700000008</v>
      </c>
      <c r="O5" s="237">
        <f>SUMIFS('Data Fertilizers'!$D:$D,'Data Fertilizers'!$P:$P,$B5,'Data Fertilizers'!$Q:$Q,"&gt;0")</f>
        <v>3088531.0700000008</v>
      </c>
      <c r="P5" s="237">
        <f t="shared" ref="P5:P44" si="5">SUM(Q5:W5)</f>
        <v>0</v>
      </c>
      <c r="Q5" s="237">
        <f>SUMIFS('Data Fertilizers'!$D:$D,'Data Fertilizers'!$P:$P,$B5,'Data Fertilizers'!$Q:$Q,"&lt;=0",'Data Fertilizers'!$Q:$Q,"&gt;=-30")</f>
        <v>0</v>
      </c>
      <c r="R5" s="237">
        <f>SUMIFS('Data Fertilizers'!$D:$D,'Data Fertilizers'!$P:$P,$B5,'Data Fertilizers'!$Q:$Q,"&lt;=-31",'Data Fertilizers'!$Q:$Q,"&gt;=-60")</f>
        <v>0</v>
      </c>
      <c r="S5" s="237">
        <f>SUMIFS('Data Fertilizers'!$D:$D,'Data Fertilizers'!$P:$P,$B5,'Data Fertilizers'!$Q:$Q,"&lt;=-61",'Data Fertilizers'!$Q:$Q,"&gt;=-90")</f>
        <v>0</v>
      </c>
      <c r="T5" s="237">
        <f>SUMIFS('Data Fertilizers'!$D:$D,'Data Fertilizers'!$P:$P,$B5,'Data Fertilizers'!$Q:$Q,"&lt;=-91",'Data Fertilizers'!$Q:$Q,"&gt;=-120")</f>
        <v>0</v>
      </c>
      <c r="U5" s="237">
        <f>SUMIFS('Data Fertilizers'!$D:$D,'Data Fertilizers'!$P:$P,$B5,'Data Fertilizers'!$Q:$Q,"&lt;=-121",'Data Fertilizers'!$Q:$Q,"&gt;=-180")</f>
        <v>0</v>
      </c>
      <c r="V5" s="237">
        <f>SUMIFS('Data Fertilizers'!$D:$D,'Data Fertilizers'!$P:$P,$B5,'Data Fertilizers'!$Q:$Q,"&lt;=-181",'Data Fertilizers'!$Q:$Q,"&gt;=-360")</f>
        <v>0</v>
      </c>
      <c r="W5" s="241">
        <f>SUMIFS('Data Fertilizers'!$D:$D,'Data Fertilizers'!$P:$P,$B5,'Data Fertilizers'!$Q:$Q,"&lt;-360")</f>
        <v>0</v>
      </c>
      <c r="X5" s="237">
        <f>SUMIFS('Bad Debt Provision'!AB:AB,'Bad Debt Provision'!B:B,'Painel Fertilizers'!B5)</f>
        <v>3088531.0700000008</v>
      </c>
      <c r="Z5" s="238"/>
      <c r="AA5" s="182">
        <f>_xlfn.XLOOKUP(B5,'Limite de crédito'!C:C,'Limite de crédito'!O:O,0)</f>
        <v>0</v>
      </c>
      <c r="AB5" s="237"/>
      <c r="AC5" s="239"/>
      <c r="AD5" s="240"/>
      <c r="AE5" s="240"/>
      <c r="AF5" s="238"/>
      <c r="AG5" s="237">
        <f t="shared" si="2"/>
        <v>-3088531.0700000008</v>
      </c>
      <c r="AI5" s="247">
        <v>3088531.0700000008</v>
      </c>
    </row>
    <row r="6" spans="1:37" s="234" customFormat="1" ht="15.75" customHeight="1" x14ac:dyDescent="0.25">
      <c r="B6" s="235" t="s">
        <v>210</v>
      </c>
      <c r="C6" s="244">
        <f>IFERROR(_xlfn.XLOOKUP(B6,'Limite de crédito'!C:C,'Limite de crédito'!L:L),0)</f>
        <v>0</v>
      </c>
      <c r="D6" s="245"/>
      <c r="E6" s="246">
        <f>_xlfn.XLOOKUP(B6,'Limite de crédito'!C:C,'Limite de crédito'!G:G,0)</f>
        <v>0</v>
      </c>
      <c r="F6" s="236">
        <f t="shared" si="3"/>
        <v>-3044850.9199999995</v>
      </c>
      <c r="G6" s="236">
        <f t="shared" si="4"/>
        <v>3044850.9199999995</v>
      </c>
      <c r="H6" s="237">
        <f>SUMIFS('Data Fertilizers'!$D:$D,'Data Fertilizers'!$P:$P,$B6,'Data Fertilizers'!$Q:$Q,"&gt;0",'Data Fertilizers'!$Q:$Q,"&lt;=30")</f>
        <v>0</v>
      </c>
      <c r="I6" s="237">
        <f>SUMIFS('Data Fertilizers'!$D:$D,'Data Fertilizers'!$P:$P,$B6,'Data Fertilizers'!$Q:$Q,"&gt;30",'Data Fertilizers'!$Q:$Q,"&lt;=60")</f>
        <v>0</v>
      </c>
      <c r="J6" s="237">
        <f>SUMIFS('Data Fertilizers'!$D:$D,'Data Fertilizers'!$P:$P,$B6,'Data Fertilizers'!$Q:$Q,"&gt;60",'Data Fertilizers'!$Q:$Q,"&lt;=90")</f>
        <v>0</v>
      </c>
      <c r="K6" s="237">
        <f>SUMIFS('Data Fertilizers'!$D:$D,'Data Fertilizers'!$P:$P,$B6,'Data Fertilizers'!$Q:$Q,"&gt;90",'Data Fertilizers'!$Q:$Q,"&lt;=120")</f>
        <v>0</v>
      </c>
      <c r="L6" s="237">
        <f>SUMIFS('Data Fertilizers'!$D:$D,'Data Fertilizers'!$P:$P,$B6,'Data Fertilizers'!$Q:$Q,"&gt;120",'Data Fertilizers'!$Q:$Q,"&lt;=180")</f>
        <v>0</v>
      </c>
      <c r="M6" s="237">
        <f>SUMIFS('Data Fertilizers'!$D:$D,'Data Fertilizers'!$P:$P,$B6,'Data Fertilizers'!$Q:$Q,"&gt;180",'Data Fertilizers'!$Q:$Q,"&lt;=360")</f>
        <v>0</v>
      </c>
      <c r="N6" s="241">
        <f>SUMIFS('Data Fertilizers'!$D:$D,'Data Fertilizers'!$P:$P,$B6,'Data Fertilizers'!$Q:$Q,"&gt;360")</f>
        <v>3044850.9199999995</v>
      </c>
      <c r="O6" s="237">
        <f>SUMIFS('Data Fertilizers'!$D:$D,'Data Fertilizers'!$P:$P,$B6,'Data Fertilizers'!$Q:$Q,"&gt;0")</f>
        <v>3044850.9199999995</v>
      </c>
      <c r="P6" s="237">
        <f t="shared" si="5"/>
        <v>0</v>
      </c>
      <c r="Q6" s="237">
        <f>SUMIFS('Data Fertilizers'!$D:$D,'Data Fertilizers'!$P:$P,$B6,'Data Fertilizers'!$Q:$Q,"&lt;=0",'Data Fertilizers'!$Q:$Q,"&gt;=-30")</f>
        <v>0</v>
      </c>
      <c r="R6" s="237">
        <f>SUMIFS('Data Fertilizers'!$D:$D,'Data Fertilizers'!$P:$P,$B6,'Data Fertilizers'!$Q:$Q,"&lt;=-31",'Data Fertilizers'!$Q:$Q,"&gt;=-60")</f>
        <v>0</v>
      </c>
      <c r="S6" s="237">
        <f>SUMIFS('Data Fertilizers'!$D:$D,'Data Fertilizers'!$P:$P,$B6,'Data Fertilizers'!$Q:$Q,"&lt;=-61",'Data Fertilizers'!$Q:$Q,"&gt;=-90")</f>
        <v>0</v>
      </c>
      <c r="T6" s="237">
        <f>SUMIFS('Data Fertilizers'!$D:$D,'Data Fertilizers'!$P:$P,$B6,'Data Fertilizers'!$Q:$Q,"&lt;=-91",'Data Fertilizers'!$Q:$Q,"&gt;=-120")</f>
        <v>0</v>
      </c>
      <c r="U6" s="237">
        <f>SUMIFS('Data Fertilizers'!$D:$D,'Data Fertilizers'!$P:$P,$B6,'Data Fertilizers'!$Q:$Q,"&lt;=-121",'Data Fertilizers'!$Q:$Q,"&gt;=-180")</f>
        <v>0</v>
      </c>
      <c r="V6" s="237">
        <f>SUMIFS('Data Fertilizers'!$D:$D,'Data Fertilizers'!$P:$P,$B6,'Data Fertilizers'!$Q:$Q,"&lt;=-181",'Data Fertilizers'!$Q:$Q,"&gt;=-360")</f>
        <v>0</v>
      </c>
      <c r="W6" s="241">
        <f>SUMIFS('Data Fertilizers'!$D:$D,'Data Fertilizers'!$P:$P,$B6,'Data Fertilizers'!$Q:$Q,"&lt;-360")</f>
        <v>0</v>
      </c>
      <c r="X6" s="237">
        <f>SUMIFS('Bad Debt Provision'!AB:AB,'Bad Debt Provision'!B:B,'Painel Fertilizers'!B6)</f>
        <v>3044850.9199999995</v>
      </c>
      <c r="Y6" s="238"/>
      <c r="Z6" s="238"/>
      <c r="AA6" s="182">
        <f>_xlfn.XLOOKUP(B6,'Limite de crédito'!C:C,'Limite de crédito'!O:O,0)</f>
        <v>0</v>
      </c>
      <c r="AB6" s="237"/>
      <c r="AC6" s="239"/>
      <c r="AD6" s="240"/>
      <c r="AE6" s="240"/>
      <c r="AF6" s="238"/>
      <c r="AG6" s="237">
        <f t="shared" si="2"/>
        <v>-3044850.9199999995</v>
      </c>
      <c r="AH6" s="238"/>
      <c r="AI6" s="247">
        <v>3044850.9199999995</v>
      </c>
    </row>
    <row r="7" spans="1:37" s="234" customFormat="1" ht="15.75" customHeight="1" x14ac:dyDescent="0.25">
      <c r="B7" s="235" t="s">
        <v>187</v>
      </c>
      <c r="C7" s="244">
        <f>IFERROR(_xlfn.XLOOKUP(B7,'Limite de crédito'!C:C,'Limite de crédito'!L:L),0)</f>
        <v>0</v>
      </c>
      <c r="D7" s="245"/>
      <c r="E7" s="246">
        <f>_xlfn.XLOOKUP(B7,'Limite de crédito'!C:C,'Limite de crédito'!G:G,0)</f>
        <v>0</v>
      </c>
      <c r="F7" s="236">
        <f t="shared" si="3"/>
        <v>-2492842.0500000007</v>
      </c>
      <c r="G7" s="236">
        <f t="shared" si="4"/>
        <v>2492842.0500000007</v>
      </c>
      <c r="H7" s="237">
        <f>SUMIFS('Data Fertilizers'!$D:$D,'Data Fertilizers'!$P:$P,$B7,'Data Fertilizers'!$Q:$Q,"&gt;0",'Data Fertilizers'!$Q:$Q,"&lt;=30")</f>
        <v>0</v>
      </c>
      <c r="I7" s="237">
        <f>SUMIFS('Data Fertilizers'!$D:$D,'Data Fertilizers'!$P:$P,$B7,'Data Fertilizers'!$Q:$Q,"&gt;30",'Data Fertilizers'!$Q:$Q,"&lt;=60")</f>
        <v>0</v>
      </c>
      <c r="J7" s="237">
        <f>SUMIFS('Data Fertilizers'!$D:$D,'Data Fertilizers'!$P:$P,$B7,'Data Fertilizers'!$Q:$Q,"&gt;60",'Data Fertilizers'!$Q:$Q,"&lt;=90")</f>
        <v>0</v>
      </c>
      <c r="K7" s="237">
        <f>SUMIFS('Data Fertilizers'!$D:$D,'Data Fertilizers'!$P:$P,$B7,'Data Fertilizers'!$Q:$Q,"&gt;90",'Data Fertilizers'!$Q:$Q,"&lt;=120")</f>
        <v>0</v>
      </c>
      <c r="L7" s="237">
        <f>SUMIFS('Data Fertilizers'!$D:$D,'Data Fertilizers'!$P:$P,$B7,'Data Fertilizers'!$Q:$Q,"&gt;120",'Data Fertilizers'!$Q:$Q,"&lt;=180")</f>
        <v>0</v>
      </c>
      <c r="M7" s="237">
        <f>SUMIFS('Data Fertilizers'!$D:$D,'Data Fertilizers'!$P:$P,$B7,'Data Fertilizers'!$Q:$Q,"&gt;180",'Data Fertilizers'!$Q:$Q,"&lt;=360")</f>
        <v>0</v>
      </c>
      <c r="N7" s="241">
        <f>SUMIFS('Data Fertilizers'!$D:$D,'Data Fertilizers'!$P:$P,$B7,'Data Fertilizers'!$Q:$Q,"&gt;360")</f>
        <v>2492842.0500000007</v>
      </c>
      <c r="O7" s="237">
        <f>SUMIFS('Data Fertilizers'!$D:$D,'Data Fertilizers'!$P:$P,$B7,'Data Fertilizers'!$Q:$Q,"&gt;0")</f>
        <v>2492842.0500000007</v>
      </c>
      <c r="P7" s="237">
        <f t="shared" si="5"/>
        <v>0</v>
      </c>
      <c r="Q7" s="237">
        <f>SUMIFS('Data Fertilizers'!$D:$D,'Data Fertilizers'!$P:$P,$B7,'Data Fertilizers'!$Q:$Q,"&lt;=0",'Data Fertilizers'!$Q:$Q,"&gt;=-30")</f>
        <v>0</v>
      </c>
      <c r="R7" s="237">
        <f>SUMIFS('Data Fertilizers'!$D:$D,'Data Fertilizers'!$P:$P,$B7,'Data Fertilizers'!$Q:$Q,"&lt;=-31",'Data Fertilizers'!$Q:$Q,"&gt;=-60")</f>
        <v>0</v>
      </c>
      <c r="S7" s="237">
        <f>SUMIFS('Data Fertilizers'!$D:$D,'Data Fertilizers'!$P:$P,$B7,'Data Fertilizers'!$Q:$Q,"&lt;=-61",'Data Fertilizers'!$Q:$Q,"&gt;=-90")</f>
        <v>0</v>
      </c>
      <c r="T7" s="237">
        <f>SUMIFS('Data Fertilizers'!$D:$D,'Data Fertilizers'!$P:$P,$B7,'Data Fertilizers'!$Q:$Q,"&lt;=-91",'Data Fertilizers'!$Q:$Q,"&gt;=-120")</f>
        <v>0</v>
      </c>
      <c r="U7" s="237">
        <f>SUMIFS('Data Fertilizers'!$D:$D,'Data Fertilizers'!$P:$P,$B7,'Data Fertilizers'!$Q:$Q,"&lt;=-121",'Data Fertilizers'!$Q:$Q,"&gt;=-180")</f>
        <v>0</v>
      </c>
      <c r="V7" s="237">
        <f>SUMIFS('Data Fertilizers'!$D:$D,'Data Fertilizers'!$P:$P,$B7,'Data Fertilizers'!$Q:$Q,"&lt;=-181",'Data Fertilizers'!$Q:$Q,"&gt;=-360")</f>
        <v>0</v>
      </c>
      <c r="W7" s="241">
        <f>SUMIFS('Data Fertilizers'!$D:$D,'Data Fertilizers'!$P:$P,$B7,'Data Fertilizers'!$Q:$Q,"&lt;-360")</f>
        <v>0</v>
      </c>
      <c r="X7" s="237">
        <f>SUMIFS('Bad Debt Provision'!AB:AB,'Bad Debt Provision'!B:B,'Painel Fertilizers'!B7)</f>
        <v>0</v>
      </c>
      <c r="Y7" s="238"/>
      <c r="Z7" s="238"/>
      <c r="AA7" s="182">
        <f>_xlfn.XLOOKUP(B7,'Limite de crédito'!C:C,'Limite de crédito'!O:O,0)</f>
        <v>0</v>
      </c>
      <c r="AB7" s="237"/>
      <c r="AC7" s="239"/>
      <c r="AD7" s="240"/>
      <c r="AE7" s="240"/>
      <c r="AF7" s="238"/>
      <c r="AG7" s="237">
        <f t="shared" si="2"/>
        <v>-2492842.0500000007</v>
      </c>
      <c r="AH7" s="238"/>
      <c r="AI7" s="247">
        <v>2971789.89</v>
      </c>
    </row>
    <row r="8" spans="1:37" s="234" customFormat="1" ht="15.75" customHeight="1" x14ac:dyDescent="0.25">
      <c r="B8" s="235" t="s">
        <v>195</v>
      </c>
      <c r="C8" s="244">
        <f>IFERROR(_xlfn.XLOOKUP(B8,'Limite de crédito'!C:C,'Limite de crédito'!L:L),0)</f>
        <v>0</v>
      </c>
      <c r="D8" s="245"/>
      <c r="E8" s="246">
        <f>_xlfn.XLOOKUP(B8,'Limite de crédito'!C:C,'Limite de crédito'!G:G,0)</f>
        <v>0</v>
      </c>
      <c r="F8" s="248">
        <f t="shared" si="3"/>
        <v>-1863200.9</v>
      </c>
      <c r="G8" s="236">
        <f t="shared" si="4"/>
        <v>1863200.9</v>
      </c>
      <c r="H8" s="237">
        <f>SUMIFS('Data Fertilizers'!$D:$D,'Data Fertilizers'!$P:$P,$B8,'Data Fertilizers'!$Q:$Q,"&gt;0",'Data Fertilizers'!$Q:$Q,"&lt;=30")</f>
        <v>0</v>
      </c>
      <c r="I8" s="237">
        <f>SUMIFS('Data Fertilizers'!$D:$D,'Data Fertilizers'!$P:$P,$B8,'Data Fertilizers'!$Q:$Q,"&gt;30",'Data Fertilizers'!$Q:$Q,"&lt;=60")</f>
        <v>0</v>
      </c>
      <c r="J8" s="237">
        <f>SUMIFS('Data Fertilizers'!$D:$D,'Data Fertilizers'!$P:$P,$B8,'Data Fertilizers'!$Q:$Q,"&gt;60",'Data Fertilizers'!$Q:$Q,"&lt;=90")</f>
        <v>0</v>
      </c>
      <c r="K8" s="237">
        <f>SUMIFS('Data Fertilizers'!$D:$D,'Data Fertilizers'!$P:$P,$B8,'Data Fertilizers'!$Q:$Q,"&gt;90",'Data Fertilizers'!$Q:$Q,"&lt;=120")</f>
        <v>0</v>
      </c>
      <c r="L8" s="237">
        <f>SUMIFS('Data Fertilizers'!$D:$D,'Data Fertilizers'!$P:$P,$B8,'Data Fertilizers'!$Q:$Q,"&gt;120",'Data Fertilizers'!$Q:$Q,"&lt;=180")</f>
        <v>0</v>
      </c>
      <c r="M8" s="237">
        <f>SUMIFS('Data Fertilizers'!$D:$D,'Data Fertilizers'!$P:$P,$B8,'Data Fertilizers'!$Q:$Q,"&gt;180",'Data Fertilizers'!$Q:$Q,"&lt;=360")</f>
        <v>0</v>
      </c>
      <c r="N8" s="241">
        <f>SUMIFS('Data Fertilizers'!$D:$D,'Data Fertilizers'!$P:$P,$B8,'Data Fertilizers'!$Q:$Q,"&gt;360")</f>
        <v>1863200.9</v>
      </c>
      <c r="O8" s="237">
        <f>SUMIFS('Data Fertilizers'!$D:$D,'Data Fertilizers'!$P:$P,$B8,'Data Fertilizers'!$Q:$Q,"&gt;0")</f>
        <v>1863200.9</v>
      </c>
      <c r="P8" s="237">
        <f t="shared" si="5"/>
        <v>0</v>
      </c>
      <c r="Q8" s="237">
        <f>SUMIFS('Data Fertilizers'!$D:$D,'Data Fertilizers'!$P:$P,$B8,'Data Fertilizers'!$Q:$Q,"&lt;=0",'Data Fertilizers'!$Q:$Q,"&gt;=-30")</f>
        <v>0</v>
      </c>
      <c r="R8" s="237">
        <f>SUMIFS('Data Fertilizers'!$D:$D,'Data Fertilizers'!$P:$P,$B8,'Data Fertilizers'!$Q:$Q,"&lt;=-31",'Data Fertilizers'!$Q:$Q,"&gt;=-60")</f>
        <v>0</v>
      </c>
      <c r="S8" s="237">
        <f>SUMIFS('Data Fertilizers'!$D:$D,'Data Fertilizers'!$P:$P,$B8,'Data Fertilizers'!$Q:$Q,"&lt;=-61",'Data Fertilizers'!$Q:$Q,"&gt;=-90")</f>
        <v>0</v>
      </c>
      <c r="T8" s="237">
        <f>SUMIFS('Data Fertilizers'!$D:$D,'Data Fertilizers'!$P:$P,$B8,'Data Fertilizers'!$Q:$Q,"&lt;=-91",'Data Fertilizers'!$Q:$Q,"&gt;=-120")</f>
        <v>0</v>
      </c>
      <c r="U8" s="237">
        <f>SUMIFS('Data Fertilizers'!$D:$D,'Data Fertilizers'!$P:$P,$B8,'Data Fertilizers'!$Q:$Q,"&lt;=-121",'Data Fertilizers'!$Q:$Q,"&gt;=-180")</f>
        <v>0</v>
      </c>
      <c r="V8" s="237">
        <f>SUMIFS('Data Fertilizers'!$D:$D,'Data Fertilizers'!$P:$P,$B8,'Data Fertilizers'!$Q:$Q,"&lt;=-181",'Data Fertilizers'!$Q:$Q,"&gt;=-360")</f>
        <v>0</v>
      </c>
      <c r="W8" s="241">
        <f>SUMIFS('Data Fertilizers'!$D:$D,'Data Fertilizers'!$P:$P,$B8,'Data Fertilizers'!$Q:$Q,"&lt;-360")</f>
        <v>0</v>
      </c>
      <c r="X8" s="237">
        <f>SUMIFS('Bad Debt Provision'!AB:AB,'Bad Debt Provision'!B:B,'Painel Fertilizers'!B8)</f>
        <v>1863200.9</v>
      </c>
      <c r="Y8" s="238"/>
      <c r="Z8" s="238"/>
      <c r="AA8" s="182">
        <f>_xlfn.XLOOKUP(B8,'Limite de crédito'!C:C,'Limite de crédito'!O:O,0)</f>
        <v>0</v>
      </c>
      <c r="AB8" s="237"/>
      <c r="AC8" s="239"/>
      <c r="AD8" s="240"/>
      <c r="AE8" s="240"/>
      <c r="AF8" s="238"/>
      <c r="AG8" s="237">
        <f t="shared" si="2"/>
        <v>-1863200.9</v>
      </c>
      <c r="AH8" s="238"/>
    </row>
    <row r="9" spans="1:37" s="234" customFormat="1" ht="15.75" customHeight="1" x14ac:dyDescent="0.25">
      <c r="B9" s="235" t="s">
        <v>199</v>
      </c>
      <c r="C9" s="244">
        <f>IFERROR(_xlfn.XLOOKUP(B9,'Limite de crédito'!C:C,'Limite de crédito'!L:L),0)</f>
        <v>0</v>
      </c>
      <c r="D9" s="245"/>
      <c r="E9" s="246">
        <f>_xlfn.XLOOKUP(B9,'Limite de crédito'!C:C,'Limite de crédito'!G:G,0)</f>
        <v>0</v>
      </c>
      <c r="F9" s="236">
        <f t="shared" si="3"/>
        <v>-1702848.7400000002</v>
      </c>
      <c r="G9" s="236">
        <f t="shared" si="4"/>
        <v>1702848.7400000002</v>
      </c>
      <c r="H9" s="237">
        <f>SUMIFS('Data Fertilizers'!$D:$D,'Data Fertilizers'!$P:$P,$B9,'Data Fertilizers'!$Q:$Q,"&gt;0",'Data Fertilizers'!$Q:$Q,"&lt;=30")</f>
        <v>0</v>
      </c>
      <c r="I9" s="237">
        <f>SUMIFS('Data Fertilizers'!$D:$D,'Data Fertilizers'!$P:$P,$B9,'Data Fertilizers'!$Q:$Q,"&gt;30",'Data Fertilizers'!$Q:$Q,"&lt;=60")</f>
        <v>0</v>
      </c>
      <c r="J9" s="237">
        <f>SUMIFS('Data Fertilizers'!$D:$D,'Data Fertilizers'!$P:$P,$B9,'Data Fertilizers'!$Q:$Q,"&gt;60",'Data Fertilizers'!$Q:$Q,"&lt;=90")</f>
        <v>0</v>
      </c>
      <c r="K9" s="237">
        <f>SUMIFS('Data Fertilizers'!$D:$D,'Data Fertilizers'!$P:$P,$B9,'Data Fertilizers'!$Q:$Q,"&gt;90",'Data Fertilizers'!$Q:$Q,"&lt;=120")</f>
        <v>0</v>
      </c>
      <c r="L9" s="237">
        <f>SUMIFS('Data Fertilizers'!$D:$D,'Data Fertilizers'!$P:$P,$B9,'Data Fertilizers'!$Q:$Q,"&gt;120",'Data Fertilizers'!$Q:$Q,"&lt;=180")</f>
        <v>0</v>
      </c>
      <c r="M9" s="237">
        <f>SUMIFS('Data Fertilizers'!$D:$D,'Data Fertilizers'!$P:$P,$B9,'Data Fertilizers'!$Q:$Q,"&gt;180",'Data Fertilizers'!$Q:$Q,"&lt;=360")</f>
        <v>0</v>
      </c>
      <c r="N9" s="241">
        <f>SUMIFS('Data Fertilizers'!$D:$D,'Data Fertilizers'!$P:$P,$B9,'Data Fertilizers'!$Q:$Q,"&gt;360")</f>
        <v>1702848.7400000002</v>
      </c>
      <c r="O9" s="237">
        <f>SUMIFS('Data Fertilizers'!$D:$D,'Data Fertilizers'!$P:$P,$B9,'Data Fertilizers'!$Q:$Q,"&gt;0")</f>
        <v>1702848.7400000002</v>
      </c>
      <c r="P9" s="237">
        <f t="shared" si="5"/>
        <v>0</v>
      </c>
      <c r="Q9" s="237">
        <f>SUMIFS('Data Fertilizers'!$D:$D,'Data Fertilizers'!$P:$P,$B9,'Data Fertilizers'!$Q:$Q,"&lt;=0",'Data Fertilizers'!$Q:$Q,"&gt;=-30")</f>
        <v>0</v>
      </c>
      <c r="R9" s="237">
        <f>SUMIFS('Data Fertilizers'!$D:$D,'Data Fertilizers'!$P:$P,$B9,'Data Fertilizers'!$Q:$Q,"&lt;=-31",'Data Fertilizers'!$Q:$Q,"&gt;=-60")</f>
        <v>0</v>
      </c>
      <c r="S9" s="237">
        <f>SUMIFS('Data Fertilizers'!$D:$D,'Data Fertilizers'!$P:$P,$B9,'Data Fertilizers'!$Q:$Q,"&lt;=-61",'Data Fertilizers'!$Q:$Q,"&gt;=-90")</f>
        <v>0</v>
      </c>
      <c r="T9" s="237">
        <f>SUMIFS('Data Fertilizers'!$D:$D,'Data Fertilizers'!$P:$P,$B9,'Data Fertilizers'!$Q:$Q,"&lt;=-91",'Data Fertilizers'!$Q:$Q,"&gt;=-120")</f>
        <v>0</v>
      </c>
      <c r="U9" s="237">
        <f>SUMIFS('Data Fertilizers'!$D:$D,'Data Fertilizers'!$P:$P,$B9,'Data Fertilizers'!$Q:$Q,"&lt;=-121",'Data Fertilizers'!$Q:$Q,"&gt;=-180")</f>
        <v>0</v>
      </c>
      <c r="V9" s="237">
        <f>SUMIFS('Data Fertilizers'!$D:$D,'Data Fertilizers'!$P:$P,$B9,'Data Fertilizers'!$Q:$Q,"&lt;=-181",'Data Fertilizers'!$Q:$Q,"&gt;=-360")</f>
        <v>0</v>
      </c>
      <c r="W9" s="241">
        <f>SUMIFS('Data Fertilizers'!$D:$D,'Data Fertilizers'!$P:$P,$B9,'Data Fertilizers'!$Q:$Q,"&lt;-360")</f>
        <v>0</v>
      </c>
      <c r="X9" s="237">
        <f>SUMIFS('Bad Debt Provision'!AB:AB,'Bad Debt Provision'!B:B,'Painel Fertilizers'!B9)</f>
        <v>1702848.7400000002</v>
      </c>
      <c r="Y9" s="238"/>
      <c r="Z9" s="238"/>
      <c r="AA9" s="182">
        <f>_xlfn.XLOOKUP(B9,'Limite de crédito'!C:C,'Limite de crédito'!O:O,0)</f>
        <v>0</v>
      </c>
      <c r="AB9" s="237"/>
      <c r="AC9" s="239"/>
      <c r="AD9" s="240"/>
      <c r="AE9" s="240"/>
      <c r="AF9" s="238"/>
      <c r="AG9" s="237">
        <f t="shared" si="2"/>
        <v>-1702848.7400000002</v>
      </c>
      <c r="AH9" s="238"/>
      <c r="AI9" s="247">
        <v>1716645.3400000003</v>
      </c>
    </row>
    <row r="10" spans="1:37" s="234" customFormat="1" ht="15.75" customHeight="1" x14ac:dyDescent="0.25">
      <c r="B10" s="235" t="s">
        <v>207</v>
      </c>
      <c r="C10" s="244">
        <f>IFERROR(_xlfn.XLOOKUP(B10,'Limite de crédito'!C:C,'Limite de crédito'!L:L),0)</f>
        <v>0</v>
      </c>
      <c r="D10" s="245"/>
      <c r="E10" s="246">
        <f>_xlfn.XLOOKUP(B10,'Limite de crédito'!C:C,'Limite de crédito'!G:G,0)</f>
        <v>0</v>
      </c>
      <c r="F10" s="236">
        <f t="shared" si="3"/>
        <v>-876011.75</v>
      </c>
      <c r="G10" s="236">
        <f t="shared" si="4"/>
        <v>876011.75</v>
      </c>
      <c r="H10" s="237">
        <f>SUMIFS('Data Fertilizers'!$D:$D,'Data Fertilizers'!$P:$P,$B10,'Data Fertilizers'!$Q:$Q,"&gt;0",'Data Fertilizers'!$Q:$Q,"&lt;=30")</f>
        <v>0</v>
      </c>
      <c r="I10" s="237">
        <f>SUMIFS('Data Fertilizers'!$D:$D,'Data Fertilizers'!$P:$P,$B10,'Data Fertilizers'!$Q:$Q,"&gt;30",'Data Fertilizers'!$Q:$Q,"&lt;=60")</f>
        <v>0</v>
      </c>
      <c r="J10" s="237">
        <f>SUMIFS('Data Fertilizers'!$D:$D,'Data Fertilizers'!$P:$P,$B10,'Data Fertilizers'!$Q:$Q,"&gt;60",'Data Fertilizers'!$Q:$Q,"&lt;=90")</f>
        <v>0</v>
      </c>
      <c r="K10" s="237">
        <f>SUMIFS('Data Fertilizers'!$D:$D,'Data Fertilizers'!$P:$P,$B10,'Data Fertilizers'!$Q:$Q,"&gt;90",'Data Fertilizers'!$Q:$Q,"&lt;=120")</f>
        <v>0</v>
      </c>
      <c r="L10" s="237">
        <f>SUMIFS('Data Fertilizers'!$D:$D,'Data Fertilizers'!$P:$P,$B10,'Data Fertilizers'!$Q:$Q,"&gt;120",'Data Fertilizers'!$Q:$Q,"&lt;=180")</f>
        <v>0</v>
      </c>
      <c r="M10" s="237">
        <f>SUMIFS('Data Fertilizers'!$D:$D,'Data Fertilizers'!$P:$P,$B10,'Data Fertilizers'!$Q:$Q,"&gt;180",'Data Fertilizers'!$Q:$Q,"&lt;=360")</f>
        <v>0</v>
      </c>
      <c r="N10" s="241">
        <f>SUMIFS('Data Fertilizers'!$D:$D,'Data Fertilizers'!$P:$P,$B10,'Data Fertilizers'!$Q:$Q,"&gt;360")</f>
        <v>876011.75</v>
      </c>
      <c r="O10" s="237">
        <f>SUMIFS('Data Fertilizers'!$D:$D,'Data Fertilizers'!$P:$P,$B10,'Data Fertilizers'!$Q:$Q,"&gt;0")</f>
        <v>876011.75</v>
      </c>
      <c r="P10" s="237">
        <f t="shared" si="5"/>
        <v>0</v>
      </c>
      <c r="Q10" s="237">
        <f>SUMIFS('Data Fertilizers'!$D:$D,'Data Fertilizers'!$P:$P,$B10,'Data Fertilizers'!$Q:$Q,"&lt;=0",'Data Fertilizers'!$Q:$Q,"&gt;=-30")</f>
        <v>0</v>
      </c>
      <c r="R10" s="237">
        <f>SUMIFS('Data Fertilizers'!$D:$D,'Data Fertilizers'!$P:$P,$B10,'Data Fertilizers'!$Q:$Q,"&lt;=-31",'Data Fertilizers'!$Q:$Q,"&gt;=-60")</f>
        <v>0</v>
      </c>
      <c r="S10" s="237">
        <f>SUMIFS('Data Fertilizers'!$D:$D,'Data Fertilizers'!$P:$P,$B10,'Data Fertilizers'!$Q:$Q,"&lt;=-61",'Data Fertilizers'!$Q:$Q,"&gt;=-90")</f>
        <v>0</v>
      </c>
      <c r="T10" s="237">
        <f>SUMIFS('Data Fertilizers'!$D:$D,'Data Fertilizers'!$P:$P,$B10,'Data Fertilizers'!$Q:$Q,"&lt;=-91",'Data Fertilizers'!$Q:$Q,"&gt;=-120")</f>
        <v>0</v>
      </c>
      <c r="U10" s="237">
        <f>SUMIFS('Data Fertilizers'!$D:$D,'Data Fertilizers'!$P:$P,$B10,'Data Fertilizers'!$Q:$Q,"&lt;=-121",'Data Fertilizers'!$Q:$Q,"&gt;=-180")</f>
        <v>0</v>
      </c>
      <c r="V10" s="237">
        <f>SUMIFS('Data Fertilizers'!$D:$D,'Data Fertilizers'!$P:$P,$B10,'Data Fertilizers'!$Q:$Q,"&lt;=-181",'Data Fertilizers'!$Q:$Q,"&gt;=-360")</f>
        <v>0</v>
      </c>
      <c r="W10" s="241">
        <f>SUMIFS('Data Fertilizers'!$D:$D,'Data Fertilizers'!$P:$P,$B10,'Data Fertilizers'!$Q:$Q,"&lt;-360")</f>
        <v>0</v>
      </c>
      <c r="X10" s="237">
        <f>SUMIFS('Bad Debt Provision'!AB:AB,'Bad Debt Provision'!B:B,'Painel Fertilizers'!B10)</f>
        <v>0</v>
      </c>
      <c r="Y10" s="238"/>
      <c r="Z10" s="238"/>
      <c r="AA10" s="182">
        <f>_xlfn.XLOOKUP(B10,'Limite de crédito'!C:C,'Limite de crédito'!O:O,0)</f>
        <v>0</v>
      </c>
      <c r="AB10" s="237"/>
      <c r="AC10" s="239"/>
      <c r="AD10" s="240"/>
      <c r="AE10" s="240"/>
      <c r="AF10" s="238"/>
      <c r="AG10" s="237">
        <f t="shared" si="2"/>
        <v>-876011.75</v>
      </c>
      <c r="AH10" s="238"/>
      <c r="AI10" s="247">
        <v>1076345</v>
      </c>
    </row>
    <row r="11" spans="1:37" s="234" customFormat="1" ht="15.75" customHeight="1" x14ac:dyDescent="0.25">
      <c r="B11" s="235" t="s">
        <v>157</v>
      </c>
      <c r="C11" s="244">
        <f>IFERROR(_xlfn.XLOOKUP(B11,'Limite de crédito'!C:C,'Limite de crédito'!L:L),0)</f>
        <v>0</v>
      </c>
      <c r="D11" s="245"/>
      <c r="E11" s="246">
        <f>_xlfn.XLOOKUP(B11,'Limite de crédito'!C:C,'Limite de crédito'!G:G,0)</f>
        <v>0</v>
      </c>
      <c r="F11" s="236">
        <f t="shared" si="3"/>
        <v>0</v>
      </c>
      <c r="G11" s="236">
        <f t="shared" si="4"/>
        <v>0</v>
      </c>
      <c r="H11" s="237">
        <f>SUMIFS('Data Fertilizers'!$D:$D,'Data Fertilizers'!$P:$P,$B11,'Data Fertilizers'!$Q:$Q,"&gt;0",'Data Fertilizers'!$Q:$Q,"&lt;=30")</f>
        <v>0</v>
      </c>
      <c r="I11" s="237">
        <f>SUMIFS('Data Fertilizers'!$D:$D,'Data Fertilizers'!$P:$P,$B11,'Data Fertilizers'!$Q:$Q,"&gt;30",'Data Fertilizers'!$Q:$Q,"&lt;=60")</f>
        <v>0</v>
      </c>
      <c r="J11" s="237">
        <f>SUMIFS('Data Fertilizers'!$D:$D,'Data Fertilizers'!$P:$P,$B11,'Data Fertilizers'!$Q:$Q,"&gt;60",'Data Fertilizers'!$Q:$Q,"&lt;=90")</f>
        <v>0</v>
      </c>
      <c r="K11" s="237">
        <f>SUMIFS('Data Fertilizers'!$D:$D,'Data Fertilizers'!$P:$P,$B11,'Data Fertilizers'!$Q:$Q,"&gt;90",'Data Fertilizers'!$Q:$Q,"&lt;=120")</f>
        <v>0</v>
      </c>
      <c r="L11" s="237">
        <f>SUMIFS('Data Fertilizers'!$D:$D,'Data Fertilizers'!$P:$P,$B11,'Data Fertilizers'!$Q:$Q,"&gt;120",'Data Fertilizers'!$Q:$Q,"&lt;=180")</f>
        <v>0</v>
      </c>
      <c r="M11" s="237">
        <f>SUMIFS('Data Fertilizers'!$D:$D,'Data Fertilizers'!$P:$P,$B11,'Data Fertilizers'!$Q:$Q,"&gt;180",'Data Fertilizers'!$Q:$Q,"&lt;=360")</f>
        <v>0</v>
      </c>
      <c r="N11" s="241">
        <f>SUMIFS('Data Fertilizers'!$D:$D,'Data Fertilizers'!$P:$P,$B11,'Data Fertilizers'!$Q:$Q,"&gt;360")</f>
        <v>0</v>
      </c>
      <c r="O11" s="237">
        <f>SUMIFS('Data Fertilizers'!$D:$D,'Data Fertilizers'!$P:$P,$B11,'Data Fertilizers'!$Q:$Q,"&gt;0")</f>
        <v>0</v>
      </c>
      <c r="P11" s="237">
        <f t="shared" si="5"/>
        <v>0</v>
      </c>
      <c r="Q11" s="237">
        <f>SUMIFS('Data Fertilizers'!$D:$D,'Data Fertilizers'!$P:$P,$B11,'Data Fertilizers'!$Q:$Q,"&lt;=0",'Data Fertilizers'!$Q:$Q,"&gt;=-30")</f>
        <v>0</v>
      </c>
      <c r="R11" s="237">
        <f>SUMIFS('Data Fertilizers'!$D:$D,'Data Fertilizers'!$P:$P,$B11,'Data Fertilizers'!$Q:$Q,"&lt;=-31",'Data Fertilizers'!$Q:$Q,"&gt;=-60")</f>
        <v>0</v>
      </c>
      <c r="S11" s="237">
        <f>SUMIFS('Data Fertilizers'!$D:$D,'Data Fertilizers'!$P:$P,$B11,'Data Fertilizers'!$Q:$Q,"&lt;=-61",'Data Fertilizers'!$Q:$Q,"&gt;=-90")</f>
        <v>0</v>
      </c>
      <c r="T11" s="237">
        <f>SUMIFS('Data Fertilizers'!$D:$D,'Data Fertilizers'!$P:$P,$B11,'Data Fertilizers'!$Q:$Q,"&lt;=-91",'Data Fertilizers'!$Q:$Q,"&gt;=-120")</f>
        <v>0</v>
      </c>
      <c r="U11" s="237">
        <f>SUMIFS('Data Fertilizers'!$D:$D,'Data Fertilizers'!$P:$P,$B11,'Data Fertilizers'!$Q:$Q,"&lt;=-121",'Data Fertilizers'!$Q:$Q,"&gt;=-180")</f>
        <v>0</v>
      </c>
      <c r="V11" s="237">
        <f>SUMIFS('Data Fertilizers'!$D:$D,'Data Fertilizers'!$P:$P,$B11,'Data Fertilizers'!$Q:$Q,"&lt;=-181",'Data Fertilizers'!$Q:$Q,"&gt;=-360")</f>
        <v>0</v>
      </c>
      <c r="W11" s="241">
        <f>SUMIFS('Data Fertilizers'!$D:$D,'Data Fertilizers'!$P:$P,$B11,'Data Fertilizers'!$Q:$Q,"&lt;-360")</f>
        <v>0</v>
      </c>
      <c r="X11" s="237">
        <f>SUMIFS('Bad Debt Provision'!AB:AB,'Bad Debt Provision'!B:B,'Painel Fertilizers'!B11)</f>
        <v>0</v>
      </c>
      <c r="Y11" s="238"/>
      <c r="Z11" s="238"/>
      <c r="AA11" s="182">
        <f>_xlfn.XLOOKUP(B11,'Limite de crédito'!C:C,'Limite de crédito'!O:O,0)</f>
        <v>0</v>
      </c>
      <c r="AB11" s="237"/>
      <c r="AC11" s="239"/>
      <c r="AD11" s="240"/>
      <c r="AE11" s="240"/>
      <c r="AF11" s="238"/>
      <c r="AG11" s="237">
        <f t="shared" si="2"/>
        <v>0</v>
      </c>
      <c r="AH11" s="238"/>
    </row>
    <row r="12" spans="1:37" s="169" customFormat="1" ht="15.75" customHeight="1" x14ac:dyDescent="0.25">
      <c r="B12" s="168" t="s">
        <v>432</v>
      </c>
      <c r="C12" s="242" t="str">
        <f>IFERROR(_xlfn.XLOOKUP(B12,'Limite de crédito'!C:C,'Limite de crédito'!L:L),0)</f>
        <v>B</v>
      </c>
      <c r="D12" s="186">
        <v>270</v>
      </c>
      <c r="E12" s="232">
        <f>_xlfn.XLOOKUP(B12,'Limite de crédito'!C:C,'Limite de crédito'!G:G,0)</f>
        <v>1500000</v>
      </c>
      <c r="F12" s="181">
        <f t="shared" si="3"/>
        <v>1001781.6</v>
      </c>
      <c r="G12" s="181">
        <f t="shared" si="4"/>
        <v>498218.4</v>
      </c>
      <c r="H12" s="182">
        <f>SUMIFS('Data Fertilizers'!$D:$D,'Data Fertilizers'!$P:$P,$B12,'Data Fertilizers'!$Q:$Q,"&gt;0",'Data Fertilizers'!$Q:$Q,"&lt;=30")</f>
        <v>0</v>
      </c>
      <c r="I12" s="182">
        <f>SUMIFS('Data Fertilizers'!$D:$D,'Data Fertilizers'!$P:$P,$B12,'Data Fertilizers'!$Q:$Q,"&gt;30",'Data Fertilizers'!$Q:$Q,"&lt;=60")</f>
        <v>0</v>
      </c>
      <c r="J12" s="182">
        <f>SUMIFS('Data Fertilizers'!$D:$D,'Data Fertilizers'!$P:$P,$B12,'Data Fertilizers'!$Q:$Q,"&gt;60",'Data Fertilizers'!$Q:$Q,"&lt;=90")</f>
        <v>0</v>
      </c>
      <c r="K12" s="182">
        <f>SUMIFS('Data Fertilizers'!$D:$D,'Data Fertilizers'!$P:$P,$B12,'Data Fertilizers'!$Q:$Q,"&gt;90",'Data Fertilizers'!$Q:$Q,"&lt;=120")</f>
        <v>0</v>
      </c>
      <c r="L12" s="182">
        <f>SUMIFS('Data Fertilizers'!$D:$D,'Data Fertilizers'!$P:$P,$B12,'Data Fertilizers'!$Q:$Q,"&gt;120",'Data Fertilizers'!$Q:$Q,"&lt;=180")</f>
        <v>0</v>
      </c>
      <c r="M12" s="182">
        <f>SUMIFS('Data Fertilizers'!$D:$D,'Data Fertilizers'!$P:$P,$B12,'Data Fertilizers'!$Q:$Q,"&gt;180",'Data Fertilizers'!$Q:$Q,"&lt;=360")</f>
        <v>0</v>
      </c>
      <c r="N12" s="187">
        <f>SUMIFS('Data Fertilizers'!$D:$D,'Data Fertilizers'!$P:$P,$B12,'Data Fertilizers'!$Q:$Q,"&gt;360")</f>
        <v>0</v>
      </c>
      <c r="O12" s="182">
        <f>SUMIFS('Data Fertilizers'!$D:$D,'Data Fertilizers'!$P:$P,$B12,'Data Fertilizers'!$Q:$Q,"&gt;0")</f>
        <v>0</v>
      </c>
      <c r="P12" s="182">
        <f t="shared" si="5"/>
        <v>498218.4</v>
      </c>
      <c r="Q12" s="182">
        <f>SUMIFS('Data Fertilizers'!$D:$D,'Data Fertilizers'!$P:$P,$B12,'Data Fertilizers'!$Q:$Q,"&lt;=0",'Data Fertilizers'!$Q:$Q,"&gt;=-30")</f>
        <v>498218.4</v>
      </c>
      <c r="R12" s="182">
        <f>SUMIFS('Data Fertilizers'!$D:$D,'Data Fertilizers'!$P:$P,$B12,'Data Fertilizers'!$Q:$Q,"&lt;=-31",'Data Fertilizers'!$Q:$Q,"&gt;=-60")</f>
        <v>0</v>
      </c>
      <c r="S12" s="182">
        <f>SUMIFS('Data Fertilizers'!$D:$D,'Data Fertilizers'!$P:$P,$B12,'Data Fertilizers'!$Q:$Q,"&lt;=-61",'Data Fertilizers'!$Q:$Q,"&gt;=-90")</f>
        <v>0</v>
      </c>
      <c r="T12" s="182">
        <f>SUMIFS('Data Fertilizers'!$D:$D,'Data Fertilizers'!$P:$P,$B12,'Data Fertilizers'!$Q:$Q,"&lt;=-91",'Data Fertilizers'!$Q:$Q,"&gt;=-120")</f>
        <v>0</v>
      </c>
      <c r="U12" s="182">
        <f>SUMIFS('Data Fertilizers'!$D:$D,'Data Fertilizers'!$P:$P,$B12,'Data Fertilizers'!$Q:$Q,"&lt;=-121",'Data Fertilizers'!$Q:$Q,"&gt;=-180")</f>
        <v>0</v>
      </c>
      <c r="V12" s="182">
        <f>SUMIFS('Data Fertilizers'!$D:$D,'Data Fertilizers'!$P:$P,$B12,'Data Fertilizers'!$Q:$Q,"&lt;=-181",'Data Fertilizers'!$Q:$Q,"&gt;=-360")</f>
        <v>0</v>
      </c>
      <c r="W12" s="187">
        <f>SUMIFS('Data Fertilizers'!$D:$D,'Data Fertilizers'!$P:$P,$B12,'Data Fertilizers'!$Q:$Q,"&lt;-360")</f>
        <v>0</v>
      </c>
      <c r="X12" s="237">
        <f>SUMIFS('Bad Debt Provision'!AB:AB,'Bad Debt Provision'!B:B,'Painel Fertilizers'!B12)</f>
        <v>0</v>
      </c>
      <c r="Z12" s="183"/>
      <c r="AA12" s="182">
        <f>_xlfn.XLOOKUP(B12,'Limite de crédito'!C:C,'Limite de crédito'!O:O,0)</f>
        <v>1000000</v>
      </c>
      <c r="AB12" s="182"/>
      <c r="AC12" s="184"/>
      <c r="AD12" s="185"/>
      <c r="AE12" s="185"/>
      <c r="AF12" s="183"/>
      <c r="AG12" s="182">
        <f t="shared" si="2"/>
        <v>501781.6</v>
      </c>
    </row>
    <row r="13" spans="1:37" s="169" customFormat="1" ht="15.75" customHeight="1" x14ac:dyDescent="0.25">
      <c r="B13" s="168" t="s">
        <v>197</v>
      </c>
      <c r="C13" s="242">
        <f>IFERROR(_xlfn.XLOOKUP(B13,'Limite de crédito'!C:C,'Limite de crédito'!L:L),0)</f>
        <v>0</v>
      </c>
      <c r="D13" s="186">
        <v>360</v>
      </c>
      <c r="E13" s="232">
        <f>_xlfn.XLOOKUP(B13,'Limite de crédito'!C:C,'Limite de crédito'!G:G,0)</f>
        <v>1500000</v>
      </c>
      <c r="F13" s="181">
        <f t="shared" si="3"/>
        <v>1230944</v>
      </c>
      <c r="G13" s="181">
        <f t="shared" si="4"/>
        <v>269056</v>
      </c>
      <c r="H13" s="182">
        <f>SUMIFS('Data Fertilizers'!$D:$D,'Data Fertilizers'!$P:$P,$B13,'Data Fertilizers'!$Q:$Q,"&gt;0",'Data Fertilizers'!$Q:$Q,"&lt;=30")</f>
        <v>0</v>
      </c>
      <c r="I13" s="182">
        <f>SUMIFS('Data Fertilizers'!$D:$D,'Data Fertilizers'!$P:$P,$B13,'Data Fertilizers'!$Q:$Q,"&gt;30",'Data Fertilizers'!$Q:$Q,"&lt;=60")</f>
        <v>0</v>
      </c>
      <c r="J13" s="182">
        <f>SUMIFS('Data Fertilizers'!$D:$D,'Data Fertilizers'!$P:$P,$B13,'Data Fertilizers'!$Q:$Q,"&gt;60",'Data Fertilizers'!$Q:$Q,"&lt;=90")</f>
        <v>0</v>
      </c>
      <c r="K13" s="182">
        <f>SUMIFS('Data Fertilizers'!$D:$D,'Data Fertilizers'!$P:$P,$B13,'Data Fertilizers'!$Q:$Q,"&gt;90",'Data Fertilizers'!$Q:$Q,"&lt;=120")</f>
        <v>0</v>
      </c>
      <c r="L13" s="182">
        <f>SUMIFS('Data Fertilizers'!$D:$D,'Data Fertilizers'!$P:$P,$B13,'Data Fertilizers'!$Q:$Q,"&gt;120",'Data Fertilizers'!$Q:$Q,"&lt;=180")</f>
        <v>0</v>
      </c>
      <c r="M13" s="182">
        <f>SUMIFS('Data Fertilizers'!$D:$D,'Data Fertilizers'!$P:$P,$B13,'Data Fertilizers'!$Q:$Q,"&gt;180",'Data Fertilizers'!$Q:$Q,"&lt;=360")</f>
        <v>0</v>
      </c>
      <c r="N13" s="187">
        <f>SUMIFS('Data Fertilizers'!$D:$D,'Data Fertilizers'!$P:$P,$B13,'Data Fertilizers'!$Q:$Q,"&gt;360")</f>
        <v>0</v>
      </c>
      <c r="O13" s="182">
        <f>SUMIFS('Data Fertilizers'!$D:$D,'Data Fertilizers'!$P:$P,$B13,'Data Fertilizers'!$Q:$Q,"&gt;0")</f>
        <v>0</v>
      </c>
      <c r="P13" s="182">
        <f t="shared" si="5"/>
        <v>269056</v>
      </c>
      <c r="Q13" s="182">
        <f>SUMIFS('Data Fertilizers'!$D:$D,'Data Fertilizers'!$P:$P,$B13,'Data Fertilizers'!$Q:$Q,"&lt;=0",'Data Fertilizers'!$Q:$Q,"&gt;=-30")</f>
        <v>137376</v>
      </c>
      <c r="R13" s="182">
        <f>SUMIFS('Data Fertilizers'!$D:$D,'Data Fertilizers'!$P:$P,$B13,'Data Fertilizers'!$Q:$Q,"&lt;=-31",'Data Fertilizers'!$Q:$Q,"&gt;=-60")</f>
        <v>0</v>
      </c>
      <c r="S13" s="182">
        <f>SUMIFS('Data Fertilizers'!$D:$D,'Data Fertilizers'!$P:$P,$B13,'Data Fertilizers'!$Q:$Q,"&lt;=-61",'Data Fertilizers'!$Q:$Q,"&gt;=-90")</f>
        <v>0</v>
      </c>
      <c r="T13" s="182">
        <f>SUMIFS('Data Fertilizers'!$D:$D,'Data Fertilizers'!$P:$P,$B13,'Data Fertilizers'!$Q:$Q,"&lt;=-91",'Data Fertilizers'!$Q:$Q,"&gt;=-120")</f>
        <v>0</v>
      </c>
      <c r="U13" s="182">
        <f>SUMIFS('Data Fertilizers'!$D:$D,'Data Fertilizers'!$P:$P,$B13,'Data Fertilizers'!$Q:$Q,"&lt;=-121",'Data Fertilizers'!$Q:$Q,"&gt;=-180")</f>
        <v>131680</v>
      </c>
      <c r="V13" s="182">
        <f>SUMIFS('Data Fertilizers'!$D:$D,'Data Fertilizers'!$P:$P,$B13,'Data Fertilizers'!$Q:$Q,"&lt;=-181",'Data Fertilizers'!$Q:$Q,"&gt;=-360")</f>
        <v>0</v>
      </c>
      <c r="W13" s="187">
        <f>SUMIFS('Data Fertilizers'!$D:$D,'Data Fertilizers'!$P:$P,$B13,'Data Fertilizers'!$Q:$Q,"&lt;-360")</f>
        <v>0</v>
      </c>
      <c r="X13" s="237">
        <f>SUMIFS('Bad Debt Provision'!AB:AB,'Bad Debt Provision'!B:B,'Painel Fertilizers'!B13)</f>
        <v>0</v>
      </c>
      <c r="Y13" s="183"/>
      <c r="Z13" s="183"/>
      <c r="AA13" s="182">
        <f>_xlfn.XLOOKUP(B13,'Limite de crédito'!C:C,'Limite de crédito'!O:O,0)</f>
        <v>660000</v>
      </c>
      <c r="AB13" s="182"/>
      <c r="AC13" s="184"/>
      <c r="AD13" s="185"/>
      <c r="AE13" s="185"/>
      <c r="AF13" s="183"/>
      <c r="AG13" s="182">
        <f t="shared" si="2"/>
        <v>390944</v>
      </c>
      <c r="AH13" s="183"/>
    </row>
    <row r="14" spans="1:37" s="169" customFormat="1" ht="15.75" customHeight="1" x14ac:dyDescent="0.25">
      <c r="B14" s="168" t="s">
        <v>206</v>
      </c>
      <c r="C14" s="242">
        <f>IFERROR(_xlfn.XLOOKUP(B14,'Limite de crédito'!C:C,'Limite de crédito'!L:L),0)</f>
        <v>0</v>
      </c>
      <c r="D14" s="186">
        <v>270</v>
      </c>
      <c r="E14" s="232">
        <f>_xlfn.XLOOKUP(B14,'Limite de crédito'!C:C,'Limite de crédito'!G:G,0)</f>
        <v>0</v>
      </c>
      <c r="F14" s="181">
        <f t="shared" si="3"/>
        <v>0</v>
      </c>
      <c r="G14" s="181">
        <f t="shared" si="4"/>
        <v>0</v>
      </c>
      <c r="H14" s="182">
        <f>SUMIFS('Data Fertilizers'!$D:$D,'Data Fertilizers'!$P:$P,$B14,'Data Fertilizers'!$Q:$Q,"&gt;0",'Data Fertilizers'!$Q:$Q,"&lt;=30")</f>
        <v>0</v>
      </c>
      <c r="I14" s="182">
        <f>SUMIFS('Data Fertilizers'!$D:$D,'Data Fertilizers'!$P:$P,$B14,'Data Fertilizers'!$Q:$Q,"&gt;30",'Data Fertilizers'!$Q:$Q,"&lt;=60")</f>
        <v>0</v>
      </c>
      <c r="J14" s="182">
        <f>SUMIFS('Data Fertilizers'!$D:$D,'Data Fertilizers'!$P:$P,$B14,'Data Fertilizers'!$Q:$Q,"&gt;60",'Data Fertilizers'!$Q:$Q,"&lt;=90")</f>
        <v>0</v>
      </c>
      <c r="K14" s="182">
        <f>SUMIFS('Data Fertilizers'!$D:$D,'Data Fertilizers'!$P:$P,$B14,'Data Fertilizers'!$Q:$Q,"&gt;90",'Data Fertilizers'!$Q:$Q,"&lt;=120")</f>
        <v>0</v>
      </c>
      <c r="L14" s="182">
        <f>SUMIFS('Data Fertilizers'!$D:$D,'Data Fertilizers'!$P:$P,$B14,'Data Fertilizers'!$Q:$Q,"&gt;120",'Data Fertilizers'!$Q:$Q,"&lt;=180")</f>
        <v>0</v>
      </c>
      <c r="M14" s="182">
        <f>SUMIFS('Data Fertilizers'!$D:$D,'Data Fertilizers'!$P:$P,$B14,'Data Fertilizers'!$Q:$Q,"&gt;180",'Data Fertilizers'!$Q:$Q,"&lt;=360")</f>
        <v>0</v>
      </c>
      <c r="N14" s="187">
        <f>SUMIFS('Data Fertilizers'!$D:$D,'Data Fertilizers'!$P:$P,$B14,'Data Fertilizers'!$Q:$Q,"&gt;360")</f>
        <v>0</v>
      </c>
      <c r="O14" s="182">
        <f>SUMIFS('Data Fertilizers'!$D:$D,'Data Fertilizers'!$P:$P,$B14,'Data Fertilizers'!$Q:$Q,"&gt;0")</f>
        <v>0</v>
      </c>
      <c r="P14" s="182">
        <f t="shared" si="5"/>
        <v>0</v>
      </c>
      <c r="Q14" s="182">
        <f>SUMIFS('Data Fertilizers'!$D:$D,'Data Fertilizers'!$P:$P,$B14,'Data Fertilizers'!$Q:$Q,"&lt;=0",'Data Fertilizers'!$Q:$Q,"&gt;=-30")</f>
        <v>0</v>
      </c>
      <c r="R14" s="182">
        <f>SUMIFS('Data Fertilizers'!$D:$D,'Data Fertilizers'!$P:$P,$B14,'Data Fertilizers'!$Q:$Q,"&lt;=-31",'Data Fertilizers'!$Q:$Q,"&gt;=-60")</f>
        <v>0</v>
      </c>
      <c r="S14" s="182">
        <f>SUMIFS('Data Fertilizers'!$D:$D,'Data Fertilizers'!$P:$P,$B14,'Data Fertilizers'!$Q:$Q,"&lt;=-61",'Data Fertilizers'!$Q:$Q,"&gt;=-90")</f>
        <v>0</v>
      </c>
      <c r="T14" s="182">
        <f>SUMIFS('Data Fertilizers'!$D:$D,'Data Fertilizers'!$P:$P,$B14,'Data Fertilizers'!$Q:$Q,"&lt;=-91",'Data Fertilizers'!$Q:$Q,"&gt;=-120")</f>
        <v>0</v>
      </c>
      <c r="U14" s="182">
        <f>SUMIFS('Data Fertilizers'!$D:$D,'Data Fertilizers'!$P:$P,$B14,'Data Fertilizers'!$Q:$Q,"&lt;=-121",'Data Fertilizers'!$Q:$Q,"&gt;=-180")</f>
        <v>0</v>
      </c>
      <c r="V14" s="182">
        <f>SUMIFS('Data Fertilizers'!$D:$D,'Data Fertilizers'!$P:$P,$B14,'Data Fertilizers'!$Q:$Q,"&lt;=-181",'Data Fertilizers'!$Q:$Q,"&gt;=-360")</f>
        <v>0</v>
      </c>
      <c r="W14" s="187">
        <f>SUMIFS('Data Fertilizers'!$D:$D,'Data Fertilizers'!$P:$P,$B14,'Data Fertilizers'!$Q:$Q,"&lt;-360")</f>
        <v>0</v>
      </c>
      <c r="X14" s="237">
        <f>SUMIFS('Bad Debt Provision'!AB:AB,'Bad Debt Provision'!B:B,'Painel Fertilizers'!B14)</f>
        <v>0</v>
      </c>
      <c r="Y14" s="183"/>
      <c r="Z14" s="183"/>
      <c r="AA14" s="182">
        <f>_xlfn.XLOOKUP(B14,'Limite de crédito'!C:C,'Limite de crédito'!O:O,0)</f>
        <v>0</v>
      </c>
      <c r="AB14" s="182"/>
      <c r="AC14" s="184"/>
      <c r="AD14" s="185"/>
      <c r="AE14" s="185"/>
      <c r="AF14" s="183"/>
      <c r="AG14" s="182">
        <f t="shared" si="2"/>
        <v>0</v>
      </c>
      <c r="AH14" s="183"/>
    </row>
    <row r="15" spans="1:37" s="169" customFormat="1" ht="15.75" customHeight="1" x14ac:dyDescent="0.25">
      <c r="B15" s="168" t="s">
        <v>335</v>
      </c>
      <c r="C15" s="242" t="str">
        <f>IFERROR(_xlfn.XLOOKUP(B15,'Limite de crédito'!C:C,'Limite de crédito'!L:L),0)</f>
        <v>C</v>
      </c>
      <c r="D15" s="186"/>
      <c r="E15" s="232">
        <f>_xlfn.XLOOKUP(B15,'Limite de crédito'!C:C,'Limite de crédito'!G:G,0)</f>
        <v>500000</v>
      </c>
      <c r="F15" s="181">
        <f t="shared" si="3"/>
        <v>-315729</v>
      </c>
      <c r="G15" s="181">
        <f t="shared" si="4"/>
        <v>815729</v>
      </c>
      <c r="H15" s="182">
        <f>SUMIFS('Data Fertilizers'!$D:$D,'Data Fertilizers'!$P:$P,$B15,'Data Fertilizers'!$Q:$Q,"&gt;0",'Data Fertilizers'!$Q:$Q,"&lt;=30")</f>
        <v>0</v>
      </c>
      <c r="I15" s="182">
        <f>SUMIFS('Data Fertilizers'!$D:$D,'Data Fertilizers'!$P:$P,$B15,'Data Fertilizers'!$Q:$Q,"&gt;30",'Data Fertilizers'!$Q:$Q,"&lt;=60")</f>
        <v>0</v>
      </c>
      <c r="J15" s="182">
        <f>SUMIFS('Data Fertilizers'!$D:$D,'Data Fertilizers'!$P:$P,$B15,'Data Fertilizers'!$Q:$Q,"&gt;60",'Data Fertilizers'!$Q:$Q,"&lt;=90")</f>
        <v>0</v>
      </c>
      <c r="K15" s="182">
        <f>SUMIFS('Data Fertilizers'!$D:$D,'Data Fertilizers'!$P:$P,$B15,'Data Fertilizers'!$Q:$Q,"&gt;90",'Data Fertilizers'!$Q:$Q,"&lt;=120")</f>
        <v>0</v>
      </c>
      <c r="L15" s="182">
        <f>SUMIFS('Data Fertilizers'!$D:$D,'Data Fertilizers'!$P:$P,$B15,'Data Fertilizers'!$Q:$Q,"&gt;120",'Data Fertilizers'!$Q:$Q,"&lt;=180")</f>
        <v>0</v>
      </c>
      <c r="M15" s="182">
        <f>SUMIFS('Data Fertilizers'!$D:$D,'Data Fertilizers'!$P:$P,$B15,'Data Fertilizers'!$Q:$Q,"&gt;180",'Data Fertilizers'!$Q:$Q,"&lt;=360")</f>
        <v>0</v>
      </c>
      <c r="N15" s="187">
        <f>SUMIFS('Data Fertilizers'!$D:$D,'Data Fertilizers'!$P:$P,$B15,'Data Fertilizers'!$Q:$Q,"&gt;360")</f>
        <v>0</v>
      </c>
      <c r="O15" s="182">
        <f>SUMIFS('Data Fertilizers'!$D:$D,'Data Fertilizers'!$P:$P,$B15,'Data Fertilizers'!$Q:$Q,"&gt;0")</f>
        <v>0</v>
      </c>
      <c r="P15" s="182">
        <f t="shared" si="5"/>
        <v>815729</v>
      </c>
      <c r="Q15" s="182">
        <f>SUMIFS('Data Fertilizers'!$D:$D,'Data Fertilizers'!$P:$P,$B15,'Data Fertilizers'!$Q:$Q,"&lt;=0",'Data Fertilizers'!$Q:$Q,"&gt;=-30")</f>
        <v>815729</v>
      </c>
      <c r="R15" s="182">
        <f>SUMIFS('Data Fertilizers'!$D:$D,'Data Fertilizers'!$P:$P,$B15,'Data Fertilizers'!$Q:$Q,"&lt;=-31",'Data Fertilizers'!$Q:$Q,"&gt;=-60")</f>
        <v>0</v>
      </c>
      <c r="S15" s="182">
        <f>SUMIFS('Data Fertilizers'!$D:$D,'Data Fertilizers'!$P:$P,$B15,'Data Fertilizers'!$Q:$Q,"&lt;=-61",'Data Fertilizers'!$Q:$Q,"&gt;=-90")</f>
        <v>0</v>
      </c>
      <c r="T15" s="182">
        <f>SUMIFS('Data Fertilizers'!$D:$D,'Data Fertilizers'!$P:$P,$B15,'Data Fertilizers'!$Q:$Q,"&lt;=-91",'Data Fertilizers'!$Q:$Q,"&gt;=-120")</f>
        <v>0</v>
      </c>
      <c r="U15" s="182">
        <f>SUMIFS('Data Fertilizers'!$D:$D,'Data Fertilizers'!$P:$P,$B15,'Data Fertilizers'!$Q:$Q,"&lt;=-121",'Data Fertilizers'!$Q:$Q,"&gt;=-180")</f>
        <v>0</v>
      </c>
      <c r="V15" s="182">
        <f>SUMIFS('Data Fertilizers'!$D:$D,'Data Fertilizers'!$P:$P,$B15,'Data Fertilizers'!$Q:$Q,"&lt;=-181",'Data Fertilizers'!$Q:$Q,"&gt;=-360")</f>
        <v>0</v>
      </c>
      <c r="W15" s="187">
        <f>SUMIFS('Data Fertilizers'!$D:$D,'Data Fertilizers'!$P:$P,$B15,'Data Fertilizers'!$Q:$Q,"&lt;-360")</f>
        <v>0</v>
      </c>
      <c r="X15" s="237">
        <f>SUMIFS('Bad Debt Provision'!AB:AB,'Bad Debt Provision'!B:B,'Painel Fertilizers'!B15)</f>
        <v>0</v>
      </c>
      <c r="Y15" s="183"/>
      <c r="Z15" s="183"/>
      <c r="AA15" s="182">
        <f>_xlfn.XLOOKUP(B15,'Limite de crédito'!C:C,'Limite de crédito'!O:O,0)</f>
        <v>500000</v>
      </c>
      <c r="AB15" s="182"/>
      <c r="AC15" s="184"/>
      <c r="AD15" s="185"/>
      <c r="AE15" s="185"/>
      <c r="AF15" s="183"/>
      <c r="AG15" s="182">
        <f t="shared" si="2"/>
        <v>-315729</v>
      </c>
    </row>
    <row r="16" spans="1:37" s="169" customFormat="1" ht="15.75" customHeight="1" x14ac:dyDescent="0.25">
      <c r="B16" s="168" t="s">
        <v>182</v>
      </c>
      <c r="C16" s="242" t="str">
        <f>IFERROR(_xlfn.XLOOKUP(B16,'Limite de crédito'!C:C,'Limite de crédito'!L:L),0)</f>
        <v>B</v>
      </c>
      <c r="D16" s="186"/>
      <c r="E16" s="232">
        <f>_xlfn.XLOOKUP(B16,'Limite de crédito'!C:C,'Limite de crédito'!G:G,0)</f>
        <v>1800000</v>
      </c>
      <c r="F16" s="181">
        <f t="shared" si="3"/>
        <v>599809.58000000007</v>
      </c>
      <c r="G16" s="181">
        <f t="shared" si="4"/>
        <v>1200190.42</v>
      </c>
      <c r="H16" s="182">
        <f>SUMIFS('Data Fertilizers'!$D:$D,'Data Fertilizers'!$P:$P,$B16,'Data Fertilizers'!$Q:$Q,"&gt;0",'Data Fertilizers'!$Q:$Q,"&lt;=30")</f>
        <v>0</v>
      </c>
      <c r="I16" s="182">
        <f>SUMIFS('Data Fertilizers'!$D:$D,'Data Fertilizers'!$P:$P,$B16,'Data Fertilizers'!$Q:$Q,"&gt;30",'Data Fertilizers'!$Q:$Q,"&lt;=60")</f>
        <v>0</v>
      </c>
      <c r="J16" s="182">
        <f>SUMIFS('Data Fertilizers'!$D:$D,'Data Fertilizers'!$P:$P,$B16,'Data Fertilizers'!$Q:$Q,"&gt;60",'Data Fertilizers'!$Q:$Q,"&lt;=90")</f>
        <v>0</v>
      </c>
      <c r="K16" s="182">
        <f>SUMIFS('Data Fertilizers'!$D:$D,'Data Fertilizers'!$P:$P,$B16,'Data Fertilizers'!$Q:$Q,"&gt;90",'Data Fertilizers'!$Q:$Q,"&lt;=120")</f>
        <v>0</v>
      </c>
      <c r="L16" s="182">
        <f>SUMIFS('Data Fertilizers'!$D:$D,'Data Fertilizers'!$P:$P,$B16,'Data Fertilizers'!$Q:$Q,"&gt;120",'Data Fertilizers'!$Q:$Q,"&lt;=180")</f>
        <v>0</v>
      </c>
      <c r="M16" s="182">
        <f>SUMIFS('Data Fertilizers'!$D:$D,'Data Fertilizers'!$P:$P,$B16,'Data Fertilizers'!$Q:$Q,"&gt;180",'Data Fertilizers'!$Q:$Q,"&lt;=360")</f>
        <v>0</v>
      </c>
      <c r="N16" s="187">
        <f>SUMIFS('Data Fertilizers'!$D:$D,'Data Fertilizers'!$P:$P,$B16,'Data Fertilizers'!$Q:$Q,"&gt;360")</f>
        <v>0</v>
      </c>
      <c r="O16" s="182">
        <f>SUMIFS('Data Fertilizers'!$D:$D,'Data Fertilizers'!$P:$P,$B16,'Data Fertilizers'!$Q:$Q,"&gt;0")</f>
        <v>0</v>
      </c>
      <c r="P16" s="182">
        <f t="shared" si="5"/>
        <v>1200190.42</v>
      </c>
      <c r="Q16" s="182">
        <f>SUMIFS('Data Fertilizers'!$D:$D,'Data Fertilizers'!$P:$P,$B16,'Data Fertilizers'!$Q:$Q,"&lt;=0",'Data Fertilizers'!$Q:$Q,"&gt;=-30")</f>
        <v>274733.36</v>
      </c>
      <c r="R16" s="182">
        <f>SUMIFS('Data Fertilizers'!$D:$D,'Data Fertilizers'!$P:$P,$B16,'Data Fertilizers'!$Q:$Q,"&lt;=-31",'Data Fertilizers'!$Q:$Q,"&gt;=-60")</f>
        <v>0</v>
      </c>
      <c r="S16" s="182">
        <f>SUMIFS('Data Fertilizers'!$D:$D,'Data Fertilizers'!$P:$P,$B16,'Data Fertilizers'!$Q:$Q,"&lt;=-61",'Data Fertilizers'!$Q:$Q,"&gt;=-90")</f>
        <v>0</v>
      </c>
      <c r="T16" s="182">
        <f>SUMIFS('Data Fertilizers'!$D:$D,'Data Fertilizers'!$P:$P,$B16,'Data Fertilizers'!$Q:$Q,"&lt;=-91",'Data Fertilizers'!$Q:$Q,"&gt;=-120")</f>
        <v>0</v>
      </c>
      <c r="U16" s="182">
        <f>SUMIFS('Data Fertilizers'!$D:$D,'Data Fertilizers'!$P:$P,$B16,'Data Fertilizers'!$Q:$Q,"&lt;=-121",'Data Fertilizers'!$Q:$Q,"&gt;=-180")</f>
        <v>925457.05999999994</v>
      </c>
      <c r="V16" s="182">
        <f>SUMIFS('Data Fertilizers'!$D:$D,'Data Fertilizers'!$P:$P,$B16,'Data Fertilizers'!$Q:$Q,"&lt;=-181",'Data Fertilizers'!$Q:$Q,"&gt;=-360")</f>
        <v>0</v>
      </c>
      <c r="W16" s="187">
        <f>SUMIFS('Data Fertilizers'!$D:$D,'Data Fertilizers'!$P:$P,$B16,'Data Fertilizers'!$Q:$Q,"&lt;-360")</f>
        <v>0</v>
      </c>
      <c r="X16" s="237">
        <f>SUMIFS('Bad Debt Provision'!AB:AB,'Bad Debt Provision'!B:B,'Painel Fertilizers'!B16)</f>
        <v>0</v>
      </c>
      <c r="Y16" s="183"/>
      <c r="Z16" s="183"/>
      <c r="AA16" s="182">
        <f>_xlfn.XLOOKUP(B16,'Limite de crédito'!C:C,'Limite de crédito'!O:O,0)</f>
        <v>500000</v>
      </c>
      <c r="AB16" s="182"/>
      <c r="AC16" s="184"/>
      <c r="AD16" s="185"/>
      <c r="AE16" s="185"/>
      <c r="AF16" s="183"/>
      <c r="AG16" s="182">
        <f t="shared" si="2"/>
        <v>-700190.41999999993</v>
      </c>
      <c r="AH16" s="183"/>
    </row>
    <row r="17" spans="2:37" s="169" customFormat="1" ht="15.75" customHeight="1" x14ac:dyDescent="0.25">
      <c r="B17" s="168" t="s">
        <v>213</v>
      </c>
      <c r="C17" s="242">
        <f>IFERROR(_xlfn.XLOOKUP(B17,'Limite de crédito'!C:C,'Limite de crédito'!L:L),0)</f>
        <v>0</v>
      </c>
      <c r="D17" s="186"/>
      <c r="E17" s="232">
        <f>_xlfn.XLOOKUP(B17,'Limite de crédito'!C:C,'Limite de crédito'!G:G,0)</f>
        <v>0</v>
      </c>
      <c r="F17" s="181">
        <f t="shared" si="3"/>
        <v>0</v>
      </c>
      <c r="G17" s="181">
        <f t="shared" si="4"/>
        <v>0</v>
      </c>
      <c r="H17" s="182">
        <f>SUMIFS('Data Fertilizers'!$D:$D,'Data Fertilizers'!$P:$P,$B17,'Data Fertilizers'!$Q:$Q,"&gt;0",'Data Fertilizers'!$Q:$Q,"&lt;=30")</f>
        <v>0</v>
      </c>
      <c r="I17" s="182">
        <f>SUMIFS('Data Fertilizers'!$D:$D,'Data Fertilizers'!$P:$P,$B17,'Data Fertilizers'!$Q:$Q,"&gt;30",'Data Fertilizers'!$Q:$Q,"&lt;=60")</f>
        <v>0</v>
      </c>
      <c r="J17" s="182">
        <f>SUMIFS('Data Fertilizers'!$D:$D,'Data Fertilizers'!$P:$P,$B17,'Data Fertilizers'!$Q:$Q,"&gt;60",'Data Fertilizers'!$Q:$Q,"&lt;=90")</f>
        <v>0</v>
      </c>
      <c r="K17" s="182">
        <f>SUMIFS('Data Fertilizers'!$D:$D,'Data Fertilizers'!$P:$P,$B17,'Data Fertilizers'!$Q:$Q,"&gt;90",'Data Fertilizers'!$Q:$Q,"&lt;=120")</f>
        <v>0</v>
      </c>
      <c r="L17" s="182">
        <f>SUMIFS('Data Fertilizers'!$D:$D,'Data Fertilizers'!$P:$P,$B17,'Data Fertilizers'!$Q:$Q,"&gt;120",'Data Fertilizers'!$Q:$Q,"&lt;=180")</f>
        <v>0</v>
      </c>
      <c r="M17" s="182">
        <f>SUMIFS('Data Fertilizers'!$D:$D,'Data Fertilizers'!$P:$P,$B17,'Data Fertilizers'!$Q:$Q,"&gt;180",'Data Fertilizers'!$Q:$Q,"&lt;=360")</f>
        <v>0</v>
      </c>
      <c r="N17" s="187">
        <f>SUMIFS('Data Fertilizers'!$D:$D,'Data Fertilizers'!$P:$P,$B17,'Data Fertilizers'!$Q:$Q,"&gt;360")</f>
        <v>0</v>
      </c>
      <c r="O17" s="182">
        <f>SUMIFS('Data Fertilizers'!$D:$D,'Data Fertilizers'!$P:$P,$B17,'Data Fertilizers'!$Q:$Q,"&gt;0")</f>
        <v>0</v>
      </c>
      <c r="P17" s="182">
        <f t="shared" si="5"/>
        <v>0</v>
      </c>
      <c r="Q17" s="182">
        <f>SUMIFS('Data Fertilizers'!$D:$D,'Data Fertilizers'!$P:$P,$B17,'Data Fertilizers'!$Q:$Q,"&lt;=0",'Data Fertilizers'!$Q:$Q,"&gt;=-30")</f>
        <v>0</v>
      </c>
      <c r="R17" s="182">
        <f>SUMIFS('Data Fertilizers'!$D:$D,'Data Fertilizers'!$P:$P,$B17,'Data Fertilizers'!$Q:$Q,"&lt;=-31",'Data Fertilizers'!$Q:$Q,"&gt;=-60")</f>
        <v>0</v>
      </c>
      <c r="S17" s="182">
        <f>SUMIFS('Data Fertilizers'!$D:$D,'Data Fertilizers'!$P:$P,$B17,'Data Fertilizers'!$Q:$Q,"&lt;=-61",'Data Fertilizers'!$Q:$Q,"&gt;=-90")</f>
        <v>0</v>
      </c>
      <c r="T17" s="182">
        <f>SUMIFS('Data Fertilizers'!$D:$D,'Data Fertilizers'!$P:$P,$B17,'Data Fertilizers'!$Q:$Q,"&lt;=-91",'Data Fertilizers'!$Q:$Q,"&gt;=-120")</f>
        <v>0</v>
      </c>
      <c r="U17" s="182">
        <f>SUMIFS('Data Fertilizers'!$D:$D,'Data Fertilizers'!$P:$P,$B17,'Data Fertilizers'!$Q:$Q,"&lt;=-121",'Data Fertilizers'!$Q:$Q,"&gt;=-180")</f>
        <v>0</v>
      </c>
      <c r="V17" s="182">
        <f>SUMIFS('Data Fertilizers'!$D:$D,'Data Fertilizers'!$P:$P,$B17,'Data Fertilizers'!$Q:$Q,"&lt;=-181",'Data Fertilizers'!$Q:$Q,"&gt;=-360")</f>
        <v>0</v>
      </c>
      <c r="W17" s="187">
        <f>SUMIFS('Data Fertilizers'!$D:$D,'Data Fertilizers'!$P:$P,$B17,'Data Fertilizers'!$Q:$Q,"&lt;-360")</f>
        <v>0</v>
      </c>
      <c r="X17" s="237">
        <f>SUMIFS('Bad Debt Provision'!AB:AB,'Bad Debt Provision'!B:B,'Painel Fertilizers'!B17)</f>
        <v>0</v>
      </c>
      <c r="Y17" s="183"/>
      <c r="Z17" s="183"/>
      <c r="AA17" s="182">
        <f>_xlfn.XLOOKUP(B17,'Limite de crédito'!C:C,'Limite de crédito'!O:O,0)</f>
        <v>0</v>
      </c>
      <c r="AB17" s="182"/>
      <c r="AC17" s="184"/>
      <c r="AD17" s="185"/>
      <c r="AE17" s="185"/>
      <c r="AF17" s="183"/>
      <c r="AG17" s="182">
        <f t="shared" si="2"/>
        <v>0</v>
      </c>
      <c r="AH17" s="183"/>
    </row>
    <row r="18" spans="2:37" s="234" customFormat="1" ht="15.75" customHeight="1" x14ac:dyDescent="0.25">
      <c r="B18" s="235" t="s">
        <v>424</v>
      </c>
      <c r="C18" s="244">
        <f>IFERROR(_xlfn.XLOOKUP(B18,'Limite de crédito'!C:C,'Limite de crédito'!L:L),0)</f>
        <v>0</v>
      </c>
      <c r="D18" s="245">
        <v>360</v>
      </c>
      <c r="E18" s="246">
        <f>_xlfn.XLOOKUP(B18,'Limite de crédito'!C:C,'Limite de crédito'!G:G,0)</f>
        <v>0</v>
      </c>
      <c r="F18" s="236">
        <f t="shared" si="3"/>
        <v>0</v>
      </c>
      <c r="G18" s="236">
        <f t="shared" si="4"/>
        <v>0</v>
      </c>
      <c r="H18" s="237">
        <f>SUMIFS('Data Fertilizers'!$D:$D,'Data Fertilizers'!$P:$P,$B18,'Data Fertilizers'!$Q:$Q,"&gt;0",'Data Fertilizers'!$Q:$Q,"&lt;=30")</f>
        <v>0</v>
      </c>
      <c r="I18" s="237">
        <f>SUMIFS('Data Fertilizers'!$D:$D,'Data Fertilizers'!$P:$P,$B18,'Data Fertilizers'!$Q:$Q,"&gt;30",'Data Fertilizers'!$Q:$Q,"&lt;=60")</f>
        <v>0</v>
      </c>
      <c r="J18" s="237">
        <f>SUMIFS('Data Fertilizers'!$D:$D,'Data Fertilizers'!$P:$P,$B18,'Data Fertilizers'!$Q:$Q,"&gt;60",'Data Fertilizers'!$Q:$Q,"&lt;=90")</f>
        <v>0</v>
      </c>
      <c r="K18" s="237">
        <f>SUMIFS('Data Fertilizers'!$D:$D,'Data Fertilizers'!$P:$P,$B18,'Data Fertilizers'!$Q:$Q,"&gt;90",'Data Fertilizers'!$Q:$Q,"&lt;=120")</f>
        <v>0</v>
      </c>
      <c r="L18" s="237">
        <f>SUMIFS('Data Fertilizers'!$D:$D,'Data Fertilizers'!$P:$P,$B18,'Data Fertilizers'!$Q:$Q,"&gt;120",'Data Fertilizers'!$Q:$Q,"&lt;=180")</f>
        <v>0</v>
      </c>
      <c r="M18" s="237">
        <f>SUMIFS('Data Fertilizers'!$D:$D,'Data Fertilizers'!$P:$P,$B18,'Data Fertilizers'!$Q:$Q,"&gt;180",'Data Fertilizers'!$Q:$Q,"&lt;=360")</f>
        <v>0</v>
      </c>
      <c r="N18" s="241">
        <f>SUMIFS('Data Fertilizers'!$D:$D,'Data Fertilizers'!$P:$P,$B18,'Data Fertilizers'!$Q:$Q,"&gt;360")</f>
        <v>0</v>
      </c>
      <c r="O18" s="237">
        <f>SUMIFS('Data Fertilizers'!$D:$D,'Data Fertilizers'!$P:$P,$B18,'Data Fertilizers'!$Q:$Q,"&gt;0")</f>
        <v>0</v>
      </c>
      <c r="P18" s="237">
        <f t="shared" si="5"/>
        <v>0</v>
      </c>
      <c r="Q18" s="237">
        <f>SUMIFS('Data Fertilizers'!$D:$D,'Data Fertilizers'!$P:$P,$B18,'Data Fertilizers'!$Q:$Q,"&lt;=0",'Data Fertilizers'!$Q:$Q,"&gt;=-30")</f>
        <v>0</v>
      </c>
      <c r="R18" s="237">
        <f>SUMIFS('Data Fertilizers'!$D:$D,'Data Fertilizers'!$P:$P,$B18,'Data Fertilizers'!$Q:$Q,"&lt;=-31",'Data Fertilizers'!$Q:$Q,"&gt;=-60")</f>
        <v>0</v>
      </c>
      <c r="S18" s="237">
        <f>SUMIFS('Data Fertilizers'!$D:$D,'Data Fertilizers'!$P:$P,$B18,'Data Fertilizers'!$Q:$Q,"&lt;=-61",'Data Fertilizers'!$Q:$Q,"&gt;=-90")</f>
        <v>0</v>
      </c>
      <c r="T18" s="237">
        <f>SUMIFS('Data Fertilizers'!$D:$D,'Data Fertilizers'!$P:$P,$B18,'Data Fertilizers'!$Q:$Q,"&lt;=-91",'Data Fertilizers'!$Q:$Q,"&gt;=-120")</f>
        <v>0</v>
      </c>
      <c r="U18" s="237">
        <f>SUMIFS('Data Fertilizers'!$D:$D,'Data Fertilizers'!$P:$P,$B18,'Data Fertilizers'!$Q:$Q,"&lt;=-121",'Data Fertilizers'!$Q:$Q,"&gt;=-180")</f>
        <v>0</v>
      </c>
      <c r="V18" s="237">
        <f>SUMIFS('Data Fertilizers'!$D:$D,'Data Fertilizers'!$P:$P,$B18,'Data Fertilizers'!$Q:$Q,"&lt;=-181",'Data Fertilizers'!$Q:$Q,"&gt;=-360")</f>
        <v>0</v>
      </c>
      <c r="W18" s="241">
        <f>SUMIFS('Data Fertilizers'!$D:$D,'Data Fertilizers'!$P:$P,$B18,'Data Fertilizers'!$Q:$Q,"&lt;-360")</f>
        <v>0</v>
      </c>
      <c r="X18" s="237">
        <f>SUMIFS('Bad Debt Provision'!AB:AB,'Bad Debt Provision'!B:B,'Painel Fertilizers'!B18)</f>
        <v>0</v>
      </c>
      <c r="Z18" s="238"/>
      <c r="AA18" s="182">
        <f>_xlfn.XLOOKUP(B18,'Limite de crédito'!C:C,'Limite de crédito'!O:O,0)</f>
        <v>0</v>
      </c>
      <c r="AB18" s="237"/>
      <c r="AC18" s="239"/>
      <c r="AD18" s="240"/>
      <c r="AE18" s="240"/>
      <c r="AF18" s="238"/>
      <c r="AG18" s="237">
        <f t="shared" si="2"/>
        <v>0</v>
      </c>
    </row>
    <row r="19" spans="2:37" s="169" customFormat="1" ht="15.75" customHeight="1" x14ac:dyDescent="0.25">
      <c r="B19" s="168" t="s">
        <v>457</v>
      </c>
      <c r="C19" s="242" t="str">
        <f>IFERROR(_xlfn.XLOOKUP(B19,'Limite de crédito'!C:C,'Limite de crédito'!L:L),0)</f>
        <v>B</v>
      </c>
      <c r="D19" s="186"/>
      <c r="E19" s="232">
        <f>_xlfn.XLOOKUP(B19,'Limite de crédito'!C:C,'Limite de crédito'!G:G,0)</f>
        <v>1300000</v>
      </c>
      <c r="F19" s="181">
        <f t="shared" si="3"/>
        <v>1300000</v>
      </c>
      <c r="G19" s="181">
        <f t="shared" si="4"/>
        <v>0</v>
      </c>
      <c r="H19" s="182">
        <f>SUMIFS('Data Fertilizers'!$D:$D,'Data Fertilizers'!$P:$P,$B19,'Data Fertilizers'!$Q:$Q,"&gt;0",'Data Fertilizers'!$Q:$Q,"&lt;=30")</f>
        <v>0</v>
      </c>
      <c r="I19" s="182">
        <f>SUMIFS('Data Fertilizers'!$D:$D,'Data Fertilizers'!$P:$P,$B19,'Data Fertilizers'!$Q:$Q,"&gt;30",'Data Fertilizers'!$Q:$Q,"&lt;=60")</f>
        <v>0</v>
      </c>
      <c r="J19" s="182">
        <f>SUMIFS('Data Fertilizers'!$D:$D,'Data Fertilizers'!$P:$P,$B19,'Data Fertilizers'!$Q:$Q,"&gt;60",'Data Fertilizers'!$Q:$Q,"&lt;=90")</f>
        <v>0</v>
      </c>
      <c r="K19" s="182">
        <f>SUMIFS('Data Fertilizers'!$D:$D,'Data Fertilizers'!$P:$P,$B19,'Data Fertilizers'!$Q:$Q,"&gt;90",'Data Fertilizers'!$Q:$Q,"&lt;=120")</f>
        <v>0</v>
      </c>
      <c r="L19" s="182">
        <f>SUMIFS('Data Fertilizers'!$D:$D,'Data Fertilizers'!$P:$P,$B19,'Data Fertilizers'!$Q:$Q,"&gt;120",'Data Fertilizers'!$Q:$Q,"&lt;=180")</f>
        <v>0</v>
      </c>
      <c r="M19" s="182">
        <f>SUMIFS('Data Fertilizers'!$D:$D,'Data Fertilizers'!$P:$P,$B19,'Data Fertilizers'!$Q:$Q,"&gt;180",'Data Fertilizers'!$Q:$Q,"&lt;=360")</f>
        <v>0</v>
      </c>
      <c r="N19" s="187">
        <f>SUMIFS('Data Fertilizers'!$D:$D,'Data Fertilizers'!$P:$P,$B19,'Data Fertilizers'!$Q:$Q,"&gt;360")</f>
        <v>0</v>
      </c>
      <c r="O19" s="182">
        <f>SUMIFS('Data Fertilizers'!$D:$D,'Data Fertilizers'!$P:$P,$B19,'Data Fertilizers'!$Q:$Q,"&gt;0")</f>
        <v>0</v>
      </c>
      <c r="P19" s="182">
        <f t="shared" si="5"/>
        <v>0</v>
      </c>
      <c r="Q19" s="182">
        <f>SUMIFS('Data Fertilizers'!$D:$D,'Data Fertilizers'!$P:$P,$B19,'Data Fertilizers'!$Q:$Q,"&lt;=0",'Data Fertilizers'!$Q:$Q,"&gt;=-30")</f>
        <v>0</v>
      </c>
      <c r="R19" s="182">
        <f>SUMIFS('Data Fertilizers'!$D:$D,'Data Fertilizers'!$P:$P,$B19,'Data Fertilizers'!$Q:$Q,"&lt;=-31",'Data Fertilizers'!$Q:$Q,"&gt;=-60")</f>
        <v>0</v>
      </c>
      <c r="S19" s="182">
        <f>SUMIFS('Data Fertilizers'!$D:$D,'Data Fertilizers'!$P:$P,$B19,'Data Fertilizers'!$Q:$Q,"&lt;=-61",'Data Fertilizers'!$Q:$Q,"&gt;=-90")</f>
        <v>0</v>
      </c>
      <c r="T19" s="182">
        <f>SUMIFS('Data Fertilizers'!$D:$D,'Data Fertilizers'!$P:$P,$B19,'Data Fertilizers'!$Q:$Q,"&lt;=-91",'Data Fertilizers'!$Q:$Q,"&gt;=-120")</f>
        <v>0</v>
      </c>
      <c r="U19" s="182">
        <f>SUMIFS('Data Fertilizers'!$D:$D,'Data Fertilizers'!$P:$P,$B19,'Data Fertilizers'!$Q:$Q,"&lt;=-121",'Data Fertilizers'!$Q:$Q,"&gt;=-180")</f>
        <v>0</v>
      </c>
      <c r="V19" s="182">
        <f>SUMIFS('Data Fertilizers'!$D:$D,'Data Fertilizers'!$P:$P,$B19,'Data Fertilizers'!$Q:$Q,"&lt;=-181",'Data Fertilizers'!$Q:$Q,"&gt;=-360")</f>
        <v>0</v>
      </c>
      <c r="W19" s="187">
        <f>SUMIFS('Data Fertilizers'!$D:$D,'Data Fertilizers'!$P:$P,$B19,'Data Fertilizers'!$Q:$Q,"&lt;-360")</f>
        <v>0</v>
      </c>
      <c r="X19" s="237">
        <f>SUMIFS('Bad Debt Provision'!AB:AB,'Bad Debt Provision'!B:B,'Painel Fertilizers'!B19)</f>
        <v>0</v>
      </c>
      <c r="Z19" s="183"/>
      <c r="AA19" s="182">
        <f>_xlfn.XLOOKUP(B19,'Limite de crédito'!C:C,'Limite de crédito'!O:O,0)</f>
        <v>1400000</v>
      </c>
      <c r="AB19" s="182"/>
      <c r="AC19" s="184"/>
      <c r="AD19" s="185"/>
      <c r="AE19" s="185"/>
      <c r="AF19" s="183"/>
      <c r="AG19" s="182">
        <f t="shared" si="2"/>
        <v>1400000</v>
      </c>
    </row>
    <row r="20" spans="2:37" s="169" customFormat="1" ht="13.95" customHeight="1" x14ac:dyDescent="0.25">
      <c r="B20" s="168" t="s">
        <v>433</v>
      </c>
      <c r="C20" s="242">
        <f>IFERROR(_xlfn.XLOOKUP(B20,'Limite de crédito'!C:C,'Limite de crédito'!L:L),0)</f>
        <v>0</v>
      </c>
      <c r="E20" s="232">
        <f>_xlfn.XLOOKUP(B20,'Limite de crédito'!C:C,'Limite de crédito'!G:G,0)</f>
        <v>1000000</v>
      </c>
      <c r="F20" s="181">
        <f t="shared" si="3"/>
        <v>866282</v>
      </c>
      <c r="G20" s="181">
        <f t="shared" si="4"/>
        <v>133718</v>
      </c>
      <c r="H20" s="182">
        <f>SUMIFS('Data Fertilizers'!$D:$D,'Data Fertilizers'!$P:$P,$B20,'Data Fertilizers'!$Q:$Q,"&gt;0",'Data Fertilizers'!$Q:$Q,"&lt;=30")</f>
        <v>0</v>
      </c>
      <c r="I20" s="182">
        <f>SUMIFS('Data Fertilizers'!$D:$D,'Data Fertilizers'!$P:$P,$B20,'Data Fertilizers'!$Q:$Q,"&gt;30",'Data Fertilizers'!$Q:$Q,"&lt;=60")</f>
        <v>0</v>
      </c>
      <c r="J20" s="182">
        <f>SUMIFS('Data Fertilizers'!$D:$D,'Data Fertilizers'!$P:$P,$B20,'Data Fertilizers'!$Q:$Q,"&gt;60",'Data Fertilizers'!$Q:$Q,"&lt;=90")</f>
        <v>0</v>
      </c>
      <c r="K20" s="182">
        <f>SUMIFS('Data Fertilizers'!$D:$D,'Data Fertilizers'!$P:$P,$B20,'Data Fertilizers'!$Q:$Q,"&gt;90",'Data Fertilizers'!$Q:$Q,"&lt;=120")</f>
        <v>0</v>
      </c>
      <c r="L20" s="182">
        <f>SUMIFS('Data Fertilizers'!$D:$D,'Data Fertilizers'!$P:$P,$B20,'Data Fertilizers'!$Q:$Q,"&gt;120",'Data Fertilizers'!$Q:$Q,"&lt;=180")</f>
        <v>0</v>
      </c>
      <c r="M20" s="182">
        <f>SUMIFS('Data Fertilizers'!$D:$D,'Data Fertilizers'!$P:$P,$B20,'Data Fertilizers'!$Q:$Q,"&gt;180",'Data Fertilizers'!$Q:$Q,"&lt;=360")</f>
        <v>0</v>
      </c>
      <c r="N20" s="187">
        <f>SUMIFS('Data Fertilizers'!$D:$D,'Data Fertilizers'!$P:$P,$B20,'Data Fertilizers'!$Q:$Q,"&gt;360")</f>
        <v>0</v>
      </c>
      <c r="O20" s="182">
        <f>SUMIFS('Data Fertilizers'!$D:$D,'Data Fertilizers'!$P:$P,$B20,'Data Fertilizers'!$Q:$Q,"&gt;0")</f>
        <v>0</v>
      </c>
      <c r="P20" s="182">
        <f t="shared" si="5"/>
        <v>133718</v>
      </c>
      <c r="Q20" s="182">
        <f>SUMIFS('Data Fertilizers'!$D:$D,'Data Fertilizers'!$P:$P,$B20,'Data Fertilizers'!$Q:$Q,"&lt;=0",'Data Fertilizers'!$Q:$Q,"&gt;=-30")</f>
        <v>133718</v>
      </c>
      <c r="R20" s="182">
        <f>SUMIFS('Data Fertilizers'!$D:$D,'Data Fertilizers'!$P:$P,$B20,'Data Fertilizers'!$Q:$Q,"&lt;=-31",'Data Fertilizers'!$Q:$Q,"&gt;=-60")</f>
        <v>0</v>
      </c>
      <c r="S20" s="182">
        <f>SUMIFS('Data Fertilizers'!$D:$D,'Data Fertilizers'!$P:$P,$B20,'Data Fertilizers'!$Q:$Q,"&lt;=-61",'Data Fertilizers'!$Q:$Q,"&gt;=-90")</f>
        <v>0</v>
      </c>
      <c r="T20" s="182">
        <f>SUMIFS('Data Fertilizers'!$D:$D,'Data Fertilizers'!$P:$P,$B20,'Data Fertilizers'!$Q:$Q,"&lt;=-91",'Data Fertilizers'!$Q:$Q,"&gt;=-120")</f>
        <v>0</v>
      </c>
      <c r="U20" s="182">
        <f>SUMIFS('Data Fertilizers'!$D:$D,'Data Fertilizers'!$P:$P,$B20,'Data Fertilizers'!$Q:$Q,"&lt;=-121",'Data Fertilizers'!$Q:$Q,"&gt;=-180")</f>
        <v>0</v>
      </c>
      <c r="V20" s="182">
        <f>SUMIFS('Data Fertilizers'!$D:$D,'Data Fertilizers'!$P:$P,$B20,'Data Fertilizers'!$Q:$Q,"&lt;=-181",'Data Fertilizers'!$Q:$Q,"&gt;=-360")</f>
        <v>0</v>
      </c>
      <c r="W20" s="187">
        <f>SUMIFS('Data Fertilizers'!$D:$D,'Data Fertilizers'!$P:$P,$B20,'Data Fertilizers'!$Q:$Q,"&lt;-360")</f>
        <v>0</v>
      </c>
      <c r="X20" s="237">
        <f>SUMIFS('Bad Debt Provision'!AB:AB,'Bad Debt Provision'!B:B,'Painel Fertilizers'!B20)</f>
        <v>0</v>
      </c>
      <c r="Z20" s="183"/>
      <c r="AA20" s="182">
        <f>_xlfn.XLOOKUP(B20,'Limite de crédito'!C:C,'Limite de crédito'!O:O,0)</f>
        <v>1000000</v>
      </c>
      <c r="AB20" s="182"/>
      <c r="AC20" s="184"/>
      <c r="AD20" s="185"/>
      <c r="AE20" s="185"/>
      <c r="AF20" s="183"/>
      <c r="AG20" s="182">
        <f t="shared" si="2"/>
        <v>866282</v>
      </c>
    </row>
    <row r="21" spans="2:37" s="234" customFormat="1" ht="15.75" customHeight="1" x14ac:dyDescent="0.25">
      <c r="B21" s="235" t="s">
        <v>270</v>
      </c>
      <c r="C21" s="244">
        <f>IFERROR(_xlfn.XLOOKUP(B21,'Limite de crédito'!C:C,'Limite de crédito'!L:L),0)</f>
        <v>0</v>
      </c>
      <c r="D21" s="245"/>
      <c r="E21" s="246">
        <f>_xlfn.XLOOKUP(B21,'Limite de crédito'!C:C,'Limite de crédito'!G:G,0)</f>
        <v>0</v>
      </c>
      <c r="F21" s="236">
        <f t="shared" si="3"/>
        <v>-988506.24</v>
      </c>
      <c r="G21" s="236">
        <f t="shared" si="4"/>
        <v>988506.24</v>
      </c>
      <c r="H21" s="237">
        <f>SUMIFS('Data Fertilizers'!$D:$D,'Data Fertilizers'!$P:$P,$B21,'Data Fertilizers'!$Q:$Q,"&gt;0",'Data Fertilizers'!$Q:$Q,"&lt;=30")</f>
        <v>0</v>
      </c>
      <c r="I21" s="237">
        <f>SUMIFS('Data Fertilizers'!$D:$D,'Data Fertilizers'!$P:$P,$B21,'Data Fertilizers'!$Q:$Q,"&gt;30",'Data Fertilizers'!$Q:$Q,"&lt;=60")</f>
        <v>0</v>
      </c>
      <c r="J21" s="237">
        <f>SUMIFS('Data Fertilizers'!$D:$D,'Data Fertilizers'!$P:$P,$B21,'Data Fertilizers'!$Q:$Q,"&gt;60",'Data Fertilizers'!$Q:$Q,"&lt;=90")</f>
        <v>0</v>
      </c>
      <c r="K21" s="237">
        <f>SUMIFS('Data Fertilizers'!$D:$D,'Data Fertilizers'!$P:$P,$B21,'Data Fertilizers'!$Q:$Q,"&gt;90",'Data Fertilizers'!$Q:$Q,"&lt;=120")</f>
        <v>0</v>
      </c>
      <c r="L21" s="237">
        <f>SUMIFS('Data Fertilizers'!$D:$D,'Data Fertilizers'!$P:$P,$B21,'Data Fertilizers'!$Q:$Q,"&gt;120",'Data Fertilizers'!$Q:$Q,"&lt;=180")</f>
        <v>0</v>
      </c>
      <c r="M21" s="237">
        <f>SUMIFS('Data Fertilizers'!$D:$D,'Data Fertilizers'!$P:$P,$B21,'Data Fertilizers'!$Q:$Q,"&gt;180",'Data Fertilizers'!$Q:$Q,"&lt;=360")</f>
        <v>988506.24</v>
      </c>
      <c r="N21" s="241">
        <f>SUMIFS('Data Fertilizers'!$D:$D,'Data Fertilizers'!$P:$P,$B21,'Data Fertilizers'!$Q:$Q,"&gt;360")</f>
        <v>0</v>
      </c>
      <c r="O21" s="237">
        <f>SUMIFS('Data Fertilizers'!$D:$D,'Data Fertilizers'!$P:$P,$B21,'Data Fertilizers'!$Q:$Q,"&gt;0")</f>
        <v>988506.24</v>
      </c>
      <c r="P21" s="237">
        <f t="shared" si="5"/>
        <v>0</v>
      </c>
      <c r="Q21" s="237">
        <f>SUMIFS('Data Fertilizers'!$D:$D,'Data Fertilizers'!$P:$P,$B21,'Data Fertilizers'!$Q:$Q,"&lt;=0",'Data Fertilizers'!$Q:$Q,"&gt;=-30")</f>
        <v>0</v>
      </c>
      <c r="R21" s="237">
        <f>SUMIFS('Data Fertilizers'!$D:$D,'Data Fertilizers'!$P:$P,$B21,'Data Fertilizers'!$Q:$Q,"&lt;=-31",'Data Fertilizers'!$Q:$Q,"&gt;=-60")</f>
        <v>0</v>
      </c>
      <c r="S21" s="237">
        <f>SUMIFS('Data Fertilizers'!$D:$D,'Data Fertilizers'!$P:$P,$B21,'Data Fertilizers'!$Q:$Q,"&lt;=-61",'Data Fertilizers'!$Q:$Q,"&gt;=-90")</f>
        <v>0</v>
      </c>
      <c r="T21" s="237">
        <f>SUMIFS('Data Fertilizers'!$D:$D,'Data Fertilizers'!$P:$P,$B21,'Data Fertilizers'!$Q:$Q,"&lt;=-91",'Data Fertilizers'!$Q:$Q,"&gt;=-120")</f>
        <v>0</v>
      </c>
      <c r="U21" s="237">
        <f>SUMIFS('Data Fertilizers'!$D:$D,'Data Fertilizers'!$P:$P,$B21,'Data Fertilizers'!$Q:$Q,"&lt;=-121",'Data Fertilizers'!$Q:$Q,"&gt;=-180")</f>
        <v>0</v>
      </c>
      <c r="V21" s="237">
        <f>SUMIFS('Data Fertilizers'!$D:$D,'Data Fertilizers'!$P:$P,$B21,'Data Fertilizers'!$Q:$Q,"&lt;=-181",'Data Fertilizers'!$Q:$Q,"&gt;=-360")</f>
        <v>0</v>
      </c>
      <c r="W21" s="241">
        <f>SUMIFS('Data Fertilizers'!$D:$D,'Data Fertilizers'!$P:$P,$B21,'Data Fertilizers'!$Q:$Q,"&lt;-360")</f>
        <v>0</v>
      </c>
      <c r="X21" s="237">
        <f>SUMIFS('Bad Debt Provision'!AB:AB,'Bad Debt Provision'!B:B,'Painel Fertilizers'!B21)</f>
        <v>29655.1872</v>
      </c>
      <c r="Y21" s="238"/>
      <c r="Z21" s="238"/>
      <c r="AA21" s="182">
        <f>_xlfn.XLOOKUP(B21,'Limite de crédito'!C:C,'Limite de crédito'!O:O,0)</f>
        <v>0</v>
      </c>
      <c r="AB21" s="237"/>
      <c r="AC21" s="239"/>
      <c r="AD21" s="240"/>
      <c r="AE21" s="240"/>
      <c r="AF21" s="238"/>
      <c r="AG21" s="237">
        <f t="shared" si="2"/>
        <v>-988506.24</v>
      </c>
    </row>
    <row r="22" spans="2:37" s="169" customFormat="1" x14ac:dyDescent="0.25">
      <c r="B22" s="168" t="s">
        <v>212</v>
      </c>
      <c r="C22" s="242">
        <f>IFERROR(_xlfn.XLOOKUP(B22,'Limite de crédito'!C:C,'Limite de crédito'!L:L),0)</f>
        <v>0</v>
      </c>
      <c r="D22" s="186"/>
      <c r="E22" s="232">
        <f>_xlfn.XLOOKUP(B22,'Limite de crédito'!C:C,'Limite de crédito'!G:G,0)</f>
        <v>0</v>
      </c>
      <c r="F22" s="181">
        <f t="shared" si="3"/>
        <v>0</v>
      </c>
      <c r="G22" s="181">
        <f t="shared" si="4"/>
        <v>0</v>
      </c>
      <c r="H22" s="182">
        <f>SUMIFS('Data Fertilizers'!$D:$D,'Data Fertilizers'!$P:$P,$B22,'Data Fertilizers'!$Q:$Q,"&gt;0",'Data Fertilizers'!$Q:$Q,"&lt;=30")</f>
        <v>0</v>
      </c>
      <c r="I22" s="182">
        <f>SUMIFS('Data Fertilizers'!$D:$D,'Data Fertilizers'!$P:$P,$B22,'Data Fertilizers'!$Q:$Q,"&gt;30",'Data Fertilizers'!$Q:$Q,"&lt;=60")</f>
        <v>0</v>
      </c>
      <c r="J22" s="182">
        <f>SUMIFS('Data Fertilizers'!$D:$D,'Data Fertilizers'!$P:$P,$B22,'Data Fertilizers'!$Q:$Q,"&gt;60",'Data Fertilizers'!$Q:$Q,"&lt;=90")</f>
        <v>0</v>
      </c>
      <c r="K22" s="182">
        <f>SUMIFS('Data Fertilizers'!$D:$D,'Data Fertilizers'!$P:$P,$B22,'Data Fertilizers'!$Q:$Q,"&gt;90",'Data Fertilizers'!$Q:$Q,"&lt;=120")</f>
        <v>0</v>
      </c>
      <c r="L22" s="182">
        <f>SUMIFS('Data Fertilizers'!$D:$D,'Data Fertilizers'!$P:$P,$B22,'Data Fertilizers'!$Q:$Q,"&gt;120",'Data Fertilizers'!$Q:$Q,"&lt;=180")</f>
        <v>0</v>
      </c>
      <c r="M22" s="182">
        <f>SUMIFS('Data Fertilizers'!$D:$D,'Data Fertilizers'!$P:$P,$B22,'Data Fertilizers'!$Q:$Q,"&gt;180",'Data Fertilizers'!$Q:$Q,"&lt;=360")</f>
        <v>0</v>
      </c>
      <c r="N22" s="187">
        <f>SUMIFS('Data Fertilizers'!$D:$D,'Data Fertilizers'!$P:$P,$B22,'Data Fertilizers'!$Q:$Q,"&gt;360")</f>
        <v>0</v>
      </c>
      <c r="O22" s="182">
        <f>SUMIFS('Data Fertilizers'!$D:$D,'Data Fertilizers'!$P:$P,$B22,'Data Fertilizers'!$Q:$Q,"&gt;0")</f>
        <v>0</v>
      </c>
      <c r="P22" s="182">
        <f t="shared" si="5"/>
        <v>0</v>
      </c>
      <c r="Q22" s="182">
        <f>SUMIFS('Data Fertilizers'!$D:$D,'Data Fertilizers'!$P:$P,$B22,'Data Fertilizers'!$Q:$Q,"&lt;=0",'Data Fertilizers'!$Q:$Q,"&gt;=-30")</f>
        <v>0</v>
      </c>
      <c r="R22" s="182">
        <f>SUMIFS('Data Fertilizers'!$D:$D,'Data Fertilizers'!$P:$P,$B22,'Data Fertilizers'!$Q:$Q,"&lt;=-31",'Data Fertilizers'!$Q:$Q,"&gt;=-60")</f>
        <v>0</v>
      </c>
      <c r="S22" s="182">
        <f>SUMIFS('Data Fertilizers'!$D:$D,'Data Fertilizers'!$P:$P,$B22,'Data Fertilizers'!$Q:$Q,"&lt;=-61",'Data Fertilizers'!$Q:$Q,"&gt;=-90")</f>
        <v>0</v>
      </c>
      <c r="T22" s="182">
        <f>SUMIFS('Data Fertilizers'!$D:$D,'Data Fertilizers'!$P:$P,$B22,'Data Fertilizers'!$Q:$Q,"&lt;=-91",'Data Fertilizers'!$Q:$Q,"&gt;=-120")</f>
        <v>0</v>
      </c>
      <c r="U22" s="182">
        <f>SUMIFS('Data Fertilizers'!$D:$D,'Data Fertilizers'!$P:$P,$B22,'Data Fertilizers'!$Q:$Q,"&lt;=-121",'Data Fertilizers'!$Q:$Q,"&gt;=-180")</f>
        <v>0</v>
      </c>
      <c r="V22" s="182">
        <f>SUMIFS('Data Fertilizers'!$D:$D,'Data Fertilizers'!$P:$P,$B22,'Data Fertilizers'!$Q:$Q,"&lt;=-181",'Data Fertilizers'!$Q:$Q,"&gt;=-360")</f>
        <v>0</v>
      </c>
      <c r="W22" s="187">
        <f>SUMIFS('Data Fertilizers'!$D:$D,'Data Fertilizers'!$P:$P,$B22,'Data Fertilizers'!$Q:$Q,"&lt;-360")</f>
        <v>0</v>
      </c>
      <c r="X22" s="237">
        <f>SUMIFS('Bad Debt Provision'!AB:AB,'Bad Debt Provision'!B:B,'Painel Fertilizers'!B22)</f>
        <v>0</v>
      </c>
      <c r="Y22" s="183"/>
      <c r="Z22" s="183"/>
      <c r="AA22" s="182">
        <f>_xlfn.XLOOKUP(B22,'Limite de crédito'!C:C,'Limite de crédito'!O:O,0)</f>
        <v>0</v>
      </c>
      <c r="AB22" s="182"/>
      <c r="AC22" s="184"/>
      <c r="AD22" s="185"/>
      <c r="AE22" s="185"/>
      <c r="AF22" s="183"/>
      <c r="AG22" s="182">
        <f t="shared" si="2"/>
        <v>0</v>
      </c>
      <c r="AH22" s="183"/>
    </row>
    <row r="23" spans="2:37" s="169" customFormat="1" x14ac:dyDescent="0.25">
      <c r="B23" s="168" t="s">
        <v>314</v>
      </c>
      <c r="C23" s="242">
        <f>IFERROR(_xlfn.XLOOKUP(B23,'Limite de crédito'!C:C,'Limite de crédito'!L:L),0)</f>
        <v>0</v>
      </c>
      <c r="D23" s="186">
        <v>230</v>
      </c>
      <c r="E23" s="232">
        <f>_xlfn.XLOOKUP(B23,'Limite de crédito'!C:C,'Limite de crédito'!G:G,0)</f>
        <v>0</v>
      </c>
      <c r="F23" s="181">
        <f t="shared" si="3"/>
        <v>0</v>
      </c>
      <c r="G23" s="181">
        <f t="shared" si="4"/>
        <v>0</v>
      </c>
      <c r="H23" s="182">
        <f>SUMIFS('Data Fertilizers'!$D:$D,'Data Fertilizers'!$P:$P,$B23,'Data Fertilizers'!$Q:$Q,"&gt;0",'Data Fertilizers'!$Q:$Q,"&lt;=30")</f>
        <v>0</v>
      </c>
      <c r="I23" s="182">
        <f>SUMIFS('Data Fertilizers'!$D:$D,'Data Fertilizers'!$P:$P,$B23,'Data Fertilizers'!$Q:$Q,"&gt;30",'Data Fertilizers'!$Q:$Q,"&lt;=60")</f>
        <v>0</v>
      </c>
      <c r="J23" s="182">
        <f>SUMIFS('Data Fertilizers'!$D:$D,'Data Fertilizers'!$P:$P,$B23,'Data Fertilizers'!$Q:$Q,"&gt;60",'Data Fertilizers'!$Q:$Q,"&lt;=90")</f>
        <v>0</v>
      </c>
      <c r="K23" s="182">
        <f>SUMIFS('Data Fertilizers'!$D:$D,'Data Fertilizers'!$P:$P,$B23,'Data Fertilizers'!$Q:$Q,"&gt;90",'Data Fertilizers'!$Q:$Q,"&lt;=120")</f>
        <v>0</v>
      </c>
      <c r="L23" s="182">
        <f>SUMIFS('Data Fertilizers'!$D:$D,'Data Fertilizers'!$P:$P,$B23,'Data Fertilizers'!$Q:$Q,"&gt;120",'Data Fertilizers'!$Q:$Q,"&lt;=180")</f>
        <v>0</v>
      </c>
      <c r="M23" s="182">
        <f>SUMIFS('Data Fertilizers'!$D:$D,'Data Fertilizers'!$P:$P,$B23,'Data Fertilizers'!$Q:$Q,"&gt;180",'Data Fertilizers'!$Q:$Q,"&lt;=360")</f>
        <v>0</v>
      </c>
      <c r="N23" s="187">
        <f>SUMIFS('Data Fertilizers'!$D:$D,'Data Fertilizers'!$P:$P,$B23,'Data Fertilizers'!$Q:$Q,"&gt;360")</f>
        <v>0</v>
      </c>
      <c r="O23" s="182">
        <f>SUMIFS('Data Fertilizers'!$D:$D,'Data Fertilizers'!$P:$P,$B23,'Data Fertilizers'!$Q:$Q,"&gt;0")</f>
        <v>0</v>
      </c>
      <c r="P23" s="182">
        <f t="shared" si="5"/>
        <v>0</v>
      </c>
      <c r="Q23" s="182">
        <f>SUMIFS('Data Fertilizers'!$D:$D,'Data Fertilizers'!$P:$P,$B23,'Data Fertilizers'!$Q:$Q,"&lt;=0",'Data Fertilizers'!$Q:$Q,"&gt;=-30")</f>
        <v>0</v>
      </c>
      <c r="R23" s="182">
        <f>SUMIFS('Data Fertilizers'!$D:$D,'Data Fertilizers'!$P:$P,$B23,'Data Fertilizers'!$Q:$Q,"&lt;=-31",'Data Fertilizers'!$Q:$Q,"&gt;=-60")</f>
        <v>0</v>
      </c>
      <c r="S23" s="182">
        <f>SUMIFS('Data Fertilizers'!$D:$D,'Data Fertilizers'!$P:$P,$B23,'Data Fertilizers'!$Q:$Q,"&lt;=-61",'Data Fertilizers'!$Q:$Q,"&gt;=-90")</f>
        <v>0</v>
      </c>
      <c r="T23" s="182">
        <f>SUMIFS('Data Fertilizers'!$D:$D,'Data Fertilizers'!$P:$P,$B23,'Data Fertilizers'!$Q:$Q,"&lt;=-91",'Data Fertilizers'!$Q:$Q,"&gt;=-120")</f>
        <v>0</v>
      </c>
      <c r="U23" s="182">
        <f>SUMIFS('Data Fertilizers'!$D:$D,'Data Fertilizers'!$P:$P,$B23,'Data Fertilizers'!$Q:$Q,"&lt;=-121",'Data Fertilizers'!$Q:$Q,"&gt;=-180")</f>
        <v>0</v>
      </c>
      <c r="V23" s="182">
        <f>SUMIFS('Data Fertilizers'!$D:$D,'Data Fertilizers'!$P:$P,$B23,'Data Fertilizers'!$Q:$Q,"&lt;=-181",'Data Fertilizers'!$Q:$Q,"&gt;=-360")</f>
        <v>0</v>
      </c>
      <c r="W23" s="187">
        <f>SUMIFS('Data Fertilizers'!$D:$D,'Data Fertilizers'!$P:$P,$B23,'Data Fertilizers'!$Q:$Q,"&lt;-360")</f>
        <v>0</v>
      </c>
      <c r="X23" s="237">
        <f>SUMIFS('Bad Debt Provision'!AB:AB,'Bad Debt Provision'!B:B,'Painel Fertilizers'!B23)</f>
        <v>0</v>
      </c>
      <c r="Y23" s="183"/>
      <c r="Z23" s="183"/>
      <c r="AA23" s="182">
        <f>_xlfn.XLOOKUP(B23,'Limite de crédito'!C:C,'Limite de crédito'!O:O,0)</f>
        <v>0</v>
      </c>
      <c r="AB23" s="182"/>
      <c r="AC23" s="184"/>
      <c r="AD23" s="185"/>
      <c r="AE23" s="185"/>
      <c r="AF23" s="183"/>
      <c r="AG23" s="182">
        <f t="shared" si="2"/>
        <v>0</v>
      </c>
    </row>
    <row r="24" spans="2:37" s="234" customFormat="1" x14ac:dyDescent="0.25">
      <c r="B24" s="235" t="s">
        <v>427</v>
      </c>
      <c r="C24" s="244">
        <f>IFERROR(_xlfn.XLOOKUP(B24,'Limite de crédito'!C:C,'Limite de crédito'!L:L),0)</f>
        <v>0</v>
      </c>
      <c r="D24" s="245"/>
      <c r="E24" s="246">
        <f>_xlfn.XLOOKUP(B24,'Limite de crédito'!C:C,'Limite de crédito'!G:G,0)</f>
        <v>0</v>
      </c>
      <c r="F24" s="236">
        <f>E24-G24</f>
        <v>-237309.12</v>
      </c>
      <c r="G24" s="236">
        <f>P24+O24</f>
        <v>237309.12</v>
      </c>
      <c r="H24" s="237">
        <f>SUMIFS('Data Fertilizers'!$D:$D,'Data Fertilizers'!$P:$P,$B24,'Data Fertilizers'!$Q:$Q,"&gt;0",'Data Fertilizers'!$Q:$Q,"&lt;=30")</f>
        <v>0</v>
      </c>
      <c r="I24" s="237">
        <f>SUMIFS('Data Fertilizers'!$D:$D,'Data Fertilizers'!$P:$P,$B24,'Data Fertilizers'!$Q:$Q,"&gt;30",'Data Fertilizers'!$Q:$Q,"&lt;=60")</f>
        <v>0</v>
      </c>
      <c r="J24" s="237">
        <f>SUMIFS('Data Fertilizers'!$D:$D,'Data Fertilizers'!$P:$P,$B24,'Data Fertilizers'!$Q:$Q,"&gt;60",'Data Fertilizers'!$Q:$Q,"&lt;=90")</f>
        <v>0</v>
      </c>
      <c r="K24" s="237">
        <f>SUMIFS('Data Fertilizers'!$D:$D,'Data Fertilizers'!$P:$P,$B24,'Data Fertilizers'!$Q:$Q,"&gt;90",'Data Fertilizers'!$Q:$Q,"&lt;=120")</f>
        <v>0</v>
      </c>
      <c r="L24" s="237">
        <f>SUMIFS('Data Fertilizers'!$D:$D,'Data Fertilizers'!$P:$P,$B24,'Data Fertilizers'!$Q:$Q,"&gt;120",'Data Fertilizers'!$Q:$Q,"&lt;=180")</f>
        <v>0</v>
      </c>
      <c r="M24" s="237">
        <f>SUMIFS('Data Fertilizers'!$D:$D,'Data Fertilizers'!$P:$P,$B24,'Data Fertilizers'!$Q:$Q,"&gt;180",'Data Fertilizers'!$Q:$Q,"&lt;=360")</f>
        <v>0</v>
      </c>
      <c r="N24" s="241">
        <f>SUMIFS('Data Fertilizers'!$D:$D,'Data Fertilizers'!$P:$P,$B24,'Data Fertilizers'!$Q:$Q,"&gt;360")</f>
        <v>237309.12</v>
      </c>
      <c r="O24" s="237">
        <f>SUMIFS('Data Fertilizers'!$D:$D,'Data Fertilizers'!$P:$P,$B24,'Data Fertilizers'!$Q:$Q,"&gt;0")</f>
        <v>237309.12</v>
      </c>
      <c r="P24" s="237">
        <f t="shared" si="5"/>
        <v>0</v>
      </c>
      <c r="Q24" s="237">
        <f>SUMIFS('Data Fertilizers'!$D:$D,'Data Fertilizers'!$P:$P,$B24,'Data Fertilizers'!$Q:$Q,"&lt;=0",'Data Fertilizers'!$Q:$Q,"&gt;=-30")</f>
        <v>0</v>
      </c>
      <c r="R24" s="237">
        <f>SUMIFS('Data Fertilizers'!$D:$D,'Data Fertilizers'!$P:$P,$B24,'Data Fertilizers'!$Q:$Q,"&lt;=-31",'Data Fertilizers'!$Q:$Q,"&gt;=-60")</f>
        <v>0</v>
      </c>
      <c r="S24" s="237">
        <f>SUMIFS('Data Fertilizers'!$D:$D,'Data Fertilizers'!$P:$P,$B24,'Data Fertilizers'!$Q:$Q,"&lt;=-61",'Data Fertilizers'!$Q:$Q,"&gt;=-90")</f>
        <v>0</v>
      </c>
      <c r="T24" s="237">
        <f>SUMIFS('Data Fertilizers'!$D:$D,'Data Fertilizers'!$P:$P,$B24,'Data Fertilizers'!$Q:$Q,"&lt;=-91",'Data Fertilizers'!$Q:$Q,"&gt;=-120")</f>
        <v>0</v>
      </c>
      <c r="U24" s="237">
        <f>SUMIFS('Data Fertilizers'!$D:$D,'Data Fertilizers'!$P:$P,$B24,'Data Fertilizers'!$Q:$Q,"&lt;=-121",'Data Fertilizers'!$Q:$Q,"&gt;=-180")</f>
        <v>0</v>
      </c>
      <c r="V24" s="237">
        <f>SUMIFS('Data Fertilizers'!$D:$D,'Data Fertilizers'!$P:$P,$B24,'Data Fertilizers'!$Q:$Q,"&lt;=-181",'Data Fertilizers'!$Q:$Q,"&gt;=-360")</f>
        <v>0</v>
      </c>
      <c r="W24" s="241">
        <f>SUMIFS('Data Fertilizers'!$D:$D,'Data Fertilizers'!$P:$P,$B24,'Data Fertilizers'!$Q:$Q,"&lt;-360")</f>
        <v>0</v>
      </c>
      <c r="X24" s="237">
        <f>SUMIFS('Bad Debt Provision'!AB:AB,'Bad Debt Provision'!B:B,'Painel Fertilizers'!B24)</f>
        <v>237309.12</v>
      </c>
      <c r="Z24" s="238"/>
      <c r="AA24" s="182">
        <f>_xlfn.XLOOKUP(B24,'Limite de crédito'!C:C,'Limite de crédito'!O:O,0)</f>
        <v>0</v>
      </c>
      <c r="AB24" s="237"/>
      <c r="AC24" s="239"/>
      <c r="AD24" s="240"/>
      <c r="AE24" s="240"/>
      <c r="AF24" s="238"/>
      <c r="AG24" s="237">
        <f t="shared" si="2"/>
        <v>-237309.12</v>
      </c>
    </row>
    <row r="25" spans="2:37" s="171" customFormat="1" x14ac:dyDescent="0.25">
      <c r="B25" s="172" t="s">
        <v>357</v>
      </c>
      <c r="C25" s="242">
        <f>IFERROR(_xlfn.XLOOKUP(B25,'Limite de crédito'!C:C,'Limite de crédito'!L:L),0)</f>
        <v>0</v>
      </c>
      <c r="D25" s="173"/>
      <c r="E25" s="232">
        <f>_xlfn.XLOOKUP(B25,'Limite de crédito'!C:C,'Limite de crédito'!G:G,0)</f>
        <v>500000</v>
      </c>
      <c r="F25" s="174">
        <f t="shared" si="3"/>
        <v>500000</v>
      </c>
      <c r="G25" s="174">
        <f t="shared" si="4"/>
        <v>0</v>
      </c>
      <c r="H25" s="175">
        <f>SUMIFS('Data Fertilizers'!$D:$D,'Data Fertilizers'!$P:$P,$B25,'Data Fertilizers'!$Q:$Q,"&gt;0",'Data Fertilizers'!$Q:$Q,"&lt;=30")</f>
        <v>0</v>
      </c>
      <c r="I25" s="175">
        <f>SUMIFS('Data Fertilizers'!$D:$D,'Data Fertilizers'!$P:$P,$B25,'Data Fertilizers'!$Q:$Q,"&gt;30",'Data Fertilizers'!$Q:$Q,"&lt;=60")</f>
        <v>0</v>
      </c>
      <c r="J25" s="175">
        <f>SUMIFS('Data Fertilizers'!$D:$D,'Data Fertilizers'!$P:$P,$B25,'Data Fertilizers'!$Q:$Q,"&gt;60",'Data Fertilizers'!$Q:$Q,"&lt;=90")</f>
        <v>0</v>
      </c>
      <c r="K25" s="175">
        <f>SUMIFS('Data Fertilizers'!$D:$D,'Data Fertilizers'!$P:$P,$B25,'Data Fertilizers'!$Q:$Q,"&gt;90",'Data Fertilizers'!$Q:$Q,"&lt;=120")</f>
        <v>0</v>
      </c>
      <c r="L25" s="175">
        <f>SUMIFS('Data Fertilizers'!$D:$D,'Data Fertilizers'!$P:$P,$B25,'Data Fertilizers'!$Q:$Q,"&gt;120",'Data Fertilizers'!$Q:$Q,"&lt;=180")</f>
        <v>0</v>
      </c>
      <c r="M25" s="175">
        <f>SUMIFS('Data Fertilizers'!$D:$D,'Data Fertilizers'!$P:$P,$B25,'Data Fertilizers'!$Q:$Q,"&gt;180",'Data Fertilizers'!$Q:$Q,"&lt;=360")</f>
        <v>0</v>
      </c>
      <c r="N25" s="176">
        <f>SUMIFS('Data Fertilizers'!$D:$D,'Data Fertilizers'!$P:$P,$B25,'Data Fertilizers'!$Q:$Q,"&gt;360")</f>
        <v>0</v>
      </c>
      <c r="O25" s="175">
        <f>SUMIFS('Data Fertilizers'!$D:$D,'Data Fertilizers'!$P:$P,$B25,'Data Fertilizers'!$Q:$Q,"&gt;0")</f>
        <v>0</v>
      </c>
      <c r="P25" s="175">
        <f t="shared" si="5"/>
        <v>0</v>
      </c>
      <c r="Q25" s="175">
        <f>SUMIFS('Data Fertilizers'!$D:$D,'Data Fertilizers'!$P:$P,$B25,'Data Fertilizers'!$Q:$Q,"&lt;=0",'Data Fertilizers'!$Q:$Q,"&gt;=-30")</f>
        <v>0</v>
      </c>
      <c r="R25" s="175">
        <f>SUMIFS('Data Fertilizers'!$D:$D,'Data Fertilizers'!$P:$P,$B25,'Data Fertilizers'!$Q:$Q,"&lt;=-31",'Data Fertilizers'!$Q:$Q,"&gt;=-60")</f>
        <v>0</v>
      </c>
      <c r="S25" s="175">
        <f>SUMIFS('Data Fertilizers'!$D:$D,'Data Fertilizers'!$P:$P,$B25,'Data Fertilizers'!$Q:$Q,"&lt;=-61",'Data Fertilizers'!$Q:$Q,"&gt;=-90")</f>
        <v>0</v>
      </c>
      <c r="T25" s="175">
        <f>SUMIFS('Data Fertilizers'!$D:$D,'Data Fertilizers'!$P:$P,$B25,'Data Fertilizers'!$Q:$Q,"&lt;=-91",'Data Fertilizers'!$Q:$Q,"&gt;=-120")</f>
        <v>0</v>
      </c>
      <c r="U25" s="175">
        <f>SUMIFS('Data Fertilizers'!$D:$D,'Data Fertilizers'!$P:$P,$B25,'Data Fertilizers'!$Q:$Q,"&lt;=-121",'Data Fertilizers'!$Q:$Q,"&gt;=-180")</f>
        <v>0</v>
      </c>
      <c r="V25" s="175">
        <f>SUMIFS('Data Fertilizers'!$D:$D,'Data Fertilizers'!$P:$P,$B25,'Data Fertilizers'!$Q:$Q,"&lt;=-181",'Data Fertilizers'!$Q:$Q,"&gt;=-360")</f>
        <v>0</v>
      </c>
      <c r="W25" s="176">
        <f>SUMIFS('Data Fertilizers'!$D:$D,'Data Fertilizers'!$P:$P,$B25,'Data Fertilizers'!$Q:$Q,"&lt;-360")</f>
        <v>0</v>
      </c>
      <c r="X25" s="237">
        <f>SUMIFS('Bad Debt Provision'!AB:AB,'Bad Debt Provision'!B:B,'Painel Fertilizers'!B25)</f>
        <v>0</v>
      </c>
      <c r="Y25" s="177"/>
      <c r="Z25" s="177"/>
      <c r="AA25" s="182">
        <f>_xlfn.XLOOKUP(B25,'Limite de crédito'!C:C,'Limite de crédito'!O:O,0)</f>
        <v>0</v>
      </c>
      <c r="AB25" s="175"/>
      <c r="AC25" s="178"/>
      <c r="AD25" s="179"/>
      <c r="AE25" s="179"/>
      <c r="AF25" s="177"/>
      <c r="AG25" s="175">
        <f t="shared" si="2"/>
        <v>0</v>
      </c>
    </row>
    <row r="26" spans="2:37" s="171" customFormat="1" x14ac:dyDescent="0.25">
      <c r="B26" s="172" t="s">
        <v>376</v>
      </c>
      <c r="C26" s="242">
        <f>IFERROR(_xlfn.XLOOKUP(B26,'Limite de crédito'!C:C,'Limite de crédito'!L:L),0)</f>
        <v>0</v>
      </c>
      <c r="D26" s="173"/>
      <c r="E26" s="232">
        <f>_xlfn.XLOOKUP(B26,'Limite de crédito'!C:C,'Limite de crédito'!G:G,0)</f>
        <v>0</v>
      </c>
      <c r="F26" s="174">
        <f t="shared" si="3"/>
        <v>0</v>
      </c>
      <c r="G26" s="174">
        <f t="shared" si="4"/>
        <v>0</v>
      </c>
      <c r="H26" s="175">
        <f>SUMIFS('Data Fertilizers'!$D:$D,'Data Fertilizers'!$P:$P,$B26,'Data Fertilizers'!$Q:$Q,"&gt;0",'Data Fertilizers'!$Q:$Q,"&lt;=30")</f>
        <v>0</v>
      </c>
      <c r="I26" s="175">
        <f>SUMIFS('Data Fertilizers'!$D:$D,'Data Fertilizers'!$P:$P,$B26,'Data Fertilizers'!$Q:$Q,"&gt;30",'Data Fertilizers'!$Q:$Q,"&lt;=60")</f>
        <v>0</v>
      </c>
      <c r="J26" s="175">
        <f>SUMIFS('Data Fertilizers'!$D:$D,'Data Fertilizers'!$P:$P,$B26,'Data Fertilizers'!$Q:$Q,"&gt;60",'Data Fertilizers'!$Q:$Q,"&lt;=90")</f>
        <v>0</v>
      </c>
      <c r="K26" s="175">
        <f>SUMIFS('Data Fertilizers'!$D:$D,'Data Fertilizers'!$P:$P,$B26,'Data Fertilizers'!$Q:$Q,"&gt;90",'Data Fertilizers'!$Q:$Q,"&lt;=120")</f>
        <v>0</v>
      </c>
      <c r="L26" s="175">
        <f>SUMIFS('Data Fertilizers'!$D:$D,'Data Fertilizers'!$P:$P,$B26,'Data Fertilizers'!$Q:$Q,"&gt;120",'Data Fertilizers'!$Q:$Q,"&lt;=180")</f>
        <v>0</v>
      </c>
      <c r="M26" s="175">
        <f>SUMIFS('Data Fertilizers'!$D:$D,'Data Fertilizers'!$P:$P,$B26,'Data Fertilizers'!$Q:$Q,"&gt;180",'Data Fertilizers'!$Q:$Q,"&lt;=360")</f>
        <v>0</v>
      </c>
      <c r="N26" s="176">
        <f>SUMIFS('Data Fertilizers'!$D:$D,'Data Fertilizers'!$P:$P,$B26,'Data Fertilizers'!$Q:$Q,"&gt;360")</f>
        <v>0</v>
      </c>
      <c r="O26" s="175">
        <f>SUMIFS('Data Fertilizers'!$D:$D,'Data Fertilizers'!$P:$P,$B26,'Data Fertilizers'!$Q:$Q,"&gt;0")</f>
        <v>0</v>
      </c>
      <c r="P26" s="175">
        <f t="shared" si="5"/>
        <v>0</v>
      </c>
      <c r="Q26" s="175">
        <f>SUMIFS('Data Fertilizers'!$D:$D,'Data Fertilizers'!$P:$P,$B26,'Data Fertilizers'!$Q:$Q,"&lt;=0",'Data Fertilizers'!$Q:$Q,"&gt;=-30")</f>
        <v>0</v>
      </c>
      <c r="R26" s="175">
        <f>SUMIFS('Data Fertilizers'!$D:$D,'Data Fertilizers'!$P:$P,$B26,'Data Fertilizers'!$Q:$Q,"&lt;=-31",'Data Fertilizers'!$Q:$Q,"&gt;=-60")</f>
        <v>0</v>
      </c>
      <c r="S26" s="175">
        <f>SUMIFS('Data Fertilizers'!$D:$D,'Data Fertilizers'!$P:$P,$B26,'Data Fertilizers'!$Q:$Q,"&lt;=-61",'Data Fertilizers'!$Q:$Q,"&gt;=-90")</f>
        <v>0</v>
      </c>
      <c r="T26" s="175">
        <f>SUMIFS('Data Fertilizers'!$D:$D,'Data Fertilizers'!$P:$P,$B26,'Data Fertilizers'!$Q:$Q,"&lt;=-91",'Data Fertilizers'!$Q:$Q,"&gt;=-120")</f>
        <v>0</v>
      </c>
      <c r="U26" s="175">
        <f>SUMIFS('Data Fertilizers'!$D:$D,'Data Fertilizers'!$P:$P,$B26,'Data Fertilizers'!$Q:$Q,"&lt;=-121",'Data Fertilizers'!$Q:$Q,"&gt;=-180")</f>
        <v>0</v>
      </c>
      <c r="V26" s="175">
        <f>SUMIFS('Data Fertilizers'!$D:$D,'Data Fertilizers'!$P:$P,$B26,'Data Fertilizers'!$Q:$Q,"&lt;=-181",'Data Fertilizers'!$Q:$Q,"&gt;=-360")</f>
        <v>0</v>
      </c>
      <c r="W26" s="176">
        <f>SUMIFS('Data Fertilizers'!$D:$D,'Data Fertilizers'!$P:$P,$B26,'Data Fertilizers'!$Q:$Q,"&lt;-360")</f>
        <v>0</v>
      </c>
      <c r="X26" s="237">
        <f>SUMIFS('Bad Debt Provision'!AB:AB,'Bad Debt Provision'!B:B,'Painel Fertilizers'!B26)</f>
        <v>0</v>
      </c>
      <c r="Y26" s="177"/>
      <c r="Z26" s="177"/>
      <c r="AA26" s="182">
        <f>_xlfn.XLOOKUP(B26,'Limite de crédito'!C:C,'Limite de crédito'!O:O,0)</f>
        <v>0</v>
      </c>
      <c r="AB26" s="175"/>
      <c r="AC26" s="178"/>
      <c r="AD26" s="179"/>
      <c r="AE26" s="179"/>
      <c r="AF26" s="177"/>
      <c r="AG26" s="175">
        <f t="shared" si="2"/>
        <v>0</v>
      </c>
    </row>
    <row r="27" spans="2:37" s="169" customFormat="1" ht="15.6" customHeight="1" x14ac:dyDescent="0.25">
      <c r="B27" s="168" t="s">
        <v>260</v>
      </c>
      <c r="C27" s="242" t="str">
        <f>IFERROR(_xlfn.XLOOKUP(B27,'Limite de crédito'!C:C,'Limite de crédito'!L:L),0)</f>
        <v>B</v>
      </c>
      <c r="D27" s="186">
        <v>180</v>
      </c>
      <c r="E27" s="232">
        <f>_xlfn.XLOOKUP(B27,'Limite de crédito'!C:C,'Limite de crédito'!G:G,0)</f>
        <v>7000000</v>
      </c>
      <c r="F27" s="181">
        <f t="shared" si="3"/>
        <v>7000000</v>
      </c>
      <c r="G27" s="181">
        <f t="shared" si="4"/>
        <v>0</v>
      </c>
      <c r="H27" s="182">
        <f>SUMIFS('Data Fertilizers'!$D:$D,'Data Fertilizers'!$P:$P,$B27,'Data Fertilizers'!$Q:$Q,"&gt;0",'Data Fertilizers'!$Q:$Q,"&lt;=30")</f>
        <v>0</v>
      </c>
      <c r="I27" s="182">
        <f>SUMIFS('Data Fertilizers'!$D:$D,'Data Fertilizers'!$P:$P,$B27,'Data Fertilizers'!$Q:$Q,"&gt;30",'Data Fertilizers'!$Q:$Q,"&lt;=60")</f>
        <v>0</v>
      </c>
      <c r="J27" s="182">
        <f>SUMIFS('Data Fertilizers'!$D:$D,'Data Fertilizers'!$P:$P,$B27,'Data Fertilizers'!$Q:$Q,"&gt;60",'Data Fertilizers'!$Q:$Q,"&lt;=90")</f>
        <v>0</v>
      </c>
      <c r="K27" s="182">
        <f>SUMIFS('Data Fertilizers'!$D:$D,'Data Fertilizers'!$P:$P,$B27,'Data Fertilizers'!$Q:$Q,"&gt;90",'Data Fertilizers'!$Q:$Q,"&lt;=120")</f>
        <v>0</v>
      </c>
      <c r="L27" s="182">
        <f>SUMIFS('Data Fertilizers'!$D:$D,'Data Fertilizers'!$P:$P,$B27,'Data Fertilizers'!$Q:$Q,"&gt;120",'Data Fertilizers'!$Q:$Q,"&lt;=180")</f>
        <v>0</v>
      </c>
      <c r="M27" s="182">
        <f>SUMIFS('Data Fertilizers'!$D:$D,'Data Fertilizers'!$P:$P,$B27,'Data Fertilizers'!$Q:$Q,"&gt;180",'Data Fertilizers'!$Q:$Q,"&lt;=360")</f>
        <v>0</v>
      </c>
      <c r="N27" s="187">
        <f>SUMIFS('Data Fertilizers'!$D:$D,'Data Fertilizers'!$P:$P,$B27,'Data Fertilizers'!$Q:$Q,"&gt;360")</f>
        <v>0</v>
      </c>
      <c r="O27" s="182">
        <f>SUMIFS('Data Fertilizers'!$D:$D,'Data Fertilizers'!$P:$P,$B27,'Data Fertilizers'!$Q:$Q,"&gt;0")</f>
        <v>0</v>
      </c>
      <c r="P27" s="182">
        <f t="shared" si="5"/>
        <v>0</v>
      </c>
      <c r="Q27" s="182">
        <f>SUMIFS('Data Fertilizers'!$D:$D,'Data Fertilizers'!$P:$P,$B27,'Data Fertilizers'!$Q:$Q,"&lt;=0",'Data Fertilizers'!$Q:$Q,"&gt;=-30")</f>
        <v>0</v>
      </c>
      <c r="R27" s="182">
        <f>SUMIFS('Data Fertilizers'!$D:$D,'Data Fertilizers'!$P:$P,$B27,'Data Fertilizers'!$Q:$Q,"&lt;=-31",'Data Fertilizers'!$Q:$Q,"&gt;=-60")</f>
        <v>0</v>
      </c>
      <c r="S27" s="182">
        <f>SUMIFS('Data Fertilizers'!$D:$D,'Data Fertilizers'!$P:$P,$B27,'Data Fertilizers'!$Q:$Q,"&lt;=-61",'Data Fertilizers'!$Q:$Q,"&gt;=-90")</f>
        <v>0</v>
      </c>
      <c r="T27" s="182">
        <f>SUMIFS('Data Fertilizers'!$D:$D,'Data Fertilizers'!$P:$P,$B27,'Data Fertilizers'!$Q:$Q,"&lt;=-91",'Data Fertilizers'!$Q:$Q,"&gt;=-120")</f>
        <v>0</v>
      </c>
      <c r="U27" s="182">
        <f>SUMIFS('Data Fertilizers'!$D:$D,'Data Fertilizers'!$P:$P,$B27,'Data Fertilizers'!$Q:$Q,"&lt;=-121",'Data Fertilizers'!$Q:$Q,"&gt;=-180")</f>
        <v>0</v>
      </c>
      <c r="V27" s="182">
        <f>SUMIFS('Data Fertilizers'!$D:$D,'Data Fertilizers'!$P:$P,$B27,'Data Fertilizers'!$Q:$Q,"&lt;=-181",'Data Fertilizers'!$Q:$Q,"&gt;=-360")</f>
        <v>0</v>
      </c>
      <c r="W27" s="187">
        <f>SUMIFS('Data Fertilizers'!$D:$D,'Data Fertilizers'!$P:$P,$B27,'Data Fertilizers'!$Q:$Q,"&lt;-360")</f>
        <v>0</v>
      </c>
      <c r="X27" s="237">
        <f>SUMIFS('Bad Debt Provision'!AB:AB,'Bad Debt Provision'!B:B,'Painel Fertilizers'!B27)</f>
        <v>0</v>
      </c>
      <c r="Y27" s="183"/>
      <c r="Z27" s="183"/>
      <c r="AA27" s="182">
        <f>_xlfn.XLOOKUP(B27,'Limite de crédito'!C:C,'Limite de crédito'!O:O,0)</f>
        <v>7000000</v>
      </c>
      <c r="AB27" s="182"/>
      <c r="AC27" s="184"/>
      <c r="AD27" s="185"/>
      <c r="AE27" s="185"/>
      <c r="AF27" s="183"/>
      <c r="AG27" s="182">
        <f t="shared" si="2"/>
        <v>7000000</v>
      </c>
    </row>
    <row r="28" spans="2:37" s="169" customFormat="1" x14ac:dyDescent="0.25">
      <c r="B28" s="168" t="s">
        <v>426</v>
      </c>
      <c r="C28" s="242" t="str">
        <f>IFERROR(_xlfn.XLOOKUP(B28,'Limite de crédito'!C:C,'Limite de crédito'!L:L),0)</f>
        <v>B</v>
      </c>
      <c r="D28" s="186">
        <v>360</v>
      </c>
      <c r="E28" s="232">
        <f>_xlfn.XLOOKUP(B28,'Limite de crédito'!C:C,'Limite de crédito'!G:G,0)</f>
        <v>700000</v>
      </c>
      <c r="F28" s="181">
        <f t="shared" si="3"/>
        <v>694969.5</v>
      </c>
      <c r="G28" s="181">
        <f t="shared" si="4"/>
        <v>5030.5</v>
      </c>
      <c r="H28" s="182">
        <f>SUMIFS('Data Fertilizers'!$D:$D,'Data Fertilizers'!$P:$P,$B28,'Data Fertilizers'!$Q:$Q,"&gt;0",'Data Fertilizers'!$Q:$Q,"&lt;=30")</f>
        <v>0</v>
      </c>
      <c r="I28" s="182">
        <f>SUMIFS('Data Fertilizers'!$D:$D,'Data Fertilizers'!$P:$P,$B28,'Data Fertilizers'!$Q:$Q,"&gt;30",'Data Fertilizers'!$Q:$Q,"&lt;=60")</f>
        <v>0</v>
      </c>
      <c r="J28" s="182">
        <f>SUMIFS('Data Fertilizers'!$D:$D,'Data Fertilizers'!$P:$P,$B28,'Data Fertilizers'!$Q:$Q,"&gt;60",'Data Fertilizers'!$Q:$Q,"&lt;=90")</f>
        <v>0</v>
      </c>
      <c r="K28" s="182">
        <f>SUMIFS('Data Fertilizers'!$D:$D,'Data Fertilizers'!$P:$P,$B28,'Data Fertilizers'!$Q:$Q,"&gt;90",'Data Fertilizers'!$Q:$Q,"&lt;=120")</f>
        <v>0</v>
      </c>
      <c r="L28" s="182">
        <f>SUMIFS('Data Fertilizers'!$D:$D,'Data Fertilizers'!$P:$P,$B28,'Data Fertilizers'!$Q:$Q,"&gt;120",'Data Fertilizers'!$Q:$Q,"&lt;=180")</f>
        <v>0</v>
      </c>
      <c r="M28" s="182">
        <f>SUMIFS('Data Fertilizers'!$D:$D,'Data Fertilizers'!$P:$P,$B28,'Data Fertilizers'!$Q:$Q,"&gt;180",'Data Fertilizers'!$Q:$Q,"&lt;=360")</f>
        <v>0</v>
      </c>
      <c r="N28" s="187">
        <f>SUMIFS('Data Fertilizers'!$D:$D,'Data Fertilizers'!$P:$P,$B28,'Data Fertilizers'!$Q:$Q,"&gt;360")</f>
        <v>0</v>
      </c>
      <c r="O28" s="182">
        <f>SUMIFS('Data Fertilizers'!$D:$D,'Data Fertilizers'!$P:$P,$B28,'Data Fertilizers'!$Q:$Q,"&gt;0")</f>
        <v>0</v>
      </c>
      <c r="P28" s="182">
        <f t="shared" si="5"/>
        <v>5030.5</v>
      </c>
      <c r="Q28" s="182">
        <f>SUMIFS('Data Fertilizers'!$D:$D,'Data Fertilizers'!$P:$P,$B28,'Data Fertilizers'!$Q:$Q,"&lt;=0",'Data Fertilizers'!$Q:$Q,"&gt;=-30")</f>
        <v>0</v>
      </c>
      <c r="R28" s="182">
        <f>SUMIFS('Data Fertilizers'!$D:$D,'Data Fertilizers'!$P:$P,$B28,'Data Fertilizers'!$Q:$Q,"&lt;=-31",'Data Fertilizers'!$Q:$Q,"&gt;=-60")</f>
        <v>0</v>
      </c>
      <c r="S28" s="182">
        <f>SUMIFS('Data Fertilizers'!$D:$D,'Data Fertilizers'!$P:$P,$B28,'Data Fertilizers'!$Q:$Q,"&lt;=-61",'Data Fertilizers'!$Q:$Q,"&gt;=-90")</f>
        <v>0</v>
      </c>
      <c r="T28" s="182">
        <f>SUMIFS('Data Fertilizers'!$D:$D,'Data Fertilizers'!$P:$P,$B28,'Data Fertilizers'!$Q:$Q,"&lt;=-91",'Data Fertilizers'!$Q:$Q,"&gt;=-120")</f>
        <v>5030.5</v>
      </c>
      <c r="U28" s="182">
        <f>SUMIFS('Data Fertilizers'!$D:$D,'Data Fertilizers'!$P:$P,$B28,'Data Fertilizers'!$Q:$Q,"&lt;=-121",'Data Fertilizers'!$Q:$Q,"&gt;=-180")</f>
        <v>0</v>
      </c>
      <c r="V28" s="182">
        <f>SUMIFS('Data Fertilizers'!$D:$D,'Data Fertilizers'!$P:$P,$B28,'Data Fertilizers'!$Q:$Q,"&lt;=-181",'Data Fertilizers'!$Q:$Q,"&gt;=-360")</f>
        <v>0</v>
      </c>
      <c r="W28" s="187">
        <f>SUMIFS('Data Fertilizers'!$D:$D,'Data Fertilizers'!$P:$P,$B28,'Data Fertilizers'!$Q:$Q,"&lt;-360")</f>
        <v>0</v>
      </c>
      <c r="X28" s="237">
        <f>SUMIFS('Bad Debt Provision'!AB:AB,'Bad Debt Provision'!B:B,'Painel Fertilizers'!B28)</f>
        <v>0</v>
      </c>
      <c r="Z28" s="183"/>
      <c r="AA28" s="182">
        <f>_xlfn.XLOOKUP(B28,'Limite de crédito'!C:C,'Limite de crédito'!O:O,0)</f>
        <v>700000</v>
      </c>
      <c r="AB28" s="182"/>
      <c r="AC28" s="184"/>
      <c r="AD28" s="185"/>
      <c r="AE28" s="185"/>
      <c r="AF28" s="183"/>
      <c r="AG28" s="182">
        <f t="shared" si="2"/>
        <v>694969.5</v>
      </c>
    </row>
    <row r="29" spans="2:37" s="169" customFormat="1" x14ac:dyDescent="0.25">
      <c r="B29" s="168" t="s">
        <v>122</v>
      </c>
      <c r="C29" s="242">
        <f>IFERROR(_xlfn.XLOOKUP(B29,'Limite de crédito'!C:C,'Limite de crédito'!L:L),0)</f>
        <v>0</v>
      </c>
      <c r="D29" s="186"/>
      <c r="E29" s="232">
        <f>_xlfn.XLOOKUP(B29,'Limite de crédito'!C:C,'Limite de crédito'!G:G,0)</f>
        <v>0</v>
      </c>
      <c r="F29" s="181">
        <f t="shared" si="3"/>
        <v>0</v>
      </c>
      <c r="G29" s="181">
        <f t="shared" si="4"/>
        <v>0</v>
      </c>
      <c r="H29" s="182">
        <f>SUMIFS('Data Fertilizers'!$D:$D,'Data Fertilizers'!$P:$P,$B29,'Data Fertilizers'!$Q:$Q,"&gt;0",'Data Fertilizers'!$Q:$Q,"&lt;=30")</f>
        <v>0</v>
      </c>
      <c r="I29" s="182">
        <f>SUMIFS('Data Fertilizers'!$D:$D,'Data Fertilizers'!$P:$P,$B29,'Data Fertilizers'!$Q:$Q,"&gt;30",'Data Fertilizers'!$Q:$Q,"&lt;=60")</f>
        <v>0</v>
      </c>
      <c r="J29" s="182">
        <f>SUMIFS('Data Fertilizers'!$D:$D,'Data Fertilizers'!$P:$P,$B29,'Data Fertilizers'!$Q:$Q,"&gt;60",'Data Fertilizers'!$Q:$Q,"&lt;=90")</f>
        <v>0</v>
      </c>
      <c r="K29" s="182">
        <f>SUMIFS('Data Fertilizers'!$D:$D,'Data Fertilizers'!$P:$P,$B29,'Data Fertilizers'!$Q:$Q,"&gt;90",'Data Fertilizers'!$Q:$Q,"&lt;=120")</f>
        <v>0</v>
      </c>
      <c r="L29" s="182">
        <f>SUMIFS('Data Fertilizers'!$D:$D,'Data Fertilizers'!$P:$P,$B29,'Data Fertilizers'!$Q:$Q,"&gt;120",'Data Fertilizers'!$Q:$Q,"&lt;=180")</f>
        <v>0</v>
      </c>
      <c r="M29" s="182">
        <f>SUMIFS('Data Fertilizers'!$D:$D,'Data Fertilizers'!$P:$P,$B29,'Data Fertilizers'!$Q:$Q,"&gt;180",'Data Fertilizers'!$Q:$Q,"&lt;=360")</f>
        <v>0</v>
      </c>
      <c r="N29" s="187">
        <f>SUMIFS('Data Fertilizers'!$D:$D,'Data Fertilizers'!$P:$P,$B29,'Data Fertilizers'!$Q:$Q,"&gt;360")</f>
        <v>0</v>
      </c>
      <c r="O29" s="182">
        <f>SUMIFS('Data Fertilizers'!$D:$D,'Data Fertilizers'!$P:$P,$B29,'Data Fertilizers'!$Q:$Q,"&gt;0")</f>
        <v>0</v>
      </c>
      <c r="P29" s="182">
        <f t="shared" si="5"/>
        <v>0</v>
      </c>
      <c r="Q29" s="182">
        <f>SUMIFS('Data Fertilizers'!$D:$D,'Data Fertilizers'!$P:$P,$B29,'Data Fertilizers'!$Q:$Q,"&lt;=0",'Data Fertilizers'!$Q:$Q,"&gt;=-30")</f>
        <v>0</v>
      </c>
      <c r="R29" s="182">
        <f>SUMIFS('Data Fertilizers'!$D:$D,'Data Fertilizers'!$P:$P,$B29,'Data Fertilizers'!$Q:$Q,"&lt;=-31",'Data Fertilizers'!$Q:$Q,"&gt;=-60")</f>
        <v>0</v>
      </c>
      <c r="S29" s="182">
        <f>SUMIFS('Data Fertilizers'!$D:$D,'Data Fertilizers'!$P:$P,$B29,'Data Fertilizers'!$Q:$Q,"&lt;=-61",'Data Fertilizers'!$Q:$Q,"&gt;=-90")</f>
        <v>0</v>
      </c>
      <c r="T29" s="182">
        <f>SUMIFS('Data Fertilizers'!$D:$D,'Data Fertilizers'!$P:$P,$B29,'Data Fertilizers'!$Q:$Q,"&lt;=-91",'Data Fertilizers'!$Q:$Q,"&gt;=-120")</f>
        <v>0</v>
      </c>
      <c r="U29" s="182">
        <f>SUMIFS('Data Fertilizers'!$D:$D,'Data Fertilizers'!$P:$P,$B29,'Data Fertilizers'!$Q:$Q,"&lt;=-121",'Data Fertilizers'!$Q:$Q,"&gt;=-180")</f>
        <v>0</v>
      </c>
      <c r="V29" s="182">
        <f>SUMIFS('Data Fertilizers'!$D:$D,'Data Fertilizers'!$P:$P,$B29,'Data Fertilizers'!$Q:$Q,"&lt;=-181",'Data Fertilizers'!$Q:$Q,"&gt;=-360")</f>
        <v>0</v>
      </c>
      <c r="W29" s="187">
        <f>SUMIFS('Data Fertilizers'!$D:$D,'Data Fertilizers'!$P:$P,$B29,'Data Fertilizers'!$Q:$Q,"&lt;-360")</f>
        <v>0</v>
      </c>
      <c r="X29" s="237">
        <f>SUMIFS('Bad Debt Provision'!AB:AB,'Bad Debt Provision'!B:B,'Painel Fertilizers'!B29)</f>
        <v>0</v>
      </c>
      <c r="Y29" s="183"/>
      <c r="Z29" s="183"/>
      <c r="AA29" s="182">
        <f>_xlfn.XLOOKUP(B29,'Limite de crédito'!C:C,'Limite de crédito'!O:O,0)</f>
        <v>0</v>
      </c>
      <c r="AB29" s="182"/>
      <c r="AC29" s="184"/>
      <c r="AD29" s="185"/>
      <c r="AE29" s="185"/>
      <c r="AF29" s="183"/>
      <c r="AG29" s="182">
        <f t="shared" si="2"/>
        <v>0</v>
      </c>
      <c r="AH29" s="183"/>
    </row>
    <row r="30" spans="2:37" s="169" customFormat="1" x14ac:dyDescent="0.25">
      <c r="B30" s="168" t="s">
        <v>377</v>
      </c>
      <c r="C30" s="242">
        <f>IFERROR(_xlfn.XLOOKUP(B30,'Limite de crédito'!C:C,'Limite de crédito'!L:L),0)</f>
        <v>0</v>
      </c>
      <c r="D30" s="186"/>
      <c r="E30" s="232">
        <f>_xlfn.XLOOKUP(B30,'Limite de crédito'!C:C,'Limite de crédito'!G:G,0)</f>
        <v>350000</v>
      </c>
      <c r="F30" s="181">
        <f t="shared" si="3"/>
        <v>20672.090000000026</v>
      </c>
      <c r="G30" s="181">
        <f t="shared" si="4"/>
        <v>329327.90999999997</v>
      </c>
      <c r="H30" s="182">
        <f>SUMIFS('Data Fertilizers'!$D:$D,'Data Fertilizers'!$P:$P,$B30,'Data Fertilizers'!$Q:$Q,"&gt;0",'Data Fertilizers'!$Q:$Q,"&lt;=30")</f>
        <v>0</v>
      </c>
      <c r="I30" s="182">
        <f>SUMIFS('Data Fertilizers'!$D:$D,'Data Fertilizers'!$P:$P,$B30,'Data Fertilizers'!$Q:$Q,"&gt;30",'Data Fertilizers'!$Q:$Q,"&lt;=60")</f>
        <v>0</v>
      </c>
      <c r="J30" s="182">
        <f>SUMIFS('Data Fertilizers'!$D:$D,'Data Fertilizers'!$P:$P,$B30,'Data Fertilizers'!$Q:$Q,"&gt;60",'Data Fertilizers'!$Q:$Q,"&lt;=90")</f>
        <v>0</v>
      </c>
      <c r="K30" s="182">
        <f>SUMIFS('Data Fertilizers'!$D:$D,'Data Fertilizers'!$P:$P,$B30,'Data Fertilizers'!$Q:$Q,"&gt;90",'Data Fertilizers'!$Q:$Q,"&lt;=120")</f>
        <v>0</v>
      </c>
      <c r="L30" s="182">
        <f>SUMIFS('Data Fertilizers'!$D:$D,'Data Fertilizers'!$P:$P,$B30,'Data Fertilizers'!$Q:$Q,"&gt;120",'Data Fertilizers'!$Q:$Q,"&lt;=180")</f>
        <v>0</v>
      </c>
      <c r="M30" s="182">
        <f>SUMIFS('Data Fertilizers'!$D:$D,'Data Fertilizers'!$P:$P,$B30,'Data Fertilizers'!$Q:$Q,"&gt;180",'Data Fertilizers'!$Q:$Q,"&lt;=360")</f>
        <v>0</v>
      </c>
      <c r="N30" s="187">
        <f>SUMIFS('Data Fertilizers'!$D:$D,'Data Fertilizers'!$P:$P,$B30,'Data Fertilizers'!$Q:$Q,"&gt;360")</f>
        <v>0</v>
      </c>
      <c r="O30" s="182">
        <f>SUMIFS('Data Fertilizers'!$D:$D,'Data Fertilizers'!$P:$P,$B30,'Data Fertilizers'!$Q:$Q,"&gt;0")</f>
        <v>0</v>
      </c>
      <c r="P30" s="182">
        <f t="shared" si="5"/>
        <v>329327.90999999997</v>
      </c>
      <c r="Q30" s="182">
        <f>SUMIFS('Data Fertilizers'!$D:$D,'Data Fertilizers'!$P:$P,$B30,'Data Fertilizers'!$Q:$Q,"&lt;=0",'Data Fertilizers'!$Q:$Q,"&gt;=-30")</f>
        <v>329327.90999999997</v>
      </c>
      <c r="R30" s="182">
        <f>SUMIFS('Data Fertilizers'!$D:$D,'Data Fertilizers'!$P:$P,$B30,'Data Fertilizers'!$Q:$Q,"&lt;=-31",'Data Fertilizers'!$Q:$Q,"&gt;=-60")</f>
        <v>0</v>
      </c>
      <c r="S30" s="182">
        <f>SUMIFS('Data Fertilizers'!$D:$D,'Data Fertilizers'!$P:$P,$B30,'Data Fertilizers'!$Q:$Q,"&lt;=-61",'Data Fertilizers'!$Q:$Q,"&gt;=-90")</f>
        <v>0</v>
      </c>
      <c r="T30" s="182">
        <f>SUMIFS('Data Fertilizers'!$D:$D,'Data Fertilizers'!$P:$P,$B30,'Data Fertilizers'!$Q:$Q,"&lt;=-91",'Data Fertilizers'!$Q:$Q,"&gt;=-120")</f>
        <v>0</v>
      </c>
      <c r="U30" s="182">
        <f>SUMIFS('Data Fertilizers'!$D:$D,'Data Fertilizers'!$P:$P,$B30,'Data Fertilizers'!$Q:$Q,"&lt;=-121",'Data Fertilizers'!$Q:$Q,"&gt;=-180")</f>
        <v>0</v>
      </c>
      <c r="V30" s="182">
        <f>SUMIFS('Data Fertilizers'!$D:$D,'Data Fertilizers'!$P:$P,$B30,'Data Fertilizers'!$Q:$Q,"&lt;=-181",'Data Fertilizers'!$Q:$Q,"&gt;=-360")</f>
        <v>0</v>
      </c>
      <c r="W30" s="187">
        <f>SUMIFS('Data Fertilizers'!$D:$D,'Data Fertilizers'!$P:$P,$B30,'Data Fertilizers'!$Q:$Q,"&lt;-360")</f>
        <v>0</v>
      </c>
      <c r="X30" s="237">
        <f>SUMIFS('Bad Debt Provision'!AB:AB,'Bad Debt Provision'!B:B,'Painel Fertilizers'!B30)</f>
        <v>0</v>
      </c>
      <c r="Y30" s="183"/>
      <c r="Z30" s="183"/>
      <c r="AA30" s="182">
        <f>_xlfn.XLOOKUP(B30,'Limite de crédito'!C:C,'Limite de crédito'!O:O,0)</f>
        <v>0</v>
      </c>
      <c r="AB30" s="182"/>
      <c r="AC30" s="184"/>
      <c r="AD30" s="185"/>
      <c r="AE30" s="185"/>
      <c r="AF30" s="183"/>
      <c r="AG30" s="182">
        <f t="shared" si="2"/>
        <v>-329327.90999999997</v>
      </c>
    </row>
    <row r="31" spans="2:37" s="169" customFormat="1" x14ac:dyDescent="0.25">
      <c r="B31" s="168" t="s">
        <v>151</v>
      </c>
      <c r="C31" s="242" t="str">
        <f>IFERROR(_xlfn.XLOOKUP(B31,'Limite de crédito'!C:C,'Limite de crédito'!L:L),0)</f>
        <v>B</v>
      </c>
      <c r="D31" s="186">
        <v>360</v>
      </c>
      <c r="E31" s="232">
        <f>_xlfn.XLOOKUP(B31,'Limite de crédito'!C:C,'Limite de crédito'!G:G,0)</f>
        <v>1000000</v>
      </c>
      <c r="F31" s="181">
        <f t="shared" si="3"/>
        <v>1000000</v>
      </c>
      <c r="G31" s="181">
        <f t="shared" si="4"/>
        <v>0</v>
      </c>
      <c r="H31" s="182">
        <f>SUMIFS('Data Fertilizers'!$D:$D,'Data Fertilizers'!$P:$P,$B31,'Data Fertilizers'!$Q:$Q,"&gt;0",'Data Fertilizers'!$Q:$Q,"&lt;=30")</f>
        <v>0</v>
      </c>
      <c r="I31" s="182">
        <f>SUMIFS('Data Fertilizers'!$D:$D,'Data Fertilizers'!$P:$P,$B31,'Data Fertilizers'!$Q:$Q,"&gt;30",'Data Fertilizers'!$Q:$Q,"&lt;=60")</f>
        <v>0</v>
      </c>
      <c r="J31" s="182">
        <f>SUMIFS('Data Fertilizers'!$D:$D,'Data Fertilizers'!$P:$P,$B31,'Data Fertilizers'!$Q:$Q,"&gt;60",'Data Fertilizers'!$Q:$Q,"&lt;=90")</f>
        <v>0</v>
      </c>
      <c r="K31" s="182">
        <f>SUMIFS('Data Fertilizers'!$D:$D,'Data Fertilizers'!$P:$P,$B31,'Data Fertilizers'!$Q:$Q,"&gt;90",'Data Fertilizers'!$Q:$Q,"&lt;=120")</f>
        <v>0</v>
      </c>
      <c r="L31" s="182">
        <f>SUMIFS('Data Fertilizers'!$D:$D,'Data Fertilizers'!$P:$P,$B31,'Data Fertilizers'!$Q:$Q,"&gt;120",'Data Fertilizers'!$Q:$Q,"&lt;=180")</f>
        <v>0</v>
      </c>
      <c r="M31" s="182">
        <f>SUMIFS('Data Fertilizers'!$D:$D,'Data Fertilizers'!$P:$P,$B31,'Data Fertilizers'!$Q:$Q,"&gt;180",'Data Fertilizers'!$Q:$Q,"&lt;=360")</f>
        <v>0</v>
      </c>
      <c r="N31" s="187">
        <f>SUMIFS('Data Fertilizers'!$D:$D,'Data Fertilizers'!$P:$P,$B31,'Data Fertilizers'!$Q:$Q,"&gt;360")</f>
        <v>0</v>
      </c>
      <c r="O31" s="182">
        <f>SUMIFS('Data Fertilizers'!$D:$D,'Data Fertilizers'!$P:$P,$B31,'Data Fertilizers'!$Q:$Q,"&gt;0")</f>
        <v>0</v>
      </c>
      <c r="P31" s="182">
        <f t="shared" si="5"/>
        <v>0</v>
      </c>
      <c r="Q31" s="182">
        <f>SUMIFS('Data Fertilizers'!$D:$D,'Data Fertilizers'!$P:$P,$B31,'Data Fertilizers'!$Q:$Q,"&lt;=0",'Data Fertilizers'!$Q:$Q,"&gt;=-30")</f>
        <v>0</v>
      </c>
      <c r="R31" s="182">
        <f>SUMIFS('Data Fertilizers'!$D:$D,'Data Fertilizers'!$P:$P,$B31,'Data Fertilizers'!$Q:$Q,"&lt;=-31",'Data Fertilizers'!$Q:$Q,"&gt;=-60")</f>
        <v>0</v>
      </c>
      <c r="S31" s="182">
        <f>SUMIFS('Data Fertilizers'!$D:$D,'Data Fertilizers'!$P:$P,$B31,'Data Fertilizers'!$Q:$Q,"&lt;=-61",'Data Fertilizers'!$Q:$Q,"&gt;=-90")</f>
        <v>0</v>
      </c>
      <c r="T31" s="182">
        <f>SUMIFS('Data Fertilizers'!$D:$D,'Data Fertilizers'!$P:$P,$B31,'Data Fertilizers'!$Q:$Q,"&lt;=-91",'Data Fertilizers'!$Q:$Q,"&gt;=-120")</f>
        <v>0</v>
      </c>
      <c r="U31" s="182">
        <f>SUMIFS('Data Fertilizers'!$D:$D,'Data Fertilizers'!$P:$P,$B31,'Data Fertilizers'!$Q:$Q,"&lt;=-121",'Data Fertilizers'!$Q:$Q,"&gt;=-180")</f>
        <v>0</v>
      </c>
      <c r="V31" s="182">
        <f>SUMIFS('Data Fertilizers'!$D:$D,'Data Fertilizers'!$P:$P,$B31,'Data Fertilizers'!$Q:$Q,"&lt;=-181",'Data Fertilizers'!$Q:$Q,"&gt;=-360")</f>
        <v>0</v>
      </c>
      <c r="W31" s="187">
        <f>SUMIFS('Data Fertilizers'!$D:$D,'Data Fertilizers'!$P:$P,$B31,'Data Fertilizers'!$Q:$Q,"&lt;-360")</f>
        <v>0</v>
      </c>
      <c r="X31" s="237">
        <f>SUMIFS('Bad Debt Provision'!AB:AB,'Bad Debt Provision'!B:B,'Painel Fertilizers'!B31)</f>
        <v>0</v>
      </c>
      <c r="Y31" s="183"/>
      <c r="Z31" s="183"/>
      <c r="AA31" s="182">
        <f>_xlfn.XLOOKUP(B31,'Limite de crédito'!C:C,'Limite de crédito'!O:O,0)</f>
        <v>1000000</v>
      </c>
      <c r="AB31" s="182"/>
      <c r="AC31" s="184"/>
      <c r="AD31" s="185"/>
      <c r="AE31" s="185"/>
      <c r="AF31" s="183"/>
      <c r="AG31" s="182">
        <f t="shared" si="2"/>
        <v>1000000</v>
      </c>
      <c r="AH31" s="183"/>
      <c r="AK31" s="188"/>
    </row>
    <row r="32" spans="2:37" s="169" customFormat="1" x14ac:dyDescent="0.25">
      <c r="B32" s="168" t="s">
        <v>375</v>
      </c>
      <c r="C32" s="242" t="str">
        <f>IFERROR(_xlfn.XLOOKUP(B32,'Limite de crédito'!C:C,'Limite de crédito'!L:L),0)</f>
        <v>B</v>
      </c>
      <c r="D32" s="186">
        <v>180</v>
      </c>
      <c r="E32" s="232">
        <f>_xlfn.XLOOKUP(B32,'Limite de crédito'!C:C,'Limite de crédito'!G:G,0)</f>
        <v>1023000</v>
      </c>
      <c r="F32" s="181">
        <f t="shared" si="3"/>
        <v>1023000</v>
      </c>
      <c r="G32" s="181">
        <f t="shared" si="4"/>
        <v>0</v>
      </c>
      <c r="H32" s="182">
        <f>SUMIFS('Data Fertilizers'!$D:$D,'Data Fertilizers'!$P:$P,$B32,'Data Fertilizers'!$Q:$Q,"&gt;0",'Data Fertilizers'!$Q:$Q,"&lt;=30")</f>
        <v>0</v>
      </c>
      <c r="I32" s="182">
        <f>SUMIFS('Data Fertilizers'!$D:$D,'Data Fertilizers'!$P:$P,$B32,'Data Fertilizers'!$Q:$Q,"&gt;30",'Data Fertilizers'!$Q:$Q,"&lt;=60")</f>
        <v>0</v>
      </c>
      <c r="J32" s="182">
        <f>SUMIFS('Data Fertilizers'!$D:$D,'Data Fertilizers'!$P:$P,$B32,'Data Fertilizers'!$Q:$Q,"&gt;60",'Data Fertilizers'!$Q:$Q,"&lt;=90")</f>
        <v>0</v>
      </c>
      <c r="K32" s="182">
        <f>SUMIFS('Data Fertilizers'!$D:$D,'Data Fertilizers'!$P:$P,$B32,'Data Fertilizers'!$Q:$Q,"&gt;90",'Data Fertilizers'!$Q:$Q,"&lt;=120")</f>
        <v>0</v>
      </c>
      <c r="L32" s="182">
        <f>SUMIFS('Data Fertilizers'!$D:$D,'Data Fertilizers'!$P:$P,$B32,'Data Fertilizers'!$Q:$Q,"&gt;120",'Data Fertilizers'!$Q:$Q,"&lt;=180")</f>
        <v>0</v>
      </c>
      <c r="M32" s="182">
        <f>SUMIFS('Data Fertilizers'!$D:$D,'Data Fertilizers'!$P:$P,$B32,'Data Fertilizers'!$Q:$Q,"&gt;180",'Data Fertilizers'!$Q:$Q,"&lt;=360")</f>
        <v>0</v>
      </c>
      <c r="N32" s="187">
        <f>SUMIFS('Data Fertilizers'!$D:$D,'Data Fertilizers'!$P:$P,$B32,'Data Fertilizers'!$Q:$Q,"&gt;360")</f>
        <v>0</v>
      </c>
      <c r="O32" s="182">
        <f>SUMIFS('Data Fertilizers'!$D:$D,'Data Fertilizers'!$P:$P,$B32,'Data Fertilizers'!$Q:$Q,"&gt;0")</f>
        <v>0</v>
      </c>
      <c r="P32" s="182">
        <f t="shared" si="5"/>
        <v>0</v>
      </c>
      <c r="Q32" s="182">
        <f>SUMIFS('Data Fertilizers'!$D:$D,'Data Fertilizers'!$P:$P,$B32,'Data Fertilizers'!$Q:$Q,"&lt;=0",'Data Fertilizers'!$Q:$Q,"&gt;=-30")</f>
        <v>0</v>
      </c>
      <c r="R32" s="182">
        <f>SUMIFS('Data Fertilizers'!$D:$D,'Data Fertilizers'!$P:$P,$B32,'Data Fertilizers'!$Q:$Q,"&lt;=-31",'Data Fertilizers'!$Q:$Q,"&gt;=-60")</f>
        <v>0</v>
      </c>
      <c r="S32" s="182">
        <f>SUMIFS('Data Fertilizers'!$D:$D,'Data Fertilizers'!$P:$P,$B32,'Data Fertilizers'!$Q:$Q,"&lt;=-61",'Data Fertilizers'!$Q:$Q,"&gt;=-90")</f>
        <v>0</v>
      </c>
      <c r="T32" s="182">
        <f>SUMIFS('Data Fertilizers'!$D:$D,'Data Fertilizers'!$P:$P,$B32,'Data Fertilizers'!$Q:$Q,"&lt;=-91",'Data Fertilizers'!$Q:$Q,"&gt;=-120")</f>
        <v>0</v>
      </c>
      <c r="U32" s="182">
        <f>SUMIFS('Data Fertilizers'!$D:$D,'Data Fertilizers'!$P:$P,$B32,'Data Fertilizers'!$Q:$Q,"&lt;=-121",'Data Fertilizers'!$Q:$Q,"&gt;=-180")</f>
        <v>0</v>
      </c>
      <c r="V32" s="182">
        <f>SUMIFS('Data Fertilizers'!$D:$D,'Data Fertilizers'!$P:$P,$B32,'Data Fertilizers'!$Q:$Q,"&lt;=-181",'Data Fertilizers'!$Q:$Q,"&gt;=-360")</f>
        <v>0</v>
      </c>
      <c r="W32" s="187">
        <f>SUMIFS('Data Fertilizers'!$D:$D,'Data Fertilizers'!$P:$P,$B32,'Data Fertilizers'!$Q:$Q,"&lt;-360")</f>
        <v>0</v>
      </c>
      <c r="X32" s="237">
        <f>SUMIFS('Bad Debt Provision'!AB:AB,'Bad Debt Provision'!B:B,'Painel Fertilizers'!B32)</f>
        <v>0</v>
      </c>
      <c r="Y32" s="183"/>
      <c r="Z32" s="183"/>
      <c r="AA32" s="182">
        <f>_xlfn.XLOOKUP(B32,'Limite de crédito'!C:C,'Limite de crédito'!O:O,0)</f>
        <v>1023000</v>
      </c>
      <c r="AB32" s="182"/>
      <c r="AC32" s="184"/>
      <c r="AD32" s="185"/>
      <c r="AE32" s="185"/>
      <c r="AF32" s="183"/>
      <c r="AG32" s="182">
        <f t="shared" si="2"/>
        <v>1023000</v>
      </c>
    </row>
    <row r="33" spans="2:34" s="169" customFormat="1" x14ac:dyDescent="0.25">
      <c r="B33" s="168" t="s">
        <v>203</v>
      </c>
      <c r="C33" s="242" t="str">
        <f>IFERROR(_xlfn.XLOOKUP(B33,'Limite de crédito'!C:C,'Limite de crédito'!L:L),0)</f>
        <v>B</v>
      </c>
      <c r="D33" s="186">
        <v>290</v>
      </c>
      <c r="E33" s="232">
        <f>_xlfn.XLOOKUP(B33,'Limite de crédito'!C:C,'Limite de crédito'!G:G,0)</f>
        <v>310000</v>
      </c>
      <c r="F33" s="181">
        <f t="shared" ref="F33:F42" si="6">E33-G33</f>
        <v>310000</v>
      </c>
      <c r="G33" s="181">
        <f t="shared" ref="G33:G42" si="7">P33+O33</f>
        <v>0</v>
      </c>
      <c r="H33" s="182">
        <f>SUMIFS('Data Fertilizers'!$D:$D,'Data Fertilizers'!$P:$P,$B33,'Data Fertilizers'!$Q:$Q,"&gt;0",'Data Fertilizers'!$Q:$Q,"&lt;=30")</f>
        <v>0</v>
      </c>
      <c r="I33" s="182">
        <f>SUMIFS('Data Fertilizers'!$D:$D,'Data Fertilizers'!$P:$P,$B33,'Data Fertilizers'!$Q:$Q,"&gt;30",'Data Fertilizers'!$Q:$Q,"&lt;=60")</f>
        <v>0</v>
      </c>
      <c r="J33" s="182">
        <f>SUMIFS('Data Fertilizers'!$D:$D,'Data Fertilizers'!$P:$P,$B33,'Data Fertilizers'!$Q:$Q,"&gt;60",'Data Fertilizers'!$Q:$Q,"&lt;=90")</f>
        <v>0</v>
      </c>
      <c r="K33" s="182">
        <f>SUMIFS('Data Fertilizers'!$D:$D,'Data Fertilizers'!$P:$P,$B33,'Data Fertilizers'!$Q:$Q,"&gt;90",'Data Fertilizers'!$Q:$Q,"&lt;=120")</f>
        <v>0</v>
      </c>
      <c r="L33" s="182">
        <f>SUMIFS('Data Fertilizers'!$D:$D,'Data Fertilizers'!$P:$P,$B33,'Data Fertilizers'!$Q:$Q,"&gt;120",'Data Fertilizers'!$Q:$Q,"&lt;=180")</f>
        <v>0</v>
      </c>
      <c r="M33" s="182">
        <f>SUMIFS('Data Fertilizers'!$D:$D,'Data Fertilizers'!$P:$P,$B33,'Data Fertilizers'!$Q:$Q,"&gt;180",'Data Fertilizers'!$Q:$Q,"&lt;=360")</f>
        <v>0</v>
      </c>
      <c r="N33" s="187">
        <f>SUMIFS('Data Fertilizers'!$D:$D,'Data Fertilizers'!$P:$P,$B33,'Data Fertilizers'!$Q:$Q,"&gt;360")</f>
        <v>0</v>
      </c>
      <c r="O33" s="182">
        <f>SUMIFS('Data Fertilizers'!$D:$D,'Data Fertilizers'!$P:$P,$B33,'Data Fertilizers'!$Q:$Q,"&gt;0")</f>
        <v>0</v>
      </c>
      <c r="P33" s="182">
        <f t="shared" si="5"/>
        <v>0</v>
      </c>
      <c r="Q33" s="182">
        <f>SUMIFS('Data Fertilizers'!$D:$D,'Data Fertilizers'!$P:$P,$B33,'Data Fertilizers'!$Q:$Q,"&lt;=0",'Data Fertilizers'!$Q:$Q,"&gt;=-30")</f>
        <v>0</v>
      </c>
      <c r="R33" s="182">
        <f>SUMIFS('Data Fertilizers'!$D:$D,'Data Fertilizers'!$P:$P,$B33,'Data Fertilizers'!$Q:$Q,"&lt;=-31",'Data Fertilizers'!$Q:$Q,"&gt;=-60")</f>
        <v>0</v>
      </c>
      <c r="S33" s="182">
        <f>SUMIFS('Data Fertilizers'!$D:$D,'Data Fertilizers'!$P:$P,$B33,'Data Fertilizers'!$Q:$Q,"&lt;=-61",'Data Fertilizers'!$Q:$Q,"&gt;=-90")</f>
        <v>0</v>
      </c>
      <c r="T33" s="182">
        <f>SUMIFS('Data Fertilizers'!$D:$D,'Data Fertilizers'!$P:$P,$B33,'Data Fertilizers'!$Q:$Q,"&lt;=-91",'Data Fertilizers'!$Q:$Q,"&gt;=-120")</f>
        <v>0</v>
      </c>
      <c r="U33" s="182">
        <f>SUMIFS('Data Fertilizers'!$D:$D,'Data Fertilizers'!$P:$P,$B33,'Data Fertilizers'!$Q:$Q,"&lt;=-121",'Data Fertilizers'!$Q:$Q,"&gt;=-180")</f>
        <v>0</v>
      </c>
      <c r="V33" s="182">
        <f>SUMIFS('Data Fertilizers'!$D:$D,'Data Fertilizers'!$P:$P,$B33,'Data Fertilizers'!$Q:$Q,"&lt;=-181",'Data Fertilizers'!$Q:$Q,"&gt;=-360")</f>
        <v>0</v>
      </c>
      <c r="W33" s="187">
        <f>SUMIFS('Data Fertilizers'!$D:$D,'Data Fertilizers'!$P:$P,$B33,'Data Fertilizers'!$Q:$Q,"&lt;-360")</f>
        <v>0</v>
      </c>
      <c r="X33" s="237">
        <f>SUMIFS('Bad Debt Provision'!AB:AB,'Bad Debt Provision'!B:B,'Painel Fertilizers'!B33)</f>
        <v>0</v>
      </c>
      <c r="Y33" s="183"/>
      <c r="Z33" s="183"/>
      <c r="AA33" s="182">
        <f>_xlfn.XLOOKUP(B33,'Limite de crédito'!C:C,'Limite de crédito'!O:O,0)</f>
        <v>310000</v>
      </c>
      <c r="AB33" s="182"/>
      <c r="AC33" s="184"/>
      <c r="AD33" s="185"/>
      <c r="AE33" s="185"/>
      <c r="AF33" s="183"/>
      <c r="AG33" s="182">
        <f t="shared" ref="AG33:AG41" si="8">AA33-G33</f>
        <v>310000</v>
      </c>
      <c r="AH33" s="183"/>
    </row>
    <row r="34" spans="2:34" s="169" customFormat="1" x14ac:dyDescent="0.25">
      <c r="B34" s="168" t="s">
        <v>193</v>
      </c>
      <c r="C34" s="242" t="str">
        <f>IFERROR(_xlfn.XLOOKUP(B34,'Limite de crédito'!C:C,'Limite de crédito'!L:L),0)</f>
        <v>B</v>
      </c>
      <c r="D34" s="186">
        <v>360</v>
      </c>
      <c r="E34" s="232">
        <f>_xlfn.XLOOKUP(B34,'Limite de crédito'!C:C,'Limite de crédito'!G:G,0)</f>
        <v>800000</v>
      </c>
      <c r="F34" s="181">
        <f t="shared" si="6"/>
        <v>800000</v>
      </c>
      <c r="G34" s="181">
        <f t="shared" si="7"/>
        <v>0</v>
      </c>
      <c r="H34" s="182">
        <f>SUMIFS('Data Fertilizers'!$D:$D,'Data Fertilizers'!$P:$P,$B34,'Data Fertilizers'!$Q:$Q,"&gt;0",'Data Fertilizers'!$Q:$Q,"&lt;=30")</f>
        <v>0</v>
      </c>
      <c r="I34" s="182">
        <f>SUMIFS('Data Fertilizers'!$D:$D,'Data Fertilizers'!$P:$P,$B34,'Data Fertilizers'!$Q:$Q,"&gt;30",'Data Fertilizers'!$Q:$Q,"&lt;=60")</f>
        <v>0</v>
      </c>
      <c r="J34" s="182">
        <f>SUMIFS('Data Fertilizers'!$D:$D,'Data Fertilizers'!$P:$P,$B34,'Data Fertilizers'!$Q:$Q,"&gt;60",'Data Fertilizers'!$Q:$Q,"&lt;=90")</f>
        <v>0</v>
      </c>
      <c r="K34" s="182">
        <f>SUMIFS('Data Fertilizers'!$D:$D,'Data Fertilizers'!$P:$P,$B34,'Data Fertilizers'!$Q:$Q,"&gt;90",'Data Fertilizers'!$Q:$Q,"&lt;=120")</f>
        <v>0</v>
      </c>
      <c r="L34" s="182">
        <f>SUMIFS('Data Fertilizers'!$D:$D,'Data Fertilizers'!$P:$P,$B34,'Data Fertilizers'!$Q:$Q,"&gt;120",'Data Fertilizers'!$Q:$Q,"&lt;=180")</f>
        <v>0</v>
      </c>
      <c r="M34" s="182">
        <f>SUMIFS('Data Fertilizers'!$D:$D,'Data Fertilizers'!$P:$P,$B34,'Data Fertilizers'!$Q:$Q,"&gt;180",'Data Fertilizers'!$Q:$Q,"&lt;=360")</f>
        <v>0</v>
      </c>
      <c r="N34" s="187">
        <f>SUMIFS('Data Fertilizers'!$D:$D,'Data Fertilizers'!$P:$P,$B34,'Data Fertilizers'!$Q:$Q,"&gt;360")</f>
        <v>0</v>
      </c>
      <c r="O34" s="182">
        <f>SUMIFS('Data Fertilizers'!$D:$D,'Data Fertilizers'!$P:$P,$B34,'Data Fertilizers'!$Q:$Q,"&gt;0")</f>
        <v>0</v>
      </c>
      <c r="P34" s="182">
        <f t="shared" si="5"/>
        <v>0</v>
      </c>
      <c r="Q34" s="182">
        <f>SUMIFS('Data Fertilizers'!$D:$D,'Data Fertilizers'!$P:$P,$B34,'Data Fertilizers'!$Q:$Q,"&lt;=0",'Data Fertilizers'!$Q:$Q,"&gt;=-30")</f>
        <v>0</v>
      </c>
      <c r="R34" s="182">
        <f>SUMIFS('Data Fertilizers'!$D:$D,'Data Fertilizers'!$P:$P,$B34,'Data Fertilizers'!$Q:$Q,"&lt;=-31",'Data Fertilizers'!$Q:$Q,"&gt;=-60")</f>
        <v>0</v>
      </c>
      <c r="S34" s="182">
        <f>SUMIFS('Data Fertilizers'!$D:$D,'Data Fertilizers'!$P:$P,$B34,'Data Fertilizers'!$Q:$Q,"&lt;=-61",'Data Fertilizers'!$Q:$Q,"&gt;=-90")</f>
        <v>0</v>
      </c>
      <c r="T34" s="182">
        <f>SUMIFS('Data Fertilizers'!$D:$D,'Data Fertilizers'!$P:$P,$B34,'Data Fertilizers'!$Q:$Q,"&lt;=-91",'Data Fertilizers'!$Q:$Q,"&gt;=-120")</f>
        <v>0</v>
      </c>
      <c r="U34" s="182">
        <f>SUMIFS('Data Fertilizers'!$D:$D,'Data Fertilizers'!$P:$P,$B34,'Data Fertilizers'!$Q:$Q,"&lt;=-121",'Data Fertilizers'!$Q:$Q,"&gt;=-180")</f>
        <v>0</v>
      </c>
      <c r="V34" s="182">
        <f>SUMIFS('Data Fertilizers'!$D:$D,'Data Fertilizers'!$P:$P,$B34,'Data Fertilizers'!$Q:$Q,"&lt;=-181",'Data Fertilizers'!$Q:$Q,"&gt;=-360")</f>
        <v>0</v>
      </c>
      <c r="W34" s="187">
        <f>SUMIFS('Data Fertilizers'!$D:$D,'Data Fertilizers'!$P:$P,$B34,'Data Fertilizers'!$Q:$Q,"&lt;-360")</f>
        <v>0</v>
      </c>
      <c r="X34" s="237">
        <f>SUMIFS('Bad Debt Provision'!AB:AB,'Bad Debt Provision'!B:B,'Painel Fertilizers'!B34)</f>
        <v>0</v>
      </c>
      <c r="Y34" s="183"/>
      <c r="Z34" s="183"/>
      <c r="AA34" s="182">
        <f>_xlfn.XLOOKUP(B34,'Limite de crédito'!C:C,'Limite de crédito'!O:O,0)</f>
        <v>800000</v>
      </c>
      <c r="AB34" s="182"/>
      <c r="AC34" s="184"/>
      <c r="AD34" s="185"/>
      <c r="AE34" s="185"/>
      <c r="AF34" s="183"/>
      <c r="AG34" s="182">
        <f t="shared" si="8"/>
        <v>800000</v>
      </c>
      <c r="AH34" s="183"/>
    </row>
    <row r="35" spans="2:34" s="169" customFormat="1" ht="15" customHeight="1" x14ac:dyDescent="0.25">
      <c r="B35" s="168" t="s">
        <v>297</v>
      </c>
      <c r="C35" s="242">
        <f>IFERROR(_xlfn.XLOOKUP(B35,'Limite de crédito'!C:C,'Limite de crédito'!L:L),0)</f>
        <v>0</v>
      </c>
      <c r="D35" s="186"/>
      <c r="E35" s="232">
        <f>_xlfn.XLOOKUP(B35,'Limite de crédito'!C:C,'Limite de crédito'!G:G,0)</f>
        <v>0</v>
      </c>
      <c r="F35" s="181">
        <f t="shared" si="6"/>
        <v>0</v>
      </c>
      <c r="G35" s="181">
        <f t="shared" si="7"/>
        <v>0</v>
      </c>
      <c r="H35" s="182">
        <f>SUMIFS('Data Fertilizers'!$D:$D,'Data Fertilizers'!$P:$P,$B35,'Data Fertilizers'!$Q:$Q,"&gt;0",'Data Fertilizers'!$Q:$Q,"&lt;=30")</f>
        <v>0</v>
      </c>
      <c r="I35" s="182">
        <f>SUMIFS('Data Fertilizers'!$D:$D,'Data Fertilizers'!$P:$P,$B35,'Data Fertilizers'!$Q:$Q,"&gt;30",'Data Fertilizers'!$Q:$Q,"&lt;=60")</f>
        <v>0</v>
      </c>
      <c r="J35" s="182">
        <f>SUMIFS('Data Fertilizers'!$D:$D,'Data Fertilizers'!$P:$P,$B35,'Data Fertilizers'!$Q:$Q,"&gt;60",'Data Fertilizers'!$Q:$Q,"&lt;=90")</f>
        <v>0</v>
      </c>
      <c r="K35" s="182">
        <f>SUMIFS('Data Fertilizers'!$D:$D,'Data Fertilizers'!$P:$P,$B35,'Data Fertilizers'!$Q:$Q,"&gt;90",'Data Fertilizers'!$Q:$Q,"&lt;=120")</f>
        <v>0</v>
      </c>
      <c r="L35" s="182">
        <f>SUMIFS('Data Fertilizers'!$D:$D,'Data Fertilizers'!$P:$P,$B35,'Data Fertilizers'!$Q:$Q,"&gt;120",'Data Fertilizers'!$Q:$Q,"&lt;=180")</f>
        <v>0</v>
      </c>
      <c r="M35" s="182">
        <f>SUMIFS('Data Fertilizers'!$D:$D,'Data Fertilizers'!$P:$P,$B35,'Data Fertilizers'!$Q:$Q,"&gt;180",'Data Fertilizers'!$Q:$Q,"&lt;=360")</f>
        <v>0</v>
      </c>
      <c r="N35" s="187">
        <f>SUMIFS('Data Fertilizers'!$D:$D,'Data Fertilizers'!$P:$P,$B35,'Data Fertilizers'!$Q:$Q,"&gt;360")</f>
        <v>0</v>
      </c>
      <c r="O35" s="182">
        <f>SUMIFS('Data Fertilizers'!$D:$D,'Data Fertilizers'!$P:$P,$B35,'Data Fertilizers'!$Q:$Q,"&gt;0")</f>
        <v>0</v>
      </c>
      <c r="P35" s="182">
        <f t="shared" si="5"/>
        <v>0</v>
      </c>
      <c r="Q35" s="182">
        <f>SUMIFS('Data Fertilizers'!$D:$D,'Data Fertilizers'!$P:$P,$B35,'Data Fertilizers'!$Q:$Q,"&lt;=0",'Data Fertilizers'!$Q:$Q,"&gt;=-30")</f>
        <v>0</v>
      </c>
      <c r="R35" s="182">
        <f>SUMIFS('Data Fertilizers'!$D:$D,'Data Fertilizers'!$P:$P,$B35,'Data Fertilizers'!$Q:$Q,"&lt;=-31",'Data Fertilizers'!$Q:$Q,"&gt;=-60")</f>
        <v>0</v>
      </c>
      <c r="S35" s="182">
        <f>SUMIFS('Data Fertilizers'!$D:$D,'Data Fertilizers'!$P:$P,$B35,'Data Fertilizers'!$Q:$Q,"&lt;=-61",'Data Fertilizers'!$Q:$Q,"&gt;=-90")</f>
        <v>0</v>
      </c>
      <c r="T35" s="182">
        <f>SUMIFS('Data Fertilizers'!$D:$D,'Data Fertilizers'!$P:$P,$B35,'Data Fertilizers'!$Q:$Q,"&lt;=-91",'Data Fertilizers'!$Q:$Q,"&gt;=-120")</f>
        <v>0</v>
      </c>
      <c r="U35" s="182">
        <f>SUMIFS('Data Fertilizers'!$D:$D,'Data Fertilizers'!$P:$P,$B35,'Data Fertilizers'!$Q:$Q,"&lt;=-121",'Data Fertilizers'!$Q:$Q,"&gt;=-180")</f>
        <v>0</v>
      </c>
      <c r="V35" s="182">
        <f>SUMIFS('Data Fertilizers'!$D:$D,'Data Fertilizers'!$P:$P,$B35,'Data Fertilizers'!$Q:$Q,"&lt;=-181",'Data Fertilizers'!$Q:$Q,"&gt;=-360")</f>
        <v>0</v>
      </c>
      <c r="W35" s="187">
        <f>SUMIFS('Data Fertilizers'!$D:$D,'Data Fertilizers'!$P:$P,$B35,'Data Fertilizers'!$Q:$Q,"&lt;-360")</f>
        <v>0</v>
      </c>
      <c r="X35" s="237">
        <f>SUMIFS('Bad Debt Provision'!AB:AB,'Bad Debt Provision'!B:B,'Painel Fertilizers'!B35)</f>
        <v>0</v>
      </c>
      <c r="Y35" s="183"/>
      <c r="Z35" s="183"/>
      <c r="AA35" s="182">
        <f>_xlfn.XLOOKUP(B35,'Limite de crédito'!C:C,'Limite de crédito'!O:O,0)</f>
        <v>0</v>
      </c>
      <c r="AB35" s="182"/>
      <c r="AC35" s="184"/>
      <c r="AD35" s="185"/>
      <c r="AE35" s="185"/>
      <c r="AF35" s="183"/>
      <c r="AG35" s="182">
        <f t="shared" si="8"/>
        <v>0</v>
      </c>
    </row>
    <row r="36" spans="2:34" s="169" customFormat="1" x14ac:dyDescent="0.25">
      <c r="B36" s="180" t="s">
        <v>495</v>
      </c>
      <c r="C36" s="242" t="str">
        <f>IFERROR(_xlfn.XLOOKUP(B36,'Limite de crédito'!C:C,'Limite de crédito'!L:L),0)</f>
        <v>B</v>
      </c>
      <c r="D36" s="186">
        <v>320</v>
      </c>
      <c r="E36" s="232">
        <f>_xlfn.XLOOKUP(B36,'Limite de crédito'!C:C,'Limite de crédito'!G:G,0)</f>
        <v>800000</v>
      </c>
      <c r="F36" s="181">
        <f t="shared" si="6"/>
        <v>800000</v>
      </c>
      <c r="G36" s="181">
        <f t="shared" si="7"/>
        <v>0</v>
      </c>
      <c r="H36" s="182">
        <f>SUMIFS('Data Fertilizers'!$D:$D,'Data Fertilizers'!$P:$P,$B36,'Data Fertilizers'!$Q:$Q,"&gt;0",'Data Fertilizers'!$Q:$Q,"&lt;=30")</f>
        <v>0</v>
      </c>
      <c r="I36" s="182">
        <f>SUMIFS('Data Fertilizers'!$D:$D,'Data Fertilizers'!$P:$P,$B36,'Data Fertilizers'!$Q:$Q,"&gt;30",'Data Fertilizers'!$Q:$Q,"&lt;=60")</f>
        <v>0</v>
      </c>
      <c r="J36" s="182">
        <f>SUMIFS('Data Fertilizers'!$D:$D,'Data Fertilizers'!$P:$P,$B36,'Data Fertilizers'!$Q:$Q,"&gt;60",'Data Fertilizers'!$Q:$Q,"&lt;=90")</f>
        <v>0</v>
      </c>
      <c r="K36" s="182">
        <f>SUMIFS('Data Fertilizers'!$D:$D,'Data Fertilizers'!$P:$P,$B36,'Data Fertilizers'!$Q:$Q,"&gt;90",'Data Fertilizers'!$Q:$Q,"&lt;=120")</f>
        <v>0</v>
      </c>
      <c r="L36" s="182">
        <f>SUMIFS('Data Fertilizers'!$D:$D,'Data Fertilizers'!$P:$P,$B36,'Data Fertilizers'!$Q:$Q,"&gt;120",'Data Fertilizers'!$Q:$Q,"&lt;=180")</f>
        <v>0</v>
      </c>
      <c r="M36" s="182">
        <f>SUMIFS('Data Fertilizers'!$D:$D,'Data Fertilizers'!$P:$P,$B36,'Data Fertilizers'!$Q:$Q,"&gt;180",'Data Fertilizers'!$Q:$Q,"&lt;=360")</f>
        <v>0</v>
      </c>
      <c r="N36" s="187">
        <f>SUMIFS('Data Fertilizers'!$D:$D,'Data Fertilizers'!$P:$P,$B36,'Data Fertilizers'!$Q:$Q,"&gt;360")</f>
        <v>0</v>
      </c>
      <c r="O36" s="182">
        <f>SUMIFS('Data Fertilizers'!$D:$D,'Data Fertilizers'!$P:$P,$B36,'Data Fertilizers'!$Q:$Q,"&gt;0")</f>
        <v>0</v>
      </c>
      <c r="P36" s="182">
        <f t="shared" si="5"/>
        <v>0</v>
      </c>
      <c r="Q36" s="182">
        <f>SUMIFS('Data Fertilizers'!$D:$D,'Data Fertilizers'!$P:$P,$B36,'Data Fertilizers'!$Q:$Q,"&lt;=0",'Data Fertilizers'!$Q:$Q,"&gt;=-30")</f>
        <v>0</v>
      </c>
      <c r="R36" s="182">
        <f>SUMIFS('Data Fertilizers'!$D:$D,'Data Fertilizers'!$P:$P,$B36,'Data Fertilizers'!$Q:$Q,"&lt;=-31",'Data Fertilizers'!$Q:$Q,"&gt;=-60")</f>
        <v>0</v>
      </c>
      <c r="S36" s="182">
        <f>SUMIFS('Data Fertilizers'!$D:$D,'Data Fertilizers'!$P:$P,$B36,'Data Fertilizers'!$Q:$Q,"&lt;=-61",'Data Fertilizers'!$Q:$Q,"&gt;=-90")</f>
        <v>0</v>
      </c>
      <c r="T36" s="182">
        <f>SUMIFS('Data Fertilizers'!$D:$D,'Data Fertilizers'!$P:$P,$B36,'Data Fertilizers'!$Q:$Q,"&lt;=-91",'Data Fertilizers'!$Q:$Q,"&gt;=-120")</f>
        <v>0</v>
      </c>
      <c r="U36" s="182">
        <f>SUMIFS('Data Fertilizers'!$D:$D,'Data Fertilizers'!$P:$P,$B36,'Data Fertilizers'!$Q:$Q,"&lt;=-121",'Data Fertilizers'!$Q:$Q,"&gt;=-180")</f>
        <v>0</v>
      </c>
      <c r="V36" s="182">
        <f>SUMIFS('Data Fertilizers'!$D:$D,'Data Fertilizers'!$P:$P,$B36,'Data Fertilizers'!$Q:$Q,"&lt;=-181",'Data Fertilizers'!$Q:$Q,"&gt;=-360")</f>
        <v>0</v>
      </c>
      <c r="W36" s="187">
        <f>SUMIFS('Data Fertilizers'!$D:$D,'Data Fertilizers'!$P:$P,$B36,'Data Fertilizers'!$Q:$Q,"&lt;-360")</f>
        <v>0</v>
      </c>
      <c r="X36" s="237">
        <f>SUMIFS('Bad Debt Provision'!AB:AB,'Bad Debt Provision'!B:B,'Painel Fertilizers'!B36)</f>
        <v>0</v>
      </c>
      <c r="Y36" s="183"/>
      <c r="Z36" s="183"/>
      <c r="AA36" s="182">
        <f>_xlfn.XLOOKUP(B36,'Limite de crédito'!C:C,'Limite de crédito'!O:O,0)</f>
        <v>800000</v>
      </c>
      <c r="AB36" s="182"/>
      <c r="AC36" s="184"/>
      <c r="AD36" s="185"/>
      <c r="AE36" s="185"/>
      <c r="AF36" s="183"/>
      <c r="AG36" s="182">
        <f t="shared" si="8"/>
        <v>800000</v>
      </c>
    </row>
    <row r="37" spans="2:34" s="169" customFormat="1" ht="15" customHeight="1" x14ac:dyDescent="0.25">
      <c r="B37" s="180" t="s">
        <v>185</v>
      </c>
      <c r="C37" s="242">
        <f>IFERROR(_xlfn.XLOOKUP(B37,'Limite de crédito'!C:C,'Limite de crédito'!L:L),0)</f>
        <v>0</v>
      </c>
      <c r="D37" s="186"/>
      <c r="E37" s="232">
        <f>_xlfn.XLOOKUP(B37,'Limite de crédito'!C:C,'Limite de crédito'!G:G,0)</f>
        <v>0</v>
      </c>
      <c r="F37" s="181">
        <f t="shared" si="6"/>
        <v>0</v>
      </c>
      <c r="G37" s="181">
        <f t="shared" si="7"/>
        <v>0</v>
      </c>
      <c r="H37" s="182">
        <f>SUMIFS('Data Fertilizers'!$D:$D,'Data Fertilizers'!$P:$P,$B37,'Data Fertilizers'!$Q:$Q,"&gt;0",'Data Fertilizers'!$Q:$Q,"&lt;=30")</f>
        <v>0</v>
      </c>
      <c r="I37" s="182">
        <f>SUMIFS('Data Fertilizers'!$D:$D,'Data Fertilizers'!$P:$P,$B37,'Data Fertilizers'!$Q:$Q,"&gt;30",'Data Fertilizers'!$Q:$Q,"&lt;=60")</f>
        <v>0</v>
      </c>
      <c r="J37" s="182">
        <f>SUMIFS('Data Fertilizers'!$D:$D,'Data Fertilizers'!$P:$P,$B37,'Data Fertilizers'!$Q:$Q,"&gt;60",'Data Fertilizers'!$Q:$Q,"&lt;=90")</f>
        <v>0</v>
      </c>
      <c r="K37" s="182">
        <f>SUMIFS('Data Fertilizers'!$D:$D,'Data Fertilizers'!$P:$P,$B37,'Data Fertilizers'!$Q:$Q,"&gt;90",'Data Fertilizers'!$Q:$Q,"&lt;=120")</f>
        <v>0</v>
      </c>
      <c r="L37" s="182">
        <f>SUMIFS('Data Fertilizers'!$D:$D,'Data Fertilizers'!$P:$P,$B37,'Data Fertilizers'!$Q:$Q,"&gt;120",'Data Fertilizers'!$Q:$Q,"&lt;=180")</f>
        <v>0</v>
      </c>
      <c r="M37" s="182">
        <f>SUMIFS('Data Fertilizers'!$D:$D,'Data Fertilizers'!$P:$P,$B37,'Data Fertilizers'!$Q:$Q,"&gt;180",'Data Fertilizers'!$Q:$Q,"&lt;=360")</f>
        <v>0</v>
      </c>
      <c r="N37" s="187">
        <f>SUMIFS('Data Fertilizers'!$D:$D,'Data Fertilizers'!$P:$P,$B37,'Data Fertilizers'!$Q:$Q,"&gt;360")</f>
        <v>0</v>
      </c>
      <c r="O37" s="182">
        <f>SUMIFS('Data Fertilizers'!$D:$D,'Data Fertilizers'!$P:$P,$B37,'Data Fertilizers'!$Q:$Q,"&gt;0")</f>
        <v>0</v>
      </c>
      <c r="P37" s="182">
        <f t="shared" si="5"/>
        <v>0</v>
      </c>
      <c r="Q37" s="182">
        <f>SUMIFS('Data Fertilizers'!$D:$D,'Data Fertilizers'!$P:$P,$B37,'Data Fertilizers'!$Q:$Q,"&lt;=0",'Data Fertilizers'!$Q:$Q,"&gt;=-30")</f>
        <v>0</v>
      </c>
      <c r="R37" s="182">
        <f>SUMIFS('Data Fertilizers'!$D:$D,'Data Fertilizers'!$P:$P,$B37,'Data Fertilizers'!$Q:$Q,"&lt;=-31",'Data Fertilizers'!$Q:$Q,"&gt;=-60")</f>
        <v>0</v>
      </c>
      <c r="S37" s="182">
        <f>SUMIFS('Data Fertilizers'!$D:$D,'Data Fertilizers'!$P:$P,$B37,'Data Fertilizers'!$Q:$Q,"&lt;=-61",'Data Fertilizers'!$Q:$Q,"&gt;=-90")</f>
        <v>0</v>
      </c>
      <c r="T37" s="182">
        <f>SUMIFS('Data Fertilizers'!$D:$D,'Data Fertilizers'!$P:$P,$B37,'Data Fertilizers'!$Q:$Q,"&lt;=-91",'Data Fertilizers'!$Q:$Q,"&gt;=-120")</f>
        <v>0</v>
      </c>
      <c r="U37" s="182">
        <f>SUMIFS('Data Fertilizers'!$D:$D,'Data Fertilizers'!$P:$P,$B37,'Data Fertilizers'!$Q:$Q,"&lt;=-121",'Data Fertilizers'!$Q:$Q,"&gt;=-180")</f>
        <v>0</v>
      </c>
      <c r="V37" s="182">
        <f>SUMIFS('Data Fertilizers'!$D:$D,'Data Fertilizers'!$P:$P,$B37,'Data Fertilizers'!$Q:$Q,"&lt;=-181",'Data Fertilizers'!$Q:$Q,"&gt;=-360")</f>
        <v>0</v>
      </c>
      <c r="W37" s="187">
        <f>SUMIFS('Data Fertilizers'!$D:$D,'Data Fertilizers'!$P:$P,$B37,'Data Fertilizers'!$Q:$Q,"&lt;-360")</f>
        <v>0</v>
      </c>
      <c r="X37" s="237">
        <f>SUMIFS('Bad Debt Provision'!AB:AB,'Bad Debt Provision'!B:B,'Painel Fertilizers'!B37)</f>
        <v>0</v>
      </c>
      <c r="Y37" s="183"/>
      <c r="Z37" s="183"/>
      <c r="AA37" s="182">
        <f>_xlfn.XLOOKUP(B37,'Limite de crédito'!C:C,'Limite de crédito'!O:O,0)</f>
        <v>0</v>
      </c>
      <c r="AB37" s="182"/>
      <c r="AC37" s="184"/>
      <c r="AD37" s="185"/>
      <c r="AE37" s="185"/>
      <c r="AF37" s="183"/>
      <c r="AG37" s="182">
        <f t="shared" si="8"/>
        <v>0</v>
      </c>
      <c r="AH37" s="183"/>
    </row>
    <row r="38" spans="2:34" s="169" customFormat="1" ht="12.6" customHeight="1" x14ac:dyDescent="0.25">
      <c r="B38" s="180" t="s">
        <v>269</v>
      </c>
      <c r="C38" s="242">
        <f>IFERROR(_xlfn.XLOOKUP(B38,'Limite de crédito'!C:C,'Limite de crédito'!L:L),0)</f>
        <v>0</v>
      </c>
      <c r="D38" s="186"/>
      <c r="E38" s="232">
        <f>_xlfn.XLOOKUP(B38,'Limite de crédito'!C:C,'Limite de crédito'!G:G,0)</f>
        <v>0</v>
      </c>
      <c r="F38" s="181">
        <f t="shared" si="6"/>
        <v>0</v>
      </c>
      <c r="G38" s="181">
        <f t="shared" si="7"/>
        <v>0</v>
      </c>
      <c r="H38" s="182">
        <f>SUMIFS('Data Fertilizers'!$D:$D,'Data Fertilizers'!$P:$P,$B38,'Data Fertilizers'!$Q:$Q,"&gt;0",'Data Fertilizers'!$Q:$Q,"&lt;=30")</f>
        <v>0</v>
      </c>
      <c r="I38" s="182">
        <f>SUMIFS('Data Fertilizers'!$D:$D,'Data Fertilizers'!$P:$P,$B38,'Data Fertilizers'!$Q:$Q,"&gt;30",'Data Fertilizers'!$Q:$Q,"&lt;=60")</f>
        <v>0</v>
      </c>
      <c r="J38" s="182">
        <f>SUMIFS('Data Fertilizers'!$D:$D,'Data Fertilizers'!$P:$P,$B38,'Data Fertilizers'!$Q:$Q,"&gt;60",'Data Fertilizers'!$Q:$Q,"&lt;=90")</f>
        <v>0</v>
      </c>
      <c r="K38" s="182">
        <f>SUMIFS('Data Fertilizers'!$D:$D,'Data Fertilizers'!$P:$P,$B38,'Data Fertilizers'!$Q:$Q,"&gt;90",'Data Fertilizers'!$Q:$Q,"&lt;=120")</f>
        <v>0</v>
      </c>
      <c r="L38" s="182">
        <f>SUMIFS('Data Fertilizers'!$D:$D,'Data Fertilizers'!$P:$P,$B38,'Data Fertilizers'!$Q:$Q,"&gt;120",'Data Fertilizers'!$Q:$Q,"&lt;=180")</f>
        <v>0</v>
      </c>
      <c r="M38" s="182">
        <f>SUMIFS('Data Fertilizers'!$D:$D,'Data Fertilizers'!$P:$P,$B38,'Data Fertilizers'!$Q:$Q,"&gt;180",'Data Fertilizers'!$Q:$Q,"&lt;=360")</f>
        <v>0</v>
      </c>
      <c r="N38" s="187">
        <f>SUMIFS('Data Fertilizers'!$D:$D,'Data Fertilizers'!$P:$P,$B38,'Data Fertilizers'!$Q:$Q,"&gt;360")</f>
        <v>0</v>
      </c>
      <c r="O38" s="182">
        <f>SUMIFS('Data Fertilizers'!$D:$D,'Data Fertilizers'!$P:$P,$B38,'Data Fertilizers'!$Q:$Q,"&gt;0")</f>
        <v>0</v>
      </c>
      <c r="P38" s="182">
        <f t="shared" si="5"/>
        <v>0</v>
      </c>
      <c r="Q38" s="182">
        <f>SUMIFS('Data Fertilizers'!$D:$D,'Data Fertilizers'!$P:$P,$B38,'Data Fertilizers'!$Q:$Q,"&lt;=0",'Data Fertilizers'!$Q:$Q,"&gt;=-30")</f>
        <v>0</v>
      </c>
      <c r="R38" s="182">
        <f>SUMIFS('Data Fertilizers'!$D:$D,'Data Fertilizers'!$P:$P,$B38,'Data Fertilizers'!$Q:$Q,"&lt;=-31",'Data Fertilizers'!$Q:$Q,"&gt;=-60")</f>
        <v>0</v>
      </c>
      <c r="S38" s="182">
        <f>SUMIFS('Data Fertilizers'!$D:$D,'Data Fertilizers'!$P:$P,$B38,'Data Fertilizers'!$Q:$Q,"&lt;=-61",'Data Fertilizers'!$Q:$Q,"&gt;=-90")</f>
        <v>0</v>
      </c>
      <c r="T38" s="182">
        <f>SUMIFS('Data Fertilizers'!$D:$D,'Data Fertilizers'!$P:$P,$B38,'Data Fertilizers'!$Q:$Q,"&lt;=-91",'Data Fertilizers'!$Q:$Q,"&gt;=-120")</f>
        <v>0</v>
      </c>
      <c r="U38" s="182">
        <f>SUMIFS('Data Fertilizers'!$D:$D,'Data Fertilizers'!$P:$P,$B38,'Data Fertilizers'!$Q:$Q,"&lt;=-121",'Data Fertilizers'!$Q:$Q,"&gt;=-180")</f>
        <v>0</v>
      </c>
      <c r="V38" s="182">
        <f>SUMIFS('Data Fertilizers'!$D:$D,'Data Fertilizers'!$P:$P,$B38,'Data Fertilizers'!$Q:$Q,"&lt;=-181",'Data Fertilizers'!$Q:$Q,"&gt;=-360")</f>
        <v>0</v>
      </c>
      <c r="W38" s="187">
        <f>SUMIFS('Data Fertilizers'!$D:$D,'Data Fertilizers'!$P:$P,$B38,'Data Fertilizers'!$Q:$Q,"&lt;-360")</f>
        <v>0</v>
      </c>
      <c r="X38" s="237">
        <f>SUMIFS('Bad Debt Provision'!AB:AB,'Bad Debt Provision'!B:B,'Painel Fertilizers'!B38)</f>
        <v>0</v>
      </c>
      <c r="Y38" s="183"/>
      <c r="Z38" s="183"/>
      <c r="AA38" s="182">
        <f>_xlfn.XLOOKUP(B38,'Limite de crédito'!C:C,'Limite de crédito'!O:O,0)</f>
        <v>0</v>
      </c>
      <c r="AB38" s="182"/>
      <c r="AC38" s="184"/>
      <c r="AD38" s="185"/>
      <c r="AE38" s="185"/>
      <c r="AF38" s="183"/>
      <c r="AG38" s="182">
        <f t="shared" si="8"/>
        <v>0</v>
      </c>
    </row>
    <row r="39" spans="2:34" s="169" customFormat="1" x14ac:dyDescent="0.25">
      <c r="B39" s="180" t="s">
        <v>328</v>
      </c>
      <c r="C39" s="242">
        <f>IFERROR(_xlfn.XLOOKUP(B39,'Limite de crédito'!C:C,'Limite de crédito'!L:L),0)</f>
        <v>0</v>
      </c>
      <c r="D39" s="186"/>
      <c r="E39" s="232">
        <f>_xlfn.XLOOKUP(B39,'Limite de crédito'!C:C,'Limite de crédito'!G:G,0)</f>
        <v>0</v>
      </c>
      <c r="F39" s="181">
        <f t="shared" si="6"/>
        <v>0</v>
      </c>
      <c r="G39" s="181">
        <f t="shared" si="7"/>
        <v>0</v>
      </c>
      <c r="H39" s="182">
        <f>SUMIFS('Data Fertilizers'!$D:$D,'Data Fertilizers'!$P:$P,$B39,'Data Fertilizers'!$Q:$Q,"&gt;0",'Data Fertilizers'!$Q:$Q,"&lt;=30")</f>
        <v>0</v>
      </c>
      <c r="I39" s="182">
        <f>SUMIFS('Data Fertilizers'!$D:$D,'Data Fertilizers'!$P:$P,$B39,'Data Fertilizers'!$Q:$Q,"&gt;30",'Data Fertilizers'!$Q:$Q,"&lt;=60")</f>
        <v>0</v>
      </c>
      <c r="J39" s="182">
        <f>SUMIFS('Data Fertilizers'!$D:$D,'Data Fertilizers'!$P:$P,$B39,'Data Fertilizers'!$Q:$Q,"&gt;60",'Data Fertilizers'!$Q:$Q,"&lt;=90")</f>
        <v>0</v>
      </c>
      <c r="K39" s="182">
        <f>SUMIFS('Data Fertilizers'!$D:$D,'Data Fertilizers'!$P:$P,$B39,'Data Fertilizers'!$Q:$Q,"&gt;90",'Data Fertilizers'!$Q:$Q,"&lt;=120")</f>
        <v>0</v>
      </c>
      <c r="L39" s="182">
        <f>SUMIFS('Data Fertilizers'!$D:$D,'Data Fertilizers'!$P:$P,$B39,'Data Fertilizers'!$Q:$Q,"&gt;120",'Data Fertilizers'!$Q:$Q,"&lt;=180")</f>
        <v>0</v>
      </c>
      <c r="M39" s="182">
        <f>SUMIFS('Data Fertilizers'!$D:$D,'Data Fertilizers'!$P:$P,$B39,'Data Fertilizers'!$Q:$Q,"&gt;180",'Data Fertilizers'!$Q:$Q,"&lt;=360")</f>
        <v>0</v>
      </c>
      <c r="N39" s="187">
        <f>SUMIFS('Data Fertilizers'!$D:$D,'Data Fertilizers'!$P:$P,$B39,'Data Fertilizers'!$Q:$Q,"&gt;360")</f>
        <v>0</v>
      </c>
      <c r="O39" s="182">
        <f>SUMIFS('Data Fertilizers'!$D:$D,'Data Fertilizers'!$P:$P,$B39,'Data Fertilizers'!$Q:$Q,"&gt;0")</f>
        <v>0</v>
      </c>
      <c r="P39" s="182">
        <f t="shared" si="5"/>
        <v>0</v>
      </c>
      <c r="Q39" s="182">
        <f>SUMIFS('Data Fertilizers'!$D:$D,'Data Fertilizers'!$P:$P,$B39,'Data Fertilizers'!$Q:$Q,"&lt;=0",'Data Fertilizers'!$Q:$Q,"&gt;=-30")</f>
        <v>0</v>
      </c>
      <c r="R39" s="182">
        <f>SUMIFS('Data Fertilizers'!$D:$D,'Data Fertilizers'!$P:$P,$B39,'Data Fertilizers'!$Q:$Q,"&lt;=-31",'Data Fertilizers'!$Q:$Q,"&gt;=-60")</f>
        <v>0</v>
      </c>
      <c r="S39" s="182">
        <f>SUMIFS('Data Fertilizers'!$D:$D,'Data Fertilizers'!$P:$P,$B39,'Data Fertilizers'!$Q:$Q,"&lt;=-61",'Data Fertilizers'!$Q:$Q,"&gt;=-90")</f>
        <v>0</v>
      </c>
      <c r="T39" s="182">
        <f>SUMIFS('Data Fertilizers'!$D:$D,'Data Fertilizers'!$P:$P,$B39,'Data Fertilizers'!$Q:$Q,"&lt;=-91",'Data Fertilizers'!$Q:$Q,"&gt;=-120")</f>
        <v>0</v>
      </c>
      <c r="U39" s="182">
        <f>SUMIFS('Data Fertilizers'!$D:$D,'Data Fertilizers'!$P:$P,$B39,'Data Fertilizers'!$Q:$Q,"&lt;=-121",'Data Fertilizers'!$Q:$Q,"&gt;=-180")</f>
        <v>0</v>
      </c>
      <c r="V39" s="182">
        <f>SUMIFS('Data Fertilizers'!$D:$D,'Data Fertilizers'!$P:$P,$B39,'Data Fertilizers'!$Q:$Q,"&lt;=-181",'Data Fertilizers'!$Q:$Q,"&gt;=-360")</f>
        <v>0</v>
      </c>
      <c r="W39" s="187">
        <f>SUMIFS('Data Fertilizers'!$D:$D,'Data Fertilizers'!$P:$P,$B39,'Data Fertilizers'!$Q:$Q,"&lt;-360")</f>
        <v>0</v>
      </c>
      <c r="X39" s="237">
        <f>SUMIFS('Bad Debt Provision'!AB:AB,'Bad Debt Provision'!B:B,'Painel Fertilizers'!B39)</f>
        <v>0</v>
      </c>
      <c r="Y39" s="183"/>
      <c r="Z39" s="183"/>
      <c r="AA39" s="182">
        <f>_xlfn.XLOOKUP(B39,'Limite de crédito'!C:C,'Limite de crédito'!O:O,0)</f>
        <v>0</v>
      </c>
      <c r="AB39" s="182"/>
      <c r="AC39" s="184"/>
      <c r="AD39" s="185"/>
      <c r="AE39" s="185"/>
      <c r="AF39" s="183"/>
      <c r="AG39" s="182">
        <f t="shared" si="8"/>
        <v>0</v>
      </c>
    </row>
    <row r="40" spans="2:34" s="169" customFormat="1" x14ac:dyDescent="0.25">
      <c r="B40" s="180" t="s">
        <v>396</v>
      </c>
      <c r="C40" s="242">
        <f>IFERROR(_xlfn.XLOOKUP(B40,'Limite de crédito'!C:C,'Limite de crédito'!L:L),0)</f>
        <v>0</v>
      </c>
      <c r="D40" s="186"/>
      <c r="E40" s="232">
        <f>_xlfn.XLOOKUP(B40,'Limite de crédito'!C:C,'Limite de crédito'!G:G,0)</f>
        <v>0</v>
      </c>
      <c r="F40" s="181">
        <f t="shared" si="6"/>
        <v>0</v>
      </c>
      <c r="G40" s="181">
        <f t="shared" si="7"/>
        <v>0</v>
      </c>
      <c r="H40" s="182">
        <f>SUMIFS('Data Fertilizers'!$D:$D,'Data Fertilizers'!$P:$P,$B40,'Data Fertilizers'!$Q:$Q,"&gt;0",'Data Fertilizers'!$Q:$Q,"&lt;=30")</f>
        <v>0</v>
      </c>
      <c r="I40" s="182">
        <f>SUMIFS('Data Fertilizers'!$D:$D,'Data Fertilizers'!$P:$P,$B40,'Data Fertilizers'!$Q:$Q,"&gt;30",'Data Fertilizers'!$Q:$Q,"&lt;=60")</f>
        <v>0</v>
      </c>
      <c r="J40" s="182">
        <f>SUMIFS('Data Fertilizers'!$D:$D,'Data Fertilizers'!$P:$P,$B40,'Data Fertilizers'!$Q:$Q,"&gt;60",'Data Fertilizers'!$Q:$Q,"&lt;=90")</f>
        <v>0</v>
      </c>
      <c r="K40" s="182">
        <f>SUMIFS('Data Fertilizers'!$D:$D,'Data Fertilizers'!$P:$P,$B40,'Data Fertilizers'!$Q:$Q,"&gt;90",'Data Fertilizers'!$Q:$Q,"&lt;=120")</f>
        <v>0</v>
      </c>
      <c r="L40" s="182">
        <f>SUMIFS('Data Fertilizers'!$D:$D,'Data Fertilizers'!$P:$P,$B40,'Data Fertilizers'!$Q:$Q,"&gt;120",'Data Fertilizers'!$Q:$Q,"&lt;=180")</f>
        <v>0</v>
      </c>
      <c r="M40" s="182">
        <f>SUMIFS('Data Fertilizers'!$D:$D,'Data Fertilizers'!$P:$P,$B40,'Data Fertilizers'!$Q:$Q,"&gt;180",'Data Fertilizers'!$Q:$Q,"&lt;=360")</f>
        <v>0</v>
      </c>
      <c r="N40" s="187">
        <f>SUMIFS('Data Fertilizers'!$D:$D,'Data Fertilizers'!$P:$P,$B40,'Data Fertilizers'!$Q:$Q,"&gt;360")</f>
        <v>0</v>
      </c>
      <c r="O40" s="182">
        <f>SUMIFS('Data Fertilizers'!$D:$D,'Data Fertilizers'!$P:$P,$B40,'Data Fertilizers'!$Q:$Q,"&gt;0")</f>
        <v>0</v>
      </c>
      <c r="P40" s="182">
        <f t="shared" si="5"/>
        <v>0</v>
      </c>
      <c r="Q40" s="182">
        <f>SUMIFS('Data Fertilizers'!$D:$D,'Data Fertilizers'!$P:$P,$B40,'Data Fertilizers'!$Q:$Q,"&lt;=0",'Data Fertilizers'!$Q:$Q,"&gt;=-30")</f>
        <v>0</v>
      </c>
      <c r="R40" s="182">
        <f>SUMIFS('Data Fertilizers'!$D:$D,'Data Fertilizers'!$P:$P,$B40,'Data Fertilizers'!$Q:$Q,"&lt;=-31",'Data Fertilizers'!$Q:$Q,"&gt;=-60")</f>
        <v>0</v>
      </c>
      <c r="S40" s="182">
        <f>SUMIFS('Data Fertilizers'!$D:$D,'Data Fertilizers'!$P:$P,$B40,'Data Fertilizers'!$Q:$Q,"&lt;=-61",'Data Fertilizers'!$Q:$Q,"&gt;=-90")</f>
        <v>0</v>
      </c>
      <c r="T40" s="182">
        <f>SUMIFS('Data Fertilizers'!$D:$D,'Data Fertilizers'!$P:$P,$B40,'Data Fertilizers'!$Q:$Q,"&lt;=-91",'Data Fertilizers'!$Q:$Q,"&gt;=-120")</f>
        <v>0</v>
      </c>
      <c r="U40" s="182">
        <f>SUMIFS('Data Fertilizers'!$D:$D,'Data Fertilizers'!$P:$P,$B40,'Data Fertilizers'!$Q:$Q,"&lt;=-121",'Data Fertilizers'!$Q:$Q,"&gt;=-180")</f>
        <v>0</v>
      </c>
      <c r="V40" s="182">
        <f>SUMIFS('Data Fertilizers'!$D:$D,'Data Fertilizers'!$P:$P,$B40,'Data Fertilizers'!$Q:$Q,"&lt;=-181",'Data Fertilizers'!$Q:$Q,"&gt;=-360")</f>
        <v>0</v>
      </c>
      <c r="W40" s="187">
        <f>SUMIFS('Data Fertilizers'!$D:$D,'Data Fertilizers'!$P:$P,$B40,'Data Fertilizers'!$Q:$Q,"&lt;-360")</f>
        <v>0</v>
      </c>
      <c r="X40" s="237">
        <f>SUMIFS('Bad Debt Provision'!AB:AB,'Bad Debt Provision'!B:B,'Painel Fertilizers'!B40)</f>
        <v>0</v>
      </c>
      <c r="Y40" s="183"/>
      <c r="Z40" s="183"/>
      <c r="AA40" s="182">
        <f>_xlfn.XLOOKUP(B40,'Limite de crédito'!C:C,'Limite de crédito'!O:O,0)</f>
        <v>0</v>
      </c>
      <c r="AB40" s="182"/>
      <c r="AC40" s="184"/>
      <c r="AD40" s="185"/>
      <c r="AE40" s="185"/>
      <c r="AF40" s="183"/>
      <c r="AG40" s="182">
        <f t="shared" si="8"/>
        <v>0</v>
      </c>
    </row>
    <row r="41" spans="2:34" s="169" customFormat="1" ht="12.6" customHeight="1" x14ac:dyDescent="0.25">
      <c r="B41" s="180" t="s">
        <v>324</v>
      </c>
      <c r="C41" s="242">
        <f>IFERROR(_xlfn.XLOOKUP(B41,'Limite de crédito'!C:C,'Limite de crédito'!L:L),0)</f>
        <v>0</v>
      </c>
      <c r="D41" s="186"/>
      <c r="E41" s="232">
        <f>_xlfn.XLOOKUP(B41,'Limite de crédito'!C:C,'Limite de crédito'!G:G,0)</f>
        <v>1500000</v>
      </c>
      <c r="F41" s="181">
        <f t="shared" si="6"/>
        <v>1500000</v>
      </c>
      <c r="G41" s="181">
        <f t="shared" si="7"/>
        <v>0</v>
      </c>
      <c r="H41" s="182">
        <f>SUMIFS('Data Fertilizers'!$D:$D,'Data Fertilizers'!$P:$P,$B41,'Data Fertilizers'!$Q:$Q,"&gt;0",'Data Fertilizers'!$Q:$Q,"&lt;=30")</f>
        <v>0</v>
      </c>
      <c r="I41" s="182">
        <f>SUMIFS('Data Fertilizers'!$D:$D,'Data Fertilizers'!$P:$P,$B41,'Data Fertilizers'!$Q:$Q,"&gt;30",'Data Fertilizers'!$Q:$Q,"&lt;=60")</f>
        <v>0</v>
      </c>
      <c r="J41" s="182">
        <f>SUMIFS('Data Fertilizers'!$D:$D,'Data Fertilizers'!$P:$P,$B41,'Data Fertilizers'!$Q:$Q,"&gt;60",'Data Fertilizers'!$Q:$Q,"&lt;=90")</f>
        <v>0</v>
      </c>
      <c r="K41" s="182">
        <f>SUMIFS('Data Fertilizers'!$D:$D,'Data Fertilizers'!$P:$P,$B41,'Data Fertilizers'!$Q:$Q,"&gt;90",'Data Fertilizers'!$Q:$Q,"&lt;=120")</f>
        <v>0</v>
      </c>
      <c r="L41" s="182">
        <f>SUMIFS('Data Fertilizers'!$D:$D,'Data Fertilizers'!$P:$P,$B41,'Data Fertilizers'!$Q:$Q,"&gt;120",'Data Fertilizers'!$Q:$Q,"&lt;=180")</f>
        <v>0</v>
      </c>
      <c r="M41" s="182">
        <f>SUMIFS('Data Fertilizers'!$D:$D,'Data Fertilizers'!$P:$P,$B41,'Data Fertilizers'!$Q:$Q,"&gt;180",'Data Fertilizers'!$Q:$Q,"&lt;=360")</f>
        <v>0</v>
      </c>
      <c r="N41" s="187">
        <f>SUMIFS('Data Fertilizers'!$D:$D,'Data Fertilizers'!$P:$P,$B41,'Data Fertilizers'!$Q:$Q,"&gt;360")</f>
        <v>0</v>
      </c>
      <c r="O41" s="182">
        <f>SUMIFS('Data Fertilizers'!$D:$D,'Data Fertilizers'!$P:$P,$B41,'Data Fertilizers'!$Q:$Q,"&gt;0")</f>
        <v>0</v>
      </c>
      <c r="P41" s="182">
        <f t="shared" si="5"/>
        <v>0</v>
      </c>
      <c r="Q41" s="182">
        <f>SUMIFS('Data Fertilizers'!$D:$D,'Data Fertilizers'!$P:$P,$B41,'Data Fertilizers'!$Q:$Q,"&lt;=0",'Data Fertilizers'!$Q:$Q,"&gt;=-30")</f>
        <v>0</v>
      </c>
      <c r="R41" s="182">
        <f>SUMIFS('Data Fertilizers'!$D:$D,'Data Fertilizers'!$P:$P,$B41,'Data Fertilizers'!$Q:$Q,"&lt;=-31",'Data Fertilizers'!$Q:$Q,"&gt;=-60")</f>
        <v>0</v>
      </c>
      <c r="S41" s="182">
        <f>SUMIFS('Data Fertilizers'!$D:$D,'Data Fertilizers'!$P:$P,$B41,'Data Fertilizers'!$Q:$Q,"&lt;=-61",'Data Fertilizers'!$Q:$Q,"&gt;=-90")</f>
        <v>0</v>
      </c>
      <c r="T41" s="182">
        <f>SUMIFS('Data Fertilizers'!$D:$D,'Data Fertilizers'!$P:$P,$B41,'Data Fertilizers'!$Q:$Q,"&lt;=-91",'Data Fertilizers'!$Q:$Q,"&gt;=-120")</f>
        <v>0</v>
      </c>
      <c r="U41" s="182">
        <f>SUMIFS('Data Fertilizers'!$D:$D,'Data Fertilizers'!$P:$P,$B41,'Data Fertilizers'!$Q:$Q,"&lt;=-121",'Data Fertilizers'!$Q:$Q,"&gt;=-180")</f>
        <v>0</v>
      </c>
      <c r="V41" s="182">
        <f>SUMIFS('Data Fertilizers'!$D:$D,'Data Fertilizers'!$P:$P,$B41,'Data Fertilizers'!$Q:$Q,"&lt;=-181",'Data Fertilizers'!$Q:$Q,"&gt;=-360")</f>
        <v>0</v>
      </c>
      <c r="W41" s="187">
        <f>SUMIFS('Data Fertilizers'!$D:$D,'Data Fertilizers'!$P:$P,$B41,'Data Fertilizers'!$Q:$Q,"&lt;-360")</f>
        <v>0</v>
      </c>
      <c r="X41" s="237">
        <f>SUMIFS('Bad Debt Provision'!AB:AB,'Bad Debt Provision'!B:B,'Painel Fertilizers'!B41)</f>
        <v>0</v>
      </c>
      <c r="Y41" s="183"/>
      <c r="Z41" s="183"/>
      <c r="AA41" s="182">
        <f>_xlfn.XLOOKUP(B41,'Limite de crédito'!C:C,'Limite de crédito'!O:O,0)</f>
        <v>1500000</v>
      </c>
      <c r="AB41" s="182"/>
      <c r="AC41" s="184"/>
      <c r="AD41" s="185"/>
      <c r="AE41" s="185"/>
      <c r="AF41" s="183"/>
      <c r="AG41" s="182">
        <f t="shared" si="8"/>
        <v>1500000</v>
      </c>
    </row>
    <row r="42" spans="2:34" s="169" customFormat="1" x14ac:dyDescent="0.25">
      <c r="B42" s="180" t="s">
        <v>454</v>
      </c>
      <c r="C42" s="242">
        <f>IFERROR(_xlfn.XLOOKUP(B42,'Limite de crédito'!C:C,'Limite de crédito'!L:L),0)</f>
        <v>0</v>
      </c>
      <c r="D42" s="186">
        <v>180</v>
      </c>
      <c r="E42" s="232">
        <f>_xlfn.XLOOKUP(B42,'Limite de crédito'!C:C,'Limite de crédito'!G:G,0)</f>
        <v>350000</v>
      </c>
      <c r="F42" s="181">
        <f t="shared" si="6"/>
        <v>350000</v>
      </c>
      <c r="G42" s="181">
        <f t="shared" si="7"/>
        <v>0</v>
      </c>
      <c r="H42" s="182">
        <f>SUMIFS('Data Fertilizers'!$D:$D,'Data Fertilizers'!$P:$P,$B42,'Data Fertilizers'!$Q:$Q,"&gt;0",'Data Fertilizers'!$Q:$Q,"&lt;=30")</f>
        <v>0</v>
      </c>
      <c r="I42" s="182">
        <f>SUMIFS('Data Fertilizers'!$D:$D,'Data Fertilizers'!$P:$P,$B42,'Data Fertilizers'!$Q:$Q,"&gt;30",'Data Fertilizers'!$Q:$Q,"&lt;=60")</f>
        <v>0</v>
      </c>
      <c r="J42" s="182">
        <f>SUMIFS('Data Fertilizers'!$D:$D,'Data Fertilizers'!$P:$P,$B42,'Data Fertilizers'!$Q:$Q,"&gt;60",'Data Fertilizers'!$Q:$Q,"&lt;=90")</f>
        <v>0</v>
      </c>
      <c r="K42" s="182">
        <f>SUMIFS('Data Fertilizers'!$D:$D,'Data Fertilizers'!$P:$P,$B42,'Data Fertilizers'!$Q:$Q,"&gt;90",'Data Fertilizers'!$Q:$Q,"&lt;=120")</f>
        <v>0</v>
      </c>
      <c r="L42" s="182">
        <f>SUMIFS('Data Fertilizers'!$D:$D,'Data Fertilizers'!$P:$P,$B42,'Data Fertilizers'!$Q:$Q,"&gt;120",'Data Fertilizers'!$Q:$Q,"&lt;=180")</f>
        <v>0</v>
      </c>
      <c r="M42" s="182">
        <f>SUMIFS('Data Fertilizers'!$D:$D,'Data Fertilizers'!$P:$P,$B42,'Data Fertilizers'!$Q:$Q,"&gt;180",'Data Fertilizers'!$Q:$Q,"&lt;=360")</f>
        <v>0</v>
      </c>
      <c r="N42" s="187">
        <f>SUMIFS('Data Fertilizers'!$D:$D,'Data Fertilizers'!$P:$P,$B42,'Data Fertilizers'!$Q:$Q,"&gt;360")</f>
        <v>0</v>
      </c>
      <c r="O42" s="182">
        <f>SUMIFS('Data Fertilizers'!$D:$D,'Data Fertilizers'!$P:$P,$B42,'Data Fertilizers'!$Q:$Q,"&gt;0")</f>
        <v>0</v>
      </c>
      <c r="P42" s="182">
        <f t="shared" si="5"/>
        <v>0</v>
      </c>
      <c r="Q42" s="182">
        <f>SUMIFS('Data Fertilizers'!$D:$D,'Data Fertilizers'!$P:$P,$B42,'Data Fertilizers'!$Q:$Q,"&lt;=0",'Data Fertilizers'!$Q:$Q,"&gt;=-30")</f>
        <v>0</v>
      </c>
      <c r="R42" s="182">
        <f>SUMIFS('Data Fertilizers'!$D:$D,'Data Fertilizers'!$P:$P,$B42,'Data Fertilizers'!$Q:$Q,"&lt;=-31",'Data Fertilizers'!$Q:$Q,"&gt;=-60")</f>
        <v>0</v>
      </c>
      <c r="S42" s="182">
        <f>SUMIFS('Data Fertilizers'!$D:$D,'Data Fertilizers'!$P:$P,$B42,'Data Fertilizers'!$Q:$Q,"&lt;=-61",'Data Fertilizers'!$Q:$Q,"&gt;=-90")</f>
        <v>0</v>
      </c>
      <c r="T42" s="182">
        <f>SUMIFS('Data Fertilizers'!$D:$D,'Data Fertilizers'!$P:$P,$B42,'Data Fertilizers'!$Q:$Q,"&lt;=-91",'Data Fertilizers'!$Q:$Q,"&gt;=-120")</f>
        <v>0</v>
      </c>
      <c r="U42" s="182">
        <f>SUMIFS('Data Fertilizers'!$D:$D,'Data Fertilizers'!$P:$P,$B42,'Data Fertilizers'!$Q:$Q,"&lt;=-121",'Data Fertilizers'!$Q:$Q,"&gt;=-180")</f>
        <v>0</v>
      </c>
      <c r="V42" s="182">
        <f>SUMIFS('Data Fertilizers'!$D:$D,'Data Fertilizers'!$P:$P,$B42,'Data Fertilizers'!$Q:$Q,"&lt;=-181",'Data Fertilizers'!$Q:$Q,"&gt;=-360")</f>
        <v>0</v>
      </c>
      <c r="W42" s="187">
        <f>SUMIFS('Data Fertilizers'!$D:$D,'Data Fertilizers'!$P:$P,$B42,'Data Fertilizers'!$Q:$Q,"&lt;-360")</f>
        <v>0</v>
      </c>
      <c r="X42" s="237">
        <f>SUMIFS('Bad Debt Provision'!AB:AB,'Bad Debt Provision'!B:B,'Painel Fertilizers'!B42)</f>
        <v>0</v>
      </c>
      <c r="Y42" s="183"/>
      <c r="Z42" s="183"/>
      <c r="AA42" s="182">
        <f>_xlfn.XLOOKUP(B42,'Limite de crédito'!C:C,'Limite de crédito'!O:O,0)</f>
        <v>350000</v>
      </c>
      <c r="AB42" s="182"/>
      <c r="AC42" s="184"/>
      <c r="AD42" s="185"/>
      <c r="AE42" s="185"/>
      <c r="AF42" s="183"/>
      <c r="AG42" s="182">
        <f t="shared" ref="AG42" si="9">AA42-G42</f>
        <v>350000</v>
      </c>
    </row>
    <row r="43" spans="2:34" s="169" customFormat="1" ht="12.6" customHeight="1" x14ac:dyDescent="0.25">
      <c r="B43" s="180" t="s">
        <v>501</v>
      </c>
      <c r="C43" s="242">
        <f>IFERROR(_xlfn.XLOOKUP(B43,'Limite de crédito'!C:C,'Limite de crédito'!L:L),0)</f>
        <v>0</v>
      </c>
      <c r="D43" s="186">
        <v>180</v>
      </c>
      <c r="E43" s="232">
        <f>_xlfn.XLOOKUP(B43,'Limite de crédito'!C:C,'Limite de crédito'!G:G,0)</f>
        <v>0</v>
      </c>
      <c r="F43" s="181">
        <f t="shared" ref="F43" si="10">E43-G43</f>
        <v>0</v>
      </c>
      <c r="G43" s="181">
        <f t="shared" ref="G43" si="11">P43+O43</f>
        <v>0</v>
      </c>
      <c r="H43" s="182">
        <f>SUMIFS('Data Fertilizers'!$D:$D,'Data Fertilizers'!$P:$P,$B43,'Data Fertilizers'!$Q:$Q,"&gt;0",'Data Fertilizers'!$Q:$Q,"&lt;=30")</f>
        <v>0</v>
      </c>
      <c r="I43" s="182">
        <f>SUMIFS('Data Fertilizers'!$D:$D,'Data Fertilizers'!$P:$P,$B43,'Data Fertilizers'!$Q:$Q,"&gt;30",'Data Fertilizers'!$Q:$Q,"&lt;=60")</f>
        <v>0</v>
      </c>
      <c r="J43" s="182">
        <f>SUMIFS('Data Fertilizers'!$D:$D,'Data Fertilizers'!$P:$P,$B43,'Data Fertilizers'!$Q:$Q,"&gt;60",'Data Fertilizers'!$Q:$Q,"&lt;=90")</f>
        <v>0</v>
      </c>
      <c r="K43" s="182">
        <f>SUMIFS('Data Fertilizers'!$D:$D,'Data Fertilizers'!$P:$P,$B43,'Data Fertilizers'!$Q:$Q,"&gt;90",'Data Fertilizers'!$Q:$Q,"&lt;=120")</f>
        <v>0</v>
      </c>
      <c r="L43" s="182">
        <f>SUMIFS('Data Fertilizers'!$D:$D,'Data Fertilizers'!$P:$P,$B43,'Data Fertilizers'!$Q:$Q,"&gt;120",'Data Fertilizers'!$Q:$Q,"&lt;=180")</f>
        <v>0</v>
      </c>
      <c r="M43" s="182">
        <f>SUMIFS('Data Fertilizers'!$D:$D,'Data Fertilizers'!$P:$P,$B43,'Data Fertilizers'!$Q:$Q,"&gt;180",'Data Fertilizers'!$Q:$Q,"&lt;=360")</f>
        <v>0</v>
      </c>
      <c r="N43" s="187">
        <f>SUMIFS('Data Fertilizers'!$D:$D,'Data Fertilizers'!$P:$P,$B43,'Data Fertilizers'!$Q:$Q,"&gt;360")</f>
        <v>0</v>
      </c>
      <c r="O43" s="182">
        <f>SUMIFS('Data Fertilizers'!$D:$D,'Data Fertilizers'!$P:$P,$B43,'Data Fertilizers'!$Q:$Q,"&gt;0")</f>
        <v>0</v>
      </c>
      <c r="P43" s="182">
        <f t="shared" si="5"/>
        <v>0</v>
      </c>
      <c r="Q43" s="182">
        <f>SUMIFS('Data Fertilizers'!$D:$D,'Data Fertilizers'!$P:$P,$B43,'Data Fertilizers'!$Q:$Q,"&lt;=0",'Data Fertilizers'!$Q:$Q,"&gt;=-30")</f>
        <v>0</v>
      </c>
      <c r="R43" s="182">
        <f>SUMIFS('Data Fertilizers'!$D:$D,'Data Fertilizers'!$P:$P,$B43,'Data Fertilizers'!$Q:$Q,"&lt;=-31",'Data Fertilizers'!$Q:$Q,"&gt;=-60")</f>
        <v>0</v>
      </c>
      <c r="S43" s="182">
        <f>SUMIFS('Data Fertilizers'!$D:$D,'Data Fertilizers'!$P:$P,$B43,'Data Fertilizers'!$Q:$Q,"&lt;=-61",'Data Fertilizers'!$Q:$Q,"&gt;=-90")</f>
        <v>0</v>
      </c>
      <c r="T43" s="182">
        <f>SUMIFS('Data Fertilizers'!$D:$D,'Data Fertilizers'!$P:$P,$B43,'Data Fertilizers'!$Q:$Q,"&lt;=-91",'Data Fertilizers'!$Q:$Q,"&gt;=-120")</f>
        <v>0</v>
      </c>
      <c r="U43" s="182">
        <f>SUMIFS('Data Fertilizers'!$D:$D,'Data Fertilizers'!$P:$P,$B43,'Data Fertilizers'!$Q:$Q,"&lt;=-121",'Data Fertilizers'!$Q:$Q,"&gt;=-180")</f>
        <v>0</v>
      </c>
      <c r="V43" s="182">
        <f>SUMIFS('Data Fertilizers'!$D:$D,'Data Fertilizers'!$P:$P,$B43,'Data Fertilizers'!$Q:$Q,"&lt;=-181",'Data Fertilizers'!$Q:$Q,"&gt;=-360")</f>
        <v>0</v>
      </c>
      <c r="W43" s="187">
        <f>SUMIFS('Data Fertilizers'!$D:$D,'Data Fertilizers'!$P:$P,$B43,'Data Fertilizers'!$Q:$Q,"&lt;-360")</f>
        <v>0</v>
      </c>
      <c r="X43" s="237">
        <f>SUMIFS('Bad Debt Provision'!AB:AB,'Bad Debt Provision'!B:B,'Painel Fertilizers'!B43)</f>
        <v>0</v>
      </c>
      <c r="Y43" s="183"/>
      <c r="Z43" s="183"/>
      <c r="AA43" s="182">
        <f>_xlfn.XLOOKUP(B43,'Limite de crédito'!C:C,'Limite de crédito'!O:O,0)</f>
        <v>0</v>
      </c>
      <c r="AB43" s="182"/>
      <c r="AC43" s="184"/>
      <c r="AD43" s="185"/>
      <c r="AE43" s="185"/>
      <c r="AF43" s="183"/>
      <c r="AG43" s="182">
        <f t="shared" ref="AG43" si="12">AA43-G43</f>
        <v>0</v>
      </c>
    </row>
    <row r="44" spans="2:34" s="169" customFormat="1" ht="12.6" customHeight="1" x14ac:dyDescent="0.25">
      <c r="B44" s="180" t="s">
        <v>452</v>
      </c>
      <c r="C44" s="242">
        <f>IFERROR(_xlfn.XLOOKUP(B44,'Limite de crédito'!C:C,'Limite de crédito'!L:L),0)</f>
        <v>0</v>
      </c>
      <c r="D44" s="186">
        <v>180</v>
      </c>
      <c r="E44" s="232">
        <f>_xlfn.XLOOKUP(B44,'Limite de crédito'!C:C,'Limite de crédito'!G:G,0)</f>
        <v>700000</v>
      </c>
      <c r="F44" s="181">
        <f t="shared" ref="F44" si="13">E44-G44</f>
        <v>700000</v>
      </c>
      <c r="G44" s="181">
        <f t="shared" ref="G44" si="14">P44+O44</f>
        <v>0</v>
      </c>
      <c r="H44" s="182">
        <f>SUMIFS('Data Fertilizers'!$D:$D,'Data Fertilizers'!$P:$P,$B44,'Data Fertilizers'!$Q:$Q,"&gt;0",'Data Fertilizers'!$Q:$Q,"&lt;=30")</f>
        <v>0</v>
      </c>
      <c r="I44" s="182">
        <f>SUMIFS('Data Fertilizers'!$D:$D,'Data Fertilizers'!$P:$P,$B44,'Data Fertilizers'!$Q:$Q,"&gt;30",'Data Fertilizers'!$Q:$Q,"&lt;=60")</f>
        <v>0</v>
      </c>
      <c r="J44" s="182">
        <f>SUMIFS('Data Fertilizers'!$D:$D,'Data Fertilizers'!$P:$P,$B44,'Data Fertilizers'!$Q:$Q,"&gt;60",'Data Fertilizers'!$Q:$Q,"&lt;=90")</f>
        <v>0</v>
      </c>
      <c r="K44" s="182">
        <f>SUMIFS('Data Fertilizers'!$D:$D,'Data Fertilizers'!$P:$P,$B44,'Data Fertilizers'!$Q:$Q,"&gt;90",'Data Fertilizers'!$Q:$Q,"&lt;=120")</f>
        <v>0</v>
      </c>
      <c r="L44" s="182">
        <f>SUMIFS('Data Fertilizers'!$D:$D,'Data Fertilizers'!$P:$P,$B44,'Data Fertilizers'!$Q:$Q,"&gt;120",'Data Fertilizers'!$Q:$Q,"&lt;=180")</f>
        <v>0</v>
      </c>
      <c r="M44" s="182">
        <f>SUMIFS('Data Fertilizers'!$D:$D,'Data Fertilizers'!$P:$P,$B44,'Data Fertilizers'!$Q:$Q,"&gt;180",'Data Fertilizers'!$Q:$Q,"&lt;=360")</f>
        <v>0</v>
      </c>
      <c r="N44" s="187">
        <f>SUMIFS('Data Fertilizers'!$D:$D,'Data Fertilizers'!$P:$P,$B44,'Data Fertilizers'!$Q:$Q,"&gt;360")</f>
        <v>0</v>
      </c>
      <c r="O44" s="182">
        <f>SUMIFS('Data Fertilizers'!$D:$D,'Data Fertilizers'!$P:$P,$B44,'Data Fertilizers'!$Q:$Q,"&gt;0")</f>
        <v>0</v>
      </c>
      <c r="P44" s="182">
        <f t="shared" si="5"/>
        <v>0</v>
      </c>
      <c r="Q44" s="182">
        <f>SUMIFS('Data Fertilizers'!$D:$D,'Data Fertilizers'!$P:$P,$B44,'Data Fertilizers'!$Q:$Q,"&lt;=0",'Data Fertilizers'!$Q:$Q,"&gt;=-30")</f>
        <v>0</v>
      </c>
      <c r="R44" s="182">
        <f>SUMIFS('Data Fertilizers'!$D:$D,'Data Fertilizers'!$P:$P,$B44,'Data Fertilizers'!$Q:$Q,"&lt;=-31",'Data Fertilizers'!$Q:$Q,"&gt;=-60")</f>
        <v>0</v>
      </c>
      <c r="S44" s="182">
        <f>SUMIFS('Data Fertilizers'!$D:$D,'Data Fertilizers'!$P:$P,$B44,'Data Fertilizers'!$Q:$Q,"&lt;=-61",'Data Fertilizers'!$Q:$Q,"&gt;=-90")</f>
        <v>0</v>
      </c>
      <c r="T44" s="182">
        <f>SUMIFS('Data Fertilizers'!$D:$D,'Data Fertilizers'!$P:$P,$B44,'Data Fertilizers'!$Q:$Q,"&lt;=-91",'Data Fertilizers'!$Q:$Q,"&gt;=-120")</f>
        <v>0</v>
      </c>
      <c r="U44" s="182">
        <f>SUMIFS('Data Fertilizers'!$D:$D,'Data Fertilizers'!$P:$P,$B44,'Data Fertilizers'!$Q:$Q,"&lt;=-121",'Data Fertilizers'!$Q:$Q,"&gt;=-180")</f>
        <v>0</v>
      </c>
      <c r="V44" s="182">
        <f>SUMIFS('Data Fertilizers'!$D:$D,'Data Fertilizers'!$P:$P,$B44,'Data Fertilizers'!$Q:$Q,"&lt;=-181",'Data Fertilizers'!$Q:$Q,"&gt;=-360")</f>
        <v>0</v>
      </c>
      <c r="W44" s="187">
        <f>SUMIFS('Data Fertilizers'!$D:$D,'Data Fertilizers'!$P:$P,$B44,'Data Fertilizers'!$Q:$Q,"&lt;-360")</f>
        <v>0</v>
      </c>
      <c r="X44" s="237">
        <f>SUMIFS('Bad Debt Provision'!AB:AB,'Bad Debt Provision'!B:B,'Painel Fertilizers'!B44)</f>
        <v>0</v>
      </c>
      <c r="Y44" s="183"/>
      <c r="Z44" s="183"/>
      <c r="AA44" s="182">
        <f>_xlfn.XLOOKUP(B44,'Limite de crédito'!C:C,'Limite de crédito'!O:O,0)</f>
        <v>0</v>
      </c>
      <c r="AB44" s="182"/>
      <c r="AC44" s="184"/>
      <c r="AD44" s="185"/>
      <c r="AE44" s="185"/>
      <c r="AF44" s="183"/>
      <c r="AG44" s="182">
        <f t="shared" ref="AG44" si="15">AA44-G44</f>
        <v>0</v>
      </c>
    </row>
    <row r="45" spans="2:34" s="169" customFormat="1" ht="12.6" customHeight="1" x14ac:dyDescent="0.25">
      <c r="B45" s="180" t="s">
        <v>553</v>
      </c>
      <c r="C45" s="242" t="str">
        <f>IFERROR(_xlfn.XLOOKUP(B45,'Limite de crédito'!C:C,'Limite de crédito'!L:L),0)</f>
        <v>B</v>
      </c>
      <c r="D45" s="186">
        <v>180</v>
      </c>
      <c r="E45" s="232">
        <f>_xlfn.XLOOKUP(B45,'Limite de crédito'!C:C,'Limite de crédito'!G:G,0)</f>
        <v>4000000</v>
      </c>
      <c r="F45" s="181">
        <f t="shared" ref="F45" si="16">E45-G45</f>
        <v>3700357.92</v>
      </c>
      <c r="G45" s="181">
        <f t="shared" ref="G45" si="17">P45+O45</f>
        <v>299642.08</v>
      </c>
      <c r="H45" s="182">
        <f>SUMIFS('Data Fertilizers'!$D:$D,'Data Fertilizers'!$P:$P,$B45,'Data Fertilizers'!$Q:$Q,"&gt;0",'Data Fertilizers'!$Q:$Q,"&lt;=30")</f>
        <v>0</v>
      </c>
      <c r="I45" s="182">
        <f>SUMIFS('Data Fertilizers'!$D:$D,'Data Fertilizers'!$P:$P,$B45,'Data Fertilizers'!$Q:$Q,"&gt;30",'Data Fertilizers'!$Q:$Q,"&lt;=60")</f>
        <v>0</v>
      </c>
      <c r="J45" s="182">
        <f>SUMIFS('Data Fertilizers'!$D:$D,'Data Fertilizers'!$P:$P,$B45,'Data Fertilizers'!$Q:$Q,"&gt;60",'Data Fertilizers'!$Q:$Q,"&lt;=90")</f>
        <v>0</v>
      </c>
      <c r="K45" s="182">
        <f>SUMIFS('Data Fertilizers'!$D:$D,'Data Fertilizers'!$P:$P,$B45,'Data Fertilizers'!$Q:$Q,"&gt;90",'Data Fertilizers'!$Q:$Q,"&lt;=120")</f>
        <v>0</v>
      </c>
      <c r="L45" s="182">
        <f>SUMIFS('Data Fertilizers'!$D:$D,'Data Fertilizers'!$P:$P,$B45,'Data Fertilizers'!$Q:$Q,"&gt;120",'Data Fertilizers'!$Q:$Q,"&lt;=180")</f>
        <v>0</v>
      </c>
      <c r="M45" s="182">
        <f>SUMIFS('Data Fertilizers'!$D:$D,'Data Fertilizers'!$P:$P,$B45,'Data Fertilizers'!$Q:$Q,"&gt;180",'Data Fertilizers'!$Q:$Q,"&lt;=360")</f>
        <v>0</v>
      </c>
      <c r="N45" s="187">
        <f>SUMIFS('Data Fertilizers'!$D:$D,'Data Fertilizers'!$P:$P,$B45,'Data Fertilizers'!$Q:$Q,"&gt;360")</f>
        <v>0</v>
      </c>
      <c r="O45" s="182">
        <f>SUMIFS('Data Fertilizers'!$D:$D,'Data Fertilizers'!$P:$P,$B45,'Data Fertilizers'!$Q:$Q,"&gt;0")</f>
        <v>0</v>
      </c>
      <c r="P45" s="182">
        <f t="shared" ref="P45" si="18">SUM(Q45:W45)</f>
        <v>299642.08</v>
      </c>
      <c r="Q45" s="182">
        <f>SUMIFS('Data Fertilizers'!$D:$D,'Data Fertilizers'!$P:$P,$B45,'Data Fertilizers'!$Q:$Q,"&lt;=0",'Data Fertilizers'!$Q:$Q,"&gt;=-30")</f>
        <v>0</v>
      </c>
      <c r="R45" s="182">
        <f>SUMIFS('Data Fertilizers'!$D:$D,'Data Fertilizers'!$P:$P,$B45,'Data Fertilizers'!$Q:$Q,"&lt;=-31",'Data Fertilizers'!$Q:$Q,"&gt;=-60")</f>
        <v>0</v>
      </c>
      <c r="S45" s="182">
        <f>SUMIFS('Data Fertilizers'!$D:$D,'Data Fertilizers'!$P:$P,$B45,'Data Fertilizers'!$Q:$Q,"&lt;=-61",'Data Fertilizers'!$Q:$Q,"&gt;=-90")</f>
        <v>0</v>
      </c>
      <c r="T45" s="182">
        <f>SUMIFS('Data Fertilizers'!$D:$D,'Data Fertilizers'!$P:$P,$B45,'Data Fertilizers'!$Q:$Q,"&lt;=-91",'Data Fertilizers'!$Q:$Q,"&gt;=-120")</f>
        <v>0</v>
      </c>
      <c r="U45" s="182">
        <f>SUMIFS('Data Fertilizers'!$D:$D,'Data Fertilizers'!$P:$P,$B45,'Data Fertilizers'!$Q:$Q,"&lt;=-121",'Data Fertilizers'!$Q:$Q,"&gt;=-180")</f>
        <v>0</v>
      </c>
      <c r="V45" s="182">
        <f>SUMIFS('Data Fertilizers'!$D:$D,'Data Fertilizers'!$P:$P,$B45,'Data Fertilizers'!$Q:$Q,"&lt;=-181",'Data Fertilizers'!$Q:$Q,"&gt;=-360")</f>
        <v>299642.08</v>
      </c>
      <c r="W45" s="187">
        <f>SUMIFS('Data Fertilizers'!$D:$D,'Data Fertilizers'!$P:$P,$B45,'Data Fertilizers'!$Q:$Q,"&lt;-360")</f>
        <v>0</v>
      </c>
      <c r="X45" s="237">
        <f>SUMIFS('Bad Debt Provision'!AB:AB,'Bad Debt Provision'!B:B,'Painel Fertilizers'!B45)</f>
        <v>0</v>
      </c>
      <c r="Y45" s="183"/>
      <c r="Z45" s="183"/>
      <c r="AA45" s="182">
        <f>_xlfn.XLOOKUP(B45,'Limite de crédito'!C:C,'Limite de crédito'!O:O,0)</f>
        <v>1000000</v>
      </c>
      <c r="AB45" s="182"/>
      <c r="AC45" s="184"/>
      <c r="AD45" s="185"/>
      <c r="AE45" s="185"/>
      <c r="AF45" s="183"/>
      <c r="AG45" s="182">
        <f>AA45-G45</f>
        <v>700357.91999999993</v>
      </c>
    </row>
    <row r="46" spans="2:34" s="169" customFormat="1" ht="12.6" customHeight="1" x14ac:dyDescent="0.25">
      <c r="B46" s="180" t="s">
        <v>378</v>
      </c>
      <c r="C46" s="242" t="str">
        <f>IFERROR(_xlfn.XLOOKUP(B46,'Limite de crédito'!C:C,'Limite de crédito'!L:L),0)</f>
        <v>B</v>
      </c>
      <c r="D46" s="186">
        <v>180</v>
      </c>
      <c r="E46" s="232">
        <f>_xlfn.XLOOKUP(B46,'Limite de crédito'!C:C,'Limite de crédito'!G:G,0)</f>
        <v>500000</v>
      </c>
      <c r="F46" s="181">
        <f t="shared" ref="F46" si="19">E46-G46</f>
        <v>277191.82999999996</v>
      </c>
      <c r="G46" s="181">
        <f t="shared" ref="G46" si="20">P46+O46</f>
        <v>222808.17</v>
      </c>
      <c r="H46" s="182">
        <f>SUMIFS('Data Fertilizers'!$D:$D,'Data Fertilizers'!$P:$P,$B46,'Data Fertilizers'!$Q:$Q,"&gt;0",'Data Fertilizers'!$Q:$Q,"&lt;=30")</f>
        <v>0</v>
      </c>
      <c r="I46" s="182">
        <f>SUMIFS('Data Fertilizers'!$D:$D,'Data Fertilizers'!$P:$P,$B46,'Data Fertilizers'!$Q:$Q,"&gt;30",'Data Fertilizers'!$Q:$Q,"&lt;=60")</f>
        <v>0</v>
      </c>
      <c r="J46" s="182">
        <f>SUMIFS('Data Fertilizers'!$D:$D,'Data Fertilizers'!$P:$P,$B46,'Data Fertilizers'!$Q:$Q,"&gt;60",'Data Fertilizers'!$Q:$Q,"&lt;=90")</f>
        <v>0</v>
      </c>
      <c r="K46" s="182">
        <f>SUMIFS('Data Fertilizers'!$D:$D,'Data Fertilizers'!$P:$P,$B46,'Data Fertilizers'!$Q:$Q,"&gt;90",'Data Fertilizers'!$Q:$Q,"&lt;=120")</f>
        <v>0</v>
      </c>
      <c r="L46" s="182">
        <f>SUMIFS('Data Fertilizers'!$D:$D,'Data Fertilizers'!$P:$P,$B46,'Data Fertilizers'!$Q:$Q,"&gt;120",'Data Fertilizers'!$Q:$Q,"&lt;=180")</f>
        <v>0</v>
      </c>
      <c r="M46" s="182">
        <f>SUMIFS('Data Fertilizers'!$D:$D,'Data Fertilizers'!$P:$P,$B46,'Data Fertilizers'!$Q:$Q,"&gt;180",'Data Fertilizers'!$Q:$Q,"&lt;=360")</f>
        <v>0</v>
      </c>
      <c r="N46" s="187">
        <f>SUMIFS('Data Fertilizers'!$D:$D,'Data Fertilizers'!$P:$P,$B46,'Data Fertilizers'!$Q:$Q,"&gt;360")</f>
        <v>0</v>
      </c>
      <c r="O46" s="182">
        <f>SUMIFS('Data Fertilizers'!$D:$D,'Data Fertilizers'!$P:$P,$B46,'Data Fertilizers'!$Q:$Q,"&gt;0")</f>
        <v>0</v>
      </c>
      <c r="P46" s="182">
        <f t="shared" ref="P46" si="21">SUM(Q46:W46)</f>
        <v>222808.17</v>
      </c>
      <c r="Q46" s="182">
        <f>SUMIFS('Data Fertilizers'!$D:$D,'Data Fertilizers'!$P:$P,$B46,'Data Fertilizers'!$Q:$Q,"&lt;=0",'Data Fertilizers'!$Q:$Q,"&gt;=-30")</f>
        <v>222808.17</v>
      </c>
      <c r="R46" s="182">
        <f>SUMIFS('Data Fertilizers'!$D:$D,'Data Fertilizers'!$P:$P,$B46,'Data Fertilizers'!$Q:$Q,"&lt;=-31",'Data Fertilizers'!$Q:$Q,"&gt;=-60")</f>
        <v>0</v>
      </c>
      <c r="S46" s="182">
        <f>SUMIFS('Data Fertilizers'!$D:$D,'Data Fertilizers'!$P:$P,$B46,'Data Fertilizers'!$Q:$Q,"&lt;=-61",'Data Fertilizers'!$Q:$Q,"&gt;=-90")</f>
        <v>0</v>
      </c>
      <c r="T46" s="182">
        <f>SUMIFS('Data Fertilizers'!$D:$D,'Data Fertilizers'!$P:$P,$B46,'Data Fertilizers'!$Q:$Q,"&lt;=-91",'Data Fertilizers'!$Q:$Q,"&gt;=-120")</f>
        <v>0</v>
      </c>
      <c r="U46" s="182">
        <f>SUMIFS('Data Fertilizers'!$D:$D,'Data Fertilizers'!$P:$P,$B46,'Data Fertilizers'!$Q:$Q,"&lt;=-121",'Data Fertilizers'!$Q:$Q,"&gt;=-180")</f>
        <v>0</v>
      </c>
      <c r="V46" s="182">
        <f>SUMIFS('Data Fertilizers'!$D:$D,'Data Fertilizers'!$P:$P,$B46,'Data Fertilizers'!$Q:$Q,"&lt;=-181",'Data Fertilizers'!$Q:$Q,"&gt;=-360")</f>
        <v>0</v>
      </c>
      <c r="W46" s="187">
        <f>SUMIFS('Data Fertilizers'!$D:$D,'Data Fertilizers'!$P:$P,$B46,'Data Fertilizers'!$Q:$Q,"&lt;-360")</f>
        <v>0</v>
      </c>
      <c r="X46" s="237">
        <f>SUMIFS('Bad Debt Provision'!AB:AB,'Bad Debt Provision'!B:B,'Painel Fertilizers'!B46)</f>
        <v>0</v>
      </c>
      <c r="Y46" s="183"/>
      <c r="Z46" s="183"/>
      <c r="AA46" s="182">
        <f>_xlfn.XLOOKUP(B46,'Limite de crédito'!C:C,'Limite de crédito'!O:O,0)</f>
        <v>300000</v>
      </c>
      <c r="AB46" s="182"/>
      <c r="AC46" s="184"/>
      <c r="AD46" s="185"/>
      <c r="AE46" s="185"/>
      <c r="AF46" s="183"/>
      <c r="AG46" s="182">
        <f>AA46-G46</f>
        <v>77191.829999999987</v>
      </c>
    </row>
    <row r="47" spans="2:34" s="169" customFormat="1" ht="13.2" customHeight="1" x14ac:dyDescent="0.25">
      <c r="B47" s="180" t="s">
        <v>380</v>
      </c>
      <c r="C47" s="242">
        <f>IFERROR(_xlfn.XLOOKUP(B47,'Limite de crédito'!C:C,'Limite de crédito'!L:L),0)</f>
        <v>0</v>
      </c>
      <c r="D47" s="186">
        <v>180</v>
      </c>
      <c r="E47" s="232">
        <f>_xlfn.XLOOKUP(B47,'Limite de crédito'!C:C,'Limite de crédito'!G:G,0)</f>
        <v>0</v>
      </c>
      <c r="F47" s="181">
        <f t="shared" ref="F47" si="22">E47-G47</f>
        <v>-419948</v>
      </c>
      <c r="G47" s="181">
        <f t="shared" ref="G47" si="23">P47+O47</f>
        <v>419948</v>
      </c>
      <c r="H47" s="182">
        <f>SUMIFS('Data Fertilizers'!$D:$D,'Data Fertilizers'!$P:$P,$B47,'Data Fertilizers'!$Q:$Q,"&gt;0",'Data Fertilizers'!$Q:$Q,"&lt;=30")</f>
        <v>235730.06</v>
      </c>
      <c r="I47" s="182">
        <f>SUMIFS('Data Fertilizers'!$D:$D,'Data Fertilizers'!$P:$P,$B47,'Data Fertilizers'!$Q:$Q,"&gt;30",'Data Fertilizers'!$Q:$Q,"&lt;=60")</f>
        <v>0</v>
      </c>
      <c r="J47" s="182">
        <f>SUMIFS('Data Fertilizers'!$D:$D,'Data Fertilizers'!$P:$P,$B47,'Data Fertilizers'!$Q:$Q,"&gt;60",'Data Fertilizers'!$Q:$Q,"&lt;=90")</f>
        <v>0</v>
      </c>
      <c r="K47" s="182">
        <f>SUMIFS('Data Fertilizers'!$D:$D,'Data Fertilizers'!$P:$P,$B47,'Data Fertilizers'!$Q:$Q,"&gt;90",'Data Fertilizers'!$Q:$Q,"&lt;=120")</f>
        <v>0</v>
      </c>
      <c r="L47" s="182">
        <f>SUMIFS('Data Fertilizers'!$D:$D,'Data Fertilizers'!$P:$P,$B47,'Data Fertilizers'!$Q:$Q,"&gt;120",'Data Fertilizers'!$Q:$Q,"&lt;=180")</f>
        <v>0</v>
      </c>
      <c r="M47" s="182">
        <f>SUMIFS('Data Fertilizers'!$D:$D,'Data Fertilizers'!$P:$P,$B47,'Data Fertilizers'!$Q:$Q,"&gt;180",'Data Fertilizers'!$Q:$Q,"&lt;=360")</f>
        <v>0</v>
      </c>
      <c r="N47" s="187">
        <f>SUMIFS('Data Fertilizers'!$D:$D,'Data Fertilizers'!$P:$P,$B47,'Data Fertilizers'!$Q:$Q,"&gt;360")</f>
        <v>0</v>
      </c>
      <c r="O47" s="182">
        <f>SUMIFS('Data Fertilizers'!$D:$D,'Data Fertilizers'!$P:$P,$B47,'Data Fertilizers'!$Q:$Q,"&gt;0")</f>
        <v>235730.06</v>
      </c>
      <c r="P47" s="182">
        <f t="shared" ref="P47" si="24">SUM(Q47:W47)</f>
        <v>184217.94</v>
      </c>
      <c r="Q47" s="182">
        <f>SUMIFS('Data Fertilizers'!$D:$D,'Data Fertilizers'!$P:$P,$B47,'Data Fertilizers'!$Q:$Q,"&lt;=0",'Data Fertilizers'!$Q:$Q,"&gt;=-30")</f>
        <v>184217.94</v>
      </c>
      <c r="R47" s="182">
        <f>SUMIFS('Data Fertilizers'!$D:$D,'Data Fertilizers'!$P:$P,$B47,'Data Fertilizers'!$Q:$Q,"&lt;=-31",'Data Fertilizers'!$Q:$Q,"&gt;=-60")</f>
        <v>0</v>
      </c>
      <c r="S47" s="182">
        <f>SUMIFS('Data Fertilizers'!$D:$D,'Data Fertilizers'!$P:$P,$B47,'Data Fertilizers'!$Q:$Q,"&lt;=-61",'Data Fertilizers'!$Q:$Q,"&gt;=-90")</f>
        <v>0</v>
      </c>
      <c r="T47" s="182">
        <f>SUMIFS('Data Fertilizers'!$D:$D,'Data Fertilizers'!$P:$P,$B47,'Data Fertilizers'!$Q:$Q,"&lt;=-91",'Data Fertilizers'!$Q:$Q,"&gt;=-120")</f>
        <v>0</v>
      </c>
      <c r="U47" s="182">
        <f>SUMIFS('Data Fertilizers'!$D:$D,'Data Fertilizers'!$P:$P,$B47,'Data Fertilizers'!$Q:$Q,"&lt;=-121",'Data Fertilizers'!$Q:$Q,"&gt;=-180")</f>
        <v>0</v>
      </c>
      <c r="V47" s="182">
        <f>SUMIFS('Data Fertilizers'!$D:$D,'Data Fertilizers'!$P:$P,$B47,'Data Fertilizers'!$Q:$Q,"&lt;=-181",'Data Fertilizers'!$Q:$Q,"&gt;=-360")</f>
        <v>0</v>
      </c>
      <c r="W47" s="187">
        <f>SUMIFS('Data Fertilizers'!$D:$D,'Data Fertilizers'!$P:$P,$B47,'Data Fertilizers'!$Q:$Q,"&lt;-360")</f>
        <v>0</v>
      </c>
      <c r="X47" s="237">
        <f>SUMIFS('Bad Debt Provision'!AB:AB,'Bad Debt Provision'!B:B,'Painel Fertilizers'!B47)</f>
        <v>0</v>
      </c>
      <c r="Y47" s="183"/>
      <c r="Z47" s="183"/>
      <c r="AA47" s="182">
        <f>_xlfn.XLOOKUP(B47,'Limite de crédito'!C:C,'Limite de crédito'!O:O,0)</f>
        <v>0</v>
      </c>
      <c r="AB47" s="182"/>
      <c r="AC47" s="184"/>
      <c r="AD47" s="185"/>
      <c r="AE47" s="185"/>
      <c r="AF47" s="183"/>
      <c r="AG47" s="182">
        <f>AA47-G47</f>
        <v>-419948</v>
      </c>
    </row>
    <row r="48" spans="2:34" s="169" customFormat="1" ht="12.6" customHeight="1" x14ac:dyDescent="0.25">
      <c r="B48" s="180" t="s">
        <v>581</v>
      </c>
      <c r="C48" s="242">
        <f>IFERROR(_xlfn.XLOOKUP(B48,'Limite de crédito'!C:C,'Limite de crédito'!L:L),0)</f>
        <v>0</v>
      </c>
      <c r="D48" s="186">
        <v>180</v>
      </c>
      <c r="E48" s="232">
        <f>_xlfn.XLOOKUP(B48,'Limite de crédito'!C:C,'Limite de crédito'!G:G,0)</f>
        <v>0</v>
      </c>
      <c r="F48" s="181">
        <f t="shared" ref="F48" si="25">E48-G48</f>
        <v>-739540.06</v>
      </c>
      <c r="G48" s="181">
        <f t="shared" ref="G48" si="26">P48+O48</f>
        <v>739540.06</v>
      </c>
      <c r="H48" s="182">
        <f>SUMIFS('Data Fertilizers'!$D:$D,'Data Fertilizers'!$P:$P,$B48,'Data Fertilizers'!$Q:$Q,"&gt;0",'Data Fertilizers'!$Q:$Q,"&lt;=30")</f>
        <v>0</v>
      </c>
      <c r="I48" s="182">
        <f>SUMIFS('Data Fertilizers'!$D:$D,'Data Fertilizers'!$P:$P,$B48,'Data Fertilizers'!$Q:$Q,"&gt;30",'Data Fertilizers'!$Q:$Q,"&lt;=60")</f>
        <v>0</v>
      </c>
      <c r="J48" s="182">
        <f>SUMIFS('Data Fertilizers'!$D:$D,'Data Fertilizers'!$P:$P,$B48,'Data Fertilizers'!$Q:$Q,"&gt;60",'Data Fertilizers'!$Q:$Q,"&lt;=90")</f>
        <v>0</v>
      </c>
      <c r="K48" s="182">
        <f>SUMIFS('Data Fertilizers'!$D:$D,'Data Fertilizers'!$P:$P,$B48,'Data Fertilizers'!$Q:$Q,"&gt;90",'Data Fertilizers'!$Q:$Q,"&lt;=120")</f>
        <v>0</v>
      </c>
      <c r="L48" s="182">
        <f>SUMIFS('Data Fertilizers'!$D:$D,'Data Fertilizers'!$P:$P,$B48,'Data Fertilizers'!$Q:$Q,"&gt;120",'Data Fertilizers'!$Q:$Q,"&lt;=180")</f>
        <v>0</v>
      </c>
      <c r="M48" s="182">
        <f>SUMIFS('Data Fertilizers'!$D:$D,'Data Fertilizers'!$P:$P,$B48,'Data Fertilizers'!$Q:$Q,"&gt;180",'Data Fertilizers'!$Q:$Q,"&lt;=360")</f>
        <v>0</v>
      </c>
      <c r="N48" s="187">
        <f>SUMIFS('Data Fertilizers'!$D:$D,'Data Fertilizers'!$P:$P,$B48,'Data Fertilizers'!$Q:$Q,"&gt;360")</f>
        <v>0</v>
      </c>
      <c r="O48" s="182">
        <f>SUMIFS('Data Fertilizers'!$D:$D,'Data Fertilizers'!$P:$P,$B48,'Data Fertilizers'!$Q:$Q,"&gt;0")</f>
        <v>0</v>
      </c>
      <c r="P48" s="182">
        <f t="shared" ref="P48" si="27">SUM(Q48:W48)</f>
        <v>739540.06</v>
      </c>
      <c r="Q48" s="182">
        <f>SUMIFS('Data Fertilizers'!$D:$D,'Data Fertilizers'!$P:$P,$B48,'Data Fertilizers'!$Q:$Q,"&lt;=0",'Data Fertilizers'!$Q:$Q,"&gt;=-30")</f>
        <v>644571.16</v>
      </c>
      <c r="R48" s="182">
        <f>SUMIFS('Data Fertilizers'!$D:$D,'Data Fertilizers'!$P:$P,$B48,'Data Fertilizers'!$Q:$Q,"&lt;=-31",'Data Fertilizers'!$Q:$Q,"&gt;=-60")</f>
        <v>94968.9</v>
      </c>
      <c r="S48" s="182">
        <f>SUMIFS('Data Fertilizers'!$D:$D,'Data Fertilizers'!$P:$P,$B48,'Data Fertilizers'!$Q:$Q,"&lt;=-61",'Data Fertilizers'!$Q:$Q,"&gt;=-90")</f>
        <v>0</v>
      </c>
      <c r="T48" s="182">
        <f>SUMIFS('Data Fertilizers'!$D:$D,'Data Fertilizers'!$P:$P,$B48,'Data Fertilizers'!$Q:$Q,"&lt;=-91",'Data Fertilizers'!$Q:$Q,"&gt;=-120")</f>
        <v>0</v>
      </c>
      <c r="U48" s="182">
        <f>SUMIFS('Data Fertilizers'!$D:$D,'Data Fertilizers'!$P:$P,$B48,'Data Fertilizers'!$Q:$Q,"&lt;=-121",'Data Fertilizers'!$Q:$Q,"&gt;=-180")</f>
        <v>0</v>
      </c>
      <c r="V48" s="182">
        <f>SUMIFS('Data Fertilizers'!$D:$D,'Data Fertilizers'!$P:$P,$B48,'Data Fertilizers'!$Q:$Q,"&lt;=-181",'Data Fertilizers'!$Q:$Q,"&gt;=-360")</f>
        <v>0</v>
      </c>
      <c r="W48" s="187">
        <f>SUMIFS('Data Fertilizers'!$D:$D,'Data Fertilizers'!$P:$P,$B48,'Data Fertilizers'!$Q:$Q,"&lt;-360")</f>
        <v>0</v>
      </c>
      <c r="X48" s="237">
        <f>SUMIFS('Bad Debt Provision'!AB:AB,'Bad Debt Provision'!B:B,'Painel Fertilizers'!B48)</f>
        <v>0</v>
      </c>
      <c r="Y48" s="183"/>
      <c r="Z48" s="183"/>
      <c r="AA48" s="182">
        <f>_xlfn.XLOOKUP(B48,'Limite de crédito'!C:C,'Limite de crédito'!O:O,0)</f>
        <v>0</v>
      </c>
      <c r="AB48" s="182"/>
      <c r="AC48" s="184"/>
      <c r="AD48" s="185"/>
      <c r="AE48" s="185"/>
      <c r="AF48" s="183"/>
      <c r="AG48" s="182">
        <f t="shared" ref="AG48" si="28">AA48-G48</f>
        <v>-739540.06</v>
      </c>
    </row>
    <row r="49" spans="2:33" s="169" customFormat="1" ht="12.6" customHeight="1" x14ac:dyDescent="0.25">
      <c r="B49" s="180" t="s">
        <v>647</v>
      </c>
      <c r="C49" s="242">
        <f>IFERROR(_xlfn.XLOOKUP(B49,'Limite de crédito'!C:C,'Limite de crédito'!L:L),0)</f>
        <v>0</v>
      </c>
      <c r="D49" s="186">
        <v>180</v>
      </c>
      <c r="E49" s="232">
        <f>_xlfn.XLOOKUP(B49,'Limite de crédito'!C:C,'Limite de crédito'!G:G,0)</f>
        <v>0</v>
      </c>
      <c r="F49" s="181">
        <f t="shared" ref="F49" si="29">E49-G49</f>
        <v>0</v>
      </c>
      <c r="G49" s="181">
        <f t="shared" ref="G49" si="30">P49+O49</f>
        <v>0</v>
      </c>
      <c r="H49" s="182">
        <f>SUMIFS('Data Fertilizers'!$D:$D,'Data Fertilizers'!$P:$P,$B49,'Data Fertilizers'!$Q:$Q,"&gt;0",'Data Fertilizers'!$Q:$Q,"&lt;=30")</f>
        <v>0</v>
      </c>
      <c r="I49" s="182">
        <f>SUMIFS('Data Fertilizers'!$D:$D,'Data Fertilizers'!$P:$P,$B49,'Data Fertilizers'!$Q:$Q,"&gt;30",'Data Fertilizers'!$Q:$Q,"&lt;=60")</f>
        <v>0</v>
      </c>
      <c r="J49" s="182">
        <f>SUMIFS('Data Fertilizers'!$D:$D,'Data Fertilizers'!$P:$P,$B49,'Data Fertilizers'!$Q:$Q,"&gt;60",'Data Fertilizers'!$Q:$Q,"&lt;=90")</f>
        <v>0</v>
      </c>
      <c r="K49" s="182">
        <f>SUMIFS('Data Fertilizers'!$D:$D,'Data Fertilizers'!$P:$P,$B49,'Data Fertilizers'!$Q:$Q,"&gt;90",'Data Fertilizers'!$Q:$Q,"&lt;=120")</f>
        <v>0</v>
      </c>
      <c r="L49" s="182">
        <f>SUMIFS('Data Fertilizers'!$D:$D,'Data Fertilizers'!$P:$P,$B49,'Data Fertilizers'!$Q:$Q,"&gt;120",'Data Fertilizers'!$Q:$Q,"&lt;=180")</f>
        <v>0</v>
      </c>
      <c r="M49" s="182">
        <f>SUMIFS('Data Fertilizers'!$D:$D,'Data Fertilizers'!$P:$P,$B49,'Data Fertilizers'!$Q:$Q,"&gt;180",'Data Fertilizers'!$Q:$Q,"&lt;=360")</f>
        <v>0</v>
      </c>
      <c r="N49" s="187">
        <f>SUMIFS('Data Fertilizers'!$D:$D,'Data Fertilizers'!$P:$P,$B49,'Data Fertilizers'!$Q:$Q,"&gt;360")</f>
        <v>0</v>
      </c>
      <c r="O49" s="182">
        <f>SUMIFS('Data Fertilizers'!$D:$D,'Data Fertilizers'!$P:$P,$B49,'Data Fertilizers'!$Q:$Q,"&gt;0")</f>
        <v>0</v>
      </c>
      <c r="P49" s="182">
        <f t="shared" ref="P49" si="31">SUM(Q49:W49)</f>
        <v>0</v>
      </c>
      <c r="Q49" s="182">
        <f>SUMIFS('Data Fertilizers'!$D:$D,'Data Fertilizers'!$P:$P,$B49,'Data Fertilizers'!$Q:$Q,"&lt;=0",'Data Fertilizers'!$Q:$Q,"&gt;=-30")</f>
        <v>0</v>
      </c>
      <c r="R49" s="182">
        <f>SUMIFS('Data Fertilizers'!$D:$D,'Data Fertilizers'!$P:$P,$B49,'Data Fertilizers'!$Q:$Q,"&lt;=-31",'Data Fertilizers'!$Q:$Q,"&gt;=-60")</f>
        <v>0</v>
      </c>
      <c r="S49" s="182">
        <f>SUMIFS('Data Fertilizers'!$D:$D,'Data Fertilizers'!$P:$P,$B49,'Data Fertilizers'!$Q:$Q,"&lt;=-61",'Data Fertilizers'!$Q:$Q,"&gt;=-90")</f>
        <v>0</v>
      </c>
      <c r="T49" s="182">
        <f>SUMIFS('Data Fertilizers'!$D:$D,'Data Fertilizers'!$P:$P,$B49,'Data Fertilizers'!$Q:$Q,"&lt;=-91",'Data Fertilizers'!$Q:$Q,"&gt;=-120")</f>
        <v>0</v>
      </c>
      <c r="U49" s="182">
        <f>SUMIFS('Data Fertilizers'!$D:$D,'Data Fertilizers'!$P:$P,$B49,'Data Fertilizers'!$Q:$Q,"&lt;=-121",'Data Fertilizers'!$Q:$Q,"&gt;=-180")</f>
        <v>0</v>
      </c>
      <c r="V49" s="182">
        <f>SUMIFS('Data Fertilizers'!$D:$D,'Data Fertilizers'!$P:$P,$B49,'Data Fertilizers'!$Q:$Q,"&lt;=-181",'Data Fertilizers'!$Q:$Q,"&gt;=-360")</f>
        <v>0</v>
      </c>
      <c r="W49" s="187">
        <f>SUMIFS('Data Fertilizers'!$D:$D,'Data Fertilizers'!$P:$P,$B49,'Data Fertilizers'!$Q:$Q,"&lt;-360")</f>
        <v>0</v>
      </c>
      <c r="X49" s="237">
        <f>SUMIFS('Bad Debt Provision'!AB:AB,'Bad Debt Provision'!B:B,'Painel Fertilizers'!B49)</f>
        <v>0</v>
      </c>
      <c r="Y49" s="183"/>
      <c r="Z49" s="183"/>
      <c r="AA49" s="182">
        <f>_xlfn.XLOOKUP(B49,'Limite de crédito'!C:C,'Limite de crédito'!O:O,0)</f>
        <v>0</v>
      </c>
      <c r="AB49" s="182"/>
      <c r="AC49" s="184"/>
      <c r="AD49" s="185"/>
      <c r="AE49" s="185"/>
      <c r="AF49" s="183"/>
      <c r="AG49" s="182">
        <f t="shared" ref="AG49" si="32">AA49-G49</f>
        <v>0</v>
      </c>
    </row>
    <row r="50" spans="2:33" s="169" customFormat="1" ht="12.6" customHeight="1" x14ac:dyDescent="0.25">
      <c r="B50" s="180" t="s">
        <v>630</v>
      </c>
      <c r="C50" s="242" t="str">
        <f>IFERROR(_xlfn.XLOOKUP(B50,'Limite de crédito'!C:C,'Limite de crédito'!L:L),0)</f>
        <v>B</v>
      </c>
      <c r="D50" s="186">
        <v>180</v>
      </c>
      <c r="E50" s="232">
        <f>_xlfn.XLOOKUP(B50,'Limite de crédito'!C:C,'Limite de crédito'!G:G,0)</f>
        <v>750000</v>
      </c>
      <c r="F50" s="181">
        <f t="shared" ref="F50:F55" si="33">E50-G50</f>
        <v>750000</v>
      </c>
      <c r="G50" s="181">
        <f t="shared" ref="G50:G55" si="34">P50+O50</f>
        <v>0</v>
      </c>
      <c r="H50" s="182">
        <f>SUMIFS('Data Fertilizers'!$D:$D,'Data Fertilizers'!$P:$P,$B50,'Data Fertilizers'!$Q:$Q,"&gt;0",'Data Fertilizers'!$Q:$Q,"&lt;=30")</f>
        <v>0</v>
      </c>
      <c r="I50" s="182">
        <f>SUMIFS('Data Fertilizers'!$D:$D,'Data Fertilizers'!$P:$P,$B50,'Data Fertilizers'!$Q:$Q,"&gt;30",'Data Fertilizers'!$Q:$Q,"&lt;=60")</f>
        <v>0</v>
      </c>
      <c r="J50" s="182">
        <f>SUMIFS('Data Fertilizers'!$D:$D,'Data Fertilizers'!$P:$P,$B50,'Data Fertilizers'!$Q:$Q,"&gt;60",'Data Fertilizers'!$Q:$Q,"&lt;=90")</f>
        <v>0</v>
      </c>
      <c r="K50" s="182">
        <f>SUMIFS('Data Fertilizers'!$D:$D,'Data Fertilizers'!$P:$P,$B50,'Data Fertilizers'!$Q:$Q,"&gt;90",'Data Fertilizers'!$Q:$Q,"&lt;=120")</f>
        <v>0</v>
      </c>
      <c r="L50" s="182">
        <f>SUMIFS('Data Fertilizers'!$D:$D,'Data Fertilizers'!$P:$P,$B50,'Data Fertilizers'!$Q:$Q,"&gt;120",'Data Fertilizers'!$Q:$Q,"&lt;=180")</f>
        <v>0</v>
      </c>
      <c r="M50" s="182">
        <f>SUMIFS('Data Fertilizers'!$D:$D,'Data Fertilizers'!$P:$P,$B50,'Data Fertilizers'!$Q:$Q,"&gt;180",'Data Fertilizers'!$Q:$Q,"&lt;=360")</f>
        <v>0</v>
      </c>
      <c r="N50" s="187">
        <f>SUMIFS('Data Fertilizers'!$D:$D,'Data Fertilizers'!$P:$P,$B50,'Data Fertilizers'!$Q:$Q,"&gt;360")</f>
        <v>0</v>
      </c>
      <c r="O50" s="182">
        <f>SUMIFS('Data Fertilizers'!$D:$D,'Data Fertilizers'!$P:$P,$B50,'Data Fertilizers'!$Q:$Q,"&gt;0")</f>
        <v>0</v>
      </c>
      <c r="P50" s="182">
        <f t="shared" ref="P50:P55" si="35">SUM(Q50:W50)</f>
        <v>0</v>
      </c>
      <c r="Q50" s="182">
        <f>SUMIFS('Data Fertilizers'!$D:$D,'Data Fertilizers'!$P:$P,$B50,'Data Fertilizers'!$Q:$Q,"&lt;=0",'Data Fertilizers'!$Q:$Q,"&gt;=-30")</f>
        <v>0</v>
      </c>
      <c r="R50" s="182">
        <f>SUMIFS('Data Fertilizers'!$D:$D,'Data Fertilizers'!$P:$P,$B50,'Data Fertilizers'!$Q:$Q,"&lt;=-31",'Data Fertilizers'!$Q:$Q,"&gt;=-60")</f>
        <v>0</v>
      </c>
      <c r="S50" s="182">
        <f>SUMIFS('Data Fertilizers'!$D:$D,'Data Fertilizers'!$P:$P,$B50,'Data Fertilizers'!$Q:$Q,"&lt;=-61",'Data Fertilizers'!$Q:$Q,"&gt;=-90")</f>
        <v>0</v>
      </c>
      <c r="T50" s="182">
        <f>SUMIFS('Data Fertilizers'!$D:$D,'Data Fertilizers'!$P:$P,$B50,'Data Fertilizers'!$Q:$Q,"&lt;=-91",'Data Fertilizers'!$Q:$Q,"&gt;=-120")</f>
        <v>0</v>
      </c>
      <c r="U50" s="182">
        <f>SUMIFS('Data Fertilizers'!$D:$D,'Data Fertilizers'!$P:$P,$B50,'Data Fertilizers'!$Q:$Q,"&lt;=-121",'Data Fertilizers'!$Q:$Q,"&gt;=-180")</f>
        <v>0</v>
      </c>
      <c r="V50" s="182">
        <f>SUMIFS('Data Fertilizers'!$D:$D,'Data Fertilizers'!$P:$P,$B50,'Data Fertilizers'!$Q:$Q,"&lt;=-181",'Data Fertilizers'!$Q:$Q,"&gt;=-360")</f>
        <v>0</v>
      </c>
      <c r="W50" s="187">
        <f>SUMIFS('Data Fertilizers'!$D:$D,'Data Fertilizers'!$P:$P,$B50,'Data Fertilizers'!$Q:$Q,"&lt;-360")</f>
        <v>0</v>
      </c>
      <c r="X50" s="237">
        <f>SUMIFS('Bad Debt Provision'!AB:AB,'Bad Debt Provision'!B:B,'Painel Fertilizers'!B50)</f>
        <v>0</v>
      </c>
      <c r="Y50" s="183"/>
      <c r="Z50" s="183"/>
      <c r="AA50" s="182">
        <f>_xlfn.XLOOKUP(B50,'Limite de crédito'!C:C,'Limite de crédito'!O:O,0)</f>
        <v>750000</v>
      </c>
      <c r="AB50" s="182"/>
      <c r="AC50" s="184"/>
      <c r="AD50" s="185"/>
      <c r="AE50" s="185"/>
      <c r="AF50" s="183"/>
      <c r="AG50" s="182">
        <f t="shared" ref="AG50:AG55" si="36">AA50-G50</f>
        <v>750000</v>
      </c>
    </row>
    <row r="51" spans="2:33" s="169" customFormat="1" ht="12.6" customHeight="1" x14ac:dyDescent="0.25">
      <c r="B51" s="180" t="s">
        <v>653</v>
      </c>
      <c r="C51" s="242">
        <f>IFERROR(_xlfn.XLOOKUP(B51,'Limite de crédito'!C:C,'Limite de crédito'!L:L),0)</f>
        <v>0</v>
      </c>
      <c r="D51" s="186">
        <v>180</v>
      </c>
      <c r="E51" s="232">
        <f>_xlfn.XLOOKUP(B51,'Limite de crédito'!C:C,'Limite de crédito'!G:G,0)</f>
        <v>0</v>
      </c>
      <c r="F51" s="181">
        <f t="shared" si="33"/>
        <v>0</v>
      </c>
      <c r="G51" s="181">
        <f t="shared" si="34"/>
        <v>0</v>
      </c>
      <c r="H51" s="182">
        <f>SUMIFS('Data Fertilizers'!$D:$D,'Data Fertilizers'!$P:$P,$B51,'Data Fertilizers'!$Q:$Q,"&gt;0",'Data Fertilizers'!$Q:$Q,"&lt;=30")</f>
        <v>0</v>
      </c>
      <c r="I51" s="182">
        <f>SUMIFS('Data Fertilizers'!$D:$D,'Data Fertilizers'!$P:$P,$B51,'Data Fertilizers'!$Q:$Q,"&gt;30",'Data Fertilizers'!$Q:$Q,"&lt;=60")</f>
        <v>0</v>
      </c>
      <c r="J51" s="182">
        <f>SUMIFS('Data Fertilizers'!$D:$D,'Data Fertilizers'!$P:$P,$B51,'Data Fertilizers'!$Q:$Q,"&gt;60",'Data Fertilizers'!$Q:$Q,"&lt;=90")</f>
        <v>0</v>
      </c>
      <c r="K51" s="182">
        <f>SUMIFS('Data Fertilizers'!$D:$D,'Data Fertilizers'!$P:$P,$B51,'Data Fertilizers'!$Q:$Q,"&gt;90",'Data Fertilizers'!$Q:$Q,"&lt;=120")</f>
        <v>0</v>
      </c>
      <c r="L51" s="182">
        <f>SUMIFS('Data Fertilizers'!$D:$D,'Data Fertilizers'!$P:$P,$B51,'Data Fertilizers'!$Q:$Q,"&gt;120",'Data Fertilizers'!$Q:$Q,"&lt;=180")</f>
        <v>0</v>
      </c>
      <c r="M51" s="182">
        <f>SUMIFS('Data Fertilizers'!$D:$D,'Data Fertilizers'!$P:$P,$B51,'Data Fertilizers'!$Q:$Q,"&gt;180",'Data Fertilizers'!$Q:$Q,"&lt;=360")</f>
        <v>0</v>
      </c>
      <c r="N51" s="187">
        <f>SUMIFS('Data Fertilizers'!$D:$D,'Data Fertilizers'!$P:$P,$B51,'Data Fertilizers'!$Q:$Q,"&gt;360")</f>
        <v>0</v>
      </c>
      <c r="O51" s="182">
        <f>SUMIFS('Data Fertilizers'!$D:$D,'Data Fertilizers'!$P:$P,$B51,'Data Fertilizers'!$Q:$Q,"&gt;0")</f>
        <v>0</v>
      </c>
      <c r="P51" s="182">
        <f t="shared" si="35"/>
        <v>0</v>
      </c>
      <c r="Q51" s="182">
        <f>SUMIFS('Data Fertilizers'!$D:$D,'Data Fertilizers'!$P:$P,$B51,'Data Fertilizers'!$Q:$Q,"&lt;=0",'Data Fertilizers'!$Q:$Q,"&gt;=-30")</f>
        <v>0</v>
      </c>
      <c r="R51" s="182">
        <f>SUMIFS('Data Fertilizers'!$D:$D,'Data Fertilizers'!$P:$P,$B51,'Data Fertilizers'!$Q:$Q,"&lt;=-31",'Data Fertilizers'!$Q:$Q,"&gt;=-60")</f>
        <v>0</v>
      </c>
      <c r="S51" s="182">
        <f>SUMIFS('Data Fertilizers'!$D:$D,'Data Fertilizers'!$P:$P,$B51,'Data Fertilizers'!$Q:$Q,"&lt;=-61",'Data Fertilizers'!$Q:$Q,"&gt;=-90")</f>
        <v>0</v>
      </c>
      <c r="T51" s="182">
        <f>SUMIFS('Data Fertilizers'!$D:$D,'Data Fertilizers'!$P:$P,$B51,'Data Fertilizers'!$Q:$Q,"&lt;=-91",'Data Fertilizers'!$Q:$Q,"&gt;=-120")</f>
        <v>0</v>
      </c>
      <c r="U51" s="182">
        <f>SUMIFS('Data Fertilizers'!$D:$D,'Data Fertilizers'!$P:$P,$B51,'Data Fertilizers'!$Q:$Q,"&lt;=-121",'Data Fertilizers'!$Q:$Q,"&gt;=-180")</f>
        <v>0</v>
      </c>
      <c r="V51" s="182">
        <f>SUMIFS('Data Fertilizers'!$D:$D,'Data Fertilizers'!$P:$P,$B51,'Data Fertilizers'!$Q:$Q,"&lt;=-181",'Data Fertilizers'!$Q:$Q,"&gt;=-360")</f>
        <v>0</v>
      </c>
      <c r="W51" s="187">
        <f>SUMIFS('Data Fertilizers'!$D:$D,'Data Fertilizers'!$P:$P,$B51,'Data Fertilizers'!$Q:$Q,"&lt;-360")</f>
        <v>0</v>
      </c>
      <c r="X51" s="237">
        <f>SUMIFS('Bad Debt Provision'!AB:AB,'Bad Debt Provision'!B:B,'Painel Fertilizers'!B51)</f>
        <v>0</v>
      </c>
      <c r="Y51" s="183"/>
      <c r="Z51" s="183"/>
      <c r="AA51" s="182">
        <f>_xlfn.XLOOKUP(B51,'Limite de crédito'!C:C,'Limite de crédito'!O:O,0)</f>
        <v>0</v>
      </c>
      <c r="AB51" s="182"/>
      <c r="AC51" s="184"/>
      <c r="AD51" s="185"/>
      <c r="AE51" s="185"/>
      <c r="AF51" s="183"/>
      <c r="AG51" s="182">
        <f t="shared" si="36"/>
        <v>0</v>
      </c>
    </row>
    <row r="52" spans="2:33" s="169" customFormat="1" ht="12.6" customHeight="1" x14ac:dyDescent="0.25">
      <c r="B52" s="180" t="s">
        <v>660</v>
      </c>
      <c r="C52" s="242" t="str">
        <f>IFERROR(_xlfn.XLOOKUP(B52,'Limite de crédito'!C:C,'Limite de crédito'!L:L),0)</f>
        <v>B</v>
      </c>
      <c r="D52" s="186">
        <v>180</v>
      </c>
      <c r="E52" s="232">
        <f>_xlfn.XLOOKUP(B52,'Limite de crédito'!C:C,'Limite de crédito'!G:G,0)</f>
        <v>50000</v>
      </c>
      <c r="F52" s="181">
        <f t="shared" si="33"/>
        <v>50000</v>
      </c>
      <c r="G52" s="181">
        <f t="shared" si="34"/>
        <v>0</v>
      </c>
      <c r="H52" s="182">
        <f>SUMIFS('Data Fertilizers'!$D:$D,'Data Fertilizers'!$P:$P,$B52,'Data Fertilizers'!$Q:$Q,"&gt;0",'Data Fertilizers'!$Q:$Q,"&lt;=30")</f>
        <v>0</v>
      </c>
      <c r="I52" s="182">
        <f>SUMIFS('Data Fertilizers'!$D:$D,'Data Fertilizers'!$P:$P,$B52,'Data Fertilizers'!$Q:$Q,"&gt;30",'Data Fertilizers'!$Q:$Q,"&lt;=60")</f>
        <v>0</v>
      </c>
      <c r="J52" s="182">
        <f>SUMIFS('Data Fertilizers'!$D:$D,'Data Fertilizers'!$P:$P,$B52,'Data Fertilizers'!$Q:$Q,"&gt;60",'Data Fertilizers'!$Q:$Q,"&lt;=90")</f>
        <v>0</v>
      </c>
      <c r="K52" s="182">
        <f>SUMIFS('Data Fertilizers'!$D:$D,'Data Fertilizers'!$P:$P,$B52,'Data Fertilizers'!$Q:$Q,"&gt;90",'Data Fertilizers'!$Q:$Q,"&lt;=120")</f>
        <v>0</v>
      </c>
      <c r="L52" s="182">
        <f>SUMIFS('Data Fertilizers'!$D:$D,'Data Fertilizers'!$P:$P,$B52,'Data Fertilizers'!$Q:$Q,"&gt;120",'Data Fertilizers'!$Q:$Q,"&lt;=180")</f>
        <v>0</v>
      </c>
      <c r="M52" s="182">
        <f>SUMIFS('Data Fertilizers'!$D:$D,'Data Fertilizers'!$P:$P,$B52,'Data Fertilizers'!$Q:$Q,"&gt;180",'Data Fertilizers'!$Q:$Q,"&lt;=360")</f>
        <v>0</v>
      </c>
      <c r="N52" s="187">
        <f>SUMIFS('Data Fertilizers'!$D:$D,'Data Fertilizers'!$P:$P,$B52,'Data Fertilizers'!$Q:$Q,"&gt;360")</f>
        <v>0</v>
      </c>
      <c r="O52" s="182">
        <f>SUMIFS('Data Fertilizers'!$D:$D,'Data Fertilizers'!$P:$P,$B52,'Data Fertilizers'!$Q:$Q,"&gt;0")</f>
        <v>0</v>
      </c>
      <c r="P52" s="182">
        <f t="shared" si="35"/>
        <v>0</v>
      </c>
      <c r="Q52" s="182">
        <f>SUMIFS('Data Fertilizers'!$D:$D,'Data Fertilizers'!$P:$P,$B52,'Data Fertilizers'!$Q:$Q,"&lt;=0",'Data Fertilizers'!$Q:$Q,"&gt;=-30")</f>
        <v>0</v>
      </c>
      <c r="R52" s="182">
        <f>SUMIFS('Data Fertilizers'!$D:$D,'Data Fertilizers'!$P:$P,$B52,'Data Fertilizers'!$Q:$Q,"&lt;=-31",'Data Fertilizers'!$Q:$Q,"&gt;=-60")</f>
        <v>0</v>
      </c>
      <c r="S52" s="182">
        <f>SUMIFS('Data Fertilizers'!$D:$D,'Data Fertilizers'!$P:$P,$B52,'Data Fertilizers'!$Q:$Q,"&lt;=-61",'Data Fertilizers'!$Q:$Q,"&gt;=-90")</f>
        <v>0</v>
      </c>
      <c r="T52" s="182">
        <f>SUMIFS('Data Fertilizers'!$D:$D,'Data Fertilizers'!$P:$P,$B52,'Data Fertilizers'!$Q:$Q,"&lt;=-91",'Data Fertilizers'!$Q:$Q,"&gt;=-120")</f>
        <v>0</v>
      </c>
      <c r="U52" s="182">
        <f>SUMIFS('Data Fertilizers'!$D:$D,'Data Fertilizers'!$P:$P,$B52,'Data Fertilizers'!$Q:$Q,"&lt;=-121",'Data Fertilizers'!$Q:$Q,"&gt;=-180")</f>
        <v>0</v>
      </c>
      <c r="V52" s="182">
        <f>SUMIFS('Data Fertilizers'!$D:$D,'Data Fertilizers'!$P:$P,$B52,'Data Fertilizers'!$Q:$Q,"&lt;=-181",'Data Fertilizers'!$Q:$Q,"&gt;=-360")</f>
        <v>0</v>
      </c>
      <c r="W52" s="187">
        <f>SUMIFS('Data Fertilizers'!$D:$D,'Data Fertilizers'!$P:$P,$B52,'Data Fertilizers'!$Q:$Q,"&lt;-360")</f>
        <v>0</v>
      </c>
      <c r="X52" s="237">
        <f>SUMIFS('Bad Debt Provision'!AB:AB,'Bad Debt Provision'!B:B,'Painel Fertilizers'!B52)</f>
        <v>0</v>
      </c>
      <c r="Y52" s="183"/>
      <c r="Z52" s="183"/>
      <c r="AA52" s="182">
        <f>_xlfn.XLOOKUP(B52,'Limite de crédito'!C:C,'Limite de crédito'!O:O,0)</f>
        <v>50000</v>
      </c>
      <c r="AB52" s="182"/>
      <c r="AC52" s="184"/>
      <c r="AD52" s="185"/>
      <c r="AE52" s="185"/>
      <c r="AF52" s="183"/>
      <c r="AG52" s="182">
        <f t="shared" si="36"/>
        <v>50000</v>
      </c>
    </row>
    <row r="53" spans="2:33" s="169" customFormat="1" ht="12.6" customHeight="1" x14ac:dyDescent="0.25">
      <c r="B53" s="180" t="s">
        <v>676</v>
      </c>
      <c r="C53" s="242">
        <f>IFERROR(_xlfn.XLOOKUP(B53,'Limite de crédito'!C:C,'Limite de crédito'!L:L),0)</f>
        <v>0</v>
      </c>
      <c r="D53" s="186">
        <v>180</v>
      </c>
      <c r="E53" s="232">
        <f>_xlfn.XLOOKUP(B53,'Limite de crédito'!C:C,'Limite de crédito'!G:G,0)</f>
        <v>0</v>
      </c>
      <c r="F53" s="181">
        <f t="shared" si="33"/>
        <v>0</v>
      </c>
      <c r="G53" s="181">
        <f t="shared" si="34"/>
        <v>0</v>
      </c>
      <c r="H53" s="182">
        <f>SUMIFS('Data Fertilizers'!$D:$D,'Data Fertilizers'!$P:$P,$B53,'Data Fertilizers'!$Q:$Q,"&gt;0",'Data Fertilizers'!$Q:$Q,"&lt;=30")</f>
        <v>0</v>
      </c>
      <c r="I53" s="182">
        <f>SUMIFS('Data Fertilizers'!$D:$D,'Data Fertilizers'!$P:$P,$B53,'Data Fertilizers'!$Q:$Q,"&gt;30",'Data Fertilizers'!$Q:$Q,"&lt;=60")</f>
        <v>0</v>
      </c>
      <c r="J53" s="182">
        <f>SUMIFS('Data Fertilizers'!$D:$D,'Data Fertilizers'!$P:$P,$B53,'Data Fertilizers'!$Q:$Q,"&gt;60",'Data Fertilizers'!$Q:$Q,"&lt;=90")</f>
        <v>0</v>
      </c>
      <c r="K53" s="182">
        <f>SUMIFS('Data Fertilizers'!$D:$D,'Data Fertilizers'!$P:$P,$B53,'Data Fertilizers'!$Q:$Q,"&gt;90",'Data Fertilizers'!$Q:$Q,"&lt;=120")</f>
        <v>0</v>
      </c>
      <c r="L53" s="182">
        <f>SUMIFS('Data Fertilizers'!$D:$D,'Data Fertilizers'!$P:$P,$B53,'Data Fertilizers'!$Q:$Q,"&gt;120",'Data Fertilizers'!$Q:$Q,"&lt;=180")</f>
        <v>0</v>
      </c>
      <c r="M53" s="182">
        <f>SUMIFS('Data Fertilizers'!$D:$D,'Data Fertilizers'!$P:$P,$B53,'Data Fertilizers'!$Q:$Q,"&gt;180",'Data Fertilizers'!$Q:$Q,"&lt;=360")</f>
        <v>0</v>
      </c>
      <c r="N53" s="187">
        <f>SUMIFS('Data Fertilizers'!$D:$D,'Data Fertilizers'!$P:$P,$B53,'Data Fertilizers'!$Q:$Q,"&gt;360")</f>
        <v>0</v>
      </c>
      <c r="O53" s="182">
        <f>SUMIFS('Data Fertilizers'!$D:$D,'Data Fertilizers'!$P:$P,$B53,'Data Fertilizers'!$Q:$Q,"&gt;0")</f>
        <v>0</v>
      </c>
      <c r="P53" s="182">
        <f t="shared" si="35"/>
        <v>0</v>
      </c>
      <c r="Q53" s="182">
        <f>SUMIFS('Data Fertilizers'!$D:$D,'Data Fertilizers'!$P:$P,$B53,'Data Fertilizers'!$Q:$Q,"&lt;=0",'Data Fertilizers'!$Q:$Q,"&gt;=-30")</f>
        <v>0</v>
      </c>
      <c r="R53" s="182">
        <f>SUMIFS('Data Fertilizers'!$D:$D,'Data Fertilizers'!$P:$P,$B53,'Data Fertilizers'!$Q:$Q,"&lt;=-31",'Data Fertilizers'!$Q:$Q,"&gt;=-60")</f>
        <v>0</v>
      </c>
      <c r="S53" s="182">
        <f>SUMIFS('Data Fertilizers'!$D:$D,'Data Fertilizers'!$P:$P,$B53,'Data Fertilizers'!$Q:$Q,"&lt;=-61",'Data Fertilizers'!$Q:$Q,"&gt;=-90")</f>
        <v>0</v>
      </c>
      <c r="T53" s="182">
        <f>SUMIFS('Data Fertilizers'!$D:$D,'Data Fertilizers'!$P:$P,$B53,'Data Fertilizers'!$Q:$Q,"&lt;=-91",'Data Fertilizers'!$Q:$Q,"&gt;=-120")</f>
        <v>0</v>
      </c>
      <c r="U53" s="182">
        <f>SUMIFS('Data Fertilizers'!$D:$D,'Data Fertilizers'!$P:$P,$B53,'Data Fertilizers'!$Q:$Q,"&lt;=-121",'Data Fertilizers'!$Q:$Q,"&gt;=-180")</f>
        <v>0</v>
      </c>
      <c r="V53" s="182">
        <f>SUMIFS('Data Fertilizers'!$D:$D,'Data Fertilizers'!$P:$P,$B53,'Data Fertilizers'!$Q:$Q,"&lt;=-181",'Data Fertilizers'!$Q:$Q,"&gt;=-360")</f>
        <v>0</v>
      </c>
      <c r="W53" s="187">
        <f>SUMIFS('Data Fertilizers'!$D:$D,'Data Fertilizers'!$P:$P,$B53,'Data Fertilizers'!$Q:$Q,"&lt;-360")</f>
        <v>0</v>
      </c>
      <c r="X53" s="237">
        <f>SUMIFS('Bad Debt Provision'!AB:AB,'Bad Debt Provision'!B:B,'Painel Fertilizers'!B53)</f>
        <v>0</v>
      </c>
      <c r="Y53" s="183"/>
      <c r="Z53" s="183"/>
      <c r="AA53" s="182">
        <f>_xlfn.XLOOKUP(B53,'Limite de crédito'!C:C,'Limite de crédito'!O:O,0)</f>
        <v>0</v>
      </c>
      <c r="AB53" s="182"/>
      <c r="AC53" s="184"/>
      <c r="AD53" s="185"/>
      <c r="AE53" s="185"/>
      <c r="AF53" s="183"/>
      <c r="AG53" s="182">
        <f t="shared" si="36"/>
        <v>0</v>
      </c>
    </row>
    <row r="54" spans="2:33" s="169" customFormat="1" ht="12.6" customHeight="1" x14ac:dyDescent="0.25">
      <c r="B54" s="180" t="s">
        <v>671</v>
      </c>
      <c r="C54" s="242" t="str">
        <f>IFERROR(_xlfn.XLOOKUP(B54,'Limite de crédito'!C:C,'Limite de crédito'!L:L),0)</f>
        <v>B</v>
      </c>
      <c r="D54" s="186">
        <v>180</v>
      </c>
      <c r="E54" s="232">
        <f>_xlfn.XLOOKUP(B54,'Limite de crédito'!C:C,'Limite de crédito'!G:G,0)</f>
        <v>1200000</v>
      </c>
      <c r="F54" s="181">
        <f t="shared" si="33"/>
        <v>1179474.2</v>
      </c>
      <c r="G54" s="181">
        <f t="shared" si="34"/>
        <v>20525.8</v>
      </c>
      <c r="H54" s="182">
        <f>SUMIFS('Data Fertilizers'!$D:$D,'Data Fertilizers'!$P:$P,$B54,'Data Fertilizers'!$Q:$Q,"&gt;0",'Data Fertilizers'!$Q:$Q,"&lt;=30")</f>
        <v>0</v>
      </c>
      <c r="I54" s="182">
        <f>SUMIFS('Data Fertilizers'!$D:$D,'Data Fertilizers'!$P:$P,$B54,'Data Fertilizers'!$Q:$Q,"&gt;30",'Data Fertilizers'!$Q:$Q,"&lt;=60")</f>
        <v>0</v>
      </c>
      <c r="J54" s="182">
        <f>SUMIFS('Data Fertilizers'!$D:$D,'Data Fertilizers'!$P:$P,$B54,'Data Fertilizers'!$Q:$Q,"&gt;60",'Data Fertilizers'!$Q:$Q,"&lt;=90")</f>
        <v>0</v>
      </c>
      <c r="K54" s="182">
        <f>SUMIFS('Data Fertilizers'!$D:$D,'Data Fertilizers'!$P:$P,$B54,'Data Fertilizers'!$Q:$Q,"&gt;90",'Data Fertilizers'!$Q:$Q,"&lt;=120")</f>
        <v>0</v>
      </c>
      <c r="L54" s="182">
        <f>SUMIFS('Data Fertilizers'!$D:$D,'Data Fertilizers'!$P:$P,$B54,'Data Fertilizers'!$Q:$Q,"&gt;120",'Data Fertilizers'!$Q:$Q,"&lt;=180")</f>
        <v>0</v>
      </c>
      <c r="M54" s="182">
        <f>SUMIFS('Data Fertilizers'!$D:$D,'Data Fertilizers'!$P:$P,$B54,'Data Fertilizers'!$Q:$Q,"&gt;180",'Data Fertilizers'!$Q:$Q,"&lt;=360")</f>
        <v>0</v>
      </c>
      <c r="N54" s="187">
        <f>SUMIFS('Data Fertilizers'!$D:$D,'Data Fertilizers'!$P:$P,$B54,'Data Fertilizers'!$Q:$Q,"&gt;360")</f>
        <v>0</v>
      </c>
      <c r="O54" s="182">
        <f>SUMIFS('Data Fertilizers'!$D:$D,'Data Fertilizers'!$P:$P,$B54,'Data Fertilizers'!$Q:$Q,"&gt;0")</f>
        <v>0</v>
      </c>
      <c r="P54" s="182">
        <f t="shared" si="35"/>
        <v>20525.8</v>
      </c>
      <c r="Q54" s="182">
        <f>SUMIFS('Data Fertilizers'!$D:$D,'Data Fertilizers'!$P:$P,$B54,'Data Fertilizers'!$Q:$Q,"&lt;=0",'Data Fertilizers'!$Q:$Q,"&gt;=-30")</f>
        <v>20525.8</v>
      </c>
      <c r="R54" s="182">
        <f>SUMIFS('Data Fertilizers'!$D:$D,'Data Fertilizers'!$P:$P,$B54,'Data Fertilizers'!$Q:$Q,"&lt;=-31",'Data Fertilizers'!$Q:$Q,"&gt;=-60")</f>
        <v>0</v>
      </c>
      <c r="S54" s="182">
        <f>SUMIFS('Data Fertilizers'!$D:$D,'Data Fertilizers'!$P:$P,$B54,'Data Fertilizers'!$Q:$Q,"&lt;=-61",'Data Fertilizers'!$Q:$Q,"&gt;=-90")</f>
        <v>0</v>
      </c>
      <c r="T54" s="182">
        <f>SUMIFS('Data Fertilizers'!$D:$D,'Data Fertilizers'!$P:$P,$B54,'Data Fertilizers'!$Q:$Q,"&lt;=-91",'Data Fertilizers'!$Q:$Q,"&gt;=-120")</f>
        <v>0</v>
      </c>
      <c r="U54" s="182">
        <f>SUMIFS('Data Fertilizers'!$D:$D,'Data Fertilizers'!$P:$P,$B54,'Data Fertilizers'!$Q:$Q,"&lt;=-121",'Data Fertilizers'!$Q:$Q,"&gt;=-180")</f>
        <v>0</v>
      </c>
      <c r="V54" s="182">
        <f>SUMIFS('Data Fertilizers'!$D:$D,'Data Fertilizers'!$P:$P,$B54,'Data Fertilizers'!$Q:$Q,"&lt;=-181",'Data Fertilizers'!$Q:$Q,"&gt;=-360")</f>
        <v>0</v>
      </c>
      <c r="W54" s="187">
        <f>SUMIFS('Data Fertilizers'!$D:$D,'Data Fertilizers'!$P:$P,$B54,'Data Fertilizers'!$Q:$Q,"&lt;-360")</f>
        <v>0</v>
      </c>
      <c r="X54" s="237">
        <f>SUMIFS('Bad Debt Provision'!AB:AB,'Bad Debt Provision'!B:B,'Painel Fertilizers'!B54)</f>
        <v>0</v>
      </c>
      <c r="Y54" s="183"/>
      <c r="Z54" s="183"/>
      <c r="AA54" s="182">
        <f>_xlfn.XLOOKUP(B54,'Limite de crédito'!C:C,'Limite de crédito'!O:O,0)</f>
        <v>500000</v>
      </c>
      <c r="AB54" s="182"/>
      <c r="AC54" s="184"/>
      <c r="AD54" s="185"/>
      <c r="AE54" s="185"/>
      <c r="AF54" s="183"/>
      <c r="AG54" s="182">
        <f t="shared" si="36"/>
        <v>479474.2</v>
      </c>
    </row>
    <row r="55" spans="2:33" s="169" customFormat="1" ht="12.6" customHeight="1" x14ac:dyDescent="0.25">
      <c r="B55" s="180" t="s">
        <v>83</v>
      </c>
      <c r="C55" s="242" t="str">
        <f>IFERROR(_xlfn.XLOOKUP(B55,'Limite de crédito'!C:C,'Limite de crédito'!L:L),0)</f>
        <v>B</v>
      </c>
      <c r="D55" s="186">
        <v>180</v>
      </c>
      <c r="E55" s="232">
        <f>_xlfn.XLOOKUP(B55,'Limite de crédito'!C:C,'Limite de crédito'!G:G,0)</f>
        <v>3000000</v>
      </c>
      <c r="F55" s="181">
        <f t="shared" si="33"/>
        <v>2265046.5300000003</v>
      </c>
      <c r="G55" s="181">
        <f t="shared" si="34"/>
        <v>734953.47</v>
      </c>
      <c r="H55" s="182">
        <f>SUMIFS('Data Fertilizers'!$D:$D,'Data Fertilizers'!$P:$P,$B55,'Data Fertilizers'!$Q:$Q,"&gt;0",'Data Fertilizers'!$Q:$Q,"&lt;=30")</f>
        <v>0</v>
      </c>
      <c r="I55" s="182">
        <f>SUMIFS('Data Fertilizers'!$D:$D,'Data Fertilizers'!$P:$P,$B55,'Data Fertilizers'!$Q:$Q,"&gt;30",'Data Fertilizers'!$Q:$Q,"&lt;=60")</f>
        <v>0</v>
      </c>
      <c r="J55" s="182">
        <f>SUMIFS('Data Fertilizers'!$D:$D,'Data Fertilizers'!$P:$P,$B55,'Data Fertilizers'!$Q:$Q,"&gt;60",'Data Fertilizers'!$Q:$Q,"&lt;=90")</f>
        <v>0</v>
      </c>
      <c r="K55" s="182">
        <f>SUMIFS('Data Fertilizers'!$D:$D,'Data Fertilizers'!$P:$P,$B55,'Data Fertilizers'!$Q:$Q,"&gt;90",'Data Fertilizers'!$Q:$Q,"&lt;=120")</f>
        <v>0</v>
      </c>
      <c r="L55" s="182">
        <f>SUMIFS('Data Fertilizers'!$D:$D,'Data Fertilizers'!$P:$P,$B55,'Data Fertilizers'!$Q:$Q,"&gt;120",'Data Fertilizers'!$Q:$Q,"&lt;=180")</f>
        <v>0</v>
      </c>
      <c r="M55" s="182">
        <f>SUMIFS('Data Fertilizers'!$D:$D,'Data Fertilizers'!$P:$P,$B55,'Data Fertilizers'!$Q:$Q,"&gt;180",'Data Fertilizers'!$Q:$Q,"&lt;=360")</f>
        <v>0</v>
      </c>
      <c r="N55" s="187">
        <f>SUMIFS('Data Fertilizers'!$D:$D,'Data Fertilizers'!$P:$P,$B55,'Data Fertilizers'!$Q:$Q,"&gt;360")</f>
        <v>0</v>
      </c>
      <c r="O55" s="182">
        <f>SUMIFS('Data Fertilizers'!$D:$D,'Data Fertilizers'!$P:$P,$B55,'Data Fertilizers'!$Q:$Q,"&gt;0")</f>
        <v>0</v>
      </c>
      <c r="P55" s="182">
        <f t="shared" si="35"/>
        <v>734953.47</v>
      </c>
      <c r="Q55" s="182">
        <f>SUMIFS('Data Fertilizers'!$D:$D,'Data Fertilizers'!$P:$P,$B55,'Data Fertilizers'!$Q:$Q,"&lt;=0",'Data Fertilizers'!$Q:$Q,"&gt;=-30")</f>
        <v>0</v>
      </c>
      <c r="R55" s="182">
        <f>SUMIFS('Data Fertilizers'!$D:$D,'Data Fertilizers'!$P:$P,$B55,'Data Fertilizers'!$Q:$Q,"&lt;=-31",'Data Fertilizers'!$Q:$Q,"&gt;=-60")</f>
        <v>332685.27999999997</v>
      </c>
      <c r="S55" s="182">
        <f>SUMIFS('Data Fertilizers'!$D:$D,'Data Fertilizers'!$P:$P,$B55,'Data Fertilizers'!$Q:$Q,"&lt;=-61",'Data Fertilizers'!$Q:$Q,"&gt;=-90")</f>
        <v>402268.19</v>
      </c>
      <c r="T55" s="182">
        <f>SUMIFS('Data Fertilizers'!$D:$D,'Data Fertilizers'!$P:$P,$B55,'Data Fertilizers'!$Q:$Q,"&lt;=-91",'Data Fertilizers'!$Q:$Q,"&gt;=-120")</f>
        <v>0</v>
      </c>
      <c r="U55" s="182">
        <f>SUMIFS('Data Fertilizers'!$D:$D,'Data Fertilizers'!$P:$P,$B55,'Data Fertilizers'!$Q:$Q,"&lt;=-121",'Data Fertilizers'!$Q:$Q,"&gt;=-180")</f>
        <v>0</v>
      </c>
      <c r="V55" s="182">
        <f>SUMIFS('Data Fertilizers'!$D:$D,'Data Fertilizers'!$P:$P,$B55,'Data Fertilizers'!$Q:$Q,"&lt;=-181",'Data Fertilizers'!$Q:$Q,"&gt;=-360")</f>
        <v>0</v>
      </c>
      <c r="W55" s="187">
        <f>SUMIFS('Data Fertilizers'!$D:$D,'Data Fertilizers'!$P:$P,$B55,'Data Fertilizers'!$Q:$Q,"&lt;-360")</f>
        <v>0</v>
      </c>
      <c r="X55" s="237">
        <f>SUMIFS('Bad Debt Provision'!AB:AB,'Bad Debt Provision'!B:B,'Painel Fertilizers'!B55)</f>
        <v>0</v>
      </c>
      <c r="Y55" s="183"/>
      <c r="Z55" s="183"/>
      <c r="AA55" s="182">
        <f>_xlfn.XLOOKUP(B55,'Limite de crédito'!C:C,'Limite de crédito'!O:O,0)</f>
        <v>3000000</v>
      </c>
      <c r="AB55" s="182"/>
      <c r="AC55" s="184"/>
      <c r="AD55" s="185"/>
      <c r="AE55" s="185"/>
      <c r="AF55" s="183"/>
      <c r="AG55" s="182">
        <f t="shared" si="36"/>
        <v>2265046.5300000003</v>
      </c>
    </row>
    <row r="56" spans="2:33" s="169" customFormat="1" ht="12.6" customHeight="1" x14ac:dyDescent="0.25">
      <c r="B56" s="180" t="s">
        <v>717</v>
      </c>
      <c r="C56" s="242" t="str">
        <f>IFERROR(_xlfn.XLOOKUP(B56,'Limite de crédito'!C:C,'Limite de crédito'!L:L),0)</f>
        <v>C</v>
      </c>
      <c r="D56" s="186">
        <v>180</v>
      </c>
      <c r="E56" s="232">
        <f>_xlfn.XLOOKUP(B56,'Limite de crédito'!C:C,'Limite de crédito'!G:G,0)</f>
        <v>180000</v>
      </c>
      <c r="F56" s="181">
        <f t="shared" ref="F56" si="37">E56-G56</f>
        <v>180000</v>
      </c>
      <c r="G56" s="181">
        <f t="shared" ref="G56" si="38">P56+O56</f>
        <v>0</v>
      </c>
      <c r="H56" s="182">
        <f>SUMIFS('Data Fertilizers'!$D:$D,'Data Fertilizers'!$P:$P,$B56,'Data Fertilizers'!$Q:$Q,"&gt;0",'Data Fertilizers'!$Q:$Q,"&lt;=30")</f>
        <v>0</v>
      </c>
      <c r="I56" s="182">
        <f>SUMIFS('Data Fertilizers'!$D:$D,'Data Fertilizers'!$P:$P,$B56,'Data Fertilizers'!$Q:$Q,"&gt;30",'Data Fertilizers'!$Q:$Q,"&lt;=60")</f>
        <v>0</v>
      </c>
      <c r="J56" s="182">
        <f>SUMIFS('Data Fertilizers'!$D:$D,'Data Fertilizers'!$P:$P,$B56,'Data Fertilizers'!$Q:$Q,"&gt;60",'Data Fertilizers'!$Q:$Q,"&lt;=90")</f>
        <v>0</v>
      </c>
      <c r="K56" s="182">
        <f>SUMIFS('Data Fertilizers'!$D:$D,'Data Fertilizers'!$P:$P,$B56,'Data Fertilizers'!$Q:$Q,"&gt;90",'Data Fertilizers'!$Q:$Q,"&lt;=120")</f>
        <v>0</v>
      </c>
      <c r="L56" s="182">
        <f>SUMIFS('Data Fertilizers'!$D:$D,'Data Fertilizers'!$P:$P,$B56,'Data Fertilizers'!$Q:$Q,"&gt;120",'Data Fertilizers'!$Q:$Q,"&lt;=180")</f>
        <v>0</v>
      </c>
      <c r="M56" s="182">
        <f>SUMIFS('Data Fertilizers'!$D:$D,'Data Fertilizers'!$P:$P,$B56,'Data Fertilizers'!$Q:$Q,"&gt;180",'Data Fertilizers'!$Q:$Q,"&lt;=360")</f>
        <v>0</v>
      </c>
      <c r="N56" s="187">
        <f>SUMIFS('Data Fertilizers'!$D:$D,'Data Fertilizers'!$P:$P,$B56,'Data Fertilizers'!$Q:$Q,"&gt;360")</f>
        <v>0</v>
      </c>
      <c r="O56" s="182">
        <f>SUMIFS('Data Fertilizers'!$D:$D,'Data Fertilizers'!$P:$P,$B56,'Data Fertilizers'!$Q:$Q,"&gt;0")</f>
        <v>0</v>
      </c>
      <c r="P56" s="182">
        <f t="shared" ref="P56" si="39">SUM(Q56:W56)</f>
        <v>0</v>
      </c>
      <c r="Q56" s="182">
        <f>SUMIFS('Data Fertilizers'!$D:$D,'Data Fertilizers'!$P:$P,$B56,'Data Fertilizers'!$Q:$Q,"&lt;=0",'Data Fertilizers'!$Q:$Q,"&gt;=-30")</f>
        <v>0</v>
      </c>
      <c r="R56" s="182">
        <f>SUMIFS('Data Fertilizers'!$D:$D,'Data Fertilizers'!$P:$P,$B56,'Data Fertilizers'!$Q:$Q,"&lt;=-31",'Data Fertilizers'!$Q:$Q,"&gt;=-60")</f>
        <v>0</v>
      </c>
      <c r="S56" s="182">
        <f>SUMIFS('Data Fertilizers'!$D:$D,'Data Fertilizers'!$P:$P,$B56,'Data Fertilizers'!$Q:$Q,"&lt;=-61",'Data Fertilizers'!$Q:$Q,"&gt;=-90")</f>
        <v>0</v>
      </c>
      <c r="T56" s="182">
        <f>SUMIFS('Data Fertilizers'!$D:$D,'Data Fertilizers'!$P:$P,$B56,'Data Fertilizers'!$Q:$Q,"&lt;=-91",'Data Fertilizers'!$Q:$Q,"&gt;=-120")</f>
        <v>0</v>
      </c>
      <c r="U56" s="182">
        <f>SUMIFS('Data Fertilizers'!$D:$D,'Data Fertilizers'!$P:$P,$B56,'Data Fertilizers'!$Q:$Q,"&lt;=-121",'Data Fertilizers'!$Q:$Q,"&gt;=-180")</f>
        <v>0</v>
      </c>
      <c r="V56" s="182">
        <f>SUMIFS('Data Fertilizers'!$D:$D,'Data Fertilizers'!$P:$P,$B56,'Data Fertilizers'!$Q:$Q,"&lt;=-181",'Data Fertilizers'!$Q:$Q,"&gt;=-360")</f>
        <v>0</v>
      </c>
      <c r="W56" s="187">
        <f>SUMIFS('Data Fertilizers'!$D:$D,'Data Fertilizers'!$P:$P,$B56,'Data Fertilizers'!$Q:$Q,"&lt;-360")</f>
        <v>0</v>
      </c>
      <c r="X56" s="237">
        <f>SUMIFS('Bad Debt Provision'!AB:AB,'Bad Debt Provision'!B:B,'Painel Fertilizers'!B56)</f>
        <v>0</v>
      </c>
      <c r="Y56" s="183"/>
      <c r="Z56" s="183"/>
      <c r="AA56" s="182">
        <f>_xlfn.XLOOKUP(B56,'Limite de crédito'!C:C,'Limite de crédito'!O:O,0)</f>
        <v>0</v>
      </c>
      <c r="AB56" s="182"/>
      <c r="AC56" s="184"/>
      <c r="AD56" s="185"/>
      <c r="AE56" s="185"/>
      <c r="AF56" s="183"/>
      <c r="AG56" s="182">
        <f t="shared" ref="AG56" si="40">AA56-G56</f>
        <v>0</v>
      </c>
    </row>
    <row r="57" spans="2:33" s="169" customFormat="1" ht="12.6" customHeight="1" x14ac:dyDescent="0.25">
      <c r="B57" s="180" t="s">
        <v>732</v>
      </c>
      <c r="C57" s="242">
        <f>IFERROR(_xlfn.XLOOKUP(B57,'Limite de crédito'!C:C,'Limite de crédito'!L:L),0)</f>
        <v>0</v>
      </c>
      <c r="D57" s="186">
        <v>180</v>
      </c>
      <c r="E57" s="232">
        <f>_xlfn.XLOOKUP(B57,'Limite de crédito'!C:C,'Limite de crédito'!G:G,0)</f>
        <v>0</v>
      </c>
      <c r="F57" s="181">
        <f t="shared" ref="F57" si="41">E57-G57</f>
        <v>0</v>
      </c>
      <c r="G57" s="181">
        <f t="shared" ref="G57" si="42">P57+O57</f>
        <v>0</v>
      </c>
      <c r="H57" s="182">
        <f>SUMIFS('Data Fertilizers'!$D:$D,'Data Fertilizers'!$P:$P,$B57,'Data Fertilizers'!$Q:$Q,"&gt;0",'Data Fertilizers'!$Q:$Q,"&lt;=30")</f>
        <v>0</v>
      </c>
      <c r="I57" s="182">
        <f>SUMIFS('Data Fertilizers'!$D:$D,'Data Fertilizers'!$P:$P,$B57,'Data Fertilizers'!$Q:$Q,"&gt;30",'Data Fertilizers'!$Q:$Q,"&lt;=60")</f>
        <v>0</v>
      </c>
      <c r="J57" s="182">
        <f>SUMIFS('Data Fertilizers'!$D:$D,'Data Fertilizers'!$P:$P,$B57,'Data Fertilizers'!$Q:$Q,"&gt;60",'Data Fertilizers'!$Q:$Q,"&lt;=90")</f>
        <v>0</v>
      </c>
      <c r="K57" s="182">
        <f>SUMIFS('Data Fertilizers'!$D:$D,'Data Fertilizers'!$P:$P,$B57,'Data Fertilizers'!$Q:$Q,"&gt;90",'Data Fertilizers'!$Q:$Q,"&lt;=120")</f>
        <v>0</v>
      </c>
      <c r="L57" s="182">
        <f>SUMIFS('Data Fertilizers'!$D:$D,'Data Fertilizers'!$P:$P,$B57,'Data Fertilizers'!$Q:$Q,"&gt;120",'Data Fertilizers'!$Q:$Q,"&lt;=180")</f>
        <v>0</v>
      </c>
      <c r="M57" s="182">
        <f>SUMIFS('Data Fertilizers'!$D:$D,'Data Fertilizers'!$P:$P,$B57,'Data Fertilizers'!$Q:$Q,"&gt;180",'Data Fertilizers'!$Q:$Q,"&lt;=360")</f>
        <v>0</v>
      </c>
      <c r="N57" s="187">
        <f>SUMIFS('Data Fertilizers'!$D:$D,'Data Fertilizers'!$P:$P,$B57,'Data Fertilizers'!$Q:$Q,"&gt;360")</f>
        <v>0</v>
      </c>
      <c r="O57" s="182">
        <f>SUMIFS('Data Fertilizers'!$D:$D,'Data Fertilizers'!$P:$P,$B57,'Data Fertilizers'!$Q:$Q,"&gt;0")</f>
        <v>0</v>
      </c>
      <c r="P57" s="182">
        <f t="shared" ref="P57" si="43">SUM(Q57:W57)</f>
        <v>0</v>
      </c>
      <c r="Q57" s="182">
        <f>SUMIFS('Data Fertilizers'!$D:$D,'Data Fertilizers'!$P:$P,$B57,'Data Fertilizers'!$Q:$Q,"&lt;=0",'Data Fertilizers'!$Q:$Q,"&gt;=-30")</f>
        <v>0</v>
      </c>
      <c r="R57" s="182">
        <f>SUMIFS('Data Fertilizers'!$D:$D,'Data Fertilizers'!$P:$P,$B57,'Data Fertilizers'!$Q:$Q,"&lt;=-31",'Data Fertilizers'!$Q:$Q,"&gt;=-60")</f>
        <v>0</v>
      </c>
      <c r="S57" s="182">
        <f>SUMIFS('Data Fertilizers'!$D:$D,'Data Fertilizers'!$P:$P,$B57,'Data Fertilizers'!$Q:$Q,"&lt;=-61",'Data Fertilizers'!$Q:$Q,"&gt;=-90")</f>
        <v>0</v>
      </c>
      <c r="T57" s="182">
        <f>SUMIFS('Data Fertilizers'!$D:$D,'Data Fertilizers'!$P:$P,$B57,'Data Fertilizers'!$Q:$Q,"&lt;=-91",'Data Fertilizers'!$Q:$Q,"&gt;=-120")</f>
        <v>0</v>
      </c>
      <c r="U57" s="182">
        <f>SUMIFS('Data Fertilizers'!$D:$D,'Data Fertilizers'!$P:$P,$B57,'Data Fertilizers'!$Q:$Q,"&lt;=-121",'Data Fertilizers'!$Q:$Q,"&gt;=-180")</f>
        <v>0</v>
      </c>
      <c r="V57" s="182">
        <f>SUMIFS('Data Fertilizers'!$D:$D,'Data Fertilizers'!$P:$P,$B57,'Data Fertilizers'!$Q:$Q,"&lt;=-181",'Data Fertilizers'!$Q:$Q,"&gt;=-360")</f>
        <v>0</v>
      </c>
      <c r="W57" s="187">
        <f>SUMIFS('Data Fertilizers'!$D:$D,'Data Fertilizers'!$P:$P,$B57,'Data Fertilizers'!$Q:$Q,"&lt;-360")</f>
        <v>0</v>
      </c>
      <c r="X57" s="237">
        <f>SUMIFS('Bad Debt Provision'!AB:AB,'Bad Debt Provision'!B:B,'Painel Fertilizers'!B57)</f>
        <v>0</v>
      </c>
      <c r="Y57" s="183"/>
      <c r="Z57" s="183"/>
      <c r="AA57" s="182">
        <f>_xlfn.XLOOKUP(B57,'Limite de crédito'!C:C,'Limite de crédito'!O:O,0)</f>
        <v>0</v>
      </c>
      <c r="AB57" s="182"/>
      <c r="AC57" s="184"/>
      <c r="AD57" s="185"/>
      <c r="AE57" s="185"/>
      <c r="AF57" s="183"/>
      <c r="AG57" s="182">
        <f t="shared" ref="AG57" si="44">AA57-G57</f>
        <v>0</v>
      </c>
    </row>
    <row r="58" spans="2:33" s="169" customFormat="1" ht="12.6" customHeight="1" x14ac:dyDescent="0.25">
      <c r="B58" s="180" t="s">
        <v>496</v>
      </c>
      <c r="C58" s="242" t="str">
        <f>IFERROR(_xlfn.XLOOKUP(B58,'Limite de crédito'!C:C,'Limite de crédito'!L:L),0)</f>
        <v>B</v>
      </c>
      <c r="D58" s="186">
        <v>180</v>
      </c>
      <c r="E58" s="232">
        <f>_xlfn.XLOOKUP(B58,'Limite de crédito'!C:C,'Limite de crédito'!G:G,0)</f>
        <v>200000</v>
      </c>
      <c r="F58" s="181">
        <f t="shared" ref="F58" si="45">E58-G58</f>
        <v>200000</v>
      </c>
      <c r="G58" s="181">
        <f t="shared" ref="G58" si="46">P58+O58</f>
        <v>0</v>
      </c>
      <c r="H58" s="182">
        <f>SUMIFS('Data Fertilizers'!$D:$D,'Data Fertilizers'!$P:$P,$B58,'Data Fertilizers'!$Q:$Q,"&gt;0",'Data Fertilizers'!$Q:$Q,"&lt;=30")</f>
        <v>0</v>
      </c>
      <c r="I58" s="182">
        <f>SUMIFS('Data Fertilizers'!$D:$D,'Data Fertilizers'!$P:$P,$B58,'Data Fertilizers'!$Q:$Q,"&gt;30",'Data Fertilizers'!$Q:$Q,"&lt;=60")</f>
        <v>0</v>
      </c>
      <c r="J58" s="182">
        <f>SUMIFS('Data Fertilizers'!$D:$D,'Data Fertilizers'!$P:$P,$B58,'Data Fertilizers'!$Q:$Q,"&gt;60",'Data Fertilizers'!$Q:$Q,"&lt;=90")</f>
        <v>0</v>
      </c>
      <c r="K58" s="182">
        <f>SUMIFS('Data Fertilizers'!$D:$D,'Data Fertilizers'!$P:$P,$B58,'Data Fertilizers'!$Q:$Q,"&gt;90",'Data Fertilizers'!$Q:$Q,"&lt;=120")</f>
        <v>0</v>
      </c>
      <c r="L58" s="182">
        <f>SUMIFS('Data Fertilizers'!$D:$D,'Data Fertilizers'!$P:$P,$B58,'Data Fertilizers'!$Q:$Q,"&gt;120",'Data Fertilizers'!$Q:$Q,"&lt;=180")</f>
        <v>0</v>
      </c>
      <c r="M58" s="182">
        <f>SUMIFS('Data Fertilizers'!$D:$D,'Data Fertilizers'!$P:$P,$B58,'Data Fertilizers'!$Q:$Q,"&gt;180",'Data Fertilizers'!$Q:$Q,"&lt;=360")</f>
        <v>0</v>
      </c>
      <c r="N58" s="187">
        <f>SUMIFS('Data Fertilizers'!$D:$D,'Data Fertilizers'!$P:$P,$B58,'Data Fertilizers'!$Q:$Q,"&gt;360")</f>
        <v>0</v>
      </c>
      <c r="O58" s="182">
        <f>SUMIFS('Data Fertilizers'!$D:$D,'Data Fertilizers'!$P:$P,$B58,'Data Fertilizers'!$Q:$Q,"&gt;0")</f>
        <v>0</v>
      </c>
      <c r="P58" s="182">
        <f t="shared" ref="P58" si="47">SUM(Q58:W58)</f>
        <v>0</v>
      </c>
      <c r="Q58" s="182">
        <f>SUMIFS('Data Fertilizers'!$D:$D,'Data Fertilizers'!$P:$P,$B58,'Data Fertilizers'!$Q:$Q,"&lt;=0",'Data Fertilizers'!$Q:$Q,"&gt;=-30")</f>
        <v>0</v>
      </c>
      <c r="R58" s="182">
        <f>SUMIFS('Data Fertilizers'!$D:$D,'Data Fertilizers'!$P:$P,$B58,'Data Fertilizers'!$Q:$Q,"&lt;=-31",'Data Fertilizers'!$Q:$Q,"&gt;=-60")</f>
        <v>0</v>
      </c>
      <c r="S58" s="182">
        <f>SUMIFS('Data Fertilizers'!$D:$D,'Data Fertilizers'!$P:$P,$B58,'Data Fertilizers'!$Q:$Q,"&lt;=-61",'Data Fertilizers'!$Q:$Q,"&gt;=-90")</f>
        <v>0</v>
      </c>
      <c r="T58" s="182">
        <f>SUMIFS('Data Fertilizers'!$D:$D,'Data Fertilizers'!$P:$P,$B58,'Data Fertilizers'!$Q:$Q,"&lt;=-91",'Data Fertilizers'!$Q:$Q,"&gt;=-120")</f>
        <v>0</v>
      </c>
      <c r="U58" s="182">
        <f>SUMIFS('Data Fertilizers'!$D:$D,'Data Fertilizers'!$P:$P,$B58,'Data Fertilizers'!$Q:$Q,"&lt;=-121",'Data Fertilizers'!$Q:$Q,"&gt;=-180")</f>
        <v>0</v>
      </c>
      <c r="V58" s="182">
        <f>SUMIFS('Data Fertilizers'!$D:$D,'Data Fertilizers'!$P:$P,$B58,'Data Fertilizers'!$Q:$Q,"&lt;=-181",'Data Fertilizers'!$Q:$Q,"&gt;=-360")</f>
        <v>0</v>
      </c>
      <c r="W58" s="187">
        <f>SUMIFS('Data Fertilizers'!$D:$D,'Data Fertilizers'!$P:$P,$B58,'Data Fertilizers'!$Q:$Q,"&lt;-360")</f>
        <v>0</v>
      </c>
      <c r="X58" s="237">
        <f>SUMIFS('Bad Debt Provision'!AB:AB,'Bad Debt Provision'!B:B,'Painel Fertilizers'!B58)</f>
        <v>0</v>
      </c>
      <c r="Y58" s="183"/>
      <c r="Z58" s="183"/>
      <c r="AA58" s="182">
        <f>_xlfn.XLOOKUP(B58,'Limite de crédito'!C:C,'Limite de crédito'!O:O,0)</f>
        <v>200000</v>
      </c>
      <c r="AB58" s="182"/>
      <c r="AC58" s="184"/>
      <c r="AD58" s="185"/>
      <c r="AE58" s="185"/>
      <c r="AF58" s="183"/>
      <c r="AG58" s="182">
        <f t="shared" ref="AG58" si="48">AA58-G58</f>
        <v>200000</v>
      </c>
    </row>
    <row r="59" spans="2:33" s="169" customFormat="1" ht="12.6" customHeight="1" x14ac:dyDescent="0.25">
      <c r="B59" s="180" t="s">
        <v>733</v>
      </c>
      <c r="C59" s="242">
        <f>IFERROR(_xlfn.XLOOKUP(B59,'Limite de crédito'!C:C,'Limite de crédito'!L:L),0)</f>
        <v>0</v>
      </c>
      <c r="D59" s="186">
        <v>180</v>
      </c>
      <c r="E59" s="232">
        <f>_xlfn.XLOOKUP(B59,'Limite de crédito'!C:C,'Limite de crédito'!G:G,0)</f>
        <v>0</v>
      </c>
      <c r="F59" s="181">
        <f t="shared" ref="F59" si="49">E59-G59</f>
        <v>0</v>
      </c>
      <c r="G59" s="181">
        <f t="shared" ref="G59" si="50">P59+O59</f>
        <v>0</v>
      </c>
      <c r="H59" s="182">
        <f>SUMIFS('Data Fertilizers'!$D:$D,'Data Fertilizers'!$P:$P,$B59,'Data Fertilizers'!$Q:$Q,"&gt;0",'Data Fertilizers'!$Q:$Q,"&lt;=30")</f>
        <v>0</v>
      </c>
      <c r="I59" s="182">
        <f>SUMIFS('Data Fertilizers'!$D:$D,'Data Fertilizers'!$P:$P,$B59,'Data Fertilizers'!$Q:$Q,"&gt;30",'Data Fertilizers'!$Q:$Q,"&lt;=60")</f>
        <v>0</v>
      </c>
      <c r="J59" s="182">
        <f>SUMIFS('Data Fertilizers'!$D:$D,'Data Fertilizers'!$P:$P,$B59,'Data Fertilizers'!$Q:$Q,"&gt;60",'Data Fertilizers'!$Q:$Q,"&lt;=90")</f>
        <v>0</v>
      </c>
      <c r="K59" s="182">
        <f>SUMIFS('Data Fertilizers'!$D:$D,'Data Fertilizers'!$P:$P,$B59,'Data Fertilizers'!$Q:$Q,"&gt;90",'Data Fertilizers'!$Q:$Q,"&lt;=120")</f>
        <v>0</v>
      </c>
      <c r="L59" s="182">
        <f>SUMIFS('Data Fertilizers'!$D:$D,'Data Fertilizers'!$P:$P,$B59,'Data Fertilizers'!$Q:$Q,"&gt;120",'Data Fertilizers'!$Q:$Q,"&lt;=180")</f>
        <v>0</v>
      </c>
      <c r="M59" s="182">
        <f>SUMIFS('Data Fertilizers'!$D:$D,'Data Fertilizers'!$P:$P,$B59,'Data Fertilizers'!$Q:$Q,"&gt;180",'Data Fertilizers'!$Q:$Q,"&lt;=360")</f>
        <v>0</v>
      </c>
      <c r="N59" s="187">
        <f>SUMIFS('Data Fertilizers'!$D:$D,'Data Fertilizers'!$P:$P,$B59,'Data Fertilizers'!$Q:$Q,"&gt;360")</f>
        <v>0</v>
      </c>
      <c r="O59" s="182">
        <f>SUMIFS('Data Fertilizers'!$D:$D,'Data Fertilizers'!$P:$P,$B59,'Data Fertilizers'!$Q:$Q,"&gt;0")</f>
        <v>0</v>
      </c>
      <c r="P59" s="182">
        <f t="shared" ref="P59" si="51">SUM(Q59:W59)</f>
        <v>0</v>
      </c>
      <c r="Q59" s="182">
        <f>SUMIFS('Data Fertilizers'!$D:$D,'Data Fertilizers'!$P:$P,$B59,'Data Fertilizers'!$Q:$Q,"&lt;=0",'Data Fertilizers'!$Q:$Q,"&gt;=-30")</f>
        <v>0</v>
      </c>
      <c r="R59" s="182">
        <f>SUMIFS('Data Fertilizers'!$D:$D,'Data Fertilizers'!$P:$P,$B59,'Data Fertilizers'!$Q:$Q,"&lt;=-31",'Data Fertilizers'!$Q:$Q,"&gt;=-60")</f>
        <v>0</v>
      </c>
      <c r="S59" s="182">
        <f>SUMIFS('Data Fertilizers'!$D:$D,'Data Fertilizers'!$P:$P,$B59,'Data Fertilizers'!$Q:$Q,"&lt;=-61",'Data Fertilizers'!$Q:$Q,"&gt;=-90")</f>
        <v>0</v>
      </c>
      <c r="T59" s="182">
        <f>SUMIFS('Data Fertilizers'!$D:$D,'Data Fertilizers'!$P:$P,$B59,'Data Fertilizers'!$Q:$Q,"&lt;=-91",'Data Fertilizers'!$Q:$Q,"&gt;=-120")</f>
        <v>0</v>
      </c>
      <c r="U59" s="182">
        <f>SUMIFS('Data Fertilizers'!$D:$D,'Data Fertilizers'!$P:$P,$B59,'Data Fertilizers'!$Q:$Q,"&lt;=-121",'Data Fertilizers'!$Q:$Q,"&gt;=-180")</f>
        <v>0</v>
      </c>
      <c r="V59" s="182">
        <f>SUMIFS('Data Fertilizers'!$D:$D,'Data Fertilizers'!$P:$P,$B59,'Data Fertilizers'!$Q:$Q,"&lt;=-181",'Data Fertilizers'!$Q:$Q,"&gt;=-360")</f>
        <v>0</v>
      </c>
      <c r="W59" s="187">
        <f>SUMIFS('Data Fertilizers'!$D:$D,'Data Fertilizers'!$P:$P,$B59,'Data Fertilizers'!$Q:$Q,"&lt;-360")</f>
        <v>0</v>
      </c>
      <c r="X59" s="237">
        <f>SUMIFS('Bad Debt Provision'!AB:AB,'Bad Debt Provision'!B:B,'Painel Fertilizers'!B59)</f>
        <v>0</v>
      </c>
      <c r="Y59" s="183"/>
      <c r="Z59" s="183"/>
      <c r="AA59" s="182">
        <f>_xlfn.XLOOKUP(B59,'Limite de crédito'!C:C,'Limite de crédito'!O:O,0)</f>
        <v>0</v>
      </c>
      <c r="AB59" s="182"/>
      <c r="AC59" s="184"/>
      <c r="AD59" s="185"/>
      <c r="AE59" s="185"/>
      <c r="AF59" s="183"/>
      <c r="AG59" s="182">
        <f t="shared" ref="AG59" si="52">AA59-G59</f>
        <v>0</v>
      </c>
    </row>
    <row r="60" spans="2:33" s="169" customFormat="1" ht="12.6" customHeight="1" x14ac:dyDescent="0.25">
      <c r="B60" s="180" t="s">
        <v>299</v>
      </c>
      <c r="C60" s="242" t="str">
        <f>IFERROR(_xlfn.XLOOKUP(B60,'Limite de crédito'!C:C,'Limite de crédito'!L:L),0)</f>
        <v>B</v>
      </c>
      <c r="D60" s="186">
        <v>180</v>
      </c>
      <c r="E60" s="232">
        <f>_xlfn.XLOOKUP(B60,'Limite de crédito'!C:C,'Limite de crédito'!G:G,0)</f>
        <v>750000</v>
      </c>
      <c r="F60" s="181">
        <f t="shared" ref="F60" si="53">E60-G60</f>
        <v>750000</v>
      </c>
      <c r="G60" s="181">
        <f t="shared" ref="G60" si="54">P60+O60</f>
        <v>0</v>
      </c>
      <c r="H60" s="182">
        <f>SUMIFS('Data Fertilizers'!$D:$D,'Data Fertilizers'!$P:$P,$B60,'Data Fertilizers'!$Q:$Q,"&gt;0",'Data Fertilizers'!$Q:$Q,"&lt;=30")</f>
        <v>0</v>
      </c>
      <c r="I60" s="182">
        <f>SUMIFS('Data Fertilizers'!$D:$D,'Data Fertilizers'!$P:$P,$B60,'Data Fertilizers'!$Q:$Q,"&gt;30",'Data Fertilizers'!$Q:$Q,"&lt;=60")</f>
        <v>0</v>
      </c>
      <c r="J60" s="182">
        <f>SUMIFS('Data Fertilizers'!$D:$D,'Data Fertilizers'!$P:$P,$B60,'Data Fertilizers'!$Q:$Q,"&gt;60",'Data Fertilizers'!$Q:$Q,"&lt;=90")</f>
        <v>0</v>
      </c>
      <c r="K60" s="182">
        <f>SUMIFS('Data Fertilizers'!$D:$D,'Data Fertilizers'!$P:$P,$B60,'Data Fertilizers'!$Q:$Q,"&gt;90",'Data Fertilizers'!$Q:$Q,"&lt;=120")</f>
        <v>0</v>
      </c>
      <c r="L60" s="182">
        <f>SUMIFS('Data Fertilizers'!$D:$D,'Data Fertilizers'!$P:$P,$B60,'Data Fertilizers'!$Q:$Q,"&gt;120",'Data Fertilizers'!$Q:$Q,"&lt;=180")</f>
        <v>0</v>
      </c>
      <c r="M60" s="182">
        <f>SUMIFS('Data Fertilizers'!$D:$D,'Data Fertilizers'!$P:$P,$B60,'Data Fertilizers'!$Q:$Q,"&gt;180",'Data Fertilizers'!$Q:$Q,"&lt;=360")</f>
        <v>0</v>
      </c>
      <c r="N60" s="187">
        <f>SUMIFS('Data Fertilizers'!$D:$D,'Data Fertilizers'!$P:$P,$B60,'Data Fertilizers'!$Q:$Q,"&gt;360")</f>
        <v>0</v>
      </c>
      <c r="O60" s="182">
        <f>SUMIFS('Data Fertilizers'!$D:$D,'Data Fertilizers'!$P:$P,$B60,'Data Fertilizers'!$Q:$Q,"&gt;0")</f>
        <v>0</v>
      </c>
      <c r="P60" s="182">
        <f t="shared" ref="P60" si="55">SUM(Q60:W60)</f>
        <v>0</v>
      </c>
      <c r="Q60" s="182">
        <f>SUMIFS('Data Fertilizers'!$D:$D,'Data Fertilizers'!$P:$P,$B60,'Data Fertilizers'!$Q:$Q,"&lt;=0",'Data Fertilizers'!$Q:$Q,"&gt;=-30")</f>
        <v>0</v>
      </c>
      <c r="R60" s="182">
        <f>SUMIFS('Data Fertilizers'!$D:$D,'Data Fertilizers'!$P:$P,$B60,'Data Fertilizers'!$Q:$Q,"&lt;=-31",'Data Fertilizers'!$Q:$Q,"&gt;=-60")</f>
        <v>0</v>
      </c>
      <c r="S60" s="182">
        <f>SUMIFS('Data Fertilizers'!$D:$D,'Data Fertilizers'!$P:$P,$B60,'Data Fertilizers'!$Q:$Q,"&lt;=-61",'Data Fertilizers'!$Q:$Q,"&gt;=-90")</f>
        <v>0</v>
      </c>
      <c r="T60" s="182">
        <f>SUMIFS('Data Fertilizers'!$D:$D,'Data Fertilizers'!$P:$P,$B60,'Data Fertilizers'!$Q:$Q,"&lt;=-91",'Data Fertilizers'!$Q:$Q,"&gt;=-120")</f>
        <v>0</v>
      </c>
      <c r="U60" s="182">
        <f>SUMIFS('Data Fertilizers'!$D:$D,'Data Fertilizers'!$P:$P,$B60,'Data Fertilizers'!$Q:$Q,"&lt;=-121",'Data Fertilizers'!$Q:$Q,"&gt;=-180")</f>
        <v>0</v>
      </c>
      <c r="V60" s="182">
        <f>SUMIFS('Data Fertilizers'!$D:$D,'Data Fertilizers'!$P:$P,$B60,'Data Fertilizers'!$Q:$Q,"&lt;=-181",'Data Fertilizers'!$Q:$Q,"&gt;=-360")</f>
        <v>0</v>
      </c>
      <c r="W60" s="187">
        <f>SUMIFS('Data Fertilizers'!$D:$D,'Data Fertilizers'!$P:$P,$B60,'Data Fertilizers'!$Q:$Q,"&lt;-360")</f>
        <v>0</v>
      </c>
      <c r="X60" s="237">
        <f>SUMIFS('Bad Debt Provision'!AB:AB,'Bad Debt Provision'!B:B,'Painel Fertilizers'!B60)</f>
        <v>0</v>
      </c>
      <c r="Y60" s="183"/>
      <c r="Z60" s="183"/>
      <c r="AA60" s="182">
        <f>_xlfn.XLOOKUP(B60,'Limite de crédito'!C:C,'Limite de crédito'!O:O,0)</f>
        <v>100000</v>
      </c>
      <c r="AB60" s="182"/>
      <c r="AC60" s="184"/>
      <c r="AD60" s="185"/>
      <c r="AE60" s="185"/>
      <c r="AF60" s="183"/>
      <c r="AG60" s="182">
        <f t="shared" ref="AG60" si="56">AA60-G60</f>
        <v>100000</v>
      </c>
    </row>
    <row r="61" spans="2:33" s="169" customFormat="1" ht="12.6" customHeight="1" x14ac:dyDescent="0.25">
      <c r="B61" s="180" t="s">
        <v>766</v>
      </c>
      <c r="C61" s="242" t="str">
        <f>IFERROR(_xlfn.XLOOKUP(B61,'Limite de crédito'!C:C,'Limite de crédito'!L:L),0)</f>
        <v>B</v>
      </c>
      <c r="D61" s="186">
        <v>180</v>
      </c>
      <c r="E61" s="232">
        <f>_xlfn.XLOOKUP(B61,'Limite de crédito'!C:C,'Limite de crédito'!G:G,0)</f>
        <v>200000</v>
      </c>
      <c r="F61" s="181">
        <f t="shared" ref="F61:F62" si="57">E61-G61</f>
        <v>200000</v>
      </c>
      <c r="G61" s="181">
        <f t="shared" ref="G61:G62" si="58">P61+O61</f>
        <v>0</v>
      </c>
      <c r="H61" s="182">
        <f>SUMIFS('Data Fertilizers'!$D:$D,'Data Fertilizers'!$P:$P,$B61,'Data Fertilizers'!$Q:$Q,"&gt;0",'Data Fertilizers'!$Q:$Q,"&lt;=30")</f>
        <v>0</v>
      </c>
      <c r="I61" s="182">
        <f>SUMIFS('Data Fertilizers'!$D:$D,'Data Fertilizers'!$P:$P,$B61,'Data Fertilizers'!$Q:$Q,"&gt;30",'Data Fertilizers'!$Q:$Q,"&lt;=60")</f>
        <v>0</v>
      </c>
      <c r="J61" s="182">
        <f>SUMIFS('Data Fertilizers'!$D:$D,'Data Fertilizers'!$P:$P,$B61,'Data Fertilizers'!$Q:$Q,"&gt;60",'Data Fertilizers'!$Q:$Q,"&lt;=90")</f>
        <v>0</v>
      </c>
      <c r="K61" s="182">
        <f>SUMIFS('Data Fertilizers'!$D:$D,'Data Fertilizers'!$P:$P,$B61,'Data Fertilizers'!$Q:$Q,"&gt;90",'Data Fertilizers'!$Q:$Q,"&lt;=120")</f>
        <v>0</v>
      </c>
      <c r="L61" s="182">
        <f>SUMIFS('Data Fertilizers'!$D:$D,'Data Fertilizers'!$P:$P,$B61,'Data Fertilizers'!$Q:$Q,"&gt;120",'Data Fertilizers'!$Q:$Q,"&lt;=180")</f>
        <v>0</v>
      </c>
      <c r="M61" s="182">
        <f>SUMIFS('Data Fertilizers'!$D:$D,'Data Fertilizers'!$P:$P,$B61,'Data Fertilizers'!$Q:$Q,"&gt;180",'Data Fertilizers'!$Q:$Q,"&lt;=360")</f>
        <v>0</v>
      </c>
      <c r="N61" s="187">
        <f>SUMIFS('Data Fertilizers'!$D:$D,'Data Fertilizers'!$P:$P,$B61,'Data Fertilizers'!$Q:$Q,"&gt;360")</f>
        <v>0</v>
      </c>
      <c r="O61" s="182">
        <f>SUMIFS('Data Fertilizers'!$D:$D,'Data Fertilizers'!$P:$P,$B61,'Data Fertilizers'!$Q:$Q,"&gt;0")</f>
        <v>0</v>
      </c>
      <c r="P61" s="182">
        <f t="shared" ref="P61:P62" si="59">SUM(Q61:W61)</f>
        <v>0</v>
      </c>
      <c r="Q61" s="182">
        <f>SUMIFS('Data Fertilizers'!$D:$D,'Data Fertilizers'!$P:$P,$B61,'Data Fertilizers'!$Q:$Q,"&lt;=0",'Data Fertilizers'!$Q:$Q,"&gt;=-30")</f>
        <v>0</v>
      </c>
      <c r="R61" s="182">
        <f>SUMIFS('Data Fertilizers'!$D:$D,'Data Fertilizers'!$P:$P,$B61,'Data Fertilizers'!$Q:$Q,"&lt;=-31",'Data Fertilizers'!$Q:$Q,"&gt;=-60")</f>
        <v>0</v>
      </c>
      <c r="S61" s="182">
        <f>SUMIFS('Data Fertilizers'!$D:$D,'Data Fertilizers'!$P:$P,$B61,'Data Fertilizers'!$Q:$Q,"&lt;=-61",'Data Fertilizers'!$Q:$Q,"&gt;=-90")</f>
        <v>0</v>
      </c>
      <c r="T61" s="182">
        <f>SUMIFS('Data Fertilizers'!$D:$D,'Data Fertilizers'!$P:$P,$B61,'Data Fertilizers'!$Q:$Q,"&lt;=-91",'Data Fertilizers'!$Q:$Q,"&gt;=-120")</f>
        <v>0</v>
      </c>
      <c r="U61" s="182">
        <f>SUMIFS('Data Fertilizers'!$D:$D,'Data Fertilizers'!$P:$P,$B61,'Data Fertilizers'!$Q:$Q,"&lt;=-121",'Data Fertilizers'!$Q:$Q,"&gt;=-180")</f>
        <v>0</v>
      </c>
      <c r="V61" s="182">
        <f>SUMIFS('Data Fertilizers'!$D:$D,'Data Fertilizers'!$P:$P,$B61,'Data Fertilizers'!$Q:$Q,"&lt;=-181",'Data Fertilizers'!$Q:$Q,"&gt;=-360")</f>
        <v>0</v>
      </c>
      <c r="W61" s="187">
        <f>SUMIFS('Data Fertilizers'!$D:$D,'Data Fertilizers'!$P:$P,$B61,'Data Fertilizers'!$Q:$Q,"&lt;-360")</f>
        <v>0</v>
      </c>
      <c r="X61" s="237">
        <f>SUMIFS('Bad Debt Provision'!AB:AB,'Bad Debt Provision'!B:B,'Painel Fertilizers'!B61)</f>
        <v>0</v>
      </c>
      <c r="Y61" s="183"/>
      <c r="Z61" s="183"/>
      <c r="AA61" s="182">
        <f>_xlfn.XLOOKUP(B61,'Limite de crédito'!C:C,'Limite de crédito'!O:O,0)</f>
        <v>200000</v>
      </c>
      <c r="AB61" s="182"/>
      <c r="AC61" s="184"/>
      <c r="AD61" s="185"/>
      <c r="AE61" s="185"/>
      <c r="AF61" s="183"/>
      <c r="AG61" s="182">
        <f t="shared" ref="AG61:AG62" si="60">AA61-G61</f>
        <v>200000</v>
      </c>
    </row>
    <row r="62" spans="2:33" s="169" customFormat="1" ht="12.6" customHeight="1" x14ac:dyDescent="0.25">
      <c r="B62" s="180" t="s">
        <v>862</v>
      </c>
      <c r="C62" s="242" t="str">
        <f>IFERROR(_xlfn.XLOOKUP(B62,'Limite de crédito'!C:C,'Limite de crédito'!L:L),0)</f>
        <v>B</v>
      </c>
      <c r="D62" s="186">
        <v>180</v>
      </c>
      <c r="E62" s="232">
        <f>_xlfn.XLOOKUP(B62,'Limite de crédito'!C:C,'Limite de crédito'!G:G,0)</f>
        <v>300000</v>
      </c>
      <c r="F62" s="181">
        <f t="shared" si="57"/>
        <v>300000</v>
      </c>
      <c r="G62" s="181">
        <f t="shared" si="58"/>
        <v>0</v>
      </c>
      <c r="H62" s="182">
        <f>SUMIFS('Data Fertilizers'!$D:$D,'Data Fertilizers'!$P:$P,$B62,'Data Fertilizers'!$Q:$Q,"&gt;0",'Data Fertilizers'!$Q:$Q,"&lt;=30")</f>
        <v>0</v>
      </c>
      <c r="I62" s="182">
        <f>SUMIFS('Data Fertilizers'!$D:$D,'Data Fertilizers'!$P:$P,$B62,'Data Fertilizers'!$Q:$Q,"&gt;30",'Data Fertilizers'!$Q:$Q,"&lt;=60")</f>
        <v>0</v>
      </c>
      <c r="J62" s="182">
        <f>SUMIFS('Data Fertilizers'!$D:$D,'Data Fertilizers'!$P:$P,$B62,'Data Fertilizers'!$Q:$Q,"&gt;60",'Data Fertilizers'!$Q:$Q,"&lt;=90")</f>
        <v>0</v>
      </c>
      <c r="K62" s="182">
        <f>SUMIFS('Data Fertilizers'!$D:$D,'Data Fertilizers'!$P:$P,$B62,'Data Fertilizers'!$Q:$Q,"&gt;90",'Data Fertilizers'!$Q:$Q,"&lt;=120")</f>
        <v>0</v>
      </c>
      <c r="L62" s="182">
        <f>SUMIFS('Data Fertilizers'!$D:$D,'Data Fertilizers'!$P:$P,$B62,'Data Fertilizers'!$Q:$Q,"&gt;120",'Data Fertilizers'!$Q:$Q,"&lt;=180")</f>
        <v>0</v>
      </c>
      <c r="M62" s="182">
        <f>SUMIFS('Data Fertilizers'!$D:$D,'Data Fertilizers'!$P:$P,$B62,'Data Fertilizers'!$Q:$Q,"&gt;180",'Data Fertilizers'!$Q:$Q,"&lt;=360")</f>
        <v>0</v>
      </c>
      <c r="N62" s="187">
        <f>SUMIFS('Data Fertilizers'!$D:$D,'Data Fertilizers'!$P:$P,$B62,'Data Fertilizers'!$Q:$Q,"&gt;360")</f>
        <v>0</v>
      </c>
      <c r="O62" s="182">
        <f>SUMIFS('Data Fertilizers'!$D:$D,'Data Fertilizers'!$P:$P,$B62,'Data Fertilizers'!$Q:$Q,"&gt;0")</f>
        <v>0</v>
      </c>
      <c r="P62" s="182">
        <f t="shared" si="59"/>
        <v>0</v>
      </c>
      <c r="Q62" s="182">
        <f>SUMIFS('Data Fertilizers'!$D:$D,'Data Fertilizers'!$P:$P,$B62,'Data Fertilizers'!$Q:$Q,"&lt;=0",'Data Fertilizers'!$Q:$Q,"&gt;=-30")</f>
        <v>0</v>
      </c>
      <c r="R62" s="182">
        <f>SUMIFS('Data Fertilizers'!$D:$D,'Data Fertilizers'!$P:$P,$B62,'Data Fertilizers'!$Q:$Q,"&lt;=-31",'Data Fertilizers'!$Q:$Q,"&gt;=-60")</f>
        <v>0</v>
      </c>
      <c r="S62" s="182">
        <f>SUMIFS('Data Fertilizers'!$D:$D,'Data Fertilizers'!$P:$P,$B62,'Data Fertilizers'!$Q:$Q,"&lt;=-61",'Data Fertilizers'!$Q:$Q,"&gt;=-90")</f>
        <v>0</v>
      </c>
      <c r="T62" s="182">
        <f>SUMIFS('Data Fertilizers'!$D:$D,'Data Fertilizers'!$P:$P,$B62,'Data Fertilizers'!$Q:$Q,"&lt;=-91",'Data Fertilizers'!$Q:$Q,"&gt;=-120")</f>
        <v>0</v>
      </c>
      <c r="U62" s="182">
        <f>SUMIFS('Data Fertilizers'!$D:$D,'Data Fertilizers'!$P:$P,$B62,'Data Fertilizers'!$Q:$Q,"&lt;=-121",'Data Fertilizers'!$Q:$Q,"&gt;=-180")</f>
        <v>0</v>
      </c>
      <c r="V62" s="182">
        <f>SUMIFS('Data Fertilizers'!$D:$D,'Data Fertilizers'!$P:$P,$B62,'Data Fertilizers'!$Q:$Q,"&lt;=-181",'Data Fertilizers'!$Q:$Q,"&gt;=-360")</f>
        <v>0</v>
      </c>
      <c r="W62" s="187">
        <f>SUMIFS('Data Fertilizers'!$D:$D,'Data Fertilizers'!$P:$P,$B62,'Data Fertilizers'!$Q:$Q,"&lt;-360")</f>
        <v>0</v>
      </c>
      <c r="X62" s="237">
        <f>SUMIFS('Bad Debt Provision'!AB:AB,'Bad Debt Provision'!B:B,'Painel Fertilizers'!B62)</f>
        <v>0</v>
      </c>
      <c r="Y62" s="183"/>
      <c r="Z62" s="183"/>
      <c r="AA62" s="182">
        <f>_xlfn.XLOOKUP(B62,'Limite de crédito'!C:C,'Limite de crédito'!O:O,0)</f>
        <v>300000</v>
      </c>
      <c r="AB62" s="182"/>
      <c r="AC62" s="184"/>
      <c r="AD62" s="185"/>
      <c r="AE62" s="185"/>
      <c r="AF62" s="183"/>
      <c r="AG62" s="182">
        <f t="shared" si="60"/>
        <v>300000</v>
      </c>
    </row>
  </sheetData>
  <autoFilter ref="A3:AK48" xr:uid="{117863FC-9796-447F-B76F-A494F594C433}"/>
  <mergeCells count="3">
    <mergeCell ref="H2:N2"/>
    <mergeCell ref="Q2:W2"/>
    <mergeCell ref="AI2:A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3081-5D89-42A4-AC0D-C73617B1B79A}">
  <sheetPr>
    <tabColor theme="4"/>
  </sheetPr>
  <dimension ref="A1:AL173"/>
  <sheetViews>
    <sheetView showGridLines="0" zoomScale="80" zoomScaleNormal="80" workbookViewId="0">
      <pane xSplit="2" ySplit="3" topLeftCell="C4" activePane="bottomRight" state="frozen"/>
      <selection sqref="A1:XFD1048576"/>
      <selection pane="topRight" sqref="A1:XFD1048576"/>
      <selection pane="bottomLeft" sqref="A1:XFD1048576"/>
      <selection pane="bottomRight" activeCell="E4" sqref="E4"/>
    </sheetView>
  </sheetViews>
  <sheetFormatPr defaultRowHeight="13.2" outlineLevelCol="1" x14ac:dyDescent="0.25"/>
  <cols>
    <col min="1" max="1" width="3.109375" customWidth="1"/>
    <col min="2" max="2" width="43.5546875" customWidth="1"/>
    <col min="3" max="3" width="9.6640625" customWidth="1"/>
    <col min="4" max="4" width="11.88671875" customWidth="1"/>
    <col min="5" max="5" width="12.66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45307</v>
      </c>
      <c r="C1" s="11"/>
      <c r="D1" s="11"/>
      <c r="E1" s="11"/>
      <c r="F1" s="9">
        <f t="shared" ref="F1:N1" si="0">SUBTOTAL(9,F4:F246)</f>
        <v>15497013.169999998</v>
      </c>
      <c r="G1" s="9">
        <f t="shared" si="0"/>
        <v>190997.6</v>
      </c>
      <c r="H1" s="9">
        <f t="shared" si="0"/>
        <v>0</v>
      </c>
      <c r="I1" s="9">
        <f t="shared" si="0"/>
        <v>0</v>
      </c>
      <c r="J1" s="9">
        <f t="shared" si="0"/>
        <v>0</v>
      </c>
      <c r="K1" s="9">
        <f t="shared" si="0"/>
        <v>0</v>
      </c>
      <c r="L1" s="9">
        <f t="shared" si="0"/>
        <v>64.2</v>
      </c>
      <c r="M1" s="9">
        <f t="shared" si="0"/>
        <v>483754.64</v>
      </c>
      <c r="N1" s="9">
        <f t="shared" si="0"/>
        <v>674816.44000000006</v>
      </c>
      <c r="O1" s="9">
        <f t="shared" ref="O1:W1" si="1">SUM(O4:O247)</f>
        <v>14822196.729999999</v>
      </c>
      <c r="P1" s="9">
        <f t="shared" si="1"/>
        <v>7876570.7599999988</v>
      </c>
      <c r="Q1" s="9">
        <f t="shared" si="1"/>
        <v>5912027.5700000003</v>
      </c>
      <c r="R1" s="9">
        <f t="shared" si="1"/>
        <v>996918.6</v>
      </c>
      <c r="S1" s="9">
        <f t="shared" si="1"/>
        <v>36679.800000000003</v>
      </c>
      <c r="T1" s="9">
        <f t="shared" si="1"/>
        <v>0</v>
      </c>
      <c r="U1" s="9">
        <f t="shared" si="1"/>
        <v>0</v>
      </c>
      <c r="V1" s="9">
        <f t="shared" si="1"/>
        <v>0</v>
      </c>
      <c r="W1" s="9" t="e">
        <f t="shared" si="1"/>
        <v>#REF!</v>
      </c>
      <c r="X1" s="10"/>
      <c r="Y1" s="42">
        <f>N1/F1</f>
        <v>4.354493556902618E-2</v>
      </c>
      <c r="Z1" s="10"/>
      <c r="AA1" s="14"/>
      <c r="AB1" s="10"/>
      <c r="AE1" s="10"/>
      <c r="AF1" s="14"/>
      <c r="AG1" s="10"/>
      <c r="AH1" s="27"/>
      <c r="AI1" s="10"/>
    </row>
    <row r="2" spans="1:38" ht="18.600000000000001" customHeight="1" thickBot="1" x14ac:dyDescent="0.3">
      <c r="B2" s="8"/>
      <c r="C2" s="95"/>
      <c r="D2" s="95"/>
      <c r="E2" s="95"/>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95" t="s">
        <v>436</v>
      </c>
      <c r="D3" s="103"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5.75" customHeight="1" thickTop="1" x14ac:dyDescent="0.25">
      <c r="B4" s="41" t="s">
        <v>413</v>
      </c>
      <c r="C4" s="94" t="s">
        <v>469</v>
      </c>
      <c r="D4" s="18" cm="1">
        <f t="array" ref="D4">IFERROR(INDEX('Limite de crédito'!$F:$F, MATCH(MAX(IF('Limite de crédito'!$C:$C=$B4, 'Limite de crédito'!$A:$A)), 'Limite de crédito'!$A:$A, 0)),0)</f>
        <v>0</v>
      </c>
      <c r="E4" s="18">
        <f t="shared" ref="E4:E35" si="2">D4-F4</f>
        <v>0</v>
      </c>
      <c r="F4" s="18">
        <f t="shared" ref="F4:F35" si="3">O4+N4</f>
        <v>0</v>
      </c>
      <c r="G4" s="19">
        <f>SUMIFS('Data Additive'!$D:$D,'Data Additive'!$P:$P,'Painel Additive'!#REF!,'Data Additive'!$Q:$Q,"&gt;0",'Data Additive'!$Q:$Q,"&lt;=30")</f>
        <v>0</v>
      </c>
      <c r="H4" s="19">
        <f>SUMIFS('Data Additive'!$D:$D,'Data Additive'!$P:$P,'Painel Additive'!#REF!,'Data Additive'!$Q:$Q,"&gt;30",'Data Additive'!$Q:$Q,"&lt;=60")</f>
        <v>0</v>
      </c>
      <c r="I4" s="19">
        <f>SUMIFS('Data Additive'!$D:$D,'Data Additive'!$P:$P,'Painel Additive'!#REF!,'Data Additive'!$Q:$Q,"&gt;60",'Data Additive'!$Q:$Q,"&lt;=90")</f>
        <v>0</v>
      </c>
      <c r="J4" s="19">
        <f>SUMIFS('Data Additive'!$D:$D,'Data Additive'!$P:$P,'Painel Additive'!#REF!,'Data Additive'!$Q:$Q,"&gt;90",'Data Additive'!$Q:$Q,"&lt;=120")</f>
        <v>0</v>
      </c>
      <c r="K4" s="19">
        <f>SUMIFS('Data Additive'!$D:$D,'Data Additive'!$P:$P,'Painel Additive'!#REF!,'Data Additive'!$Q:$Q,"&gt;120",'Data Additive'!$Q:$Q,"&lt;=180")</f>
        <v>0</v>
      </c>
      <c r="L4" s="19">
        <f>SUMIFS('Data Additive'!$D:$D,'Data Additive'!$P:$P,'Painel Additive'!#REF!,'Data Additive'!$Q:$Q,"&gt;180",'Data Additive'!$Q:$Q,"&lt;=360")</f>
        <v>0</v>
      </c>
      <c r="M4" s="23">
        <f>SUMIFS('Data Additive'!$D:$D,'Data Additive'!$P:$P,'Painel Additive'!#REF!,'Data Additive'!$Q:$Q,"&gt;360")</f>
        <v>0</v>
      </c>
      <c r="N4" s="19">
        <f>SUMIFS('Data Additive'!$D:$D,'Data Additive'!$P:$P,'Painel Additive'!#REF!,'Data Additive'!$Q:$Q,"&gt;0")</f>
        <v>0</v>
      </c>
      <c r="O4" s="19">
        <f t="shared" ref="O4:O35" si="4">SUBTOTAL(9,P4:V4)</f>
        <v>0</v>
      </c>
      <c r="P4" s="19">
        <f>SUMIFS('Data Additive'!$D:$D,'Data Additive'!$P:$P,'Painel Additive'!#REF!,'Data Additive'!$Q:$Q,"&lt;=0",'Data Additive'!$Q:$Q,"&gt;=-30")</f>
        <v>0</v>
      </c>
      <c r="Q4" s="19">
        <f>SUMIFS('Data Additive'!$D:$D,'Data Additive'!$P:$P,'Painel Additive'!#REF!,'Data Additive'!$Q:$Q,"&lt;=-31",'Data Additive'!$Q:$Q,"&gt;=-60")</f>
        <v>0</v>
      </c>
      <c r="R4" s="19">
        <f>SUMIFS('Data Additive'!$D:$D,'Data Additive'!$P:$P,'Painel Additive'!#REF!,'Data Additive'!$Q:$Q,"&lt;=-61",'Data Additive'!$Q:$Q,"&gt;=-90")</f>
        <v>0</v>
      </c>
      <c r="S4" s="19">
        <f>SUMIFS('Data Additive'!$D:$D,'Data Additive'!$P:$P,'Painel Additive'!#REF!,'Data Additive'!$Q:$Q,"&lt;=-91",'Data Additive'!$Q:$Q,"&gt;=-120")</f>
        <v>0</v>
      </c>
      <c r="T4" s="19">
        <f>SUMIFS('Data Additive'!$D:$D,'Data Additive'!$P:$P,'Painel Additive'!#REF!,'Data Additive'!$Q:$Q,"&lt;=-121",'Data Additive'!$Q:$Q,"&gt;=-180")</f>
        <v>0</v>
      </c>
      <c r="U4" s="19">
        <f>SUMIFS('Data Additive'!$D:$D,'Data Additive'!$P:$P,'Painel Additive'!#REF!,'Data Additive'!$Q:$Q,"&lt;=-181",'Data Additive'!$Q:$Q,"&gt;=-360")</f>
        <v>0</v>
      </c>
      <c r="V4" s="23">
        <f>SUMIFS('Data Additive'!$D:$D,'Data Additive'!$P:$P,'Painel Additive'!#REF!,'Data Additive'!$Q:$Q,"&lt;-360")</f>
        <v>0</v>
      </c>
      <c r="W4" s="19" t="e">
        <f>SUMIFS('Bad Debt Provision'!#REF!,'Bad Debt Provision'!#REF!,'Painel Additive'!#REF!)</f>
        <v>#REF!</v>
      </c>
      <c r="X4" s="5"/>
      <c r="Y4" s="20"/>
      <c r="Z4" s="20"/>
      <c r="AA4" s="21"/>
      <c r="AB4" s="5"/>
      <c r="AC4" s="19"/>
      <c r="AD4" s="20"/>
      <c r="AE4" s="22"/>
      <c r="AF4" s="22"/>
      <c r="AG4" s="5"/>
      <c r="AH4" s="28">
        <f t="shared" ref="AH4:AH35" si="5">AC4-F4</f>
        <v>0</v>
      </c>
    </row>
    <row r="5" spans="1:38" ht="15.75" customHeight="1" x14ac:dyDescent="0.25">
      <c r="B5" s="41" t="s">
        <v>412</v>
      </c>
      <c r="C5" s="94" t="s">
        <v>469</v>
      </c>
      <c r="D5" s="18" cm="1">
        <f t="array" ref="D5">IFERROR(INDEX('Limite de crédito'!$F:$F, MATCH(MAX(IF('Limite de crédito'!$C:$C=$B5, 'Limite de crédito'!$A:$A)), 'Limite de crédito'!$A:$A, 0)),0)</f>
        <v>0</v>
      </c>
      <c r="E5" s="18">
        <f t="shared" si="2"/>
        <v>0</v>
      </c>
      <c r="F5" s="18">
        <f t="shared" si="3"/>
        <v>0</v>
      </c>
      <c r="G5" s="19">
        <f>SUMIFS('Data Additive'!$D:$D,'Data Additive'!$P:$P,'Painel Additive'!#REF!,'Data Additive'!$Q:$Q,"&gt;0",'Data Additive'!$Q:$Q,"&lt;=30")</f>
        <v>0</v>
      </c>
      <c r="H5" s="19">
        <f>SUMIFS('Data Additive'!$D:$D,'Data Additive'!$P:$P,'Painel Additive'!#REF!,'Data Additive'!$Q:$Q,"&gt;30",'Data Additive'!$Q:$Q,"&lt;=60")</f>
        <v>0</v>
      </c>
      <c r="I5" s="19">
        <f>SUMIFS('Data Additive'!$D:$D,'Data Additive'!$P:$P,'Painel Additive'!#REF!,'Data Additive'!$Q:$Q,"&gt;60",'Data Additive'!$Q:$Q,"&lt;=90")</f>
        <v>0</v>
      </c>
      <c r="J5" s="19">
        <f>SUMIFS('Data Additive'!$D:$D,'Data Additive'!$P:$P,'Painel Additive'!#REF!,'Data Additive'!$Q:$Q,"&gt;90",'Data Additive'!$Q:$Q,"&lt;=120")</f>
        <v>0</v>
      </c>
      <c r="K5" s="19">
        <f>SUMIFS('Data Additive'!$D:$D,'Data Additive'!$P:$P,'Painel Additive'!#REF!,'Data Additive'!$Q:$Q,"&gt;120",'Data Additive'!$Q:$Q,"&lt;=180")</f>
        <v>0</v>
      </c>
      <c r="L5" s="19">
        <f>SUMIFS('Data Additive'!$D:$D,'Data Additive'!$P:$P,'Painel Additive'!#REF!,'Data Additive'!$Q:$Q,"&gt;180",'Data Additive'!$Q:$Q,"&lt;=360")</f>
        <v>0</v>
      </c>
      <c r="M5" s="23">
        <f>SUMIFS('Data Additive'!$D:$D,'Data Additive'!$P:$P,'Painel Additive'!#REF!,'Data Additive'!$Q:$Q,"&gt;360")</f>
        <v>0</v>
      </c>
      <c r="N5" s="19">
        <f>SUMIFS('Data Additive'!$D:$D,'Data Additive'!$P:$P,'Painel Additive'!#REF!,'Data Additive'!$Q:$Q,"&gt;0")</f>
        <v>0</v>
      </c>
      <c r="O5" s="19">
        <f t="shared" si="4"/>
        <v>0</v>
      </c>
      <c r="P5" s="19">
        <f>SUMIFS('Data Additive'!$D:$D,'Data Additive'!$P:$P,'Painel Additive'!#REF!,'Data Additive'!$Q:$Q,"&lt;=0",'Data Additive'!$Q:$Q,"&gt;=-30")</f>
        <v>0</v>
      </c>
      <c r="Q5" s="19">
        <f>SUMIFS('Data Additive'!$D:$D,'Data Additive'!$P:$P,'Painel Additive'!#REF!,'Data Additive'!$Q:$Q,"&lt;=-31",'Data Additive'!$Q:$Q,"&gt;=-60")</f>
        <v>0</v>
      </c>
      <c r="R5" s="19">
        <f>SUMIFS('Data Additive'!$D:$D,'Data Additive'!$P:$P,'Painel Additive'!#REF!,'Data Additive'!$Q:$Q,"&lt;=-61",'Data Additive'!$Q:$Q,"&gt;=-90")</f>
        <v>0</v>
      </c>
      <c r="S5" s="19">
        <f>SUMIFS('Data Additive'!$D:$D,'Data Additive'!$P:$P,'Painel Additive'!#REF!,'Data Additive'!$Q:$Q,"&lt;=-91",'Data Additive'!$Q:$Q,"&gt;=-120")</f>
        <v>0</v>
      </c>
      <c r="T5" s="19">
        <f>SUMIFS('Data Additive'!$D:$D,'Data Additive'!$P:$P,'Painel Additive'!#REF!,'Data Additive'!$Q:$Q,"&lt;=-121",'Data Additive'!$Q:$Q,"&gt;=-180")</f>
        <v>0</v>
      </c>
      <c r="U5" s="19">
        <f>SUMIFS('Data Additive'!$D:$D,'Data Additive'!$P:$P,'Painel Additive'!#REF!,'Data Additive'!$Q:$Q,"&lt;=-181",'Data Additive'!$Q:$Q,"&gt;=-360")</f>
        <v>0</v>
      </c>
      <c r="V5" s="23">
        <f>SUMIFS('Data Additive'!$D:$D,'Data Additive'!$P:$P,'Painel Additive'!#REF!,'Data Additive'!$Q:$Q,"&lt;-360")</f>
        <v>0</v>
      </c>
      <c r="W5" s="19" t="e">
        <f>SUMIFS('Bad Debt Provision'!#REF!,'Bad Debt Provision'!#REF!,'Painel Additive'!#REF!)</f>
        <v>#REF!</v>
      </c>
      <c r="X5" s="5"/>
      <c r="Y5" s="20"/>
      <c r="Z5" s="20"/>
      <c r="AA5" s="21"/>
      <c r="AB5" s="5"/>
      <c r="AC5" s="19"/>
      <c r="AD5" s="20"/>
      <c r="AE5" s="22"/>
      <c r="AF5" s="22"/>
      <c r="AG5" s="5"/>
      <c r="AH5" s="28">
        <f t="shared" si="5"/>
        <v>0</v>
      </c>
    </row>
    <row r="6" spans="1:38" ht="15.75" customHeight="1" x14ac:dyDescent="0.25">
      <c r="B6" s="41" t="s">
        <v>420</v>
      </c>
      <c r="C6" s="109" cm="1">
        <f t="array" ref="C6">IFERROR(INDEX('Limite de crédito'!$D:$D, MATCH(MAX(IF('Limite de crédito'!$C:$C=$B6, 'Limite de crédito'!$A:$A)), 'Limite de crédito'!$A:$A, 0)),"")</f>
        <v>45994</v>
      </c>
      <c r="D6" s="18" t="str" cm="1">
        <f t="array" ref="D6">IFERROR(INDEX('Limite de crédito'!$F:$F, MATCH(MAX(IF('Limite de crédito'!$C:$C=$B6, 'Limite de crédito'!$A:$A)), 'Limite de crédito'!$A:$A, 0)),0)</f>
        <v>Sim</v>
      </c>
      <c r="E6" s="18" t="e">
        <f t="shared" si="2"/>
        <v>#VALUE!</v>
      </c>
      <c r="F6" s="18">
        <f t="shared" si="3"/>
        <v>0</v>
      </c>
      <c r="G6" s="19">
        <f>SUMIFS('Data Additive'!$D:$D,'Data Additive'!$P:$P,'Painel Additive'!#REF!,'Data Additive'!$Q:$Q,"&gt;0",'Data Additive'!$Q:$Q,"&lt;=30")</f>
        <v>0</v>
      </c>
      <c r="H6" s="19">
        <f>SUMIFS('Data Additive'!$D:$D,'Data Additive'!$P:$P,'Painel Additive'!#REF!,'Data Additive'!$Q:$Q,"&gt;30",'Data Additive'!$Q:$Q,"&lt;=60")</f>
        <v>0</v>
      </c>
      <c r="I6" s="19">
        <f>SUMIFS('Data Additive'!$D:$D,'Data Additive'!$P:$P,'Painel Additive'!#REF!,'Data Additive'!$Q:$Q,"&gt;60",'Data Additive'!$Q:$Q,"&lt;=90")</f>
        <v>0</v>
      </c>
      <c r="J6" s="19">
        <f>SUMIFS('Data Additive'!$D:$D,'Data Additive'!$P:$P,'Painel Additive'!#REF!,'Data Additive'!$Q:$Q,"&gt;90",'Data Additive'!$Q:$Q,"&lt;=120")</f>
        <v>0</v>
      </c>
      <c r="K6" s="19">
        <f>SUMIFS('Data Additive'!$D:$D,'Data Additive'!$P:$P,'Painel Additive'!#REF!,'Data Additive'!$Q:$Q,"&gt;120",'Data Additive'!$Q:$Q,"&lt;=180")</f>
        <v>0</v>
      </c>
      <c r="L6" s="19">
        <f>SUMIFS('Data Additive'!$D:$D,'Data Additive'!$P:$P,'Painel Additive'!#REF!,'Data Additive'!$Q:$Q,"&gt;180",'Data Additive'!$Q:$Q,"&lt;=360")</f>
        <v>0</v>
      </c>
      <c r="M6" s="23">
        <f>SUMIFS('Data Additive'!$D:$D,'Data Additive'!$P:$P,'Painel Additive'!#REF!,'Data Additive'!$Q:$Q,"&gt;360")</f>
        <v>0</v>
      </c>
      <c r="N6" s="19">
        <f>SUMIFS('Data Additive'!$D:$D,'Data Additive'!$P:$P,'Painel Additive'!#REF!,'Data Additive'!$Q:$Q,"&gt;0")</f>
        <v>0</v>
      </c>
      <c r="O6" s="19">
        <f t="shared" si="4"/>
        <v>0</v>
      </c>
      <c r="P6" s="19">
        <f>SUMIFS('Data Additive'!$D:$D,'Data Additive'!$P:$P,'Painel Additive'!#REF!,'Data Additive'!$Q:$Q,"&lt;=0",'Data Additive'!$Q:$Q,"&gt;=-30")</f>
        <v>0</v>
      </c>
      <c r="Q6" s="19">
        <f>SUMIFS('Data Additive'!$D:$D,'Data Additive'!$P:$P,'Painel Additive'!#REF!,'Data Additive'!$Q:$Q,"&lt;=-31",'Data Additive'!$Q:$Q,"&gt;=-60")</f>
        <v>0</v>
      </c>
      <c r="R6" s="19">
        <f>SUMIFS('Data Additive'!$D:$D,'Data Additive'!$P:$P,'Painel Additive'!#REF!,'Data Additive'!$Q:$Q,"&lt;=-61",'Data Additive'!$Q:$Q,"&gt;=-90")</f>
        <v>0</v>
      </c>
      <c r="S6" s="19">
        <f>SUMIFS('Data Additive'!$D:$D,'Data Additive'!$P:$P,'Painel Additive'!#REF!,'Data Additive'!$Q:$Q,"&lt;=-91",'Data Additive'!$Q:$Q,"&gt;=-120")</f>
        <v>0</v>
      </c>
      <c r="T6" s="19">
        <f>SUMIFS('Data Additive'!$D:$D,'Data Additive'!$P:$P,'Painel Additive'!#REF!,'Data Additive'!$Q:$Q,"&lt;=-121",'Data Additive'!$Q:$Q,"&gt;=-180")</f>
        <v>0</v>
      </c>
      <c r="U6" s="19">
        <f>SUMIFS('Data Additive'!$D:$D,'Data Additive'!$P:$P,'Painel Additive'!#REF!,'Data Additive'!$Q:$Q,"&lt;=-181",'Data Additive'!$Q:$Q,"&gt;=-360")</f>
        <v>0</v>
      </c>
      <c r="V6" s="23">
        <f>SUMIFS('Data Additive'!$D:$D,'Data Additive'!$P:$P,'Painel Additive'!#REF!,'Data Additive'!$Q:$Q,"&lt;-360")</f>
        <v>0</v>
      </c>
      <c r="W6" s="19" t="e">
        <f>SUMIFS('Bad Debt Provision'!#REF!,'Bad Debt Provision'!#REF!,'Painel Additive'!#REF!)</f>
        <v>#REF!</v>
      </c>
      <c r="X6" s="5"/>
      <c r="Y6" s="20"/>
      <c r="Z6" s="20"/>
      <c r="AA6" s="21"/>
      <c r="AB6" s="5"/>
      <c r="AC6" s="19"/>
      <c r="AD6" s="20"/>
      <c r="AE6" s="22"/>
      <c r="AF6" s="22"/>
      <c r="AG6" s="5"/>
      <c r="AH6" s="28">
        <f t="shared" si="5"/>
        <v>0</v>
      </c>
    </row>
    <row r="7" spans="1:38" ht="15.75" customHeight="1" x14ac:dyDescent="0.25">
      <c r="B7" s="41" t="s">
        <v>419</v>
      </c>
      <c r="C7" s="94" t="s">
        <v>469</v>
      </c>
      <c r="D7" s="18" t="str" cm="1">
        <f t="array" ref="D7">IFERROR(INDEX('Limite de crédito'!$F:$F, MATCH(MAX(IF('Limite de crédito'!$C:$C=$B7, 'Limite de crédito'!$A:$A)), 'Limite de crédito'!$A:$A, 0)),0)</f>
        <v>Sim</v>
      </c>
      <c r="E7" s="18" t="e">
        <f t="shared" si="2"/>
        <v>#VALUE!</v>
      </c>
      <c r="F7" s="18">
        <f t="shared" si="3"/>
        <v>0</v>
      </c>
      <c r="G7" s="19">
        <f>SUMIFS('Data Additive'!$D:$D,'Data Additive'!$P:$P,'Painel Additive'!#REF!,'Data Additive'!$Q:$Q,"&gt;0",'Data Additive'!$Q:$Q,"&lt;=30")</f>
        <v>0</v>
      </c>
      <c r="H7" s="19">
        <f>SUMIFS('Data Additive'!$D:$D,'Data Additive'!$P:$P,'Painel Additive'!#REF!,'Data Additive'!$Q:$Q,"&gt;30",'Data Additive'!$Q:$Q,"&lt;=60")</f>
        <v>0</v>
      </c>
      <c r="I7" s="19">
        <f>SUMIFS('Data Additive'!$D:$D,'Data Additive'!$P:$P,'Painel Additive'!#REF!,'Data Additive'!$Q:$Q,"&gt;60",'Data Additive'!$Q:$Q,"&lt;=90")</f>
        <v>0</v>
      </c>
      <c r="J7" s="19">
        <f>SUMIFS('Data Additive'!$D:$D,'Data Additive'!$P:$P,'Painel Additive'!#REF!,'Data Additive'!$Q:$Q,"&gt;90",'Data Additive'!$Q:$Q,"&lt;=120")</f>
        <v>0</v>
      </c>
      <c r="K7" s="19">
        <f>SUMIFS('Data Additive'!$D:$D,'Data Additive'!$P:$P,'Painel Additive'!#REF!,'Data Additive'!$Q:$Q,"&gt;120",'Data Additive'!$Q:$Q,"&lt;=180")</f>
        <v>0</v>
      </c>
      <c r="L7" s="19">
        <f>SUMIFS('Data Additive'!$D:$D,'Data Additive'!$P:$P,'Painel Additive'!#REF!,'Data Additive'!$Q:$Q,"&gt;180",'Data Additive'!$Q:$Q,"&lt;=360")</f>
        <v>0</v>
      </c>
      <c r="M7" s="23">
        <f>SUMIFS('Data Additive'!$D:$D,'Data Additive'!$P:$P,'Painel Additive'!#REF!,'Data Additive'!$Q:$Q,"&gt;360")</f>
        <v>0</v>
      </c>
      <c r="N7" s="19">
        <f>SUMIFS('Data Additive'!$D:$D,'Data Additive'!$P:$P,'Painel Additive'!#REF!,'Data Additive'!$Q:$Q,"&gt;0")</f>
        <v>0</v>
      </c>
      <c r="O7" s="19">
        <f t="shared" si="4"/>
        <v>0</v>
      </c>
      <c r="P7" s="19">
        <f>SUMIFS('Data Additive'!$D:$D,'Data Additive'!$P:$P,'Painel Additive'!#REF!,'Data Additive'!$Q:$Q,"&lt;=0",'Data Additive'!$Q:$Q,"&gt;=-30")</f>
        <v>0</v>
      </c>
      <c r="Q7" s="19">
        <f>SUMIFS('Data Additive'!$D:$D,'Data Additive'!$P:$P,'Painel Additive'!#REF!,'Data Additive'!$Q:$Q,"&lt;=-31",'Data Additive'!$Q:$Q,"&gt;=-60")</f>
        <v>0</v>
      </c>
      <c r="R7" s="19">
        <f>SUMIFS('Data Additive'!$D:$D,'Data Additive'!$P:$P,'Painel Additive'!#REF!,'Data Additive'!$Q:$Q,"&lt;=-61",'Data Additive'!$Q:$Q,"&gt;=-90")</f>
        <v>0</v>
      </c>
      <c r="S7" s="19">
        <f>SUMIFS('Data Additive'!$D:$D,'Data Additive'!$P:$P,'Painel Additive'!#REF!,'Data Additive'!$Q:$Q,"&lt;=-91",'Data Additive'!$Q:$Q,"&gt;=-120")</f>
        <v>0</v>
      </c>
      <c r="T7" s="19">
        <f>SUMIFS('Data Additive'!$D:$D,'Data Additive'!$P:$P,'Painel Additive'!#REF!,'Data Additive'!$Q:$Q,"&lt;=-121",'Data Additive'!$Q:$Q,"&gt;=-180")</f>
        <v>0</v>
      </c>
      <c r="U7" s="19">
        <f>SUMIFS('Data Additive'!$D:$D,'Data Additive'!$P:$P,'Painel Additive'!#REF!,'Data Additive'!$Q:$Q,"&lt;=-181",'Data Additive'!$Q:$Q,"&gt;=-360")</f>
        <v>0</v>
      </c>
      <c r="V7" s="23">
        <f>SUMIFS('Data Additive'!$D:$D,'Data Additive'!$P:$P,'Painel Additive'!#REF!,'Data Additive'!$Q:$Q,"&lt;-360")</f>
        <v>0</v>
      </c>
      <c r="W7" s="19" t="e">
        <f>SUMIFS('Bad Debt Provision'!#REF!,'Bad Debt Provision'!#REF!,'Painel Additive'!#REF!)</f>
        <v>#REF!</v>
      </c>
      <c r="X7" s="5"/>
      <c r="Y7" s="20"/>
      <c r="Z7" s="20"/>
      <c r="AA7" s="21"/>
      <c r="AB7" s="5"/>
      <c r="AC7" s="19"/>
      <c r="AD7" s="20"/>
      <c r="AE7" s="22"/>
      <c r="AF7" s="22"/>
      <c r="AG7" s="5"/>
      <c r="AH7" s="28">
        <f t="shared" si="5"/>
        <v>0</v>
      </c>
    </row>
    <row r="8" spans="1:38" ht="15.75" customHeight="1" x14ac:dyDescent="0.25">
      <c r="B8" s="41" t="s">
        <v>428</v>
      </c>
      <c r="C8" s="94" t="str" cm="1">
        <f t="array" ref="C8">IFERROR(INDEX('Limite de crédito'!$D:$D, MATCH(MAX(IF('Limite de crédito'!$C:$C=$B8, 'Limite de crédito'!$A:$A)), 'Limite de crédito'!$A:$A, 0)),"")</f>
        <v/>
      </c>
      <c r="D8" s="18" cm="1">
        <f t="array" ref="D8">IFERROR(INDEX('Limite de crédito'!$F:$F, MATCH(MAX(IF('Limite de crédito'!$C:$C=$B8, 'Limite de crédito'!$A:$A)), 'Limite de crédito'!$A:$A, 0)),0)</f>
        <v>0</v>
      </c>
      <c r="E8" s="18">
        <f t="shared" si="2"/>
        <v>0</v>
      </c>
      <c r="F8" s="18">
        <f t="shared" si="3"/>
        <v>0</v>
      </c>
      <c r="G8" s="19">
        <f>SUMIFS('Data Additive'!$D:$D,'Data Additive'!$P:$P,'Painel Additive'!#REF!,'Data Additive'!$Q:$Q,"&gt;0",'Data Additive'!$Q:$Q,"&lt;=30")</f>
        <v>0</v>
      </c>
      <c r="H8" s="19">
        <f>SUMIFS('Data Additive'!$D:$D,'Data Additive'!$P:$P,'Painel Additive'!#REF!,'Data Additive'!$Q:$Q,"&gt;30",'Data Additive'!$Q:$Q,"&lt;=60")</f>
        <v>0</v>
      </c>
      <c r="I8" s="19">
        <f>SUMIFS('Data Additive'!$D:$D,'Data Additive'!$P:$P,'Painel Additive'!#REF!,'Data Additive'!$Q:$Q,"&gt;60",'Data Additive'!$Q:$Q,"&lt;=90")</f>
        <v>0</v>
      </c>
      <c r="J8" s="19">
        <f>SUMIFS('Data Additive'!$D:$D,'Data Additive'!$P:$P,'Painel Additive'!#REF!,'Data Additive'!$Q:$Q,"&gt;90",'Data Additive'!$Q:$Q,"&lt;=120")</f>
        <v>0</v>
      </c>
      <c r="K8" s="19">
        <f>SUMIFS('Data Additive'!$D:$D,'Data Additive'!$P:$P,'Painel Additive'!#REF!,'Data Additive'!$Q:$Q,"&gt;120",'Data Additive'!$Q:$Q,"&lt;=180")</f>
        <v>0</v>
      </c>
      <c r="L8" s="19">
        <f>SUMIFS('Data Additive'!$D:$D,'Data Additive'!$P:$P,'Painel Additive'!#REF!,'Data Additive'!$Q:$Q,"&gt;180",'Data Additive'!$Q:$Q,"&lt;=360")</f>
        <v>0</v>
      </c>
      <c r="M8" s="23">
        <f>SUMIFS('Data Additive'!$D:$D,'Data Additive'!$P:$P,'Painel Additive'!#REF!,'Data Additive'!$Q:$Q,"&gt;360")</f>
        <v>0</v>
      </c>
      <c r="N8" s="19">
        <f>SUMIFS('Data Additive'!$D:$D,'Data Additive'!$P:$P,'Painel Additive'!#REF!,'Data Additive'!$Q:$Q,"&gt;0")</f>
        <v>0</v>
      </c>
      <c r="O8" s="19">
        <f t="shared" si="4"/>
        <v>0</v>
      </c>
      <c r="P8" s="19">
        <f>SUMIFS('Data Additive'!$D:$D,'Data Additive'!$P:$P,'Painel Additive'!#REF!,'Data Additive'!$Q:$Q,"&lt;=0",'Data Additive'!$Q:$Q,"&gt;=-30")</f>
        <v>0</v>
      </c>
      <c r="Q8" s="19">
        <f>SUMIFS('Data Additive'!$D:$D,'Data Additive'!$P:$P,'Painel Additive'!#REF!,'Data Additive'!$Q:$Q,"&lt;=-31",'Data Additive'!$Q:$Q,"&gt;=-60")</f>
        <v>0</v>
      </c>
      <c r="R8" s="19">
        <f>SUMIFS('Data Additive'!$D:$D,'Data Additive'!$P:$P,'Painel Additive'!#REF!,'Data Additive'!$Q:$Q,"&lt;=-61",'Data Additive'!$Q:$Q,"&gt;=-90")</f>
        <v>0</v>
      </c>
      <c r="S8" s="19">
        <f>SUMIFS('Data Additive'!$D:$D,'Data Additive'!$P:$P,'Painel Additive'!#REF!,'Data Additive'!$Q:$Q,"&lt;=-91",'Data Additive'!$Q:$Q,"&gt;=-120")</f>
        <v>0</v>
      </c>
      <c r="T8" s="19">
        <f>SUMIFS('Data Additive'!$D:$D,'Data Additive'!$P:$P,'Painel Additive'!#REF!,'Data Additive'!$Q:$Q,"&lt;=-121",'Data Additive'!$Q:$Q,"&gt;=-180")</f>
        <v>0</v>
      </c>
      <c r="U8" s="19">
        <f>SUMIFS('Data Additive'!$D:$D,'Data Additive'!$P:$P,'Painel Additive'!#REF!,'Data Additive'!$Q:$Q,"&lt;=-181",'Data Additive'!$Q:$Q,"&gt;=-360")</f>
        <v>0</v>
      </c>
      <c r="V8" s="23">
        <f>SUMIFS('Data Additive'!$D:$D,'Data Additive'!$P:$P,'Painel Additive'!#REF!,'Data Additive'!$Q:$Q,"&lt;-360")</f>
        <v>0</v>
      </c>
      <c r="W8" s="19" t="e">
        <f>SUMIFS('Bad Debt Provision'!#REF!,'Bad Debt Provision'!#REF!,'Painel Additive'!#REF!)</f>
        <v>#REF!</v>
      </c>
      <c r="X8" s="5"/>
      <c r="Y8" s="20"/>
      <c r="Z8" s="20"/>
      <c r="AA8" s="21"/>
      <c r="AB8" s="5"/>
      <c r="AC8" s="19"/>
      <c r="AD8" s="20"/>
      <c r="AE8" s="22"/>
      <c r="AF8" s="22"/>
      <c r="AG8" s="5"/>
      <c r="AH8" s="28">
        <f t="shared" si="5"/>
        <v>0</v>
      </c>
    </row>
    <row r="9" spans="1:38" ht="15.75" customHeight="1" x14ac:dyDescent="0.25">
      <c r="B9" s="41" t="s">
        <v>417</v>
      </c>
      <c r="C9" s="94" t="s">
        <v>469</v>
      </c>
      <c r="D9" s="18" t="str" cm="1">
        <f t="array" ref="D9">IFERROR(INDEX('Limite de crédito'!$F:$F, MATCH(MAX(IF('Limite de crédito'!$C:$C=$B9, 'Limite de crédito'!$A:$A)), 'Limite de crédito'!$A:$A, 0)),0)</f>
        <v>Sim</v>
      </c>
      <c r="E9" s="18" t="e">
        <f t="shared" si="2"/>
        <v>#VALUE!</v>
      </c>
      <c r="F9" s="18">
        <f t="shared" si="3"/>
        <v>0</v>
      </c>
      <c r="G9" s="19">
        <f>SUMIFS('Data Additive'!$D:$D,'Data Additive'!$P:$P,'Painel Additive'!#REF!,'Data Additive'!$Q:$Q,"&gt;0",'Data Additive'!$Q:$Q,"&lt;=30")</f>
        <v>0</v>
      </c>
      <c r="H9" s="19">
        <f>SUMIFS('Data Additive'!$D:$D,'Data Additive'!$P:$P,'Painel Additive'!#REF!,'Data Additive'!$Q:$Q,"&gt;30",'Data Additive'!$Q:$Q,"&lt;=60")</f>
        <v>0</v>
      </c>
      <c r="I9" s="19">
        <f>SUMIFS('Data Additive'!$D:$D,'Data Additive'!$P:$P,'Painel Additive'!#REF!,'Data Additive'!$Q:$Q,"&gt;60",'Data Additive'!$Q:$Q,"&lt;=90")</f>
        <v>0</v>
      </c>
      <c r="J9" s="19">
        <f>SUMIFS('Data Additive'!$D:$D,'Data Additive'!$P:$P,'Painel Additive'!#REF!,'Data Additive'!$Q:$Q,"&gt;90",'Data Additive'!$Q:$Q,"&lt;=120")</f>
        <v>0</v>
      </c>
      <c r="K9" s="19">
        <f>SUMIFS('Data Additive'!$D:$D,'Data Additive'!$P:$P,'Painel Additive'!#REF!,'Data Additive'!$Q:$Q,"&gt;120",'Data Additive'!$Q:$Q,"&lt;=180")</f>
        <v>0</v>
      </c>
      <c r="L9" s="19">
        <f>SUMIFS('Data Additive'!$D:$D,'Data Additive'!$P:$P,'Painel Additive'!#REF!,'Data Additive'!$Q:$Q,"&gt;180",'Data Additive'!$Q:$Q,"&lt;=360")</f>
        <v>0</v>
      </c>
      <c r="M9" s="23">
        <f>SUMIFS('Data Additive'!$D:$D,'Data Additive'!$P:$P,'Painel Additive'!#REF!,'Data Additive'!$Q:$Q,"&gt;360")</f>
        <v>0</v>
      </c>
      <c r="N9" s="19">
        <f>SUMIFS('Data Additive'!$D:$D,'Data Additive'!$P:$P,'Painel Additive'!#REF!,'Data Additive'!$Q:$Q,"&gt;0")</f>
        <v>0</v>
      </c>
      <c r="O9" s="19">
        <f t="shared" si="4"/>
        <v>0</v>
      </c>
      <c r="P9" s="19">
        <f>SUMIFS('Data Additive'!$D:$D,'Data Additive'!$P:$P,'Painel Additive'!#REF!,'Data Additive'!$Q:$Q,"&lt;=0",'Data Additive'!$Q:$Q,"&gt;=-30")</f>
        <v>0</v>
      </c>
      <c r="Q9" s="19">
        <f>SUMIFS('Data Additive'!$D:$D,'Data Additive'!$P:$P,'Painel Additive'!#REF!,'Data Additive'!$Q:$Q,"&lt;=-31",'Data Additive'!$Q:$Q,"&gt;=-60")</f>
        <v>0</v>
      </c>
      <c r="R9" s="19">
        <f>SUMIFS('Data Additive'!$D:$D,'Data Additive'!$P:$P,'Painel Additive'!#REF!,'Data Additive'!$Q:$Q,"&lt;=-61",'Data Additive'!$Q:$Q,"&gt;=-90")</f>
        <v>0</v>
      </c>
      <c r="S9" s="19">
        <f>SUMIFS('Data Additive'!$D:$D,'Data Additive'!$P:$P,'Painel Additive'!#REF!,'Data Additive'!$Q:$Q,"&lt;=-91",'Data Additive'!$Q:$Q,"&gt;=-120")</f>
        <v>0</v>
      </c>
      <c r="T9" s="19">
        <f>SUMIFS('Data Additive'!$D:$D,'Data Additive'!$P:$P,'Painel Additive'!#REF!,'Data Additive'!$Q:$Q,"&lt;=-121",'Data Additive'!$Q:$Q,"&gt;=-180")</f>
        <v>0</v>
      </c>
      <c r="U9" s="19">
        <f>SUMIFS('Data Additive'!$D:$D,'Data Additive'!$P:$P,'Painel Additive'!#REF!,'Data Additive'!$Q:$Q,"&lt;=-181",'Data Additive'!$Q:$Q,"&gt;=-360")</f>
        <v>0</v>
      </c>
      <c r="V9" s="23">
        <f>SUMIFS('Data Additive'!$D:$D,'Data Additive'!$P:$P,'Painel Additive'!#REF!,'Data Additive'!$Q:$Q,"&lt;-360")</f>
        <v>0</v>
      </c>
      <c r="W9" s="19" t="e">
        <f>SUMIFS('Bad Debt Provision'!#REF!,'Bad Debt Provision'!#REF!,'Painel Additive'!#REF!)</f>
        <v>#REF!</v>
      </c>
      <c r="X9" s="5"/>
      <c r="Y9" s="20"/>
      <c r="Z9" s="20"/>
      <c r="AA9" s="21"/>
      <c r="AB9" s="5"/>
      <c r="AC9" s="19"/>
      <c r="AD9" s="20"/>
      <c r="AE9" s="22"/>
      <c r="AF9" s="22"/>
      <c r="AG9" s="5"/>
      <c r="AH9" s="28">
        <f t="shared" si="5"/>
        <v>0</v>
      </c>
    </row>
    <row r="10" spans="1:38" ht="15.75" customHeight="1" x14ac:dyDescent="0.25">
      <c r="B10" s="41" t="s">
        <v>416</v>
      </c>
      <c r="C10" s="94" t="s">
        <v>469</v>
      </c>
      <c r="D10" s="18" t="str" cm="1">
        <f t="array" ref="D10">IFERROR(INDEX('Limite de crédito'!$F:$F, MATCH(MAX(IF('Limite de crédito'!$C:$C=$B10, 'Limite de crédito'!$A:$A)), 'Limite de crédito'!$A:$A, 0)),0)</f>
        <v>Não</v>
      </c>
      <c r="E10" s="18" t="e">
        <f t="shared" si="2"/>
        <v>#VALUE!</v>
      </c>
      <c r="F10" s="18">
        <f t="shared" si="3"/>
        <v>0</v>
      </c>
      <c r="G10" s="19">
        <f>SUMIFS('Data Additive'!$D:$D,'Data Additive'!$P:$P,'Painel Additive'!#REF!,'Data Additive'!$Q:$Q,"&gt;0",'Data Additive'!$Q:$Q,"&lt;=30")</f>
        <v>0</v>
      </c>
      <c r="H10" s="19">
        <f>SUMIFS('Data Additive'!$D:$D,'Data Additive'!$P:$P,'Painel Additive'!#REF!,'Data Additive'!$Q:$Q,"&gt;30",'Data Additive'!$Q:$Q,"&lt;=60")</f>
        <v>0</v>
      </c>
      <c r="I10" s="19">
        <f>SUMIFS('Data Additive'!$D:$D,'Data Additive'!$P:$P,'Painel Additive'!#REF!,'Data Additive'!$Q:$Q,"&gt;60",'Data Additive'!$Q:$Q,"&lt;=90")</f>
        <v>0</v>
      </c>
      <c r="J10" s="19">
        <f>SUMIFS('Data Additive'!$D:$D,'Data Additive'!$P:$P,'Painel Additive'!#REF!,'Data Additive'!$Q:$Q,"&gt;90",'Data Additive'!$Q:$Q,"&lt;=120")</f>
        <v>0</v>
      </c>
      <c r="K10" s="19">
        <f>SUMIFS('Data Additive'!$D:$D,'Data Additive'!$P:$P,'Painel Additive'!#REF!,'Data Additive'!$Q:$Q,"&gt;120",'Data Additive'!$Q:$Q,"&lt;=180")</f>
        <v>0</v>
      </c>
      <c r="L10" s="19">
        <f>SUMIFS('Data Additive'!$D:$D,'Data Additive'!$P:$P,'Painel Additive'!#REF!,'Data Additive'!$Q:$Q,"&gt;180",'Data Additive'!$Q:$Q,"&lt;=360")</f>
        <v>0</v>
      </c>
      <c r="M10" s="23">
        <f>SUMIFS('Data Additive'!$D:$D,'Data Additive'!$P:$P,'Painel Additive'!#REF!,'Data Additive'!$Q:$Q,"&gt;360")</f>
        <v>0</v>
      </c>
      <c r="N10" s="19">
        <f>SUMIFS('Data Additive'!$D:$D,'Data Additive'!$P:$P,'Painel Additive'!#REF!,'Data Additive'!$Q:$Q,"&gt;0")</f>
        <v>0</v>
      </c>
      <c r="O10" s="19">
        <f t="shared" si="4"/>
        <v>0</v>
      </c>
      <c r="P10" s="19">
        <f>SUMIFS('Data Additive'!$D:$D,'Data Additive'!$P:$P,'Painel Additive'!#REF!,'Data Additive'!$Q:$Q,"&lt;=0",'Data Additive'!$Q:$Q,"&gt;=-30")</f>
        <v>0</v>
      </c>
      <c r="Q10" s="19">
        <f>SUMIFS('Data Additive'!$D:$D,'Data Additive'!$P:$P,'Painel Additive'!#REF!,'Data Additive'!$Q:$Q,"&lt;=-31",'Data Additive'!$Q:$Q,"&gt;=-60")</f>
        <v>0</v>
      </c>
      <c r="R10" s="19">
        <f>SUMIFS('Data Additive'!$D:$D,'Data Additive'!$P:$P,'Painel Additive'!#REF!,'Data Additive'!$Q:$Q,"&lt;=-61",'Data Additive'!$Q:$Q,"&gt;=-90")</f>
        <v>0</v>
      </c>
      <c r="S10" s="19">
        <f>SUMIFS('Data Additive'!$D:$D,'Data Additive'!$P:$P,'Painel Additive'!#REF!,'Data Additive'!$Q:$Q,"&lt;=-91",'Data Additive'!$Q:$Q,"&gt;=-120")</f>
        <v>0</v>
      </c>
      <c r="T10" s="19">
        <f>SUMIFS('Data Additive'!$D:$D,'Data Additive'!$P:$P,'Painel Additive'!#REF!,'Data Additive'!$Q:$Q,"&lt;=-121",'Data Additive'!$Q:$Q,"&gt;=-180")</f>
        <v>0</v>
      </c>
      <c r="U10" s="19">
        <f>SUMIFS('Data Additive'!$D:$D,'Data Additive'!$P:$P,'Painel Additive'!#REF!,'Data Additive'!$Q:$Q,"&lt;=-181",'Data Additive'!$Q:$Q,"&gt;=-360")</f>
        <v>0</v>
      </c>
      <c r="V10" s="23">
        <f>SUMIFS('Data Additive'!$D:$D,'Data Additive'!$P:$P,'Painel Additive'!#REF!,'Data Additive'!$Q:$Q,"&lt;-360")</f>
        <v>0</v>
      </c>
      <c r="W10" s="19" t="e">
        <f>SUMIFS('Bad Debt Provision'!#REF!,'Bad Debt Provision'!#REF!,'Painel Additive'!#REF!)</f>
        <v>#REF!</v>
      </c>
      <c r="X10" s="5"/>
      <c r="Y10" s="20"/>
      <c r="Z10" s="20"/>
      <c r="AA10" s="21"/>
      <c r="AB10" s="5"/>
      <c r="AC10" s="19"/>
      <c r="AD10" s="20"/>
      <c r="AE10" s="22"/>
      <c r="AF10" s="22"/>
      <c r="AG10" s="5"/>
      <c r="AH10" s="28">
        <f t="shared" si="5"/>
        <v>0</v>
      </c>
    </row>
    <row r="11" spans="1:38" ht="15.75" customHeight="1" x14ac:dyDescent="0.25">
      <c r="B11" s="41" t="s">
        <v>334</v>
      </c>
      <c r="C11" s="94" t="str" cm="1">
        <f t="array" ref="C11">IFERROR(INDEX('Limite de crédito'!$D:$D, MATCH(MAX(IF('Limite de crédito'!$C:$C=$B11, 'Limite de crédito'!$A:$A)), 'Limite de crédito'!$A:$A, 0)),"")</f>
        <v/>
      </c>
      <c r="D11" s="18" cm="1">
        <f t="array" ref="D11">IFERROR(INDEX('Limite de crédito'!$F:$F, MATCH(MAX(IF('Limite de crédito'!$C:$C=$B11, 'Limite de crédito'!$A:$A)), 'Limite de crédito'!$A:$A, 0)),0)</f>
        <v>0</v>
      </c>
      <c r="E11" s="18">
        <f t="shared" si="2"/>
        <v>0</v>
      </c>
      <c r="F11" s="18">
        <f t="shared" si="3"/>
        <v>0</v>
      </c>
      <c r="G11" s="19">
        <f>SUMIFS('Data Additive'!$D:$D,'Data Additive'!$P:$P,'Painel Additive'!#REF!,'Data Additive'!$Q:$Q,"&gt;0",'Data Additive'!$Q:$Q,"&lt;=30")</f>
        <v>0</v>
      </c>
      <c r="H11" s="19">
        <f>SUMIFS('Data Additive'!$D:$D,'Data Additive'!$P:$P,'Painel Additive'!#REF!,'Data Additive'!$Q:$Q,"&gt;30",'Data Additive'!$Q:$Q,"&lt;=60")</f>
        <v>0</v>
      </c>
      <c r="I11" s="19">
        <f>SUMIFS('Data Additive'!$D:$D,'Data Additive'!$P:$P,'Painel Additive'!#REF!,'Data Additive'!$Q:$Q,"&gt;60",'Data Additive'!$Q:$Q,"&lt;=90")</f>
        <v>0</v>
      </c>
      <c r="J11" s="19">
        <f>SUMIFS('Data Additive'!$D:$D,'Data Additive'!$P:$P,'Painel Additive'!#REF!,'Data Additive'!$Q:$Q,"&gt;90",'Data Additive'!$Q:$Q,"&lt;=120")</f>
        <v>0</v>
      </c>
      <c r="K11" s="19">
        <f>SUMIFS('Data Additive'!$D:$D,'Data Additive'!$P:$P,'Painel Additive'!#REF!,'Data Additive'!$Q:$Q,"&gt;120",'Data Additive'!$Q:$Q,"&lt;=180")</f>
        <v>0</v>
      </c>
      <c r="L11" s="19">
        <f>SUMIFS('Data Additive'!$D:$D,'Data Additive'!$P:$P,'Painel Additive'!#REF!,'Data Additive'!$Q:$Q,"&gt;180",'Data Additive'!$Q:$Q,"&lt;=360")</f>
        <v>0</v>
      </c>
      <c r="M11" s="23">
        <f>SUMIFS('Data Additive'!$D:$D,'Data Additive'!$P:$P,'Painel Additive'!#REF!,'Data Additive'!$Q:$Q,"&gt;360")</f>
        <v>0</v>
      </c>
      <c r="N11" s="19">
        <f>SUMIFS('Data Additive'!$D:$D,'Data Additive'!$P:$P,'Painel Additive'!#REF!,'Data Additive'!$Q:$Q,"&gt;0")</f>
        <v>0</v>
      </c>
      <c r="O11" s="19">
        <f t="shared" si="4"/>
        <v>0</v>
      </c>
      <c r="P11" s="19">
        <f>SUMIFS('Data Additive'!$D:$D,'Data Additive'!$P:$P,'Painel Additive'!#REF!,'Data Additive'!$Q:$Q,"&lt;=0",'Data Additive'!$Q:$Q,"&gt;=-30")</f>
        <v>0</v>
      </c>
      <c r="Q11" s="19">
        <f>SUMIFS('Data Additive'!$D:$D,'Data Additive'!$P:$P,'Painel Additive'!#REF!,'Data Additive'!$Q:$Q,"&lt;=-31",'Data Additive'!$Q:$Q,"&gt;=-60")</f>
        <v>0</v>
      </c>
      <c r="R11" s="19">
        <f>SUMIFS('Data Additive'!$D:$D,'Data Additive'!$P:$P,'Painel Additive'!#REF!,'Data Additive'!$Q:$Q,"&lt;=-61",'Data Additive'!$Q:$Q,"&gt;=-90")</f>
        <v>0</v>
      </c>
      <c r="S11" s="19">
        <f>SUMIFS('Data Additive'!$D:$D,'Data Additive'!$P:$P,'Painel Additive'!#REF!,'Data Additive'!$Q:$Q,"&lt;=-91",'Data Additive'!$Q:$Q,"&gt;=-120")</f>
        <v>0</v>
      </c>
      <c r="T11" s="19">
        <f>SUMIFS('Data Additive'!$D:$D,'Data Additive'!$P:$P,'Painel Additive'!#REF!,'Data Additive'!$Q:$Q,"&lt;=-121",'Data Additive'!$Q:$Q,"&gt;=-180")</f>
        <v>0</v>
      </c>
      <c r="U11" s="19">
        <f>SUMIFS('Data Additive'!$D:$D,'Data Additive'!$P:$P,'Painel Additive'!#REF!,'Data Additive'!$Q:$Q,"&lt;=-181",'Data Additive'!$Q:$Q,"&gt;=-360")</f>
        <v>0</v>
      </c>
      <c r="V11" s="23">
        <f>SUMIFS('Data Additive'!$D:$D,'Data Additive'!$P:$P,'Painel Additive'!#REF!,'Data Additive'!$Q:$Q,"&lt;-360")</f>
        <v>0</v>
      </c>
      <c r="W11" s="19" t="e">
        <f>SUMIFS('Bad Debt Provision'!#REF!,'Bad Debt Provision'!#REF!,'Painel Additive'!#REF!)</f>
        <v>#REF!</v>
      </c>
      <c r="X11" s="5"/>
      <c r="Y11" s="20"/>
      <c r="Z11" s="20"/>
      <c r="AA11" s="21"/>
      <c r="AB11" s="5"/>
      <c r="AC11" s="19"/>
      <c r="AD11" s="20"/>
      <c r="AE11" s="22"/>
      <c r="AF11" s="22"/>
      <c r="AG11" s="5"/>
      <c r="AH11" s="28">
        <f t="shared" si="5"/>
        <v>0</v>
      </c>
    </row>
    <row r="12" spans="1:38" ht="15.75" customHeight="1" x14ac:dyDescent="0.25">
      <c r="B12" s="17" t="s">
        <v>77</v>
      </c>
      <c r="C12" s="93" t="str" cm="1">
        <f t="array" ref="C12">IFERROR(INDEX('Limite de crédito'!$D:$D, MATCH(MAX(IF('Limite de crédito'!$C:$C=$B12, 'Limite de crédito'!$A:$A)), 'Limite de crédito'!$A:$A, 0)),"")</f>
        <v/>
      </c>
      <c r="D12" s="18" cm="1">
        <f t="array" ref="D12">IFERROR(INDEX('Limite de crédito'!$F:$F, MATCH(MAX(IF('Limite de crédito'!$C:$C=$B12, 'Limite de crédito'!$A:$A)), 'Limite de crédito'!$A:$A, 0)),0)</f>
        <v>0</v>
      </c>
      <c r="E12" s="18">
        <f t="shared" si="2"/>
        <v>-3673754.8</v>
      </c>
      <c r="F12" s="18">
        <f t="shared" si="3"/>
        <v>3673754.8</v>
      </c>
      <c r="G12" s="19">
        <f>SUMIFS('Data Additive'!$D:$D,'Data Additive'!$P:$P,'Painel Additive'!$B9,'Data Additive'!$Q:$Q,"&gt;0",'Data Additive'!$Q:$Q,"&lt;=30")</f>
        <v>0</v>
      </c>
      <c r="H12" s="19">
        <f>SUMIFS('Data Additive'!$D:$D,'Data Additive'!$P:$P,'Painel Additive'!$B9,'Data Additive'!$Q:$Q,"&gt;30",'Data Additive'!$Q:$Q,"&lt;=60")</f>
        <v>0</v>
      </c>
      <c r="I12" s="19">
        <f>SUMIFS('Data Additive'!$D:$D,'Data Additive'!$P:$P,'Painel Additive'!$B9,'Data Additive'!$Q:$Q,"&gt;60",'Data Additive'!$Q:$Q,"&lt;=90")</f>
        <v>0</v>
      </c>
      <c r="J12" s="19">
        <f>SUMIFS('Data Additive'!$D:$D,'Data Additive'!$P:$P,'Painel Additive'!$B9,'Data Additive'!$Q:$Q,"&gt;90",'Data Additive'!$Q:$Q,"&lt;=120")</f>
        <v>0</v>
      </c>
      <c r="K12" s="19">
        <f>SUMIFS('Data Additive'!$D:$D,'Data Additive'!$P:$P,'Painel Additive'!$B9,'Data Additive'!$Q:$Q,"&gt;120",'Data Additive'!$Q:$Q,"&lt;=180")</f>
        <v>0</v>
      </c>
      <c r="L12" s="19">
        <f>SUMIFS('Data Additive'!$D:$D,'Data Additive'!$P:$P,'Painel Additive'!$B9,'Data Additive'!$Q:$Q,"&gt;180",'Data Additive'!$Q:$Q,"&lt;=360")</f>
        <v>0</v>
      </c>
      <c r="M12" s="23">
        <f>SUMIFS('Data Additive'!$D:$D,'Data Additive'!$P:$P,'Painel Additive'!$B9,'Data Additive'!$Q:$Q,"&gt;360")</f>
        <v>0</v>
      </c>
      <c r="N12" s="19">
        <f>SUMIFS('Data Additive'!$D:$D,'Data Additive'!$P:$P,'Painel Additive'!$B9,'Data Additive'!$Q:$Q,"&gt;0")</f>
        <v>0</v>
      </c>
      <c r="O12" s="19">
        <f t="shared" si="4"/>
        <v>3673754.8</v>
      </c>
      <c r="P12" s="19">
        <f>SUMIFS('Data Additive'!$D:$D,'Data Additive'!$P:$P,'Painel Additive'!$B9,'Data Additive'!$Q:$Q,"&lt;=0",'Data Additive'!$Q:$Q,"&gt;=-30")</f>
        <v>956954.8</v>
      </c>
      <c r="Q12" s="19">
        <f>SUMIFS('Data Additive'!$D:$D,'Data Additive'!$P:$P,'Painel Additive'!$B9,'Data Additive'!$Q:$Q,"&lt;=-31",'Data Additive'!$Q:$Q,"&gt;=-60")</f>
        <v>2716800</v>
      </c>
      <c r="R12" s="19">
        <f>SUMIFS('Data Additive'!$D:$D,'Data Additive'!$P:$P,'Painel Additive'!$B9,'Data Additive'!$Q:$Q,"&lt;=-61",'Data Additive'!$Q:$Q,"&gt;=-90")</f>
        <v>0</v>
      </c>
      <c r="S12" s="19">
        <f>SUMIFS('Data Additive'!$D:$D,'Data Additive'!$P:$P,'Painel Additive'!$B9,'Data Additive'!$Q:$Q,"&lt;=-91",'Data Additive'!$Q:$Q,"&gt;=-120")</f>
        <v>0</v>
      </c>
      <c r="T12" s="19">
        <f>SUMIFS('Data Additive'!$D:$D,'Data Additive'!$P:$P,'Painel Additive'!$B9,'Data Additive'!$Q:$Q,"&lt;=-121",'Data Additive'!$Q:$Q,"&gt;=-180")</f>
        <v>0</v>
      </c>
      <c r="U12" s="19">
        <f>SUMIFS('Data Additive'!$D:$D,'Data Additive'!$P:$P,'Painel Additive'!$B9,'Data Additive'!$Q:$Q,"&lt;=-181",'Data Additive'!$Q:$Q,"&gt;=-360")</f>
        <v>0</v>
      </c>
      <c r="V12" s="23">
        <f>SUMIFS('Data Additive'!$D:$D,'Data Additive'!$P:$P,'Painel Additive'!$B9,'Data Additive'!$Q:$Q,"&lt;-360")</f>
        <v>0</v>
      </c>
      <c r="W12" s="19" t="e">
        <f>SUMIFS('Bad Debt Provision'!#REF!,'Bad Debt Provision'!#REF!,'Painel Additive'!$B9)</f>
        <v>#REF!</v>
      </c>
      <c r="X12" s="5"/>
      <c r="Y12" s="20"/>
      <c r="Z12" s="20"/>
      <c r="AA12" s="21"/>
      <c r="AB12" s="5"/>
      <c r="AC12" s="19"/>
      <c r="AD12" s="20"/>
      <c r="AE12" s="22"/>
      <c r="AF12" s="22"/>
      <c r="AG12" s="5"/>
      <c r="AH12" s="28">
        <f t="shared" si="5"/>
        <v>-3673754.8</v>
      </c>
      <c r="AI12" s="5"/>
    </row>
    <row r="13" spans="1:38" ht="15.75" customHeight="1" x14ac:dyDescent="0.25">
      <c r="B13" s="17" t="s">
        <v>30</v>
      </c>
      <c r="C13" s="93" cm="1">
        <f t="array" ref="C13">IFERROR(INDEX('Limite de crédito'!$D:$D, MATCH(MAX(IF('Limite de crédito'!$C:$C=$B13, 'Limite de crédito'!$A:$A)), 'Limite de crédito'!$A:$A, 0)),"")</f>
        <v>45995</v>
      </c>
      <c r="D13" s="18" t="str" cm="1">
        <f t="array" ref="D13">IFERROR(INDEX('Limite de crédito'!$F:$F, MATCH(MAX(IF('Limite de crédito'!$C:$C=$B13, 'Limite de crédito'!$A:$A)), 'Limite de crédito'!$A:$A, 0)),0)</f>
        <v>Sim</v>
      </c>
      <c r="E13" s="18" t="e">
        <f t="shared" si="2"/>
        <v>#VALUE!</v>
      </c>
      <c r="F13" s="18">
        <f t="shared" si="3"/>
        <v>0</v>
      </c>
      <c r="G13" s="19">
        <f>SUMIFS('Data Additive'!$D:$D,'Data Additive'!$P:$P,'Painel Additive'!$B37,'Data Additive'!$Q:$Q,"&gt;0",'Data Additive'!$Q:$Q,"&lt;=30")</f>
        <v>0</v>
      </c>
      <c r="H13" s="19">
        <f>SUMIFS('Data Additive'!$D:$D,'Data Additive'!$P:$P,'Painel Additive'!$B37,'Data Additive'!$Q:$Q,"&gt;30",'Data Additive'!$Q:$Q,"&lt;=60")</f>
        <v>0</v>
      </c>
      <c r="I13" s="19">
        <f>SUMIFS('Data Additive'!$D:$D,'Data Additive'!$P:$P,'Painel Additive'!$B37,'Data Additive'!$Q:$Q,"&gt;60",'Data Additive'!$Q:$Q,"&lt;=90")</f>
        <v>0</v>
      </c>
      <c r="J13" s="19">
        <f>SUMIFS('Data Additive'!$D:$D,'Data Additive'!$P:$P,'Painel Additive'!$B37,'Data Additive'!$Q:$Q,"&gt;90",'Data Additive'!$Q:$Q,"&lt;=120")</f>
        <v>0</v>
      </c>
      <c r="K13" s="19">
        <f>SUMIFS('Data Additive'!$D:$D,'Data Additive'!$P:$P,'Painel Additive'!$B37,'Data Additive'!$Q:$Q,"&gt;120",'Data Additive'!$Q:$Q,"&lt;=180")</f>
        <v>0</v>
      </c>
      <c r="L13" s="19">
        <f>SUMIFS('Data Additive'!$D:$D,'Data Additive'!$P:$P,'Painel Additive'!$B37,'Data Additive'!$Q:$Q,"&gt;180",'Data Additive'!$Q:$Q,"&lt;=360")</f>
        <v>0</v>
      </c>
      <c r="M13" s="23">
        <f>SUMIFS('Data Additive'!$D:$D,'Data Additive'!$P:$P,'Painel Additive'!$B37,'Data Additive'!$Q:$Q,"&gt;360")</f>
        <v>0</v>
      </c>
      <c r="N13" s="19">
        <f>SUMIFS('Data Additive'!$D:$D,'Data Additive'!$P:$P,'Painel Additive'!$B37,'Data Additive'!$Q:$Q,"&gt;0")</f>
        <v>0</v>
      </c>
      <c r="O13" s="19">
        <f t="shared" si="4"/>
        <v>0</v>
      </c>
      <c r="P13" s="19">
        <f>SUMIFS('Data Additive'!$D:$D,'Data Additive'!$P:$P,'Painel Additive'!$B37,'Data Additive'!$Q:$Q,"&lt;=0",'Data Additive'!$Q:$Q,"&gt;=-30")</f>
        <v>0</v>
      </c>
      <c r="Q13" s="19">
        <f>SUMIFS('Data Additive'!$D:$D,'Data Additive'!$P:$P,'Painel Additive'!$B37,'Data Additive'!$Q:$Q,"&lt;=-31",'Data Additive'!$Q:$Q,"&gt;=-60")</f>
        <v>0</v>
      </c>
      <c r="R13" s="19">
        <f>SUMIFS('Data Additive'!$D:$D,'Data Additive'!$P:$P,'Painel Additive'!$B37,'Data Additive'!$Q:$Q,"&lt;=-61",'Data Additive'!$Q:$Q,"&gt;=-90")</f>
        <v>0</v>
      </c>
      <c r="S13" s="19">
        <f>SUMIFS('Data Additive'!$D:$D,'Data Additive'!$P:$P,'Painel Additive'!$B37,'Data Additive'!$Q:$Q,"&lt;=-91",'Data Additive'!$Q:$Q,"&gt;=-120")</f>
        <v>0</v>
      </c>
      <c r="T13" s="19">
        <f>SUMIFS('Data Additive'!$D:$D,'Data Additive'!$P:$P,'Painel Additive'!$B37,'Data Additive'!$Q:$Q,"&lt;=-121",'Data Additive'!$Q:$Q,"&gt;=-180")</f>
        <v>0</v>
      </c>
      <c r="U13" s="19">
        <f>SUMIFS('Data Additive'!$D:$D,'Data Additive'!$P:$P,'Painel Additive'!$B37,'Data Additive'!$Q:$Q,"&lt;=-181",'Data Additive'!$Q:$Q,"&gt;=-360")</f>
        <v>0</v>
      </c>
      <c r="V13" s="23">
        <f>SUMIFS('Data Additive'!$D:$D,'Data Additive'!$P:$P,'Painel Additive'!$B37,'Data Additive'!$Q:$Q,"&lt;-360")</f>
        <v>0</v>
      </c>
      <c r="W13" s="19" t="e">
        <f>SUMIFS('Bad Debt Provision'!#REF!,'Bad Debt Provision'!#REF!,'Painel Additive'!$B37)</f>
        <v>#REF!</v>
      </c>
      <c r="X13" s="5"/>
      <c r="Y13" s="20"/>
      <c r="Z13" s="20"/>
      <c r="AA13" s="21"/>
      <c r="AB13" s="5"/>
      <c r="AC13" s="19"/>
      <c r="AD13" s="20"/>
      <c r="AE13" s="22"/>
      <c r="AF13" s="22"/>
      <c r="AG13" s="5"/>
      <c r="AH13" s="28">
        <f t="shared" si="5"/>
        <v>0</v>
      </c>
      <c r="AI13" s="5"/>
    </row>
    <row r="14" spans="1:38" ht="15.75" customHeight="1" x14ac:dyDescent="0.25">
      <c r="B14" s="17" t="s">
        <v>83</v>
      </c>
      <c r="C14" s="93" cm="1">
        <f t="array" ref="C14">IFERROR(INDEX('Limite de crédito'!$D:$D, MATCH(MAX(IF('Limite de crédito'!$C:$C=$B14, 'Limite de crédito'!$A:$A)), 'Limite de crédito'!$A:$A, 0)),"")</f>
        <v>46100</v>
      </c>
      <c r="D14" s="18" t="str" cm="1">
        <f t="array" ref="D14">IFERROR(INDEX('Limite de crédito'!$F:$F, MATCH(MAX(IF('Limite de crédito'!$C:$C=$B14, 'Limite de crédito'!$A:$A)), 'Limite de crédito'!$A:$A, 0)),0)</f>
        <v>Sim</v>
      </c>
      <c r="E14" s="18" t="e">
        <f t="shared" si="2"/>
        <v>#VALUE!</v>
      </c>
      <c r="F14" s="18">
        <f t="shared" si="3"/>
        <v>20940</v>
      </c>
      <c r="G14" s="19">
        <f>SUMIFS('Data Additive'!$D:$D,'Data Additive'!$P:$P,'Painel Additive'!$B32,'Data Additive'!$Q:$Q,"&gt;0",'Data Additive'!$Q:$Q,"&lt;=30")</f>
        <v>0</v>
      </c>
      <c r="H14" s="19">
        <f>SUMIFS('Data Additive'!$D:$D,'Data Additive'!$P:$P,'Painel Additive'!$B32,'Data Additive'!$Q:$Q,"&gt;30",'Data Additive'!$Q:$Q,"&lt;=60")</f>
        <v>0</v>
      </c>
      <c r="I14" s="19">
        <f>SUMIFS('Data Additive'!$D:$D,'Data Additive'!$P:$P,'Painel Additive'!$B32,'Data Additive'!$Q:$Q,"&gt;60",'Data Additive'!$Q:$Q,"&lt;=90")</f>
        <v>0</v>
      </c>
      <c r="J14" s="19">
        <f>SUMIFS('Data Additive'!$D:$D,'Data Additive'!$P:$P,'Painel Additive'!$B32,'Data Additive'!$Q:$Q,"&gt;90",'Data Additive'!$Q:$Q,"&lt;=120")</f>
        <v>0</v>
      </c>
      <c r="K14" s="19">
        <f>SUMIFS('Data Additive'!$D:$D,'Data Additive'!$P:$P,'Painel Additive'!$B32,'Data Additive'!$Q:$Q,"&gt;120",'Data Additive'!$Q:$Q,"&lt;=180")</f>
        <v>0</v>
      </c>
      <c r="L14" s="19">
        <f>SUMIFS('Data Additive'!$D:$D,'Data Additive'!$P:$P,'Painel Additive'!$B32,'Data Additive'!$Q:$Q,"&gt;180",'Data Additive'!$Q:$Q,"&lt;=360")</f>
        <v>0</v>
      </c>
      <c r="M14" s="23">
        <f>SUMIFS('Data Additive'!$D:$D,'Data Additive'!$P:$P,'Painel Additive'!$B32,'Data Additive'!$Q:$Q,"&gt;360")</f>
        <v>20940</v>
      </c>
      <c r="N14" s="19">
        <f>SUMIFS('Data Additive'!$D:$D,'Data Additive'!$P:$P,'Painel Additive'!$B32,'Data Additive'!$Q:$Q,"&gt;0")</f>
        <v>20940</v>
      </c>
      <c r="O14" s="19">
        <f t="shared" si="4"/>
        <v>0</v>
      </c>
      <c r="P14" s="19">
        <f>SUMIFS('Data Additive'!$D:$D,'Data Additive'!$P:$P,'Painel Additive'!$B32,'Data Additive'!$Q:$Q,"&lt;=0",'Data Additive'!$Q:$Q,"&gt;=-30")</f>
        <v>0</v>
      </c>
      <c r="Q14" s="19">
        <f>SUMIFS('Data Additive'!$D:$D,'Data Additive'!$P:$P,'Painel Additive'!$B32,'Data Additive'!$Q:$Q,"&lt;=-31",'Data Additive'!$Q:$Q,"&gt;=-60")</f>
        <v>0</v>
      </c>
      <c r="R14" s="19">
        <f>SUMIFS('Data Additive'!$D:$D,'Data Additive'!$P:$P,'Painel Additive'!$B32,'Data Additive'!$Q:$Q,"&lt;=-61",'Data Additive'!$Q:$Q,"&gt;=-90")</f>
        <v>0</v>
      </c>
      <c r="S14" s="19">
        <f>SUMIFS('Data Additive'!$D:$D,'Data Additive'!$P:$P,'Painel Additive'!$B32,'Data Additive'!$Q:$Q,"&lt;=-91",'Data Additive'!$Q:$Q,"&gt;=-120")</f>
        <v>0</v>
      </c>
      <c r="T14" s="19">
        <f>SUMIFS('Data Additive'!$D:$D,'Data Additive'!$P:$P,'Painel Additive'!$B32,'Data Additive'!$Q:$Q,"&lt;=-121",'Data Additive'!$Q:$Q,"&gt;=-180")</f>
        <v>0</v>
      </c>
      <c r="U14" s="19">
        <f>SUMIFS('Data Additive'!$D:$D,'Data Additive'!$P:$P,'Painel Additive'!$B32,'Data Additive'!$Q:$Q,"&lt;=-181",'Data Additive'!$Q:$Q,"&gt;=-360")</f>
        <v>0</v>
      </c>
      <c r="V14" s="23">
        <f>SUMIFS('Data Additive'!$D:$D,'Data Additive'!$P:$P,'Painel Additive'!$B32,'Data Additive'!$Q:$Q,"&lt;-360")</f>
        <v>0</v>
      </c>
      <c r="W14" s="19" t="e">
        <f>SUMIFS('Bad Debt Provision'!#REF!,'Bad Debt Provision'!#REF!,'Painel Additive'!$B32)</f>
        <v>#REF!</v>
      </c>
      <c r="X14" s="5"/>
      <c r="Y14" s="20"/>
      <c r="Z14" s="20"/>
      <c r="AA14" s="21"/>
      <c r="AB14" s="5"/>
      <c r="AC14" s="19"/>
      <c r="AD14" s="20"/>
      <c r="AE14" s="22"/>
      <c r="AF14" s="22"/>
      <c r="AG14" s="5"/>
      <c r="AH14" s="28">
        <f t="shared" si="5"/>
        <v>-20940</v>
      </c>
      <c r="AI14" s="5"/>
    </row>
    <row r="15" spans="1:38" ht="15.75" customHeight="1" x14ac:dyDescent="0.25">
      <c r="B15" s="41" t="s">
        <v>425</v>
      </c>
      <c r="C15" s="94" cm="1">
        <f t="array" ref="C15">IFERROR(INDEX('Limite de crédito'!$D:$D, MATCH(MAX(IF('Limite de crédito'!$C:$C=$B15, 'Limite de crédito'!$A:$A)), 'Limite de crédito'!$A:$A, 0)),"")</f>
        <v>45804</v>
      </c>
      <c r="D15" s="18" t="str" cm="1">
        <f t="array" ref="D15">IFERROR(INDEX('Limite de crédito'!$F:$F, MATCH(MAX(IF('Limite de crédito'!$C:$C=$B15, 'Limite de crédito'!$A:$A)), 'Limite de crédito'!$A:$A, 0)),0)</f>
        <v>Sim</v>
      </c>
      <c r="E15" s="18" t="e">
        <f t="shared" si="2"/>
        <v>#VALUE!</v>
      </c>
      <c r="F15" s="18">
        <f t="shared" si="3"/>
        <v>0</v>
      </c>
      <c r="G15" s="19">
        <f>SUMIFS('Data Additive'!$D:$D,'Data Additive'!$P:$P,'Painel Additive'!#REF!,'Data Additive'!$Q:$Q,"&gt;0",'Data Additive'!$Q:$Q,"&lt;=30")</f>
        <v>0</v>
      </c>
      <c r="H15" s="19">
        <f>SUMIFS('Data Additive'!$D:$D,'Data Additive'!$P:$P,'Painel Additive'!#REF!,'Data Additive'!$Q:$Q,"&gt;30",'Data Additive'!$Q:$Q,"&lt;=60")</f>
        <v>0</v>
      </c>
      <c r="I15" s="19">
        <f>SUMIFS('Data Additive'!$D:$D,'Data Additive'!$P:$P,'Painel Additive'!#REF!,'Data Additive'!$Q:$Q,"&gt;60",'Data Additive'!$Q:$Q,"&lt;=90")</f>
        <v>0</v>
      </c>
      <c r="J15" s="19">
        <f>SUMIFS('Data Additive'!$D:$D,'Data Additive'!$P:$P,'Painel Additive'!#REF!,'Data Additive'!$Q:$Q,"&gt;90",'Data Additive'!$Q:$Q,"&lt;=120")</f>
        <v>0</v>
      </c>
      <c r="K15" s="19">
        <f>SUMIFS('Data Additive'!$D:$D,'Data Additive'!$P:$P,'Painel Additive'!#REF!,'Data Additive'!$Q:$Q,"&gt;120",'Data Additive'!$Q:$Q,"&lt;=180")</f>
        <v>0</v>
      </c>
      <c r="L15" s="19">
        <f>SUMIFS('Data Additive'!$D:$D,'Data Additive'!$P:$P,'Painel Additive'!#REF!,'Data Additive'!$Q:$Q,"&gt;180",'Data Additive'!$Q:$Q,"&lt;=360")</f>
        <v>0</v>
      </c>
      <c r="M15" s="23">
        <f>SUMIFS('Data Additive'!$D:$D,'Data Additive'!$P:$P,'Painel Additive'!#REF!,'Data Additive'!$Q:$Q,"&gt;360")</f>
        <v>0</v>
      </c>
      <c r="N15" s="19">
        <f>SUMIFS('Data Additive'!$D:$D,'Data Additive'!$P:$P,'Painel Additive'!#REF!,'Data Additive'!$Q:$Q,"&gt;0")</f>
        <v>0</v>
      </c>
      <c r="O15" s="19">
        <f t="shared" si="4"/>
        <v>0</v>
      </c>
      <c r="P15" s="19">
        <f>SUMIFS('Data Additive'!$D:$D,'Data Additive'!$P:$P,'Painel Additive'!#REF!,'Data Additive'!$Q:$Q,"&lt;=0",'Data Additive'!$Q:$Q,"&gt;=-30")</f>
        <v>0</v>
      </c>
      <c r="Q15" s="19">
        <f>SUMIFS('Data Additive'!$D:$D,'Data Additive'!$P:$P,'Painel Additive'!#REF!,'Data Additive'!$Q:$Q,"&lt;=-31",'Data Additive'!$Q:$Q,"&gt;=-60")</f>
        <v>0</v>
      </c>
      <c r="R15" s="19">
        <f>SUMIFS('Data Additive'!$D:$D,'Data Additive'!$P:$P,'Painel Additive'!#REF!,'Data Additive'!$Q:$Q,"&lt;=-61",'Data Additive'!$Q:$Q,"&gt;=-90")</f>
        <v>0</v>
      </c>
      <c r="S15" s="19">
        <f>SUMIFS('Data Additive'!$D:$D,'Data Additive'!$P:$P,'Painel Additive'!#REF!,'Data Additive'!$Q:$Q,"&lt;=-91",'Data Additive'!$Q:$Q,"&gt;=-120")</f>
        <v>0</v>
      </c>
      <c r="T15" s="19">
        <f>SUMIFS('Data Additive'!$D:$D,'Data Additive'!$P:$P,'Painel Additive'!#REF!,'Data Additive'!$Q:$Q,"&lt;=-121",'Data Additive'!$Q:$Q,"&gt;=-180")</f>
        <v>0</v>
      </c>
      <c r="U15" s="19">
        <f>SUMIFS('Data Additive'!$D:$D,'Data Additive'!$P:$P,'Painel Additive'!#REF!,'Data Additive'!$Q:$Q,"&lt;=-181",'Data Additive'!$Q:$Q,"&gt;=-360")</f>
        <v>0</v>
      </c>
      <c r="V15" s="23">
        <f>SUMIFS('Data Additive'!$D:$D,'Data Additive'!$P:$P,'Painel Additive'!#REF!,'Data Additive'!$Q:$Q,"&lt;-360")</f>
        <v>0</v>
      </c>
      <c r="W15" s="19" t="e">
        <f>SUMIFS('Bad Debt Provision'!#REF!,'Bad Debt Provision'!#REF!,'Painel Additive'!#REF!)</f>
        <v>#REF!</v>
      </c>
      <c r="X15" s="5"/>
      <c r="Y15" s="20"/>
      <c r="Z15" s="20"/>
      <c r="AA15" s="21"/>
      <c r="AB15" s="5"/>
      <c r="AC15" s="19"/>
      <c r="AD15" s="20"/>
      <c r="AE15" s="22"/>
      <c r="AF15" s="22"/>
      <c r="AG15" s="5"/>
      <c r="AH15" s="28">
        <f t="shared" si="5"/>
        <v>0</v>
      </c>
    </row>
    <row r="16" spans="1:38" ht="15.75" customHeight="1" x14ac:dyDescent="0.25">
      <c r="B16" s="17" t="s">
        <v>65</v>
      </c>
      <c r="C16" s="93" cm="1">
        <f t="array" ref="C16">IFERROR(INDEX('Limite de crédito'!$D:$D, MATCH(MAX(IF('Limite de crédito'!$C:$C=$B16, 'Limite de crédito'!$A:$A)), 'Limite de crédito'!$A:$A, 0)),"")</f>
        <v>45821</v>
      </c>
      <c r="D16" s="18" cm="1">
        <f t="array" ref="D16">IFERROR(INDEX('Limite de crédito'!$F:$F, MATCH(MAX(IF('Limite de crédito'!$C:$C=$B16, 'Limite de crédito'!$A:$A)), 'Limite de crédito'!$A:$A, 0)),0)</f>
        <v>0</v>
      </c>
      <c r="E16" s="18">
        <f t="shared" si="2"/>
        <v>-58917.8</v>
      </c>
      <c r="F16" s="18">
        <f t="shared" si="3"/>
        <v>58917.8</v>
      </c>
      <c r="G16" s="19">
        <f>SUMIFS('Data Additive'!$D:$D,'Data Additive'!$P:$P,'Painel Additive'!$B8,'Data Additive'!$Q:$Q,"&gt;0",'Data Additive'!$Q:$Q,"&lt;=30")</f>
        <v>0</v>
      </c>
      <c r="H16" s="19">
        <f>SUMIFS('Data Additive'!$D:$D,'Data Additive'!$P:$P,'Painel Additive'!$B8,'Data Additive'!$Q:$Q,"&gt;30",'Data Additive'!$Q:$Q,"&lt;=60")</f>
        <v>0</v>
      </c>
      <c r="I16" s="19">
        <f>SUMIFS('Data Additive'!$D:$D,'Data Additive'!$P:$P,'Painel Additive'!$B8,'Data Additive'!$Q:$Q,"&gt;60",'Data Additive'!$Q:$Q,"&lt;=90")</f>
        <v>0</v>
      </c>
      <c r="J16" s="19">
        <f>SUMIFS('Data Additive'!$D:$D,'Data Additive'!$P:$P,'Painel Additive'!$B8,'Data Additive'!$Q:$Q,"&gt;90",'Data Additive'!$Q:$Q,"&lt;=120")</f>
        <v>0</v>
      </c>
      <c r="K16" s="19">
        <f>SUMIFS('Data Additive'!$D:$D,'Data Additive'!$P:$P,'Painel Additive'!$B8,'Data Additive'!$Q:$Q,"&gt;120",'Data Additive'!$Q:$Q,"&lt;=180")</f>
        <v>0</v>
      </c>
      <c r="L16" s="19">
        <f>SUMIFS('Data Additive'!$D:$D,'Data Additive'!$P:$P,'Painel Additive'!$B8,'Data Additive'!$Q:$Q,"&gt;180",'Data Additive'!$Q:$Q,"&lt;=360")</f>
        <v>0</v>
      </c>
      <c r="M16" s="23">
        <f>SUMIFS('Data Additive'!$D:$D,'Data Additive'!$P:$P,'Painel Additive'!$B8,'Data Additive'!$Q:$Q,"&gt;360")</f>
        <v>0</v>
      </c>
      <c r="N16" s="19">
        <f>SUMIFS('Data Additive'!$D:$D,'Data Additive'!$P:$P,'Painel Additive'!$B8,'Data Additive'!$Q:$Q,"&gt;0")</f>
        <v>0</v>
      </c>
      <c r="O16" s="19">
        <f t="shared" si="4"/>
        <v>58917.8</v>
      </c>
      <c r="P16" s="19">
        <f>SUMIFS('Data Additive'!$D:$D,'Data Additive'!$P:$P,'Painel Additive'!$B8,'Data Additive'!$Q:$Q,"&lt;=0",'Data Additive'!$Q:$Q,"&gt;=-30")</f>
        <v>58917.8</v>
      </c>
      <c r="Q16" s="19">
        <f>SUMIFS('Data Additive'!$D:$D,'Data Additive'!$P:$P,'Painel Additive'!$B8,'Data Additive'!$Q:$Q,"&lt;=-31",'Data Additive'!$Q:$Q,"&gt;=-60")</f>
        <v>0</v>
      </c>
      <c r="R16" s="19">
        <f>SUMIFS('Data Additive'!$D:$D,'Data Additive'!$P:$P,'Painel Additive'!$B8,'Data Additive'!$Q:$Q,"&lt;=-61",'Data Additive'!$Q:$Q,"&gt;=-90")</f>
        <v>0</v>
      </c>
      <c r="S16" s="19">
        <f>SUMIFS('Data Additive'!$D:$D,'Data Additive'!$P:$P,'Painel Additive'!$B8,'Data Additive'!$Q:$Q,"&lt;=-91",'Data Additive'!$Q:$Q,"&gt;=-120")</f>
        <v>0</v>
      </c>
      <c r="T16" s="19">
        <f>SUMIFS('Data Additive'!$D:$D,'Data Additive'!$P:$P,'Painel Additive'!$B8,'Data Additive'!$Q:$Q,"&lt;=-121",'Data Additive'!$Q:$Q,"&gt;=-180")</f>
        <v>0</v>
      </c>
      <c r="U16" s="19">
        <f>SUMIFS('Data Additive'!$D:$D,'Data Additive'!$P:$P,'Painel Additive'!$B8,'Data Additive'!$Q:$Q,"&lt;=-181",'Data Additive'!$Q:$Q,"&gt;=-360")</f>
        <v>0</v>
      </c>
      <c r="V16" s="23">
        <f>SUMIFS('Data Additive'!$D:$D,'Data Additive'!$P:$P,'Painel Additive'!$B8,'Data Additive'!$Q:$Q,"&lt;-360")</f>
        <v>0</v>
      </c>
      <c r="W16" s="19" t="e">
        <f>SUMIFS('Bad Debt Provision'!#REF!,'Bad Debt Provision'!#REF!,'Painel Additive'!$B8)</f>
        <v>#REF!</v>
      </c>
      <c r="X16" s="5"/>
      <c r="Y16" s="20"/>
      <c r="Z16" s="20"/>
      <c r="AA16" s="21"/>
      <c r="AB16" s="5"/>
      <c r="AC16" s="19"/>
      <c r="AD16" s="20"/>
      <c r="AE16" s="22"/>
      <c r="AF16" s="22"/>
      <c r="AG16" s="5"/>
      <c r="AH16" s="28">
        <f t="shared" si="5"/>
        <v>-58917.8</v>
      </c>
      <c r="AI16" s="5"/>
    </row>
    <row r="17" spans="2:35" ht="15.75" customHeight="1" x14ac:dyDescent="0.25">
      <c r="B17" s="41" t="s">
        <v>415</v>
      </c>
      <c r="C17" s="94" t="str" cm="1">
        <f t="array" ref="C17">IFERROR(INDEX('Limite de crédito'!$D:$D, MATCH(MAX(IF('Limite de crédito'!$C:$C=$B17, 'Limite de crédito'!$A:$A)), 'Limite de crédito'!$A:$A, 0)),"")</f>
        <v/>
      </c>
      <c r="D17" s="18" cm="1">
        <f t="array" ref="D17">IFERROR(INDEX('Limite de crédito'!$F:$F, MATCH(MAX(IF('Limite de crédito'!$C:$C=$B17, 'Limite de crédito'!$A:$A)), 'Limite de crédito'!$A:$A, 0)),0)</f>
        <v>0</v>
      </c>
      <c r="E17" s="18">
        <f t="shared" si="2"/>
        <v>0</v>
      </c>
      <c r="F17" s="18">
        <f t="shared" si="3"/>
        <v>0</v>
      </c>
      <c r="G17" s="19">
        <f>SUMIFS('Data Additive'!$D:$D,'Data Additive'!$P:$P,'Painel Additive'!#REF!,'Data Additive'!$Q:$Q,"&gt;0",'Data Additive'!$Q:$Q,"&lt;=30")</f>
        <v>0</v>
      </c>
      <c r="H17" s="19">
        <f>SUMIFS('Data Additive'!$D:$D,'Data Additive'!$P:$P,'Painel Additive'!#REF!,'Data Additive'!$Q:$Q,"&gt;30",'Data Additive'!$Q:$Q,"&lt;=60")</f>
        <v>0</v>
      </c>
      <c r="I17" s="19">
        <f>SUMIFS('Data Additive'!$D:$D,'Data Additive'!$P:$P,'Painel Additive'!#REF!,'Data Additive'!$Q:$Q,"&gt;60",'Data Additive'!$Q:$Q,"&lt;=90")</f>
        <v>0</v>
      </c>
      <c r="J17" s="19">
        <f>SUMIFS('Data Additive'!$D:$D,'Data Additive'!$P:$P,'Painel Additive'!#REF!,'Data Additive'!$Q:$Q,"&gt;90",'Data Additive'!$Q:$Q,"&lt;=120")</f>
        <v>0</v>
      </c>
      <c r="K17" s="19">
        <f>SUMIFS('Data Additive'!$D:$D,'Data Additive'!$P:$P,'Painel Additive'!#REF!,'Data Additive'!$Q:$Q,"&gt;120",'Data Additive'!$Q:$Q,"&lt;=180")</f>
        <v>0</v>
      </c>
      <c r="L17" s="19">
        <f>SUMIFS('Data Additive'!$D:$D,'Data Additive'!$P:$P,'Painel Additive'!#REF!,'Data Additive'!$Q:$Q,"&gt;180",'Data Additive'!$Q:$Q,"&lt;=360")</f>
        <v>0</v>
      </c>
      <c r="M17" s="23">
        <f>SUMIFS('Data Additive'!$D:$D,'Data Additive'!$P:$P,'Painel Additive'!#REF!,'Data Additive'!$Q:$Q,"&gt;360")</f>
        <v>0</v>
      </c>
      <c r="N17" s="19">
        <f>SUMIFS('Data Additive'!$D:$D,'Data Additive'!$P:$P,'Painel Additive'!#REF!,'Data Additive'!$Q:$Q,"&gt;0")</f>
        <v>0</v>
      </c>
      <c r="O17" s="19">
        <f t="shared" si="4"/>
        <v>0</v>
      </c>
      <c r="P17" s="19">
        <f>SUMIFS('Data Additive'!$D:$D,'Data Additive'!$P:$P,'Painel Additive'!#REF!,'Data Additive'!$Q:$Q,"&lt;=0",'Data Additive'!$Q:$Q,"&gt;=-30")</f>
        <v>0</v>
      </c>
      <c r="Q17" s="19">
        <f>SUMIFS('Data Additive'!$D:$D,'Data Additive'!$P:$P,'Painel Additive'!#REF!,'Data Additive'!$Q:$Q,"&lt;=-31",'Data Additive'!$Q:$Q,"&gt;=-60")</f>
        <v>0</v>
      </c>
      <c r="R17" s="19">
        <f>SUMIFS('Data Additive'!$D:$D,'Data Additive'!$P:$P,'Painel Additive'!#REF!,'Data Additive'!$Q:$Q,"&lt;=-61",'Data Additive'!$Q:$Q,"&gt;=-90")</f>
        <v>0</v>
      </c>
      <c r="S17" s="19">
        <f>SUMIFS('Data Additive'!$D:$D,'Data Additive'!$P:$P,'Painel Additive'!#REF!,'Data Additive'!$Q:$Q,"&lt;=-91",'Data Additive'!$Q:$Q,"&gt;=-120")</f>
        <v>0</v>
      </c>
      <c r="T17" s="19">
        <f>SUMIFS('Data Additive'!$D:$D,'Data Additive'!$P:$P,'Painel Additive'!#REF!,'Data Additive'!$Q:$Q,"&lt;=-121",'Data Additive'!$Q:$Q,"&gt;=-180")</f>
        <v>0</v>
      </c>
      <c r="U17" s="19">
        <f>SUMIFS('Data Additive'!$D:$D,'Data Additive'!$P:$P,'Painel Additive'!#REF!,'Data Additive'!$Q:$Q,"&lt;=-181",'Data Additive'!$Q:$Q,"&gt;=-360")</f>
        <v>0</v>
      </c>
      <c r="V17" s="23">
        <f>SUMIFS('Data Additive'!$D:$D,'Data Additive'!$P:$P,'Painel Additive'!#REF!,'Data Additive'!$Q:$Q,"&lt;-360")</f>
        <v>0</v>
      </c>
      <c r="W17" s="19" t="e">
        <f>SUMIFS('Bad Debt Provision'!#REF!,'Bad Debt Provision'!#REF!,'Painel Additive'!#REF!)</f>
        <v>#REF!</v>
      </c>
      <c r="X17" s="5"/>
      <c r="Y17" s="20"/>
      <c r="Z17" s="20"/>
      <c r="AA17" s="21"/>
      <c r="AB17" s="5"/>
      <c r="AC17" s="19"/>
      <c r="AD17" s="20"/>
      <c r="AE17" s="22"/>
      <c r="AF17" s="22"/>
      <c r="AG17" s="5"/>
      <c r="AH17" s="28">
        <f t="shared" si="5"/>
        <v>0</v>
      </c>
    </row>
    <row r="18" spans="2:35" ht="15.75" customHeight="1" x14ac:dyDescent="0.25">
      <c r="B18" s="41" t="s">
        <v>411</v>
      </c>
      <c r="C18" s="94" t="s">
        <v>469</v>
      </c>
      <c r="D18" s="18" cm="1">
        <f t="array" ref="D18">IFERROR(INDEX('Limite de crédito'!$F:$F, MATCH(MAX(IF('Limite de crédito'!$C:$C=$B18, 'Limite de crédito'!$A:$A)), 'Limite de crédito'!$A:$A, 0)),0)</f>
        <v>0</v>
      </c>
      <c r="E18" s="18">
        <f t="shared" si="2"/>
        <v>0</v>
      </c>
      <c r="F18" s="18">
        <f t="shared" si="3"/>
        <v>0</v>
      </c>
      <c r="G18" s="19">
        <f>SUMIFS('Data Additive'!$D:$D,'Data Additive'!$P:$P,'Painel Additive'!#REF!,'Data Additive'!$Q:$Q,"&gt;0",'Data Additive'!$Q:$Q,"&lt;=30")</f>
        <v>0</v>
      </c>
      <c r="H18" s="19">
        <f>SUMIFS('Data Additive'!$D:$D,'Data Additive'!$P:$P,'Painel Additive'!#REF!,'Data Additive'!$Q:$Q,"&gt;30",'Data Additive'!$Q:$Q,"&lt;=60")</f>
        <v>0</v>
      </c>
      <c r="I18" s="19">
        <f>SUMIFS('Data Additive'!$D:$D,'Data Additive'!$P:$P,'Painel Additive'!#REF!,'Data Additive'!$Q:$Q,"&gt;60",'Data Additive'!$Q:$Q,"&lt;=90")</f>
        <v>0</v>
      </c>
      <c r="J18" s="19">
        <f>SUMIFS('Data Additive'!$D:$D,'Data Additive'!$P:$P,'Painel Additive'!#REF!,'Data Additive'!$Q:$Q,"&gt;90",'Data Additive'!$Q:$Q,"&lt;=120")</f>
        <v>0</v>
      </c>
      <c r="K18" s="19">
        <f>SUMIFS('Data Additive'!$D:$D,'Data Additive'!$P:$P,'Painel Additive'!#REF!,'Data Additive'!$Q:$Q,"&gt;120",'Data Additive'!$Q:$Q,"&lt;=180")</f>
        <v>0</v>
      </c>
      <c r="L18" s="19">
        <f>SUMIFS('Data Additive'!$D:$D,'Data Additive'!$P:$P,'Painel Additive'!#REF!,'Data Additive'!$Q:$Q,"&gt;180",'Data Additive'!$Q:$Q,"&lt;=360")</f>
        <v>0</v>
      </c>
      <c r="M18" s="23">
        <f>SUMIFS('Data Additive'!$D:$D,'Data Additive'!$P:$P,'Painel Additive'!#REF!,'Data Additive'!$Q:$Q,"&gt;360")</f>
        <v>0</v>
      </c>
      <c r="N18" s="19">
        <f>SUMIFS('Data Additive'!$D:$D,'Data Additive'!$P:$P,'Painel Additive'!#REF!,'Data Additive'!$Q:$Q,"&gt;0")</f>
        <v>0</v>
      </c>
      <c r="O18" s="19">
        <f t="shared" si="4"/>
        <v>0</v>
      </c>
      <c r="P18" s="19">
        <f>SUMIFS('Data Additive'!$D:$D,'Data Additive'!$P:$P,'Painel Additive'!#REF!,'Data Additive'!$Q:$Q,"&lt;=0",'Data Additive'!$Q:$Q,"&gt;=-30")</f>
        <v>0</v>
      </c>
      <c r="Q18" s="19">
        <f>SUMIFS('Data Additive'!$D:$D,'Data Additive'!$P:$P,'Painel Additive'!#REF!,'Data Additive'!$Q:$Q,"&lt;=-31",'Data Additive'!$Q:$Q,"&gt;=-60")</f>
        <v>0</v>
      </c>
      <c r="R18" s="19">
        <f>SUMIFS('Data Additive'!$D:$D,'Data Additive'!$P:$P,'Painel Additive'!#REF!,'Data Additive'!$Q:$Q,"&lt;=-61",'Data Additive'!$Q:$Q,"&gt;=-90")</f>
        <v>0</v>
      </c>
      <c r="S18" s="19">
        <f>SUMIFS('Data Additive'!$D:$D,'Data Additive'!$P:$P,'Painel Additive'!#REF!,'Data Additive'!$Q:$Q,"&lt;=-91",'Data Additive'!$Q:$Q,"&gt;=-120")</f>
        <v>0</v>
      </c>
      <c r="T18" s="19">
        <f>SUMIFS('Data Additive'!$D:$D,'Data Additive'!$P:$P,'Painel Additive'!#REF!,'Data Additive'!$Q:$Q,"&lt;=-121",'Data Additive'!$Q:$Q,"&gt;=-180")</f>
        <v>0</v>
      </c>
      <c r="U18" s="19">
        <f>SUMIFS('Data Additive'!$D:$D,'Data Additive'!$P:$P,'Painel Additive'!#REF!,'Data Additive'!$Q:$Q,"&lt;=-181",'Data Additive'!$Q:$Q,"&gt;=-360")</f>
        <v>0</v>
      </c>
      <c r="V18" s="23">
        <f>SUMIFS('Data Additive'!$D:$D,'Data Additive'!$P:$P,'Painel Additive'!#REF!,'Data Additive'!$Q:$Q,"&lt;-360")</f>
        <v>0</v>
      </c>
      <c r="W18" s="19" t="e">
        <f>SUMIFS('Bad Debt Provision'!#REF!,'Bad Debt Provision'!#REF!,'Painel Additive'!#REF!)</f>
        <v>#REF!</v>
      </c>
      <c r="X18" s="5"/>
      <c r="Y18" s="20"/>
      <c r="Z18" s="20"/>
      <c r="AA18" s="21"/>
      <c r="AB18" s="5"/>
      <c r="AC18" s="19"/>
      <c r="AD18" s="20"/>
      <c r="AE18" s="22"/>
      <c r="AF18" s="22"/>
      <c r="AG18" s="5"/>
      <c r="AH18" s="28">
        <f t="shared" si="5"/>
        <v>0</v>
      </c>
    </row>
    <row r="19" spans="2:35" ht="15.75" customHeight="1" x14ac:dyDescent="0.25">
      <c r="B19" s="17" t="s">
        <v>90</v>
      </c>
      <c r="C19" s="93" cm="1">
        <f t="array" ref="C19">IFERROR(INDEX('Limite de crédito'!$D:$D, MATCH(MAX(IF('Limite de crédito'!$C:$C=$B19, 'Limite de crédito'!$A:$A)), 'Limite de crédito'!$A:$A, 0)),"")</f>
        <v>45804</v>
      </c>
      <c r="D19" s="18" t="str" cm="1">
        <f t="array" ref="D19">IFERROR(INDEX('Limite de crédito'!$F:$F, MATCH(MAX(IF('Limite de crédito'!$C:$C=$B19, 'Limite de crédito'!$A:$A)), 'Limite de crédito'!$A:$A, 0)),0)</f>
        <v>Sim</v>
      </c>
      <c r="E19" s="18" t="e">
        <f t="shared" si="2"/>
        <v>#VALUE!</v>
      </c>
      <c r="F19" s="18">
        <f t="shared" si="3"/>
        <v>0</v>
      </c>
      <c r="G19" s="19">
        <f>SUMIFS('Data Additive'!$D:$D,'Data Additive'!$P:$P,'Painel Additive'!$B26,'Data Additive'!$Q:$Q,"&gt;0",'Data Additive'!$Q:$Q,"&lt;=30")</f>
        <v>0</v>
      </c>
      <c r="H19" s="19">
        <f>SUMIFS('Data Additive'!$D:$D,'Data Additive'!$P:$P,'Painel Additive'!$B26,'Data Additive'!$Q:$Q,"&gt;30",'Data Additive'!$Q:$Q,"&lt;=60")</f>
        <v>0</v>
      </c>
      <c r="I19" s="19">
        <f>SUMIFS('Data Additive'!$D:$D,'Data Additive'!$P:$P,'Painel Additive'!$B26,'Data Additive'!$Q:$Q,"&gt;60",'Data Additive'!$Q:$Q,"&lt;=90")</f>
        <v>0</v>
      </c>
      <c r="J19" s="19">
        <f>SUMIFS('Data Additive'!$D:$D,'Data Additive'!$P:$P,'Painel Additive'!$B26,'Data Additive'!$Q:$Q,"&gt;90",'Data Additive'!$Q:$Q,"&lt;=120")</f>
        <v>0</v>
      </c>
      <c r="K19" s="19">
        <f>SUMIFS('Data Additive'!$D:$D,'Data Additive'!$P:$P,'Painel Additive'!$B26,'Data Additive'!$Q:$Q,"&gt;120",'Data Additive'!$Q:$Q,"&lt;=180")</f>
        <v>0</v>
      </c>
      <c r="L19" s="19">
        <f>SUMIFS('Data Additive'!$D:$D,'Data Additive'!$P:$P,'Painel Additive'!$B26,'Data Additive'!$Q:$Q,"&gt;180",'Data Additive'!$Q:$Q,"&lt;=360")</f>
        <v>0</v>
      </c>
      <c r="M19" s="23">
        <f>SUMIFS('Data Additive'!$D:$D,'Data Additive'!$P:$P,'Painel Additive'!$B26,'Data Additive'!$Q:$Q,"&gt;360")</f>
        <v>0</v>
      </c>
      <c r="N19" s="19">
        <f>SUMIFS('Data Additive'!$D:$D,'Data Additive'!$P:$P,'Painel Additive'!$B26,'Data Additive'!$Q:$Q,"&gt;0")</f>
        <v>0</v>
      </c>
      <c r="O19" s="19">
        <f t="shared" si="4"/>
        <v>0</v>
      </c>
      <c r="P19" s="19">
        <f>SUMIFS('Data Additive'!$D:$D,'Data Additive'!$P:$P,'Painel Additive'!$B26,'Data Additive'!$Q:$Q,"&lt;=0",'Data Additive'!$Q:$Q,"&gt;=-30")</f>
        <v>0</v>
      </c>
      <c r="Q19" s="19">
        <f>SUMIFS('Data Additive'!$D:$D,'Data Additive'!$P:$P,'Painel Additive'!$B26,'Data Additive'!$Q:$Q,"&lt;=-31",'Data Additive'!$Q:$Q,"&gt;=-60")</f>
        <v>0</v>
      </c>
      <c r="R19" s="19">
        <f>SUMIFS('Data Additive'!$D:$D,'Data Additive'!$P:$P,'Painel Additive'!$B26,'Data Additive'!$Q:$Q,"&lt;=-61",'Data Additive'!$Q:$Q,"&gt;=-90")</f>
        <v>0</v>
      </c>
      <c r="S19" s="19">
        <f>SUMIFS('Data Additive'!$D:$D,'Data Additive'!$P:$P,'Painel Additive'!$B26,'Data Additive'!$Q:$Q,"&lt;=-91",'Data Additive'!$Q:$Q,"&gt;=-120")</f>
        <v>0</v>
      </c>
      <c r="T19" s="19">
        <f>SUMIFS('Data Additive'!$D:$D,'Data Additive'!$P:$P,'Painel Additive'!$B26,'Data Additive'!$Q:$Q,"&lt;=-121",'Data Additive'!$Q:$Q,"&gt;=-180")</f>
        <v>0</v>
      </c>
      <c r="U19" s="19">
        <f>SUMIFS('Data Additive'!$D:$D,'Data Additive'!$P:$P,'Painel Additive'!$B26,'Data Additive'!$Q:$Q,"&lt;=-181",'Data Additive'!$Q:$Q,"&gt;=-360")</f>
        <v>0</v>
      </c>
      <c r="V19" s="23">
        <f>SUMIFS('Data Additive'!$D:$D,'Data Additive'!$P:$P,'Painel Additive'!$B26,'Data Additive'!$Q:$Q,"&lt;-360")</f>
        <v>0</v>
      </c>
      <c r="W19" s="19" t="e">
        <f>SUMIFS('Bad Debt Provision'!#REF!,'Bad Debt Provision'!#REF!,'Painel Additive'!$B26)</f>
        <v>#REF!</v>
      </c>
      <c r="X19" s="5"/>
      <c r="Y19" s="20"/>
      <c r="Z19" s="20"/>
      <c r="AA19" s="21"/>
      <c r="AB19" s="5"/>
      <c r="AC19" s="19"/>
      <c r="AD19" s="20"/>
      <c r="AE19" s="22"/>
      <c r="AF19" s="22"/>
      <c r="AG19" s="5"/>
      <c r="AH19" s="28">
        <f t="shared" si="5"/>
        <v>0</v>
      </c>
      <c r="AI19" s="5"/>
    </row>
    <row r="20" spans="2:35" ht="15.75" customHeight="1" x14ac:dyDescent="0.25">
      <c r="B20" s="17" t="s">
        <v>78</v>
      </c>
      <c r="C20" s="93" cm="1">
        <f t="array" ref="C20">IFERROR(INDEX('Limite de crédito'!$D:$D, MATCH(MAX(IF('Limite de crédito'!$C:$C=$B20, 'Limite de crédito'!$A:$A)), 'Limite de crédito'!$A:$A, 0)),"")</f>
        <v>46023</v>
      </c>
      <c r="D20" s="18" t="str" cm="1">
        <f t="array" ref="D20">IFERROR(INDEX('Limite de crédito'!$F:$F, MATCH(MAX(IF('Limite de crédito'!$C:$C=$B20, 'Limite de crédito'!$A:$A)), 'Limite de crédito'!$A:$A, 0)),0)</f>
        <v>Sim</v>
      </c>
      <c r="E20" s="18" t="e">
        <f t="shared" si="2"/>
        <v>#VALUE!</v>
      </c>
      <c r="F20" s="18">
        <f t="shared" si="3"/>
        <v>44363</v>
      </c>
      <c r="G20" s="19">
        <f>SUMIFS('Data Additive'!$D:$D,'Data Additive'!$P:$P,'Painel Additive'!$B28,'Data Additive'!$Q:$Q,"&gt;0",'Data Additive'!$Q:$Q,"&lt;=30")</f>
        <v>0</v>
      </c>
      <c r="H20" s="19">
        <f>SUMIFS('Data Additive'!$D:$D,'Data Additive'!$P:$P,'Painel Additive'!$B28,'Data Additive'!$Q:$Q,"&gt;30",'Data Additive'!$Q:$Q,"&lt;=60")</f>
        <v>0</v>
      </c>
      <c r="I20" s="19">
        <f>SUMIFS('Data Additive'!$D:$D,'Data Additive'!$P:$P,'Painel Additive'!$B28,'Data Additive'!$Q:$Q,"&gt;60",'Data Additive'!$Q:$Q,"&lt;=90")</f>
        <v>0</v>
      </c>
      <c r="J20" s="19">
        <f>SUMIFS('Data Additive'!$D:$D,'Data Additive'!$P:$P,'Painel Additive'!$B28,'Data Additive'!$Q:$Q,"&gt;90",'Data Additive'!$Q:$Q,"&lt;=120")</f>
        <v>0</v>
      </c>
      <c r="K20" s="19">
        <f>SUMIFS('Data Additive'!$D:$D,'Data Additive'!$P:$P,'Painel Additive'!$B28,'Data Additive'!$Q:$Q,"&gt;120",'Data Additive'!$Q:$Q,"&lt;=180")</f>
        <v>0</v>
      </c>
      <c r="L20" s="19">
        <f>SUMIFS('Data Additive'!$D:$D,'Data Additive'!$P:$P,'Painel Additive'!$B28,'Data Additive'!$Q:$Q,"&gt;180",'Data Additive'!$Q:$Q,"&lt;=360")</f>
        <v>0</v>
      </c>
      <c r="M20" s="23">
        <f>SUMIFS('Data Additive'!$D:$D,'Data Additive'!$P:$P,'Painel Additive'!$B28,'Data Additive'!$Q:$Q,"&gt;360")</f>
        <v>0</v>
      </c>
      <c r="N20" s="19">
        <f>SUMIFS('Data Additive'!$D:$D,'Data Additive'!$P:$P,'Painel Additive'!$B28,'Data Additive'!$Q:$Q,"&gt;0")</f>
        <v>0</v>
      </c>
      <c r="O20" s="19">
        <f t="shared" si="4"/>
        <v>44363</v>
      </c>
      <c r="P20" s="19">
        <f>SUMIFS('Data Additive'!$D:$D,'Data Additive'!$P:$P,'Painel Additive'!$B28,'Data Additive'!$Q:$Q,"&lt;=0",'Data Additive'!$Q:$Q,"&gt;=-30")</f>
        <v>44363</v>
      </c>
      <c r="Q20" s="19">
        <f>SUMIFS('Data Additive'!$D:$D,'Data Additive'!$P:$P,'Painel Additive'!$B28,'Data Additive'!$Q:$Q,"&lt;=-31",'Data Additive'!$Q:$Q,"&gt;=-60")</f>
        <v>0</v>
      </c>
      <c r="R20" s="19">
        <f>SUMIFS('Data Additive'!$D:$D,'Data Additive'!$P:$P,'Painel Additive'!$B28,'Data Additive'!$Q:$Q,"&lt;=-61",'Data Additive'!$Q:$Q,"&gt;=-90")</f>
        <v>0</v>
      </c>
      <c r="S20" s="19">
        <f>SUMIFS('Data Additive'!$D:$D,'Data Additive'!$P:$P,'Painel Additive'!$B28,'Data Additive'!$Q:$Q,"&lt;=-91",'Data Additive'!$Q:$Q,"&gt;=-120")</f>
        <v>0</v>
      </c>
      <c r="T20" s="19">
        <f>SUMIFS('Data Additive'!$D:$D,'Data Additive'!$P:$P,'Painel Additive'!$B28,'Data Additive'!$Q:$Q,"&lt;=-121",'Data Additive'!$Q:$Q,"&gt;=-180")</f>
        <v>0</v>
      </c>
      <c r="U20" s="19">
        <f>SUMIFS('Data Additive'!$D:$D,'Data Additive'!$P:$P,'Painel Additive'!$B28,'Data Additive'!$Q:$Q,"&lt;=-181",'Data Additive'!$Q:$Q,"&gt;=-360")</f>
        <v>0</v>
      </c>
      <c r="V20" s="23">
        <f>SUMIFS('Data Additive'!$D:$D,'Data Additive'!$P:$P,'Painel Additive'!$B28,'Data Additive'!$Q:$Q,"&lt;-360")</f>
        <v>0</v>
      </c>
      <c r="W20" s="19" t="e">
        <f>SUMIFS('Bad Debt Provision'!#REF!,'Bad Debt Provision'!#REF!,'Painel Additive'!$B28)</f>
        <v>#REF!</v>
      </c>
      <c r="X20" s="5"/>
      <c r="Y20" s="20"/>
      <c r="Z20" s="20"/>
      <c r="AA20" s="21"/>
      <c r="AB20" s="5"/>
      <c r="AC20" s="19"/>
      <c r="AD20" s="20"/>
      <c r="AE20" s="22"/>
      <c r="AF20" s="22"/>
      <c r="AG20" s="5"/>
      <c r="AH20" s="28">
        <f t="shared" si="5"/>
        <v>-44363</v>
      </c>
      <c r="AI20" s="5"/>
    </row>
    <row r="21" spans="2:35" ht="15.75" customHeight="1" x14ac:dyDescent="0.25">
      <c r="B21" s="17" t="s">
        <v>53</v>
      </c>
      <c r="C21" s="93" t="str" cm="1">
        <f t="array" ref="C21">IFERROR(INDEX('Limite de crédito'!$D:$D, MATCH(MAX(IF('Limite de crédito'!$C:$C=$B21, 'Limite de crédito'!$A:$A)), 'Limite de crédito'!$A:$A, 0)),"")</f>
        <v/>
      </c>
      <c r="D21" s="18" cm="1">
        <f t="array" ref="D21">IFERROR(INDEX('Limite de crédito'!$F:$F, MATCH(MAX(IF('Limite de crédito'!$C:$C=$B21, 'Limite de crédito'!$A:$A)), 'Limite de crédito'!$A:$A, 0)),0)</f>
        <v>0</v>
      </c>
      <c r="E21" s="18">
        <f t="shared" si="2"/>
        <v>-3957383.11</v>
      </c>
      <c r="F21" s="18">
        <f t="shared" si="3"/>
        <v>3957383.11</v>
      </c>
      <c r="G21" s="19">
        <f>SUMIFS('Data Additive'!$D:$D,'Data Additive'!$P:$P,'Painel Additive'!$B6,'Data Additive'!$Q:$Q,"&gt;0",'Data Additive'!$Q:$Q,"&lt;=30")</f>
        <v>0</v>
      </c>
      <c r="H21" s="19">
        <f>SUMIFS('Data Additive'!$D:$D,'Data Additive'!$P:$P,'Painel Additive'!$B6,'Data Additive'!$Q:$Q,"&gt;30",'Data Additive'!$Q:$Q,"&lt;=60")</f>
        <v>0</v>
      </c>
      <c r="I21" s="19">
        <f>SUMIFS('Data Additive'!$D:$D,'Data Additive'!$P:$P,'Painel Additive'!$B6,'Data Additive'!$Q:$Q,"&gt;60",'Data Additive'!$Q:$Q,"&lt;=90")</f>
        <v>0</v>
      </c>
      <c r="J21" s="19">
        <f>SUMIFS('Data Additive'!$D:$D,'Data Additive'!$P:$P,'Painel Additive'!$B6,'Data Additive'!$Q:$Q,"&gt;90",'Data Additive'!$Q:$Q,"&lt;=120")</f>
        <v>0</v>
      </c>
      <c r="K21" s="19">
        <f>SUMIFS('Data Additive'!$D:$D,'Data Additive'!$P:$P,'Painel Additive'!$B6,'Data Additive'!$Q:$Q,"&gt;120",'Data Additive'!$Q:$Q,"&lt;=180")</f>
        <v>0</v>
      </c>
      <c r="L21" s="19">
        <f>SUMIFS('Data Additive'!$D:$D,'Data Additive'!$P:$P,'Painel Additive'!$B6,'Data Additive'!$Q:$Q,"&gt;180",'Data Additive'!$Q:$Q,"&lt;=360")</f>
        <v>0</v>
      </c>
      <c r="M21" s="23">
        <f>SUMIFS('Data Additive'!$D:$D,'Data Additive'!$P:$P,'Painel Additive'!$B6,'Data Additive'!$Q:$Q,"&gt;360")</f>
        <v>5626.32</v>
      </c>
      <c r="N21" s="19">
        <f>SUMIFS('Data Additive'!$D:$D,'Data Additive'!$P:$P,'Painel Additive'!$B6,'Data Additive'!$Q:$Q,"&gt;0")</f>
        <v>5626.32</v>
      </c>
      <c r="O21" s="19">
        <f t="shared" si="4"/>
        <v>3951756.79</v>
      </c>
      <c r="P21" s="19">
        <f>SUMIFS('Data Additive'!$D:$D,'Data Additive'!$P:$P,'Painel Additive'!$B6,'Data Additive'!$Q:$Q,"&lt;=0",'Data Additive'!$Q:$Q,"&gt;=-30")</f>
        <v>2997325.2399999998</v>
      </c>
      <c r="Q21" s="19">
        <f>SUMIFS('Data Additive'!$D:$D,'Data Additive'!$P:$P,'Painel Additive'!$B6,'Data Additive'!$Q:$Q,"&lt;=-31",'Data Additive'!$Q:$Q,"&gt;=-60")</f>
        <v>954431.55</v>
      </c>
      <c r="R21" s="19">
        <f>SUMIFS('Data Additive'!$D:$D,'Data Additive'!$P:$P,'Painel Additive'!$B6,'Data Additive'!$Q:$Q,"&lt;=-61",'Data Additive'!$Q:$Q,"&gt;=-90")</f>
        <v>0</v>
      </c>
      <c r="S21" s="19">
        <f>SUMIFS('Data Additive'!$D:$D,'Data Additive'!$P:$P,'Painel Additive'!$B6,'Data Additive'!$Q:$Q,"&lt;=-91",'Data Additive'!$Q:$Q,"&gt;=-120")</f>
        <v>0</v>
      </c>
      <c r="T21" s="19">
        <f>SUMIFS('Data Additive'!$D:$D,'Data Additive'!$P:$P,'Painel Additive'!$B6,'Data Additive'!$Q:$Q,"&lt;=-121",'Data Additive'!$Q:$Q,"&gt;=-180")</f>
        <v>0</v>
      </c>
      <c r="U21" s="19">
        <f>SUMIFS('Data Additive'!$D:$D,'Data Additive'!$P:$P,'Painel Additive'!$B6,'Data Additive'!$Q:$Q,"&lt;=-181",'Data Additive'!$Q:$Q,"&gt;=-360")</f>
        <v>0</v>
      </c>
      <c r="V21" s="23">
        <f>SUMIFS('Data Additive'!$D:$D,'Data Additive'!$P:$P,'Painel Additive'!$B6,'Data Additive'!$Q:$Q,"&lt;-360")</f>
        <v>0</v>
      </c>
      <c r="W21" s="19" t="e">
        <f>SUMIFS('Bad Debt Provision'!#REF!,'Bad Debt Provision'!#REF!,'Painel Additive'!$B6)</f>
        <v>#REF!</v>
      </c>
      <c r="X21" s="5"/>
      <c r="Y21" s="20"/>
      <c r="Z21" s="20"/>
      <c r="AA21" s="21"/>
      <c r="AB21" s="5"/>
      <c r="AC21" s="19"/>
      <c r="AD21" s="20"/>
      <c r="AE21" s="22"/>
      <c r="AF21" s="22"/>
      <c r="AG21" s="5"/>
      <c r="AH21" s="28">
        <f t="shared" si="5"/>
        <v>-3957383.11</v>
      </c>
      <c r="AI21" s="5"/>
    </row>
    <row r="22" spans="2:35" ht="15.75" customHeight="1" x14ac:dyDescent="0.25">
      <c r="B22" s="17" t="s">
        <v>294</v>
      </c>
      <c r="C22" s="110" t="str" cm="1">
        <f t="array" ref="C22">IFERROR(INDEX('Limite de crédito'!$D:$D, MATCH(MAX(IF('Limite de crédito'!$C:$C=$B22, 'Limite de crédito'!$A:$A)), 'Limite de crédito'!$A:$A, 0)),"")</f>
        <v/>
      </c>
      <c r="D22" s="18" cm="1">
        <f t="array" ref="D22">IFERROR(INDEX('Limite de crédito'!$F:$F, MATCH(MAX(IF('Limite de crédito'!$C:$C=$B22, 'Limite de crédito'!$A:$A)), 'Limite de crédito'!$A:$A, 0)),0)</f>
        <v>0</v>
      </c>
      <c r="E22" s="18">
        <f t="shared" si="2"/>
        <v>-793811.7</v>
      </c>
      <c r="F22" s="18">
        <f t="shared" si="3"/>
        <v>793811.7</v>
      </c>
      <c r="G22" s="19">
        <f>SUMIFS('Data Additive'!$D:$D,'Data Additive'!$P:$P,'Painel Additive'!$B47,'Data Additive'!$Q:$Q,"&gt;0",'Data Additive'!$Q:$Q,"&lt;=30")</f>
        <v>153506.1</v>
      </c>
      <c r="H22" s="19">
        <f>SUMIFS('Data Additive'!$D:$D,'Data Additive'!$P:$P,'Painel Additive'!$B47,'Data Additive'!$Q:$Q,"&gt;30",'Data Additive'!$Q:$Q,"&lt;=60")</f>
        <v>0</v>
      </c>
      <c r="I22" s="19">
        <f>SUMIFS('Data Additive'!$D:$D,'Data Additive'!$P:$P,'Painel Additive'!$B47,'Data Additive'!$Q:$Q,"&gt;60",'Data Additive'!$Q:$Q,"&lt;=90")</f>
        <v>0</v>
      </c>
      <c r="J22" s="19">
        <f>SUMIFS('Data Additive'!$D:$D,'Data Additive'!$P:$P,'Painel Additive'!$B47,'Data Additive'!$Q:$Q,"&gt;90",'Data Additive'!$Q:$Q,"&lt;=120")</f>
        <v>0</v>
      </c>
      <c r="K22" s="19">
        <f>SUMIFS('Data Additive'!$D:$D,'Data Additive'!$P:$P,'Painel Additive'!$B47,'Data Additive'!$Q:$Q,"&gt;120",'Data Additive'!$Q:$Q,"&lt;=180")</f>
        <v>0</v>
      </c>
      <c r="L22" s="19">
        <f>SUMIFS('Data Additive'!$D:$D,'Data Additive'!$P:$P,'Painel Additive'!$B47,'Data Additive'!$Q:$Q,"&gt;180",'Data Additive'!$Q:$Q,"&lt;=360")</f>
        <v>0</v>
      </c>
      <c r="M22" s="23">
        <f>SUMIFS('Data Additive'!$D:$D,'Data Additive'!$P:$P,'Painel Additive'!$B47,'Data Additive'!$Q:$Q,"&gt;360")</f>
        <v>0</v>
      </c>
      <c r="N22" s="19">
        <f>SUMIFS('Data Additive'!$D:$D,'Data Additive'!$P:$P,'Painel Additive'!$B47,'Data Additive'!$Q:$Q,"&gt;0")</f>
        <v>153506.1</v>
      </c>
      <c r="O22" s="19">
        <f t="shared" si="4"/>
        <v>640305.6</v>
      </c>
      <c r="P22" s="19">
        <f>SUMIFS('Data Additive'!$D:$D,'Data Additive'!$P:$P,'Painel Additive'!$B47,'Data Additive'!$Q:$Q,"&lt;=0",'Data Additive'!$Q:$Q,"&gt;=-30")</f>
        <v>640305.6</v>
      </c>
      <c r="Q22" s="19">
        <f>SUMIFS('Data Additive'!$D:$D,'Data Additive'!$P:$P,'Painel Additive'!$B47,'Data Additive'!$Q:$Q,"&lt;=-31",'Data Additive'!$Q:$Q,"&gt;=-60")</f>
        <v>0</v>
      </c>
      <c r="R22" s="19">
        <f>SUMIFS('Data Additive'!$D:$D,'Data Additive'!$P:$P,'Painel Additive'!$B47,'Data Additive'!$Q:$Q,"&lt;=-61",'Data Additive'!$Q:$Q,"&gt;=-90")</f>
        <v>0</v>
      </c>
      <c r="S22" s="19">
        <f>SUMIFS('Data Additive'!$D:$D,'Data Additive'!$P:$P,'Painel Additive'!$B47,'Data Additive'!$Q:$Q,"&lt;=-91",'Data Additive'!$Q:$Q,"&gt;=-120")</f>
        <v>0</v>
      </c>
      <c r="T22" s="19">
        <f>SUMIFS('Data Additive'!$D:$D,'Data Additive'!$P:$P,'Painel Additive'!$B47,'Data Additive'!$Q:$Q,"&lt;=-121",'Data Additive'!$Q:$Q,"&gt;=-180")</f>
        <v>0</v>
      </c>
      <c r="U22" s="19">
        <f>SUMIFS('Data Additive'!$D:$D,'Data Additive'!$P:$P,'Painel Additive'!$B47,'Data Additive'!$Q:$Q,"&lt;=-181",'Data Additive'!$Q:$Q,"&gt;=-360")</f>
        <v>0</v>
      </c>
      <c r="V22" s="23">
        <f>SUMIFS('Data Additive'!$D:$D,'Data Additive'!$P:$P,'Painel Additive'!$B47,'Data Additive'!$Q:$Q,"&lt;-360")</f>
        <v>0</v>
      </c>
      <c r="W22" s="19" t="e">
        <f>SUMIFS('Bad Debt Provision'!#REF!,'Bad Debt Provision'!#REF!,'Painel Additive'!$B47)</f>
        <v>#REF!</v>
      </c>
      <c r="X22" s="5"/>
      <c r="Y22" s="20"/>
      <c r="Z22" s="20"/>
      <c r="AA22" s="21"/>
      <c r="AB22" s="5"/>
      <c r="AC22" s="19"/>
      <c r="AD22" s="20"/>
      <c r="AE22" s="22"/>
      <c r="AF22" s="22"/>
      <c r="AG22" s="5"/>
      <c r="AH22" s="28">
        <f t="shared" si="5"/>
        <v>-793811.7</v>
      </c>
    </row>
    <row r="23" spans="2:35" ht="15.75" customHeight="1" x14ac:dyDescent="0.25">
      <c r="B23" s="41" t="s">
        <v>430</v>
      </c>
      <c r="C23" s="94" cm="1">
        <f t="array" ref="C23">IFERROR(INDEX('Limite de crédito'!$D:$D, MATCH(MAX(IF('Limite de crédito'!$C:$C=$B23, 'Limite de crédito'!$A:$A)), 'Limite de crédito'!$A:$A, 0)),"")</f>
        <v>45834</v>
      </c>
      <c r="D23" s="18" t="str" cm="1">
        <f t="array" ref="D23">IFERROR(INDEX('Limite de crédito'!$F:$F, MATCH(MAX(IF('Limite de crédito'!$C:$C=$B23, 'Limite de crédito'!$A:$A)), 'Limite de crédito'!$A:$A, 0)),0)</f>
        <v>Sim</v>
      </c>
      <c r="E23" s="18" t="e">
        <f t="shared" si="2"/>
        <v>#VALUE!</v>
      </c>
      <c r="F23" s="18">
        <f t="shared" si="3"/>
        <v>0</v>
      </c>
      <c r="G23" s="19">
        <f>SUMIFS('Data Additive'!$D:$D,'Data Additive'!$P:$P,'Painel Additive'!#REF!,'Data Additive'!$Q:$Q,"&gt;0",'Data Additive'!$Q:$Q,"&lt;=30")</f>
        <v>0</v>
      </c>
      <c r="H23" s="19">
        <f>SUMIFS('Data Additive'!$D:$D,'Data Additive'!$P:$P,'Painel Additive'!#REF!,'Data Additive'!$Q:$Q,"&gt;30",'Data Additive'!$Q:$Q,"&lt;=60")</f>
        <v>0</v>
      </c>
      <c r="I23" s="19">
        <f>SUMIFS('Data Additive'!$D:$D,'Data Additive'!$P:$P,'Painel Additive'!#REF!,'Data Additive'!$Q:$Q,"&gt;60",'Data Additive'!$Q:$Q,"&lt;=90")</f>
        <v>0</v>
      </c>
      <c r="J23" s="19">
        <f>SUMIFS('Data Additive'!$D:$D,'Data Additive'!$P:$P,'Painel Additive'!#REF!,'Data Additive'!$Q:$Q,"&gt;90",'Data Additive'!$Q:$Q,"&lt;=120")</f>
        <v>0</v>
      </c>
      <c r="K23" s="19">
        <f>SUMIFS('Data Additive'!$D:$D,'Data Additive'!$P:$P,'Painel Additive'!#REF!,'Data Additive'!$Q:$Q,"&gt;120",'Data Additive'!$Q:$Q,"&lt;=180")</f>
        <v>0</v>
      </c>
      <c r="L23" s="19">
        <f>SUMIFS('Data Additive'!$D:$D,'Data Additive'!$P:$P,'Painel Additive'!#REF!,'Data Additive'!$Q:$Q,"&gt;180",'Data Additive'!$Q:$Q,"&lt;=360")</f>
        <v>0</v>
      </c>
      <c r="M23" s="23">
        <f>SUMIFS('Data Additive'!$D:$D,'Data Additive'!$P:$P,'Painel Additive'!#REF!,'Data Additive'!$Q:$Q,"&gt;360")</f>
        <v>0</v>
      </c>
      <c r="N23" s="19">
        <f>SUMIFS('Data Additive'!$D:$D,'Data Additive'!$P:$P,'Painel Additive'!#REF!,'Data Additive'!$Q:$Q,"&gt;0")</f>
        <v>0</v>
      </c>
      <c r="O23" s="19">
        <f t="shared" si="4"/>
        <v>0</v>
      </c>
      <c r="P23" s="19">
        <f>SUMIFS('Data Additive'!$D:$D,'Data Additive'!$P:$P,'Painel Additive'!#REF!,'Data Additive'!$Q:$Q,"&lt;=0",'Data Additive'!$Q:$Q,"&gt;=-30")</f>
        <v>0</v>
      </c>
      <c r="Q23" s="19">
        <f>SUMIFS('Data Additive'!$D:$D,'Data Additive'!$P:$P,'Painel Additive'!#REF!,'Data Additive'!$Q:$Q,"&lt;=-31",'Data Additive'!$Q:$Q,"&gt;=-60")</f>
        <v>0</v>
      </c>
      <c r="R23" s="19">
        <f>SUMIFS('Data Additive'!$D:$D,'Data Additive'!$P:$P,'Painel Additive'!#REF!,'Data Additive'!$Q:$Q,"&lt;=-61",'Data Additive'!$Q:$Q,"&gt;=-90")</f>
        <v>0</v>
      </c>
      <c r="S23" s="19">
        <f>SUMIFS('Data Additive'!$D:$D,'Data Additive'!$P:$P,'Painel Additive'!#REF!,'Data Additive'!$Q:$Q,"&lt;=-91",'Data Additive'!$Q:$Q,"&gt;=-120")</f>
        <v>0</v>
      </c>
      <c r="T23" s="19">
        <f>SUMIFS('Data Additive'!$D:$D,'Data Additive'!$P:$P,'Painel Additive'!#REF!,'Data Additive'!$Q:$Q,"&lt;=-121",'Data Additive'!$Q:$Q,"&gt;=-180")</f>
        <v>0</v>
      </c>
      <c r="U23" s="19">
        <f>SUMIFS('Data Additive'!$D:$D,'Data Additive'!$P:$P,'Painel Additive'!#REF!,'Data Additive'!$Q:$Q,"&lt;=-181",'Data Additive'!$Q:$Q,"&gt;=-360")</f>
        <v>0</v>
      </c>
      <c r="V23" s="23">
        <f>SUMIFS('Data Additive'!$D:$D,'Data Additive'!$P:$P,'Painel Additive'!#REF!,'Data Additive'!$Q:$Q,"&lt;-360")</f>
        <v>0</v>
      </c>
      <c r="W23" s="19" t="e">
        <f>SUMIFS('Bad Debt Provision'!#REF!,'Bad Debt Provision'!#REF!,'Painel Additive'!#REF!)</f>
        <v>#REF!</v>
      </c>
      <c r="X23" s="5"/>
      <c r="Y23" s="20"/>
      <c r="Z23" s="20"/>
      <c r="AA23" s="21"/>
      <c r="AB23" s="5"/>
      <c r="AC23" s="19"/>
      <c r="AD23" s="20"/>
      <c r="AE23" s="22"/>
      <c r="AF23" s="22"/>
      <c r="AG23" s="5"/>
      <c r="AH23" s="28">
        <f t="shared" si="5"/>
        <v>0</v>
      </c>
    </row>
    <row r="24" spans="2:35" x14ac:dyDescent="0.25">
      <c r="B24" s="41" t="s">
        <v>414</v>
      </c>
      <c r="C24" s="94" cm="1">
        <f t="array" ref="C24">IFERROR(INDEX('Limite de crédito'!$D:$D, MATCH(MAX(IF('Limite de crédito'!$C:$C=$B24, 'Limite de crédito'!$A:$A)), 'Limite de crédito'!$A:$A, 0)),"")</f>
        <v>45803</v>
      </c>
      <c r="D24" s="18" t="str" cm="1">
        <f t="array" ref="D24">IFERROR(INDEX('Limite de crédito'!$F:$F, MATCH(MAX(IF('Limite de crédito'!$C:$C=$B24, 'Limite de crédito'!$A:$A)), 'Limite de crédito'!$A:$A, 0)),0)</f>
        <v>Sim</v>
      </c>
      <c r="E24" s="18" t="e">
        <f t="shared" si="2"/>
        <v>#VALUE!</v>
      </c>
      <c r="F24" s="18">
        <f t="shared" si="3"/>
        <v>0</v>
      </c>
      <c r="G24" s="19">
        <f>SUMIFS('Data Additive'!$D:$D,'Data Additive'!$P:$P,'Painel Additive'!#REF!,'Data Additive'!$Q:$Q,"&gt;0",'Data Additive'!$Q:$Q,"&lt;=30")</f>
        <v>0</v>
      </c>
      <c r="H24" s="19">
        <f>SUMIFS('Data Additive'!$D:$D,'Data Additive'!$P:$P,'Painel Additive'!#REF!,'Data Additive'!$Q:$Q,"&gt;30",'Data Additive'!$Q:$Q,"&lt;=60")</f>
        <v>0</v>
      </c>
      <c r="I24" s="19">
        <f>SUMIFS('Data Additive'!$D:$D,'Data Additive'!$P:$P,'Painel Additive'!#REF!,'Data Additive'!$Q:$Q,"&gt;60",'Data Additive'!$Q:$Q,"&lt;=90")</f>
        <v>0</v>
      </c>
      <c r="J24" s="19">
        <f>SUMIFS('Data Additive'!$D:$D,'Data Additive'!$P:$P,'Painel Additive'!#REF!,'Data Additive'!$Q:$Q,"&gt;90",'Data Additive'!$Q:$Q,"&lt;=120")</f>
        <v>0</v>
      </c>
      <c r="K24" s="19">
        <f>SUMIFS('Data Additive'!$D:$D,'Data Additive'!$P:$P,'Painel Additive'!#REF!,'Data Additive'!$Q:$Q,"&gt;120",'Data Additive'!$Q:$Q,"&lt;=180")</f>
        <v>0</v>
      </c>
      <c r="L24" s="19">
        <f>SUMIFS('Data Additive'!$D:$D,'Data Additive'!$P:$P,'Painel Additive'!#REF!,'Data Additive'!$Q:$Q,"&gt;180",'Data Additive'!$Q:$Q,"&lt;=360")</f>
        <v>0</v>
      </c>
      <c r="M24" s="23">
        <f>SUMIFS('Data Additive'!$D:$D,'Data Additive'!$P:$P,'Painel Additive'!#REF!,'Data Additive'!$Q:$Q,"&gt;360")</f>
        <v>0</v>
      </c>
      <c r="N24" s="19">
        <f>SUMIFS('Data Additive'!$D:$D,'Data Additive'!$P:$P,'Painel Additive'!#REF!,'Data Additive'!$Q:$Q,"&gt;0")</f>
        <v>0</v>
      </c>
      <c r="O24" s="19">
        <f t="shared" si="4"/>
        <v>0</v>
      </c>
      <c r="P24" s="19">
        <f>SUMIFS('Data Additive'!$D:$D,'Data Additive'!$P:$P,'Painel Additive'!#REF!,'Data Additive'!$Q:$Q,"&lt;=0",'Data Additive'!$Q:$Q,"&gt;=-30")</f>
        <v>0</v>
      </c>
      <c r="Q24" s="19">
        <f>SUMIFS('Data Additive'!$D:$D,'Data Additive'!$P:$P,'Painel Additive'!#REF!,'Data Additive'!$Q:$Q,"&lt;=-31",'Data Additive'!$Q:$Q,"&gt;=-60")</f>
        <v>0</v>
      </c>
      <c r="R24" s="19">
        <f>SUMIFS('Data Additive'!$D:$D,'Data Additive'!$P:$P,'Painel Additive'!#REF!,'Data Additive'!$Q:$Q,"&lt;=-61",'Data Additive'!$Q:$Q,"&gt;=-90")</f>
        <v>0</v>
      </c>
      <c r="S24" s="19">
        <f>SUMIFS('Data Additive'!$D:$D,'Data Additive'!$P:$P,'Painel Additive'!#REF!,'Data Additive'!$Q:$Q,"&lt;=-91",'Data Additive'!$Q:$Q,"&gt;=-120")</f>
        <v>0</v>
      </c>
      <c r="T24" s="19">
        <f>SUMIFS('Data Additive'!$D:$D,'Data Additive'!$P:$P,'Painel Additive'!#REF!,'Data Additive'!$Q:$Q,"&lt;=-121",'Data Additive'!$Q:$Q,"&gt;=-180")</f>
        <v>0</v>
      </c>
      <c r="U24" s="19">
        <f>SUMIFS('Data Additive'!$D:$D,'Data Additive'!$P:$P,'Painel Additive'!#REF!,'Data Additive'!$Q:$Q,"&lt;=-181",'Data Additive'!$Q:$Q,"&gt;=-360")</f>
        <v>0</v>
      </c>
      <c r="V24" s="23">
        <f>SUMIFS('Data Additive'!$D:$D,'Data Additive'!$P:$P,'Painel Additive'!#REF!,'Data Additive'!$Q:$Q,"&lt;-360")</f>
        <v>0</v>
      </c>
      <c r="W24" s="19" t="e">
        <f>SUMIFS('Bad Debt Provision'!#REF!,'Bad Debt Provision'!#REF!,'Painel Additive'!#REF!)</f>
        <v>#REF!</v>
      </c>
      <c r="X24" s="5"/>
      <c r="Y24" s="20"/>
      <c r="Z24" s="20"/>
      <c r="AA24" s="21"/>
      <c r="AB24" s="5"/>
      <c r="AC24" s="19"/>
      <c r="AD24" s="20"/>
      <c r="AE24" s="22"/>
      <c r="AF24" s="22"/>
      <c r="AG24" s="5"/>
      <c r="AH24" s="28">
        <f t="shared" si="5"/>
        <v>0</v>
      </c>
    </row>
    <row r="25" spans="2:35" x14ac:dyDescent="0.25">
      <c r="B25" s="17" t="s">
        <v>156</v>
      </c>
      <c r="C25" s="93" t="str" cm="1">
        <f t="array" ref="C25">IFERROR(INDEX('Limite de crédito'!$D:$D, MATCH(MAX(IF('Limite de crédito'!$C:$C=$B25, 'Limite de crédito'!$A:$A)), 'Limite de crédito'!$A:$A, 0)),"")</f>
        <v/>
      </c>
      <c r="D25" s="18" cm="1">
        <f t="array" ref="D25">IFERROR(INDEX('Limite de crédito'!$F:$F, MATCH(MAX(IF('Limite de crédito'!$C:$C=$B25, 'Limite de crédito'!$A:$A)), 'Limite de crédito'!$A:$A, 0)),0)</f>
        <v>0</v>
      </c>
      <c r="E25" s="18">
        <f t="shared" si="2"/>
        <v>0</v>
      </c>
      <c r="F25" s="18">
        <f t="shared" si="3"/>
        <v>0</v>
      </c>
      <c r="G25" s="19">
        <f>SUMIFS('Data Additive'!$D:$D,'Data Additive'!$P:$P,'Painel Additive'!#REF!,'Data Additive'!$Q:$Q,"&gt;0",'Data Additive'!$Q:$Q,"&lt;=30")</f>
        <v>0</v>
      </c>
      <c r="H25" s="19">
        <f>SUMIFS('Data Additive'!$D:$D,'Data Additive'!$P:$P,'Painel Additive'!#REF!,'Data Additive'!$Q:$Q,"&gt;30",'Data Additive'!$Q:$Q,"&lt;=60")</f>
        <v>0</v>
      </c>
      <c r="I25" s="19">
        <f>SUMIFS('Data Additive'!$D:$D,'Data Additive'!$P:$P,'Painel Additive'!#REF!,'Data Additive'!$Q:$Q,"&gt;60",'Data Additive'!$Q:$Q,"&lt;=90")</f>
        <v>0</v>
      </c>
      <c r="J25" s="19">
        <f>SUMIFS('Data Additive'!$D:$D,'Data Additive'!$P:$P,'Painel Additive'!#REF!,'Data Additive'!$Q:$Q,"&gt;90",'Data Additive'!$Q:$Q,"&lt;=120")</f>
        <v>0</v>
      </c>
      <c r="K25" s="19">
        <f>SUMIFS('Data Additive'!$D:$D,'Data Additive'!$P:$P,'Painel Additive'!#REF!,'Data Additive'!$Q:$Q,"&gt;120",'Data Additive'!$Q:$Q,"&lt;=180")</f>
        <v>0</v>
      </c>
      <c r="L25" s="19">
        <f>SUMIFS('Data Additive'!$D:$D,'Data Additive'!$P:$P,'Painel Additive'!#REF!,'Data Additive'!$Q:$Q,"&gt;180",'Data Additive'!$Q:$Q,"&lt;=360")</f>
        <v>0</v>
      </c>
      <c r="M25" s="23">
        <f>SUMIFS('Data Additive'!$D:$D,'Data Additive'!$P:$P,'Painel Additive'!#REF!,'Data Additive'!$Q:$Q,"&gt;360")</f>
        <v>0</v>
      </c>
      <c r="N25" s="19">
        <f>SUMIFS('Data Additive'!$D:$D,'Data Additive'!$P:$P,'Painel Additive'!#REF!,'Data Additive'!$Q:$Q,"&gt;0")</f>
        <v>0</v>
      </c>
      <c r="O25" s="19">
        <f t="shared" si="4"/>
        <v>0</v>
      </c>
      <c r="P25" s="19">
        <f>SUMIFS('Data Additive'!$D:$D,'Data Additive'!$P:$P,'Painel Additive'!#REF!,'Data Additive'!$Q:$Q,"&lt;=0",'Data Additive'!$Q:$Q,"&gt;=-30")</f>
        <v>0</v>
      </c>
      <c r="Q25" s="19">
        <f>SUMIFS('Data Additive'!$D:$D,'Data Additive'!$P:$P,'Painel Additive'!#REF!,'Data Additive'!$Q:$Q,"&lt;=-31",'Data Additive'!$Q:$Q,"&gt;=-60")</f>
        <v>0</v>
      </c>
      <c r="R25" s="19">
        <f>SUMIFS('Data Additive'!$D:$D,'Data Additive'!$P:$P,'Painel Additive'!#REF!,'Data Additive'!$Q:$Q,"&lt;=-61",'Data Additive'!$Q:$Q,"&gt;=-90")</f>
        <v>0</v>
      </c>
      <c r="S25" s="19">
        <f>SUMIFS('Data Additive'!$D:$D,'Data Additive'!$P:$P,'Painel Additive'!#REF!,'Data Additive'!$Q:$Q,"&lt;=-91",'Data Additive'!$Q:$Q,"&gt;=-120")</f>
        <v>0</v>
      </c>
      <c r="T25" s="19">
        <f>SUMIFS('Data Additive'!$D:$D,'Data Additive'!$P:$P,'Painel Additive'!#REF!,'Data Additive'!$Q:$Q,"&lt;=-121",'Data Additive'!$Q:$Q,"&gt;=-180")</f>
        <v>0</v>
      </c>
      <c r="U25" s="19">
        <f>SUMIFS('Data Additive'!$D:$D,'Data Additive'!$P:$P,'Painel Additive'!#REF!,'Data Additive'!$Q:$Q,"&lt;=-181",'Data Additive'!$Q:$Q,"&gt;=-360")</f>
        <v>0</v>
      </c>
      <c r="V25" s="23">
        <f>SUMIFS('Data Additive'!$D:$D,'Data Additive'!$P:$P,'Painel Additive'!#REF!,'Data Additive'!$Q:$Q,"&lt;-360")</f>
        <v>0</v>
      </c>
      <c r="W25" s="19" t="e">
        <f>SUMIFS('Bad Debt Provision'!#REF!,'Bad Debt Provision'!#REF!,'Painel Additive'!#REF!)</f>
        <v>#REF!</v>
      </c>
      <c r="X25" s="5"/>
      <c r="Y25" s="20"/>
      <c r="Z25" s="20"/>
      <c r="AA25" s="21"/>
      <c r="AB25" s="5"/>
      <c r="AC25" s="19"/>
      <c r="AD25" s="20"/>
      <c r="AE25" s="22"/>
      <c r="AF25" s="22"/>
      <c r="AG25" s="5"/>
      <c r="AH25" s="28">
        <f t="shared" si="5"/>
        <v>0</v>
      </c>
      <c r="AI25" s="5"/>
    </row>
    <row r="26" spans="2:35" x14ac:dyDescent="0.25">
      <c r="B26" s="17" t="s">
        <v>259</v>
      </c>
      <c r="C26" s="93" cm="1">
        <f t="array" ref="C26">IFERROR(INDEX('Limite de crédito'!$D:$D, MATCH(MAX(IF('Limite de crédito'!$C:$C=$B26, 'Limite de crédito'!$A:$A)), 'Limite de crédito'!$A:$A, 0)),"")</f>
        <v>45869</v>
      </c>
      <c r="D26" s="18" t="str" cm="1">
        <f t="array" ref="D26">IFERROR(INDEX('Limite de crédito'!$F:$F, MATCH(MAX(IF('Limite de crédito'!$C:$C=$B26, 'Limite de crédito'!$A:$A)), 'Limite de crédito'!$A:$A, 0)),0)</f>
        <v>Sim</v>
      </c>
      <c r="E26" s="18" t="e">
        <f t="shared" si="2"/>
        <v>#VALUE!</v>
      </c>
      <c r="F26" s="18">
        <f t="shared" si="3"/>
        <v>0</v>
      </c>
      <c r="G26" s="19">
        <f>SUMIFS('Data Additive'!$D:$D,'Data Additive'!$P:$P,'Painel Additive'!#REF!,'Data Additive'!$Q:$Q,"&gt;0",'Data Additive'!$Q:$Q,"&lt;=30")</f>
        <v>0</v>
      </c>
      <c r="H26" s="19">
        <f>SUMIFS('Data Additive'!$D:$D,'Data Additive'!$P:$P,'Painel Additive'!#REF!,'Data Additive'!$Q:$Q,"&gt;30",'Data Additive'!$Q:$Q,"&lt;=60")</f>
        <v>0</v>
      </c>
      <c r="I26" s="19">
        <f>SUMIFS('Data Additive'!$D:$D,'Data Additive'!$P:$P,'Painel Additive'!#REF!,'Data Additive'!$Q:$Q,"&gt;60",'Data Additive'!$Q:$Q,"&lt;=90")</f>
        <v>0</v>
      </c>
      <c r="J26" s="19">
        <f>SUMIFS('Data Additive'!$D:$D,'Data Additive'!$P:$P,'Painel Additive'!#REF!,'Data Additive'!$Q:$Q,"&gt;90",'Data Additive'!$Q:$Q,"&lt;=120")</f>
        <v>0</v>
      </c>
      <c r="K26" s="19">
        <f>SUMIFS('Data Additive'!$D:$D,'Data Additive'!$P:$P,'Painel Additive'!#REF!,'Data Additive'!$Q:$Q,"&gt;120",'Data Additive'!$Q:$Q,"&lt;=180")</f>
        <v>0</v>
      </c>
      <c r="L26" s="19">
        <f>SUMIFS('Data Additive'!$D:$D,'Data Additive'!$P:$P,'Painel Additive'!#REF!,'Data Additive'!$Q:$Q,"&gt;180",'Data Additive'!$Q:$Q,"&lt;=360")</f>
        <v>0</v>
      </c>
      <c r="M26" s="23">
        <f>SUMIFS('Data Additive'!$D:$D,'Data Additive'!$P:$P,'Painel Additive'!#REF!,'Data Additive'!$Q:$Q,"&gt;360")</f>
        <v>0</v>
      </c>
      <c r="N26" s="19">
        <f>SUMIFS('Data Additive'!$D:$D,'Data Additive'!$P:$P,'Painel Additive'!#REF!,'Data Additive'!$Q:$Q,"&gt;0")</f>
        <v>0</v>
      </c>
      <c r="O26" s="19">
        <f t="shared" si="4"/>
        <v>0</v>
      </c>
      <c r="P26" s="19">
        <f>SUMIFS('Data Additive'!$D:$D,'Data Additive'!$P:$P,'Painel Additive'!#REF!,'Data Additive'!$Q:$Q,"&lt;=0",'Data Additive'!$Q:$Q,"&gt;=-30")</f>
        <v>0</v>
      </c>
      <c r="Q26" s="19">
        <f>SUMIFS('Data Additive'!$D:$D,'Data Additive'!$P:$P,'Painel Additive'!#REF!,'Data Additive'!$Q:$Q,"&lt;=-31",'Data Additive'!$Q:$Q,"&gt;=-60")</f>
        <v>0</v>
      </c>
      <c r="R26" s="19">
        <f>SUMIFS('Data Additive'!$D:$D,'Data Additive'!$P:$P,'Painel Additive'!#REF!,'Data Additive'!$Q:$Q,"&lt;=-61",'Data Additive'!$Q:$Q,"&gt;=-90")</f>
        <v>0</v>
      </c>
      <c r="S26" s="19">
        <f>SUMIFS('Data Additive'!$D:$D,'Data Additive'!$P:$P,'Painel Additive'!#REF!,'Data Additive'!$Q:$Q,"&lt;=-91",'Data Additive'!$Q:$Q,"&gt;=-120")</f>
        <v>0</v>
      </c>
      <c r="T26" s="19">
        <f>SUMIFS('Data Additive'!$D:$D,'Data Additive'!$P:$P,'Painel Additive'!#REF!,'Data Additive'!$Q:$Q,"&lt;=-121",'Data Additive'!$Q:$Q,"&gt;=-180")</f>
        <v>0</v>
      </c>
      <c r="U26" s="19">
        <f>SUMIFS('Data Additive'!$D:$D,'Data Additive'!$P:$P,'Painel Additive'!#REF!,'Data Additive'!$Q:$Q,"&lt;=-181",'Data Additive'!$Q:$Q,"&gt;=-360")</f>
        <v>0</v>
      </c>
      <c r="V26" s="23">
        <f>SUMIFS('Data Additive'!$D:$D,'Data Additive'!$P:$P,'Painel Additive'!#REF!,'Data Additive'!$Q:$Q,"&lt;-360")</f>
        <v>0</v>
      </c>
      <c r="W26" s="19" t="e">
        <f>SUMIFS('Bad Debt Provision'!#REF!,'Bad Debt Provision'!#REF!,'Painel Additive'!#REF!)</f>
        <v>#REF!</v>
      </c>
      <c r="X26" s="5"/>
      <c r="Y26" s="20"/>
      <c r="Z26" s="20"/>
      <c r="AA26" s="21"/>
      <c r="AB26" s="5"/>
      <c r="AC26" s="19"/>
      <c r="AD26" s="20"/>
      <c r="AE26" s="22"/>
      <c r="AF26" s="22"/>
      <c r="AG26" s="5"/>
      <c r="AH26" s="28">
        <f t="shared" si="5"/>
        <v>0</v>
      </c>
    </row>
    <row r="27" spans="2:35" x14ac:dyDescent="0.25">
      <c r="B27" s="41" t="s">
        <v>422</v>
      </c>
      <c r="C27" s="94" t="str" cm="1">
        <f t="array" ref="C27">IFERROR(INDEX('Limite de crédito'!$D:$D, MATCH(MAX(IF('Limite de crédito'!$C:$C=$B27, 'Limite de crédito'!$A:$A)), 'Limite de crédito'!$A:$A, 0)),"")</f>
        <v/>
      </c>
      <c r="D27" s="18" cm="1">
        <f t="array" ref="D27">IFERROR(INDEX('Limite de crédito'!$F:$F, MATCH(MAX(IF('Limite de crédito'!$C:$C=$B27, 'Limite de crédito'!$A:$A)), 'Limite de crédito'!$A:$A, 0)),0)</f>
        <v>0</v>
      </c>
      <c r="E27" s="18">
        <f t="shared" si="2"/>
        <v>0</v>
      </c>
      <c r="F27" s="18">
        <f t="shared" si="3"/>
        <v>0</v>
      </c>
      <c r="G27" s="19">
        <f>SUMIFS('Data Additive'!$D:$D,'Data Additive'!$P:$P,'Painel Additive'!#REF!,'Data Additive'!$Q:$Q,"&gt;0",'Data Additive'!$Q:$Q,"&lt;=30")</f>
        <v>0</v>
      </c>
      <c r="H27" s="19">
        <f>SUMIFS('Data Additive'!$D:$D,'Data Additive'!$P:$P,'Painel Additive'!#REF!,'Data Additive'!$Q:$Q,"&gt;30",'Data Additive'!$Q:$Q,"&lt;=60")</f>
        <v>0</v>
      </c>
      <c r="I27" s="19">
        <f>SUMIFS('Data Additive'!$D:$D,'Data Additive'!$P:$P,'Painel Additive'!#REF!,'Data Additive'!$Q:$Q,"&gt;60",'Data Additive'!$Q:$Q,"&lt;=90")</f>
        <v>0</v>
      </c>
      <c r="J27" s="19">
        <f>SUMIFS('Data Additive'!$D:$D,'Data Additive'!$P:$P,'Painel Additive'!#REF!,'Data Additive'!$Q:$Q,"&gt;90",'Data Additive'!$Q:$Q,"&lt;=120")</f>
        <v>0</v>
      </c>
      <c r="K27" s="19">
        <f>SUMIFS('Data Additive'!$D:$D,'Data Additive'!$P:$P,'Painel Additive'!#REF!,'Data Additive'!$Q:$Q,"&gt;120",'Data Additive'!$Q:$Q,"&lt;=180")</f>
        <v>0</v>
      </c>
      <c r="L27" s="19">
        <f>SUMIFS('Data Additive'!$D:$D,'Data Additive'!$P:$P,'Painel Additive'!#REF!,'Data Additive'!$Q:$Q,"&gt;180",'Data Additive'!$Q:$Q,"&lt;=360")</f>
        <v>0</v>
      </c>
      <c r="M27" s="23">
        <f>SUMIFS('Data Additive'!$D:$D,'Data Additive'!$P:$P,'Painel Additive'!#REF!,'Data Additive'!$Q:$Q,"&gt;360")</f>
        <v>0</v>
      </c>
      <c r="N27" s="19">
        <f>SUMIFS('Data Additive'!$D:$D,'Data Additive'!$P:$P,'Painel Additive'!#REF!,'Data Additive'!$Q:$Q,"&gt;0")</f>
        <v>0</v>
      </c>
      <c r="O27" s="19">
        <f t="shared" si="4"/>
        <v>0</v>
      </c>
      <c r="P27" s="19">
        <f>SUMIFS('Data Additive'!$D:$D,'Data Additive'!$P:$P,'Painel Additive'!#REF!,'Data Additive'!$Q:$Q,"&lt;=0",'Data Additive'!$Q:$Q,"&gt;=-30")</f>
        <v>0</v>
      </c>
      <c r="Q27" s="19">
        <f>SUMIFS('Data Additive'!$D:$D,'Data Additive'!$P:$P,'Painel Additive'!#REF!,'Data Additive'!$Q:$Q,"&lt;=-31",'Data Additive'!$Q:$Q,"&gt;=-60")</f>
        <v>0</v>
      </c>
      <c r="R27" s="19">
        <f>SUMIFS('Data Additive'!$D:$D,'Data Additive'!$P:$P,'Painel Additive'!#REF!,'Data Additive'!$Q:$Q,"&lt;=-61",'Data Additive'!$Q:$Q,"&gt;=-90")</f>
        <v>0</v>
      </c>
      <c r="S27" s="19">
        <f>SUMIFS('Data Additive'!$D:$D,'Data Additive'!$P:$P,'Painel Additive'!#REF!,'Data Additive'!$Q:$Q,"&lt;=-91",'Data Additive'!$Q:$Q,"&gt;=-120")</f>
        <v>0</v>
      </c>
      <c r="T27" s="19">
        <f>SUMIFS('Data Additive'!$D:$D,'Data Additive'!$P:$P,'Painel Additive'!#REF!,'Data Additive'!$Q:$Q,"&lt;=-121",'Data Additive'!$Q:$Q,"&gt;=-180")</f>
        <v>0</v>
      </c>
      <c r="U27" s="19">
        <f>SUMIFS('Data Additive'!$D:$D,'Data Additive'!$P:$P,'Painel Additive'!#REF!,'Data Additive'!$Q:$Q,"&lt;=-181",'Data Additive'!$Q:$Q,"&gt;=-360")</f>
        <v>0</v>
      </c>
      <c r="V27" s="23">
        <f>SUMIFS('Data Additive'!$D:$D,'Data Additive'!$P:$P,'Painel Additive'!#REF!,'Data Additive'!$Q:$Q,"&lt;-360")</f>
        <v>0</v>
      </c>
      <c r="W27" s="19" t="e">
        <f>SUMIFS('Bad Debt Provision'!#REF!,'Bad Debt Provision'!#REF!,'Painel Additive'!#REF!)</f>
        <v>#REF!</v>
      </c>
      <c r="X27" s="5"/>
      <c r="Y27" s="20"/>
      <c r="Z27" s="20"/>
      <c r="AA27" s="21"/>
      <c r="AB27" s="5"/>
      <c r="AC27" s="19"/>
      <c r="AD27" s="20"/>
      <c r="AE27" s="22"/>
      <c r="AF27" s="22"/>
      <c r="AG27" s="5"/>
      <c r="AH27" s="28">
        <f t="shared" si="5"/>
        <v>0</v>
      </c>
    </row>
    <row r="28" spans="2:35" x14ac:dyDescent="0.25">
      <c r="B28" s="17" t="s">
        <v>263</v>
      </c>
      <c r="C28" s="93" cm="1">
        <f t="array" ref="C28">IFERROR(INDEX('Limite de crédito'!$D:$D, MATCH(MAX(IF('Limite de crédito'!$C:$C=$B28, 'Limite de crédito'!$A:$A)), 'Limite de crédito'!$A:$A, 0)),"")</f>
        <v>45980</v>
      </c>
      <c r="D28" s="18" t="str" cm="1">
        <f t="array" ref="D28">IFERROR(INDEX('Limite de crédito'!$F:$F, MATCH(MAX(IF('Limite de crédito'!$C:$C=$B28, 'Limite de crédito'!$A:$A)), 'Limite de crédito'!$A:$A, 0)),0)</f>
        <v>Sim</v>
      </c>
      <c r="E28" s="18" t="e">
        <f t="shared" si="2"/>
        <v>#VALUE!</v>
      </c>
      <c r="F28" s="18">
        <f t="shared" si="3"/>
        <v>0</v>
      </c>
      <c r="G28" s="19">
        <f>SUMIFS('Data Additive'!$D:$D,'Data Additive'!$P:$P,'Painel Additive'!#REF!,'Data Additive'!$Q:$Q,"&gt;0",'Data Additive'!$Q:$Q,"&lt;=30")</f>
        <v>0</v>
      </c>
      <c r="H28" s="19">
        <f>SUMIFS('Data Additive'!$D:$D,'Data Additive'!$P:$P,'Painel Additive'!#REF!,'Data Additive'!$Q:$Q,"&gt;30",'Data Additive'!$Q:$Q,"&lt;=60")</f>
        <v>0</v>
      </c>
      <c r="I28" s="19">
        <f>SUMIFS('Data Additive'!$D:$D,'Data Additive'!$P:$P,'Painel Additive'!#REF!,'Data Additive'!$Q:$Q,"&gt;60",'Data Additive'!$Q:$Q,"&lt;=90")</f>
        <v>0</v>
      </c>
      <c r="J28" s="19">
        <f>SUMIFS('Data Additive'!$D:$D,'Data Additive'!$P:$P,'Painel Additive'!#REF!,'Data Additive'!$Q:$Q,"&gt;90",'Data Additive'!$Q:$Q,"&lt;=120")</f>
        <v>0</v>
      </c>
      <c r="K28" s="19">
        <f>SUMIFS('Data Additive'!$D:$D,'Data Additive'!$P:$P,'Painel Additive'!#REF!,'Data Additive'!$Q:$Q,"&gt;120",'Data Additive'!$Q:$Q,"&lt;=180")</f>
        <v>0</v>
      </c>
      <c r="L28" s="19">
        <f>SUMIFS('Data Additive'!$D:$D,'Data Additive'!$P:$P,'Painel Additive'!#REF!,'Data Additive'!$Q:$Q,"&gt;180",'Data Additive'!$Q:$Q,"&lt;=360")</f>
        <v>0</v>
      </c>
      <c r="M28" s="23">
        <f>SUMIFS('Data Additive'!$D:$D,'Data Additive'!$P:$P,'Painel Additive'!#REF!,'Data Additive'!$Q:$Q,"&gt;360")</f>
        <v>0</v>
      </c>
      <c r="N28" s="19">
        <f>SUMIFS('Data Additive'!$D:$D,'Data Additive'!$P:$P,'Painel Additive'!#REF!,'Data Additive'!$Q:$Q,"&gt;0")</f>
        <v>0</v>
      </c>
      <c r="O28" s="19">
        <f t="shared" si="4"/>
        <v>0</v>
      </c>
      <c r="P28" s="19">
        <f>SUMIFS('Data Additive'!$D:$D,'Data Additive'!$P:$P,'Painel Additive'!#REF!,'Data Additive'!$Q:$Q,"&lt;=0",'Data Additive'!$Q:$Q,"&gt;=-30")</f>
        <v>0</v>
      </c>
      <c r="Q28" s="19">
        <f>SUMIFS('Data Additive'!$D:$D,'Data Additive'!$P:$P,'Painel Additive'!#REF!,'Data Additive'!$Q:$Q,"&lt;=-31",'Data Additive'!$Q:$Q,"&gt;=-60")</f>
        <v>0</v>
      </c>
      <c r="R28" s="19">
        <f>SUMIFS('Data Additive'!$D:$D,'Data Additive'!$P:$P,'Painel Additive'!#REF!,'Data Additive'!$Q:$Q,"&lt;=-61",'Data Additive'!$Q:$Q,"&gt;=-90")</f>
        <v>0</v>
      </c>
      <c r="S28" s="19">
        <f>SUMIFS('Data Additive'!$D:$D,'Data Additive'!$P:$P,'Painel Additive'!#REF!,'Data Additive'!$Q:$Q,"&lt;=-91",'Data Additive'!$Q:$Q,"&gt;=-120")</f>
        <v>0</v>
      </c>
      <c r="T28" s="19">
        <f>SUMIFS('Data Additive'!$D:$D,'Data Additive'!$P:$P,'Painel Additive'!#REF!,'Data Additive'!$Q:$Q,"&lt;=-121",'Data Additive'!$Q:$Q,"&gt;=-180")</f>
        <v>0</v>
      </c>
      <c r="U28" s="19">
        <f>SUMIFS('Data Additive'!$D:$D,'Data Additive'!$P:$P,'Painel Additive'!#REF!,'Data Additive'!$Q:$Q,"&lt;=-181",'Data Additive'!$Q:$Q,"&gt;=-360")</f>
        <v>0</v>
      </c>
      <c r="V28" s="23">
        <f>SUMIFS('Data Additive'!$D:$D,'Data Additive'!$P:$P,'Painel Additive'!#REF!,'Data Additive'!$Q:$Q,"&lt;-360")</f>
        <v>0</v>
      </c>
      <c r="W28" s="19" t="e">
        <f>SUMIFS('Bad Debt Provision'!#REF!,'Bad Debt Provision'!#REF!,'Painel Additive'!#REF!)</f>
        <v>#REF!</v>
      </c>
      <c r="X28" s="5"/>
      <c r="Y28" s="20"/>
      <c r="Z28" s="20"/>
      <c r="AA28" s="21"/>
      <c r="AB28" s="5"/>
      <c r="AC28" s="19"/>
      <c r="AD28" s="20"/>
      <c r="AE28" s="22"/>
      <c r="AF28" s="22"/>
      <c r="AG28" s="5"/>
      <c r="AH28" s="28">
        <f t="shared" si="5"/>
        <v>0</v>
      </c>
    </row>
    <row r="29" spans="2:35" x14ac:dyDescent="0.25">
      <c r="B29" s="41" t="s">
        <v>423</v>
      </c>
      <c r="C29" s="94" t="str" cm="1">
        <f t="array" ref="C29">IFERROR(INDEX('Limite de crédito'!$D:$D, MATCH(MAX(IF('Limite de crédito'!$C:$C=$B29, 'Limite de crédito'!$A:$A)), 'Limite de crédito'!$A:$A, 0)),"")</f>
        <v/>
      </c>
      <c r="D29" s="18" cm="1">
        <f t="array" ref="D29">IFERROR(INDEX('Limite de crédito'!$F:$F, MATCH(MAX(IF('Limite de crédito'!$C:$C=$B29, 'Limite de crédito'!$A:$A)), 'Limite de crédito'!$A:$A, 0)),0)</f>
        <v>0</v>
      </c>
      <c r="E29" s="18">
        <f t="shared" si="2"/>
        <v>0</v>
      </c>
      <c r="F29" s="18">
        <f t="shared" si="3"/>
        <v>0</v>
      </c>
      <c r="G29" s="19">
        <f>SUMIFS('Data Additive'!$D:$D,'Data Additive'!$P:$P,'Painel Additive'!#REF!,'Data Additive'!$Q:$Q,"&gt;0",'Data Additive'!$Q:$Q,"&lt;=30")</f>
        <v>0</v>
      </c>
      <c r="H29" s="19">
        <f>SUMIFS('Data Additive'!$D:$D,'Data Additive'!$P:$P,'Painel Additive'!#REF!,'Data Additive'!$Q:$Q,"&gt;30",'Data Additive'!$Q:$Q,"&lt;=60")</f>
        <v>0</v>
      </c>
      <c r="I29" s="19">
        <f>SUMIFS('Data Additive'!$D:$D,'Data Additive'!$P:$P,'Painel Additive'!#REF!,'Data Additive'!$Q:$Q,"&gt;60",'Data Additive'!$Q:$Q,"&lt;=90")</f>
        <v>0</v>
      </c>
      <c r="J29" s="19">
        <f>SUMIFS('Data Additive'!$D:$D,'Data Additive'!$P:$P,'Painel Additive'!#REF!,'Data Additive'!$Q:$Q,"&gt;90",'Data Additive'!$Q:$Q,"&lt;=120")</f>
        <v>0</v>
      </c>
      <c r="K29" s="19">
        <f>SUMIFS('Data Additive'!$D:$D,'Data Additive'!$P:$P,'Painel Additive'!#REF!,'Data Additive'!$Q:$Q,"&gt;120",'Data Additive'!$Q:$Q,"&lt;=180")</f>
        <v>0</v>
      </c>
      <c r="L29" s="19">
        <f>SUMIFS('Data Additive'!$D:$D,'Data Additive'!$P:$P,'Painel Additive'!#REF!,'Data Additive'!$Q:$Q,"&gt;180",'Data Additive'!$Q:$Q,"&lt;=360")</f>
        <v>0</v>
      </c>
      <c r="M29" s="23">
        <f>SUMIFS('Data Additive'!$D:$D,'Data Additive'!$P:$P,'Painel Additive'!#REF!,'Data Additive'!$Q:$Q,"&gt;360")</f>
        <v>0</v>
      </c>
      <c r="N29" s="19">
        <f>SUMIFS('Data Additive'!$D:$D,'Data Additive'!$P:$P,'Painel Additive'!#REF!,'Data Additive'!$Q:$Q,"&gt;0")</f>
        <v>0</v>
      </c>
      <c r="O29" s="19">
        <f t="shared" si="4"/>
        <v>0</v>
      </c>
      <c r="P29" s="19">
        <f>SUMIFS('Data Additive'!$D:$D,'Data Additive'!$P:$P,'Painel Additive'!#REF!,'Data Additive'!$Q:$Q,"&lt;=0",'Data Additive'!$Q:$Q,"&gt;=-30")</f>
        <v>0</v>
      </c>
      <c r="Q29" s="19">
        <f>SUMIFS('Data Additive'!$D:$D,'Data Additive'!$P:$P,'Painel Additive'!#REF!,'Data Additive'!$Q:$Q,"&lt;=-31",'Data Additive'!$Q:$Q,"&gt;=-60")</f>
        <v>0</v>
      </c>
      <c r="R29" s="19">
        <f>SUMIFS('Data Additive'!$D:$D,'Data Additive'!$P:$P,'Painel Additive'!#REF!,'Data Additive'!$Q:$Q,"&lt;=-61",'Data Additive'!$Q:$Q,"&gt;=-90")</f>
        <v>0</v>
      </c>
      <c r="S29" s="19">
        <f>SUMIFS('Data Additive'!$D:$D,'Data Additive'!$P:$P,'Painel Additive'!#REF!,'Data Additive'!$Q:$Q,"&lt;=-91",'Data Additive'!$Q:$Q,"&gt;=-120")</f>
        <v>0</v>
      </c>
      <c r="T29" s="19">
        <f>SUMIFS('Data Additive'!$D:$D,'Data Additive'!$P:$P,'Painel Additive'!#REF!,'Data Additive'!$Q:$Q,"&lt;=-121",'Data Additive'!$Q:$Q,"&gt;=-180")</f>
        <v>0</v>
      </c>
      <c r="U29" s="19">
        <f>SUMIFS('Data Additive'!$D:$D,'Data Additive'!$P:$P,'Painel Additive'!#REF!,'Data Additive'!$Q:$Q,"&lt;=-181",'Data Additive'!$Q:$Q,"&gt;=-360")</f>
        <v>0</v>
      </c>
      <c r="V29" s="23">
        <f>SUMIFS('Data Additive'!$D:$D,'Data Additive'!$P:$P,'Painel Additive'!#REF!,'Data Additive'!$Q:$Q,"&lt;-360")</f>
        <v>0</v>
      </c>
      <c r="W29" s="19" t="e">
        <f>SUMIFS('Bad Debt Provision'!#REF!,'Bad Debt Provision'!#REF!,'Painel Additive'!#REF!)</f>
        <v>#REF!</v>
      </c>
      <c r="X29" s="5"/>
      <c r="Y29" s="20"/>
      <c r="Z29" s="20"/>
      <c r="AA29" s="21"/>
      <c r="AB29" s="5"/>
      <c r="AC29" s="19"/>
      <c r="AD29" s="20"/>
      <c r="AE29" s="22"/>
      <c r="AF29" s="22"/>
      <c r="AG29" s="5"/>
      <c r="AH29" s="28">
        <f t="shared" si="5"/>
        <v>0</v>
      </c>
    </row>
    <row r="30" spans="2:35" x14ac:dyDescent="0.25">
      <c r="B30" s="41" t="s">
        <v>418</v>
      </c>
      <c r="C30" s="94" cm="1">
        <f t="array" ref="C30">IFERROR(INDEX('Limite de crédito'!$D:$D, MATCH(MAX(IF('Limite de crédito'!$C:$C=$B30, 'Limite de crédito'!$A:$A)), 'Limite de crédito'!$A:$A, 0)),"")</f>
        <v>45803</v>
      </c>
      <c r="D30" s="18" t="str" cm="1">
        <f t="array" ref="D30">IFERROR(INDEX('Limite de crédito'!$F:$F, MATCH(MAX(IF('Limite de crédito'!$C:$C=$B30, 'Limite de crédito'!$A:$A)), 'Limite de crédito'!$A:$A, 0)),0)</f>
        <v>Sim</v>
      </c>
      <c r="E30" s="18" t="e">
        <f t="shared" si="2"/>
        <v>#VALUE!</v>
      </c>
      <c r="F30" s="18">
        <f t="shared" si="3"/>
        <v>0</v>
      </c>
      <c r="G30" s="19">
        <f>SUMIFS('Data Additive'!$D:$D,'Data Additive'!$P:$P,'Painel Additive'!#REF!,'Data Additive'!$Q:$Q,"&gt;0",'Data Additive'!$Q:$Q,"&lt;=30")</f>
        <v>0</v>
      </c>
      <c r="H30" s="19">
        <f>SUMIFS('Data Additive'!$D:$D,'Data Additive'!$P:$P,'Painel Additive'!#REF!,'Data Additive'!$Q:$Q,"&gt;30",'Data Additive'!$Q:$Q,"&lt;=60")</f>
        <v>0</v>
      </c>
      <c r="I30" s="19">
        <f>SUMIFS('Data Additive'!$D:$D,'Data Additive'!$P:$P,'Painel Additive'!#REF!,'Data Additive'!$Q:$Q,"&gt;60",'Data Additive'!$Q:$Q,"&lt;=90")</f>
        <v>0</v>
      </c>
      <c r="J30" s="19">
        <f>SUMIFS('Data Additive'!$D:$D,'Data Additive'!$P:$P,'Painel Additive'!#REF!,'Data Additive'!$Q:$Q,"&gt;90",'Data Additive'!$Q:$Q,"&lt;=120")</f>
        <v>0</v>
      </c>
      <c r="K30" s="19">
        <f>SUMIFS('Data Additive'!$D:$D,'Data Additive'!$P:$P,'Painel Additive'!#REF!,'Data Additive'!$Q:$Q,"&gt;120",'Data Additive'!$Q:$Q,"&lt;=180")</f>
        <v>0</v>
      </c>
      <c r="L30" s="19">
        <f>SUMIFS('Data Additive'!$D:$D,'Data Additive'!$P:$P,'Painel Additive'!#REF!,'Data Additive'!$Q:$Q,"&gt;180",'Data Additive'!$Q:$Q,"&lt;=360")</f>
        <v>0</v>
      </c>
      <c r="M30" s="23">
        <f>SUMIFS('Data Additive'!$D:$D,'Data Additive'!$P:$P,'Painel Additive'!#REF!,'Data Additive'!$Q:$Q,"&gt;360")</f>
        <v>0</v>
      </c>
      <c r="N30" s="19">
        <f>SUMIFS('Data Additive'!$D:$D,'Data Additive'!$P:$P,'Painel Additive'!#REF!,'Data Additive'!$Q:$Q,"&gt;0")</f>
        <v>0</v>
      </c>
      <c r="O30" s="19">
        <f t="shared" si="4"/>
        <v>0</v>
      </c>
      <c r="P30" s="19">
        <f>SUMIFS('Data Additive'!$D:$D,'Data Additive'!$P:$P,'Painel Additive'!#REF!,'Data Additive'!$Q:$Q,"&lt;=0",'Data Additive'!$Q:$Q,"&gt;=-30")</f>
        <v>0</v>
      </c>
      <c r="Q30" s="19">
        <f>SUMIFS('Data Additive'!$D:$D,'Data Additive'!$P:$P,'Painel Additive'!#REF!,'Data Additive'!$Q:$Q,"&lt;=-31",'Data Additive'!$Q:$Q,"&gt;=-60")</f>
        <v>0</v>
      </c>
      <c r="R30" s="19">
        <f>SUMIFS('Data Additive'!$D:$D,'Data Additive'!$P:$P,'Painel Additive'!#REF!,'Data Additive'!$Q:$Q,"&lt;=-61",'Data Additive'!$Q:$Q,"&gt;=-90")</f>
        <v>0</v>
      </c>
      <c r="S30" s="19">
        <f>SUMIFS('Data Additive'!$D:$D,'Data Additive'!$P:$P,'Painel Additive'!#REF!,'Data Additive'!$Q:$Q,"&lt;=-91",'Data Additive'!$Q:$Q,"&gt;=-120")</f>
        <v>0</v>
      </c>
      <c r="T30" s="19">
        <f>SUMIFS('Data Additive'!$D:$D,'Data Additive'!$P:$P,'Painel Additive'!#REF!,'Data Additive'!$Q:$Q,"&lt;=-121",'Data Additive'!$Q:$Q,"&gt;=-180")</f>
        <v>0</v>
      </c>
      <c r="U30" s="19">
        <f>SUMIFS('Data Additive'!$D:$D,'Data Additive'!$P:$P,'Painel Additive'!#REF!,'Data Additive'!$Q:$Q,"&lt;=-181",'Data Additive'!$Q:$Q,"&gt;=-360")</f>
        <v>0</v>
      </c>
      <c r="V30" s="23">
        <f>SUMIFS('Data Additive'!$D:$D,'Data Additive'!$P:$P,'Painel Additive'!#REF!,'Data Additive'!$Q:$Q,"&lt;-360")</f>
        <v>0</v>
      </c>
      <c r="W30" s="19" t="e">
        <f>SUMIFS('Bad Debt Provision'!#REF!,'Bad Debt Provision'!#REF!,'Painel Additive'!#REF!)</f>
        <v>#REF!</v>
      </c>
      <c r="X30" s="5"/>
      <c r="Y30" s="20"/>
      <c r="Z30" s="20"/>
      <c r="AA30" s="21"/>
      <c r="AB30" s="5"/>
      <c r="AC30" s="19"/>
      <c r="AD30" s="20"/>
      <c r="AE30" s="22"/>
      <c r="AF30" s="22"/>
      <c r="AG30" s="5"/>
      <c r="AH30" s="28">
        <f t="shared" si="5"/>
        <v>0</v>
      </c>
    </row>
    <row r="31" spans="2:35" x14ac:dyDescent="0.25">
      <c r="B31" s="41" t="s">
        <v>391</v>
      </c>
      <c r="C31" s="94" cm="1">
        <f t="array" ref="C31">IFERROR(INDEX('Limite de crédito'!$D:$D, MATCH(MAX(IF('Limite de crédito'!$C:$C=$B31, 'Limite de crédito'!$A:$A)), 'Limite de crédito'!$A:$A, 0)),"")</f>
        <v>45804</v>
      </c>
      <c r="D31" s="18" t="str" cm="1">
        <f t="array" ref="D31">IFERROR(INDEX('Limite de crédito'!$F:$F, MATCH(MAX(IF('Limite de crédito'!$C:$C=$B31, 'Limite de crédito'!$A:$A)), 'Limite de crédito'!$A:$A, 0)),0)</f>
        <v>Sim</v>
      </c>
      <c r="E31" s="18" t="e">
        <f t="shared" si="2"/>
        <v>#VALUE!</v>
      </c>
      <c r="F31" s="18">
        <f t="shared" si="3"/>
        <v>0</v>
      </c>
      <c r="G31" s="19">
        <f>SUMIFS('Data Additive'!$D:$D,'Data Additive'!$P:$P,'Painel Additive'!#REF!,'Data Additive'!$Q:$Q,"&gt;0",'Data Additive'!$Q:$Q,"&lt;=30")</f>
        <v>0</v>
      </c>
      <c r="H31" s="19">
        <f>SUMIFS('Data Additive'!$D:$D,'Data Additive'!$P:$P,'Painel Additive'!#REF!,'Data Additive'!$Q:$Q,"&gt;30",'Data Additive'!$Q:$Q,"&lt;=60")</f>
        <v>0</v>
      </c>
      <c r="I31" s="19">
        <f>SUMIFS('Data Additive'!$D:$D,'Data Additive'!$P:$P,'Painel Additive'!#REF!,'Data Additive'!$Q:$Q,"&gt;60",'Data Additive'!$Q:$Q,"&lt;=90")</f>
        <v>0</v>
      </c>
      <c r="J31" s="19">
        <f>SUMIFS('Data Additive'!$D:$D,'Data Additive'!$P:$P,'Painel Additive'!#REF!,'Data Additive'!$Q:$Q,"&gt;90",'Data Additive'!$Q:$Q,"&lt;=120")</f>
        <v>0</v>
      </c>
      <c r="K31" s="19">
        <f>SUMIFS('Data Additive'!$D:$D,'Data Additive'!$P:$P,'Painel Additive'!#REF!,'Data Additive'!$Q:$Q,"&gt;120",'Data Additive'!$Q:$Q,"&lt;=180")</f>
        <v>0</v>
      </c>
      <c r="L31" s="19">
        <f>SUMIFS('Data Additive'!$D:$D,'Data Additive'!$P:$P,'Painel Additive'!#REF!,'Data Additive'!$Q:$Q,"&gt;180",'Data Additive'!$Q:$Q,"&lt;=360")</f>
        <v>0</v>
      </c>
      <c r="M31" s="23">
        <f>SUMIFS('Data Additive'!$D:$D,'Data Additive'!$P:$P,'Painel Additive'!#REF!,'Data Additive'!$Q:$Q,"&gt;360")</f>
        <v>0</v>
      </c>
      <c r="N31" s="19">
        <f>SUMIFS('Data Additive'!$D:$D,'Data Additive'!$P:$P,'Painel Additive'!#REF!,'Data Additive'!$Q:$Q,"&gt;0")</f>
        <v>0</v>
      </c>
      <c r="O31" s="19">
        <f t="shared" si="4"/>
        <v>0</v>
      </c>
      <c r="P31" s="19">
        <f>SUMIFS('Data Additive'!$D:$D,'Data Additive'!$P:$P,'Painel Additive'!#REF!,'Data Additive'!$Q:$Q,"&lt;=0",'Data Additive'!$Q:$Q,"&gt;=-30")</f>
        <v>0</v>
      </c>
      <c r="Q31" s="19">
        <f>SUMIFS('Data Additive'!$D:$D,'Data Additive'!$P:$P,'Painel Additive'!#REF!,'Data Additive'!$Q:$Q,"&lt;=-31",'Data Additive'!$Q:$Q,"&gt;=-60")</f>
        <v>0</v>
      </c>
      <c r="R31" s="19">
        <f>SUMIFS('Data Additive'!$D:$D,'Data Additive'!$P:$P,'Painel Additive'!#REF!,'Data Additive'!$Q:$Q,"&lt;=-61",'Data Additive'!$Q:$Q,"&gt;=-90")</f>
        <v>0</v>
      </c>
      <c r="S31" s="19">
        <f>SUMIFS('Data Additive'!$D:$D,'Data Additive'!$P:$P,'Painel Additive'!#REF!,'Data Additive'!$Q:$Q,"&lt;=-91",'Data Additive'!$Q:$Q,"&gt;=-120")</f>
        <v>0</v>
      </c>
      <c r="T31" s="19">
        <f>SUMIFS('Data Additive'!$D:$D,'Data Additive'!$P:$P,'Painel Additive'!#REF!,'Data Additive'!$Q:$Q,"&lt;=-121",'Data Additive'!$Q:$Q,"&gt;=-180")</f>
        <v>0</v>
      </c>
      <c r="U31" s="19">
        <f>SUMIFS('Data Additive'!$D:$D,'Data Additive'!$P:$P,'Painel Additive'!#REF!,'Data Additive'!$Q:$Q,"&lt;=-181",'Data Additive'!$Q:$Q,"&gt;=-360")</f>
        <v>0</v>
      </c>
      <c r="V31" s="23">
        <f>SUMIFS('Data Additive'!$D:$D,'Data Additive'!$P:$P,'Painel Additive'!#REF!,'Data Additive'!$Q:$Q,"&lt;-360")</f>
        <v>0</v>
      </c>
      <c r="W31" s="19" t="e">
        <f>SUMIFS('Bad Debt Provision'!#REF!,'Bad Debt Provision'!#REF!,'Painel Additive'!#REF!)</f>
        <v>#REF!</v>
      </c>
      <c r="X31" s="5"/>
      <c r="Y31" s="20"/>
      <c r="Z31" s="20"/>
      <c r="AA31" s="21"/>
      <c r="AB31" s="5"/>
      <c r="AC31" s="19"/>
      <c r="AD31" s="20"/>
      <c r="AE31" s="22"/>
      <c r="AF31" s="22"/>
      <c r="AG31" s="5"/>
      <c r="AH31" s="28">
        <f t="shared" si="5"/>
        <v>0</v>
      </c>
    </row>
    <row r="32" spans="2:35" x14ac:dyDescent="0.25">
      <c r="B32" s="17" t="s">
        <v>150</v>
      </c>
      <c r="C32" s="93" t="str" cm="1">
        <f t="array" ref="C32">IFERROR(INDEX('Limite de crédito'!$D:$D, MATCH(MAX(IF('Limite de crédito'!$C:$C=$B32, 'Limite de crédito'!$A:$A)), 'Limite de crédito'!$A:$A, 0)),"")</f>
        <v/>
      </c>
      <c r="D32" s="18" cm="1">
        <f t="array" ref="D32">IFERROR(INDEX('Limite de crédito'!$F:$F, MATCH(MAX(IF('Limite de crédito'!$C:$C=$B32, 'Limite de crédito'!$A:$A)), 'Limite de crédito'!$A:$A, 0)),0)</f>
        <v>0</v>
      </c>
      <c r="E32" s="18">
        <f t="shared" si="2"/>
        <v>0</v>
      </c>
      <c r="F32" s="18">
        <f t="shared" si="3"/>
        <v>0</v>
      </c>
      <c r="G32" s="19">
        <f>SUMIFS('Data Additive'!$D:$D,'Data Additive'!$P:$P,'Painel Additive'!$B33,'Data Additive'!$Q:$Q,"&gt;0",'Data Additive'!$Q:$Q,"&lt;=30")</f>
        <v>0</v>
      </c>
      <c r="H32" s="19">
        <f>SUMIFS('Data Additive'!$D:$D,'Data Additive'!$P:$P,'Painel Additive'!$B33,'Data Additive'!$Q:$Q,"&gt;30",'Data Additive'!$Q:$Q,"&lt;=60")</f>
        <v>0</v>
      </c>
      <c r="I32" s="19">
        <f>SUMIFS('Data Additive'!$D:$D,'Data Additive'!$P:$P,'Painel Additive'!$B33,'Data Additive'!$Q:$Q,"&gt;60",'Data Additive'!$Q:$Q,"&lt;=90")</f>
        <v>0</v>
      </c>
      <c r="J32" s="19">
        <f>SUMIFS('Data Additive'!$D:$D,'Data Additive'!$P:$P,'Painel Additive'!$B33,'Data Additive'!$Q:$Q,"&gt;90",'Data Additive'!$Q:$Q,"&lt;=120")</f>
        <v>0</v>
      </c>
      <c r="K32" s="19">
        <f>SUMIFS('Data Additive'!$D:$D,'Data Additive'!$P:$P,'Painel Additive'!$B33,'Data Additive'!$Q:$Q,"&gt;120",'Data Additive'!$Q:$Q,"&lt;=180")</f>
        <v>0</v>
      </c>
      <c r="L32" s="19">
        <f>SUMIFS('Data Additive'!$D:$D,'Data Additive'!$P:$P,'Painel Additive'!$B33,'Data Additive'!$Q:$Q,"&gt;180",'Data Additive'!$Q:$Q,"&lt;=360")</f>
        <v>0</v>
      </c>
      <c r="M32" s="23">
        <f>SUMIFS('Data Additive'!$D:$D,'Data Additive'!$P:$P,'Painel Additive'!$B33,'Data Additive'!$Q:$Q,"&gt;360")</f>
        <v>0</v>
      </c>
      <c r="N32" s="19">
        <f>SUMIFS('Data Additive'!$D:$D,'Data Additive'!$P:$P,'Painel Additive'!$B33,'Data Additive'!$Q:$Q,"&gt;0")</f>
        <v>0</v>
      </c>
      <c r="O32" s="19">
        <f t="shared" si="4"/>
        <v>0</v>
      </c>
      <c r="P32" s="19">
        <f>SUMIFS('Data Additive'!$D:$D,'Data Additive'!$P:$P,'Painel Additive'!$B33,'Data Additive'!$Q:$Q,"&lt;=0",'Data Additive'!$Q:$Q,"&gt;=-30")</f>
        <v>0</v>
      </c>
      <c r="Q32" s="19">
        <f>SUMIFS('Data Additive'!$D:$D,'Data Additive'!$P:$P,'Painel Additive'!$B33,'Data Additive'!$Q:$Q,"&lt;=-31",'Data Additive'!$Q:$Q,"&gt;=-60")</f>
        <v>0</v>
      </c>
      <c r="R32" s="19">
        <f>SUMIFS('Data Additive'!$D:$D,'Data Additive'!$P:$P,'Painel Additive'!$B33,'Data Additive'!$Q:$Q,"&lt;=-61",'Data Additive'!$Q:$Q,"&gt;=-90")</f>
        <v>0</v>
      </c>
      <c r="S32" s="19">
        <f>SUMIFS('Data Additive'!$D:$D,'Data Additive'!$P:$P,'Painel Additive'!$B33,'Data Additive'!$Q:$Q,"&lt;=-91",'Data Additive'!$Q:$Q,"&gt;=-120")</f>
        <v>0</v>
      </c>
      <c r="T32" s="19">
        <f>SUMIFS('Data Additive'!$D:$D,'Data Additive'!$P:$P,'Painel Additive'!$B33,'Data Additive'!$Q:$Q,"&lt;=-121",'Data Additive'!$Q:$Q,"&gt;=-180")</f>
        <v>0</v>
      </c>
      <c r="U32" s="19">
        <f>SUMIFS('Data Additive'!$D:$D,'Data Additive'!$P:$P,'Painel Additive'!$B33,'Data Additive'!$Q:$Q,"&lt;=-181",'Data Additive'!$Q:$Q,"&gt;=-360")</f>
        <v>0</v>
      </c>
      <c r="V32" s="23">
        <f>SUMIFS('Data Additive'!$D:$D,'Data Additive'!$P:$P,'Painel Additive'!$B33,'Data Additive'!$Q:$Q,"&lt;-360")</f>
        <v>0</v>
      </c>
      <c r="W32" s="19" t="e">
        <f>SUMIFS('Bad Debt Provision'!#REF!,'Bad Debt Provision'!#REF!,'Painel Additive'!$B33)</f>
        <v>#REF!</v>
      </c>
      <c r="X32" s="5"/>
      <c r="Y32" s="20"/>
      <c r="Z32" s="20"/>
      <c r="AA32" s="21"/>
      <c r="AB32" s="5"/>
      <c r="AC32" s="19"/>
      <c r="AD32" s="20"/>
      <c r="AE32" s="22"/>
      <c r="AF32" s="22"/>
      <c r="AG32" s="5"/>
      <c r="AH32" s="28">
        <f t="shared" si="5"/>
        <v>0</v>
      </c>
      <c r="AI32" s="5"/>
    </row>
    <row r="33" spans="2:35" x14ac:dyDescent="0.25">
      <c r="B33" s="17" t="s">
        <v>292</v>
      </c>
      <c r="C33" s="93" t="str" cm="1">
        <f t="array" ref="C33">IFERROR(INDEX('Limite de crédito'!$D:$D, MATCH(MAX(IF('Limite de crédito'!$C:$C=$B33, 'Limite de crédito'!$A:$A)), 'Limite de crédito'!$A:$A, 0)),"")</f>
        <v/>
      </c>
      <c r="D33" s="18" cm="1">
        <f t="array" ref="D33">IFERROR(INDEX('Limite de crédito'!$F:$F, MATCH(MAX(IF('Limite de crédito'!$C:$C=$B33, 'Limite de crédito'!$A:$A)), 'Limite de crédito'!$A:$A, 0)),0)</f>
        <v>0</v>
      </c>
      <c r="E33" s="18">
        <f t="shared" si="2"/>
        <v>0</v>
      </c>
      <c r="F33" s="18">
        <f t="shared" si="3"/>
        <v>0</v>
      </c>
      <c r="G33" s="19">
        <f>SUMIFS('Data Additive'!$D:$D,'Data Additive'!$P:$P,'Painel Additive'!#REF!,'Data Additive'!$Q:$Q,"&gt;0",'Data Additive'!$Q:$Q,"&lt;=30")</f>
        <v>0</v>
      </c>
      <c r="H33" s="19">
        <f>SUMIFS('Data Additive'!$D:$D,'Data Additive'!$P:$P,'Painel Additive'!#REF!,'Data Additive'!$Q:$Q,"&gt;30",'Data Additive'!$Q:$Q,"&lt;=60")</f>
        <v>0</v>
      </c>
      <c r="I33" s="19">
        <f>SUMIFS('Data Additive'!$D:$D,'Data Additive'!$P:$P,'Painel Additive'!#REF!,'Data Additive'!$Q:$Q,"&gt;60",'Data Additive'!$Q:$Q,"&lt;=90")</f>
        <v>0</v>
      </c>
      <c r="J33" s="19">
        <f>SUMIFS('Data Additive'!$D:$D,'Data Additive'!$P:$P,'Painel Additive'!#REF!,'Data Additive'!$Q:$Q,"&gt;90",'Data Additive'!$Q:$Q,"&lt;=120")</f>
        <v>0</v>
      </c>
      <c r="K33" s="19">
        <f>SUMIFS('Data Additive'!$D:$D,'Data Additive'!$P:$P,'Painel Additive'!#REF!,'Data Additive'!$Q:$Q,"&gt;120",'Data Additive'!$Q:$Q,"&lt;=180")</f>
        <v>0</v>
      </c>
      <c r="L33" s="19">
        <f>SUMIFS('Data Additive'!$D:$D,'Data Additive'!$P:$P,'Painel Additive'!#REF!,'Data Additive'!$Q:$Q,"&gt;180",'Data Additive'!$Q:$Q,"&lt;=360")</f>
        <v>0</v>
      </c>
      <c r="M33" s="23">
        <f>SUMIFS('Data Additive'!$D:$D,'Data Additive'!$P:$P,'Painel Additive'!#REF!,'Data Additive'!$Q:$Q,"&gt;360")</f>
        <v>0</v>
      </c>
      <c r="N33" s="19">
        <f>SUMIFS('Data Additive'!$D:$D,'Data Additive'!$P:$P,'Painel Additive'!#REF!,'Data Additive'!$Q:$Q,"&gt;0")</f>
        <v>0</v>
      </c>
      <c r="O33" s="19">
        <f t="shared" si="4"/>
        <v>0</v>
      </c>
      <c r="P33" s="19">
        <f>SUMIFS('Data Additive'!$D:$D,'Data Additive'!$P:$P,'Painel Additive'!#REF!,'Data Additive'!$Q:$Q,"&lt;=0",'Data Additive'!$Q:$Q,"&gt;=-30")</f>
        <v>0</v>
      </c>
      <c r="Q33" s="19">
        <f>SUMIFS('Data Additive'!$D:$D,'Data Additive'!$P:$P,'Painel Additive'!#REF!,'Data Additive'!$Q:$Q,"&lt;=-31",'Data Additive'!$Q:$Q,"&gt;=-60")</f>
        <v>0</v>
      </c>
      <c r="R33" s="19">
        <f>SUMIFS('Data Additive'!$D:$D,'Data Additive'!$P:$P,'Painel Additive'!#REF!,'Data Additive'!$Q:$Q,"&lt;=-61",'Data Additive'!$Q:$Q,"&gt;=-90")</f>
        <v>0</v>
      </c>
      <c r="S33" s="19">
        <f>SUMIFS('Data Additive'!$D:$D,'Data Additive'!$P:$P,'Painel Additive'!#REF!,'Data Additive'!$Q:$Q,"&lt;=-91",'Data Additive'!$Q:$Q,"&gt;=-120")</f>
        <v>0</v>
      </c>
      <c r="T33" s="19">
        <f>SUMIFS('Data Additive'!$D:$D,'Data Additive'!$P:$P,'Painel Additive'!#REF!,'Data Additive'!$Q:$Q,"&lt;=-121",'Data Additive'!$Q:$Q,"&gt;=-180")</f>
        <v>0</v>
      </c>
      <c r="U33" s="19">
        <f>SUMIFS('Data Additive'!$D:$D,'Data Additive'!$P:$P,'Painel Additive'!#REF!,'Data Additive'!$Q:$Q,"&lt;=-181",'Data Additive'!$Q:$Q,"&gt;=-360")</f>
        <v>0</v>
      </c>
      <c r="V33" s="23">
        <f>SUMIFS('Data Additive'!$D:$D,'Data Additive'!$P:$P,'Painel Additive'!#REF!,'Data Additive'!$Q:$Q,"&lt;-360")</f>
        <v>0</v>
      </c>
      <c r="W33" s="19" t="e">
        <f>SUMIFS('Bad Debt Provision'!#REF!,'Bad Debt Provision'!#REF!,'Painel Additive'!#REF!)</f>
        <v>#REF!</v>
      </c>
      <c r="X33" s="5"/>
      <c r="Y33" s="20"/>
      <c r="Z33" s="20"/>
      <c r="AA33" s="21"/>
      <c r="AB33" s="5"/>
      <c r="AC33" s="19"/>
      <c r="AD33" s="20"/>
      <c r="AE33" s="22"/>
      <c r="AF33" s="22"/>
      <c r="AG33" s="5"/>
      <c r="AH33" s="28">
        <f t="shared" si="5"/>
        <v>0</v>
      </c>
    </row>
    <row r="34" spans="2:35" x14ac:dyDescent="0.25">
      <c r="B34" s="17" t="s">
        <v>106</v>
      </c>
      <c r="C34" s="93" t="str" cm="1">
        <f t="array" ref="C34">IFERROR(INDEX('Limite de crédito'!$D:$D, MATCH(MAX(IF('Limite de crédito'!$C:$C=$B34, 'Limite de crédito'!$A:$A)), 'Limite de crédito'!$A:$A, 0)),"")</f>
        <v/>
      </c>
      <c r="D34" s="18" cm="1">
        <f t="array" ref="D34">IFERROR(INDEX('Limite de crédito'!$F:$F, MATCH(MAX(IF('Limite de crédito'!$C:$C=$B34, 'Limite de crédito'!$A:$A)), 'Limite de crédito'!$A:$A, 0)),0)</f>
        <v>0</v>
      </c>
      <c r="E34" s="18">
        <f t="shared" si="2"/>
        <v>0</v>
      </c>
      <c r="F34" s="18">
        <f t="shared" si="3"/>
        <v>0</v>
      </c>
      <c r="G34" s="19">
        <f>SUMIFS('Data Additive'!$D:$D,'Data Additive'!$P:$P,'Painel Additive'!$B41,'Data Additive'!$Q:$Q,"&gt;0",'Data Additive'!$Q:$Q,"&lt;=30")</f>
        <v>0</v>
      </c>
      <c r="H34" s="19">
        <f>SUMIFS('Data Additive'!$D:$D,'Data Additive'!$P:$P,'Painel Additive'!$B41,'Data Additive'!$Q:$Q,"&gt;30",'Data Additive'!$Q:$Q,"&lt;=60")</f>
        <v>0</v>
      </c>
      <c r="I34" s="19">
        <f>SUMIFS('Data Additive'!$D:$D,'Data Additive'!$P:$P,'Painel Additive'!$B41,'Data Additive'!$Q:$Q,"&gt;60",'Data Additive'!$Q:$Q,"&lt;=90")</f>
        <v>0</v>
      </c>
      <c r="J34" s="19">
        <f>SUMIFS('Data Additive'!$D:$D,'Data Additive'!$P:$P,'Painel Additive'!$B41,'Data Additive'!$Q:$Q,"&gt;90",'Data Additive'!$Q:$Q,"&lt;=120")</f>
        <v>0</v>
      </c>
      <c r="K34" s="19">
        <f>SUMIFS('Data Additive'!$D:$D,'Data Additive'!$P:$P,'Painel Additive'!$B41,'Data Additive'!$Q:$Q,"&gt;120",'Data Additive'!$Q:$Q,"&lt;=180")</f>
        <v>0</v>
      </c>
      <c r="L34" s="19">
        <f>SUMIFS('Data Additive'!$D:$D,'Data Additive'!$P:$P,'Painel Additive'!$B41,'Data Additive'!$Q:$Q,"&gt;180",'Data Additive'!$Q:$Q,"&lt;=360")</f>
        <v>0</v>
      </c>
      <c r="M34" s="23">
        <f>SUMIFS('Data Additive'!$D:$D,'Data Additive'!$P:$P,'Painel Additive'!$B41,'Data Additive'!$Q:$Q,"&gt;360")</f>
        <v>0</v>
      </c>
      <c r="N34" s="19">
        <f>SUMIFS('Data Additive'!$D:$D,'Data Additive'!$P:$P,'Painel Additive'!$B41,'Data Additive'!$Q:$Q,"&gt;0")</f>
        <v>0</v>
      </c>
      <c r="O34" s="19">
        <f t="shared" si="4"/>
        <v>0</v>
      </c>
      <c r="P34" s="19">
        <f>SUMIFS('Data Additive'!$D:$D,'Data Additive'!$P:$P,'Painel Additive'!$B41,'Data Additive'!$Q:$Q,"&lt;=0",'Data Additive'!$Q:$Q,"&gt;=-30")</f>
        <v>0</v>
      </c>
      <c r="Q34" s="19">
        <f>SUMIFS('Data Additive'!$D:$D,'Data Additive'!$P:$P,'Painel Additive'!$B41,'Data Additive'!$Q:$Q,"&lt;=-31",'Data Additive'!$Q:$Q,"&gt;=-60")</f>
        <v>0</v>
      </c>
      <c r="R34" s="19">
        <f>SUMIFS('Data Additive'!$D:$D,'Data Additive'!$P:$P,'Painel Additive'!$B41,'Data Additive'!$Q:$Q,"&lt;=-61",'Data Additive'!$Q:$Q,"&gt;=-90")</f>
        <v>0</v>
      </c>
      <c r="S34" s="19">
        <f>SUMIFS('Data Additive'!$D:$D,'Data Additive'!$P:$P,'Painel Additive'!$B41,'Data Additive'!$Q:$Q,"&lt;=-91",'Data Additive'!$Q:$Q,"&gt;=-120")</f>
        <v>0</v>
      </c>
      <c r="T34" s="19">
        <f>SUMIFS('Data Additive'!$D:$D,'Data Additive'!$P:$P,'Painel Additive'!$B41,'Data Additive'!$Q:$Q,"&lt;=-121",'Data Additive'!$Q:$Q,"&gt;=-180")</f>
        <v>0</v>
      </c>
      <c r="U34" s="19">
        <f>SUMIFS('Data Additive'!$D:$D,'Data Additive'!$P:$P,'Painel Additive'!$B41,'Data Additive'!$Q:$Q,"&lt;=-181",'Data Additive'!$Q:$Q,"&gt;=-360")</f>
        <v>0</v>
      </c>
      <c r="V34" s="23">
        <f>SUMIFS('Data Additive'!$D:$D,'Data Additive'!$P:$P,'Painel Additive'!$B41,'Data Additive'!$Q:$Q,"&lt;-360")</f>
        <v>0</v>
      </c>
      <c r="W34" s="19" t="e">
        <f>SUMIFS('Bad Debt Provision'!#REF!,'Bad Debt Provision'!#REF!,'Painel Additive'!$B41)</f>
        <v>#REF!</v>
      </c>
      <c r="X34" s="5"/>
      <c r="Y34" s="20"/>
      <c r="Z34" s="20"/>
      <c r="AA34" s="21"/>
      <c r="AB34" s="5"/>
      <c r="AC34" s="19"/>
      <c r="AD34" s="20"/>
      <c r="AE34" s="22"/>
      <c r="AF34" s="22"/>
      <c r="AG34" s="5"/>
      <c r="AH34" s="28">
        <f t="shared" si="5"/>
        <v>0</v>
      </c>
      <c r="AI34" s="5"/>
    </row>
    <row r="35" spans="2:35" x14ac:dyDescent="0.25">
      <c r="B35" s="17" t="s">
        <v>272</v>
      </c>
      <c r="C35" s="93" cm="1">
        <f t="array" ref="C35">IFERROR(INDEX('Limite de crédito'!$D:$D, MATCH(MAX(IF('Limite de crédito'!$C:$C=$B35, 'Limite de crédito'!$A:$A)), 'Limite de crédito'!$A:$A, 0)),"")</f>
        <v>45799</v>
      </c>
      <c r="D35" s="18" t="str" cm="1">
        <f t="array" ref="D35">IFERROR(INDEX('Limite de crédito'!$F:$F, MATCH(MAX(IF('Limite de crédito'!$C:$C=$B35, 'Limite de crédito'!$A:$A)), 'Limite de crédito'!$A:$A, 0)),0)</f>
        <v>Sim</v>
      </c>
      <c r="E35" s="18" t="e">
        <f t="shared" si="2"/>
        <v>#VALUE!</v>
      </c>
      <c r="F35" s="18">
        <f t="shared" si="3"/>
        <v>0</v>
      </c>
      <c r="G35" s="19">
        <f>SUMIFS('Data Additive'!$D:$D,'Data Additive'!$P:$P,'Painel Additive'!#REF!,'Data Additive'!$Q:$Q,"&gt;0",'Data Additive'!$Q:$Q,"&lt;=30")</f>
        <v>0</v>
      </c>
      <c r="H35" s="19">
        <f>SUMIFS('Data Additive'!$D:$D,'Data Additive'!$P:$P,'Painel Additive'!#REF!,'Data Additive'!$Q:$Q,"&gt;30",'Data Additive'!$Q:$Q,"&lt;=60")</f>
        <v>0</v>
      </c>
      <c r="I35" s="19">
        <f>SUMIFS('Data Additive'!$D:$D,'Data Additive'!$P:$P,'Painel Additive'!#REF!,'Data Additive'!$Q:$Q,"&gt;60",'Data Additive'!$Q:$Q,"&lt;=90")</f>
        <v>0</v>
      </c>
      <c r="J35" s="19">
        <f>SUMIFS('Data Additive'!$D:$D,'Data Additive'!$P:$P,'Painel Additive'!#REF!,'Data Additive'!$Q:$Q,"&gt;90",'Data Additive'!$Q:$Q,"&lt;=120")</f>
        <v>0</v>
      </c>
      <c r="K35" s="19">
        <f>SUMIFS('Data Additive'!$D:$D,'Data Additive'!$P:$P,'Painel Additive'!#REF!,'Data Additive'!$Q:$Q,"&gt;120",'Data Additive'!$Q:$Q,"&lt;=180")</f>
        <v>0</v>
      </c>
      <c r="L35" s="19">
        <f>SUMIFS('Data Additive'!$D:$D,'Data Additive'!$P:$P,'Painel Additive'!#REF!,'Data Additive'!$Q:$Q,"&gt;180",'Data Additive'!$Q:$Q,"&lt;=360")</f>
        <v>0</v>
      </c>
      <c r="M35" s="23">
        <f>SUMIFS('Data Additive'!$D:$D,'Data Additive'!$P:$P,'Painel Additive'!#REF!,'Data Additive'!$Q:$Q,"&gt;360")</f>
        <v>0</v>
      </c>
      <c r="N35" s="19">
        <f>SUMIFS('Data Additive'!$D:$D,'Data Additive'!$P:$P,'Painel Additive'!#REF!,'Data Additive'!$Q:$Q,"&gt;0")</f>
        <v>0</v>
      </c>
      <c r="O35" s="19">
        <f t="shared" si="4"/>
        <v>0</v>
      </c>
      <c r="P35" s="19">
        <f>SUMIFS('Data Additive'!$D:$D,'Data Additive'!$P:$P,'Painel Additive'!#REF!,'Data Additive'!$Q:$Q,"&lt;=0",'Data Additive'!$Q:$Q,"&gt;=-30")</f>
        <v>0</v>
      </c>
      <c r="Q35" s="19">
        <f>SUMIFS('Data Additive'!$D:$D,'Data Additive'!$P:$P,'Painel Additive'!#REF!,'Data Additive'!$Q:$Q,"&lt;=-31",'Data Additive'!$Q:$Q,"&gt;=-60")</f>
        <v>0</v>
      </c>
      <c r="R35" s="19">
        <f>SUMIFS('Data Additive'!$D:$D,'Data Additive'!$P:$P,'Painel Additive'!#REF!,'Data Additive'!$Q:$Q,"&lt;=-61",'Data Additive'!$Q:$Q,"&gt;=-90")</f>
        <v>0</v>
      </c>
      <c r="S35" s="19">
        <f>SUMIFS('Data Additive'!$D:$D,'Data Additive'!$P:$P,'Painel Additive'!#REF!,'Data Additive'!$Q:$Q,"&lt;=-91",'Data Additive'!$Q:$Q,"&gt;=-120")</f>
        <v>0</v>
      </c>
      <c r="T35" s="19">
        <f>SUMIFS('Data Additive'!$D:$D,'Data Additive'!$P:$P,'Painel Additive'!#REF!,'Data Additive'!$Q:$Q,"&lt;=-121",'Data Additive'!$Q:$Q,"&gt;=-180")</f>
        <v>0</v>
      </c>
      <c r="U35" s="19">
        <f>SUMIFS('Data Additive'!$D:$D,'Data Additive'!$P:$P,'Painel Additive'!#REF!,'Data Additive'!$Q:$Q,"&lt;=-181",'Data Additive'!$Q:$Q,"&gt;=-360")</f>
        <v>0</v>
      </c>
      <c r="V35" s="23">
        <f>SUMIFS('Data Additive'!$D:$D,'Data Additive'!$P:$P,'Painel Additive'!#REF!,'Data Additive'!$Q:$Q,"&lt;-360")</f>
        <v>0</v>
      </c>
      <c r="W35" s="19" t="e">
        <f>SUMIFS('Bad Debt Provision'!#REF!,'Bad Debt Provision'!#REF!,'Painel Additive'!#REF!)</f>
        <v>#REF!</v>
      </c>
      <c r="X35" s="5"/>
      <c r="Y35" s="20"/>
      <c r="Z35" s="20"/>
      <c r="AA35" s="21"/>
      <c r="AB35" s="5"/>
      <c r="AC35" s="19"/>
      <c r="AD35" s="20"/>
      <c r="AE35" s="22"/>
      <c r="AF35" s="22"/>
      <c r="AG35" s="5"/>
      <c r="AH35" s="28">
        <f t="shared" si="5"/>
        <v>0</v>
      </c>
    </row>
    <row r="36" spans="2:35" x14ac:dyDescent="0.25">
      <c r="B36" s="17" t="s">
        <v>89</v>
      </c>
      <c r="C36" s="93" cm="1">
        <f t="array" ref="C36">IFERROR(INDEX('Limite de crédito'!$D:$D, MATCH(MAX(IF('Limite de crédito'!$C:$C=$B36, 'Limite de crédito'!$A:$A)), 'Limite de crédito'!$A:$A, 0)),"")</f>
        <v>46093</v>
      </c>
      <c r="D36" s="18" t="str" cm="1">
        <f t="array" ref="D36">IFERROR(INDEX('Limite de crédito'!$F:$F, MATCH(MAX(IF('Limite de crédito'!$C:$C=$B36, 'Limite de crédito'!$A:$A)), 'Limite de crédito'!$A:$A, 0)),0)</f>
        <v>Sim</v>
      </c>
      <c r="E36" s="18" t="e">
        <f t="shared" ref="E36:E67" si="6">D36-F36</f>
        <v>#VALUE!</v>
      </c>
      <c r="F36" s="18">
        <f t="shared" ref="F36:F67" si="7">O36+N36</f>
        <v>0</v>
      </c>
      <c r="G36" s="19">
        <f>SUMIFS('Data Additive'!$D:$D,'Data Additive'!$P:$P,'Painel Additive'!#REF!,'Data Additive'!$Q:$Q,"&gt;0",'Data Additive'!$Q:$Q,"&lt;=30")</f>
        <v>0</v>
      </c>
      <c r="H36" s="19">
        <f>SUMIFS('Data Additive'!$D:$D,'Data Additive'!$P:$P,'Painel Additive'!#REF!,'Data Additive'!$Q:$Q,"&gt;30",'Data Additive'!$Q:$Q,"&lt;=60")</f>
        <v>0</v>
      </c>
      <c r="I36" s="19">
        <f>SUMIFS('Data Additive'!$D:$D,'Data Additive'!$P:$P,'Painel Additive'!#REF!,'Data Additive'!$Q:$Q,"&gt;60",'Data Additive'!$Q:$Q,"&lt;=90")</f>
        <v>0</v>
      </c>
      <c r="J36" s="19">
        <f>SUMIFS('Data Additive'!$D:$D,'Data Additive'!$P:$P,'Painel Additive'!#REF!,'Data Additive'!$Q:$Q,"&gt;90",'Data Additive'!$Q:$Q,"&lt;=120")</f>
        <v>0</v>
      </c>
      <c r="K36" s="19">
        <f>SUMIFS('Data Additive'!$D:$D,'Data Additive'!$P:$P,'Painel Additive'!#REF!,'Data Additive'!$Q:$Q,"&gt;120",'Data Additive'!$Q:$Q,"&lt;=180")</f>
        <v>0</v>
      </c>
      <c r="L36" s="19">
        <f>SUMIFS('Data Additive'!$D:$D,'Data Additive'!$P:$P,'Painel Additive'!#REF!,'Data Additive'!$Q:$Q,"&gt;180",'Data Additive'!$Q:$Q,"&lt;=360")</f>
        <v>0</v>
      </c>
      <c r="M36" s="23">
        <f>SUMIFS('Data Additive'!$D:$D,'Data Additive'!$P:$P,'Painel Additive'!#REF!,'Data Additive'!$Q:$Q,"&gt;360")</f>
        <v>0</v>
      </c>
      <c r="N36" s="19">
        <f>SUMIFS('Data Additive'!$D:$D,'Data Additive'!$P:$P,'Painel Additive'!#REF!,'Data Additive'!$Q:$Q,"&gt;0")</f>
        <v>0</v>
      </c>
      <c r="O36" s="19">
        <f t="shared" ref="O36:O67" si="8">SUBTOTAL(9,P36:V36)</f>
        <v>0</v>
      </c>
      <c r="P36" s="19">
        <f>SUMIFS('Data Additive'!$D:$D,'Data Additive'!$P:$P,'Painel Additive'!#REF!,'Data Additive'!$Q:$Q,"&lt;=0",'Data Additive'!$Q:$Q,"&gt;=-30")</f>
        <v>0</v>
      </c>
      <c r="Q36" s="19">
        <f>SUMIFS('Data Additive'!$D:$D,'Data Additive'!$P:$P,'Painel Additive'!#REF!,'Data Additive'!$Q:$Q,"&lt;=-31",'Data Additive'!$Q:$Q,"&gt;=-60")</f>
        <v>0</v>
      </c>
      <c r="R36" s="19">
        <f>SUMIFS('Data Additive'!$D:$D,'Data Additive'!$P:$P,'Painel Additive'!#REF!,'Data Additive'!$Q:$Q,"&lt;=-61",'Data Additive'!$Q:$Q,"&gt;=-90")</f>
        <v>0</v>
      </c>
      <c r="S36" s="19">
        <f>SUMIFS('Data Additive'!$D:$D,'Data Additive'!$P:$P,'Painel Additive'!#REF!,'Data Additive'!$Q:$Q,"&lt;=-91",'Data Additive'!$Q:$Q,"&gt;=-120")</f>
        <v>0</v>
      </c>
      <c r="T36" s="19">
        <f>SUMIFS('Data Additive'!$D:$D,'Data Additive'!$P:$P,'Painel Additive'!#REF!,'Data Additive'!$Q:$Q,"&lt;=-121",'Data Additive'!$Q:$Q,"&gt;=-180")</f>
        <v>0</v>
      </c>
      <c r="U36" s="19">
        <f>SUMIFS('Data Additive'!$D:$D,'Data Additive'!$P:$P,'Painel Additive'!#REF!,'Data Additive'!$Q:$Q,"&lt;=-181",'Data Additive'!$Q:$Q,"&gt;=-360")</f>
        <v>0</v>
      </c>
      <c r="V36" s="23">
        <f>SUMIFS('Data Additive'!$D:$D,'Data Additive'!$P:$P,'Painel Additive'!#REF!,'Data Additive'!$Q:$Q,"&lt;-360")</f>
        <v>0</v>
      </c>
      <c r="W36" s="19" t="e">
        <f>SUMIFS('Bad Debt Provision'!#REF!,'Bad Debt Provision'!#REF!,'Painel Additive'!#REF!)</f>
        <v>#REF!</v>
      </c>
      <c r="X36" s="5"/>
      <c r="Y36" s="20"/>
      <c r="Z36" s="20"/>
      <c r="AA36" s="21"/>
      <c r="AB36" s="5"/>
      <c r="AC36" s="19"/>
      <c r="AD36" s="20"/>
      <c r="AE36" s="22"/>
      <c r="AF36" s="22"/>
      <c r="AG36" s="5"/>
      <c r="AH36" s="28">
        <f t="shared" ref="AH36:AH67" si="9">AC36-F36</f>
        <v>0</v>
      </c>
      <c r="AI36" s="5"/>
    </row>
    <row r="37" spans="2:35" x14ac:dyDescent="0.25">
      <c r="B37" s="17" t="s">
        <v>50</v>
      </c>
      <c r="C37" s="93" cm="1">
        <f t="array" ref="C37">IFERROR(INDEX('Limite de crédito'!$D:$D, MATCH(MAX(IF('Limite de crédito'!$C:$C=$B37, 'Limite de crédito'!$A:$A)), 'Limite de crédito'!$A:$A, 0)),"")</f>
        <v>45980</v>
      </c>
      <c r="D37" s="18" t="str" cm="1">
        <f t="array" ref="D37">IFERROR(INDEX('Limite de crédito'!$F:$F, MATCH(MAX(IF('Limite de crédito'!$C:$C=$B37, 'Limite de crédito'!$A:$A)), 'Limite de crédito'!$A:$A, 0)),0)</f>
        <v>Sim</v>
      </c>
      <c r="E37" s="18" t="e">
        <f t="shared" si="6"/>
        <v>#VALUE!</v>
      </c>
      <c r="F37" s="18">
        <f t="shared" si="7"/>
        <v>0</v>
      </c>
      <c r="G37" s="19">
        <f>SUMIFS('Data Additive'!$D:$D,'Data Additive'!$P:$P,'Painel Additive'!#REF!,'Data Additive'!$Q:$Q,"&gt;0",'Data Additive'!$Q:$Q,"&lt;=30")</f>
        <v>0</v>
      </c>
      <c r="H37" s="19">
        <f>SUMIFS('Data Additive'!$D:$D,'Data Additive'!$P:$P,'Painel Additive'!#REF!,'Data Additive'!$Q:$Q,"&gt;30",'Data Additive'!$Q:$Q,"&lt;=60")</f>
        <v>0</v>
      </c>
      <c r="I37" s="19">
        <f>SUMIFS('Data Additive'!$D:$D,'Data Additive'!$P:$P,'Painel Additive'!#REF!,'Data Additive'!$Q:$Q,"&gt;60",'Data Additive'!$Q:$Q,"&lt;=90")</f>
        <v>0</v>
      </c>
      <c r="J37" s="19">
        <f>SUMIFS('Data Additive'!$D:$D,'Data Additive'!$P:$P,'Painel Additive'!#REF!,'Data Additive'!$Q:$Q,"&gt;90",'Data Additive'!$Q:$Q,"&lt;=120")</f>
        <v>0</v>
      </c>
      <c r="K37" s="19">
        <f>SUMIFS('Data Additive'!$D:$D,'Data Additive'!$P:$P,'Painel Additive'!#REF!,'Data Additive'!$Q:$Q,"&gt;120",'Data Additive'!$Q:$Q,"&lt;=180")</f>
        <v>0</v>
      </c>
      <c r="L37" s="19">
        <f>SUMIFS('Data Additive'!$D:$D,'Data Additive'!$P:$P,'Painel Additive'!#REF!,'Data Additive'!$Q:$Q,"&gt;180",'Data Additive'!$Q:$Q,"&lt;=360")</f>
        <v>0</v>
      </c>
      <c r="M37" s="23">
        <f>SUMIFS('Data Additive'!$D:$D,'Data Additive'!$P:$P,'Painel Additive'!#REF!,'Data Additive'!$Q:$Q,"&gt;360")</f>
        <v>0</v>
      </c>
      <c r="N37" s="19">
        <f>SUMIFS('Data Additive'!$D:$D,'Data Additive'!$P:$P,'Painel Additive'!#REF!,'Data Additive'!$Q:$Q,"&gt;0")</f>
        <v>0</v>
      </c>
      <c r="O37" s="19">
        <f t="shared" si="8"/>
        <v>0</v>
      </c>
      <c r="P37" s="19">
        <f>SUMIFS('Data Additive'!$D:$D,'Data Additive'!$P:$P,'Painel Additive'!#REF!,'Data Additive'!$Q:$Q,"&lt;=0",'Data Additive'!$Q:$Q,"&gt;=-30")</f>
        <v>0</v>
      </c>
      <c r="Q37" s="19">
        <f>SUMIFS('Data Additive'!$D:$D,'Data Additive'!$P:$P,'Painel Additive'!#REF!,'Data Additive'!$Q:$Q,"&lt;=-31",'Data Additive'!$Q:$Q,"&gt;=-60")</f>
        <v>0</v>
      </c>
      <c r="R37" s="19">
        <f>SUMIFS('Data Additive'!$D:$D,'Data Additive'!$P:$P,'Painel Additive'!#REF!,'Data Additive'!$Q:$Q,"&lt;=-61",'Data Additive'!$Q:$Q,"&gt;=-90")</f>
        <v>0</v>
      </c>
      <c r="S37" s="19">
        <f>SUMIFS('Data Additive'!$D:$D,'Data Additive'!$P:$P,'Painel Additive'!#REF!,'Data Additive'!$Q:$Q,"&lt;=-91",'Data Additive'!$Q:$Q,"&gt;=-120")</f>
        <v>0</v>
      </c>
      <c r="T37" s="19">
        <f>SUMIFS('Data Additive'!$D:$D,'Data Additive'!$P:$P,'Painel Additive'!#REF!,'Data Additive'!$Q:$Q,"&lt;=-121",'Data Additive'!$Q:$Q,"&gt;=-180")</f>
        <v>0</v>
      </c>
      <c r="U37" s="19">
        <f>SUMIFS('Data Additive'!$D:$D,'Data Additive'!$P:$P,'Painel Additive'!#REF!,'Data Additive'!$Q:$Q,"&lt;=-181",'Data Additive'!$Q:$Q,"&gt;=-360")</f>
        <v>0</v>
      </c>
      <c r="V37" s="23">
        <f>SUMIFS('Data Additive'!$D:$D,'Data Additive'!$P:$P,'Painel Additive'!#REF!,'Data Additive'!$Q:$Q,"&lt;-360")</f>
        <v>0</v>
      </c>
      <c r="W37" s="19" t="e">
        <f>SUMIFS('Bad Debt Provision'!#REF!,'Bad Debt Provision'!#REF!,'Painel Additive'!#REF!)</f>
        <v>#REF!</v>
      </c>
      <c r="X37" s="5"/>
      <c r="Y37" s="20"/>
      <c r="Z37" s="20"/>
      <c r="AA37" s="21"/>
      <c r="AB37" s="5"/>
      <c r="AC37" s="19"/>
      <c r="AD37" s="20"/>
      <c r="AE37" s="22"/>
      <c r="AF37" s="22"/>
      <c r="AG37" s="5"/>
      <c r="AH37" s="28">
        <f t="shared" si="9"/>
        <v>0</v>
      </c>
      <c r="AI37" s="5"/>
    </row>
    <row r="38" spans="2:35" x14ac:dyDescent="0.25">
      <c r="B38" s="17" t="s">
        <v>153</v>
      </c>
      <c r="C38" s="93" t="str" cm="1">
        <f t="array" ref="C38">IFERROR(INDEX('Limite de crédito'!$D:$D, MATCH(MAX(IF('Limite de crédito'!$C:$C=$B38, 'Limite de crédito'!$A:$A)), 'Limite de crédito'!$A:$A, 0)),"")</f>
        <v/>
      </c>
      <c r="D38" s="18" cm="1">
        <f t="array" ref="D38">IFERROR(INDEX('Limite de crédito'!$F:$F, MATCH(MAX(IF('Limite de crédito'!$C:$C=$B38, 'Limite de crédito'!$A:$A)), 'Limite de crédito'!$A:$A, 0)),0)</f>
        <v>0</v>
      </c>
      <c r="E38" s="18">
        <f t="shared" si="6"/>
        <v>0</v>
      </c>
      <c r="F38" s="18">
        <f t="shared" si="7"/>
        <v>0</v>
      </c>
      <c r="G38" s="19">
        <f>SUMIFS('Data Additive'!$D:$D,'Data Additive'!$P:$P,'Painel Additive'!$B21,'Data Additive'!$Q:$Q,"&gt;0",'Data Additive'!$Q:$Q,"&lt;=30")</f>
        <v>0</v>
      </c>
      <c r="H38" s="19">
        <f>SUMIFS('Data Additive'!$D:$D,'Data Additive'!$P:$P,'Painel Additive'!$B21,'Data Additive'!$Q:$Q,"&gt;30",'Data Additive'!$Q:$Q,"&lt;=60")</f>
        <v>0</v>
      </c>
      <c r="I38" s="19">
        <f>SUMIFS('Data Additive'!$D:$D,'Data Additive'!$P:$P,'Painel Additive'!$B21,'Data Additive'!$Q:$Q,"&gt;60",'Data Additive'!$Q:$Q,"&lt;=90")</f>
        <v>0</v>
      </c>
      <c r="J38" s="19">
        <f>SUMIFS('Data Additive'!$D:$D,'Data Additive'!$P:$P,'Painel Additive'!$B21,'Data Additive'!$Q:$Q,"&gt;90",'Data Additive'!$Q:$Q,"&lt;=120")</f>
        <v>0</v>
      </c>
      <c r="K38" s="19">
        <f>SUMIFS('Data Additive'!$D:$D,'Data Additive'!$P:$P,'Painel Additive'!$B21,'Data Additive'!$Q:$Q,"&gt;120",'Data Additive'!$Q:$Q,"&lt;=180")</f>
        <v>0</v>
      </c>
      <c r="L38" s="19">
        <f>SUMIFS('Data Additive'!$D:$D,'Data Additive'!$P:$P,'Painel Additive'!$B21,'Data Additive'!$Q:$Q,"&gt;180",'Data Additive'!$Q:$Q,"&lt;=360")</f>
        <v>0</v>
      </c>
      <c r="M38" s="23">
        <f>SUMIFS('Data Additive'!$D:$D,'Data Additive'!$P:$P,'Painel Additive'!$B21,'Data Additive'!$Q:$Q,"&gt;360")</f>
        <v>0</v>
      </c>
      <c r="N38" s="19">
        <f>SUMIFS('Data Additive'!$D:$D,'Data Additive'!$P:$P,'Painel Additive'!$B21,'Data Additive'!$Q:$Q,"&gt;0")</f>
        <v>0</v>
      </c>
      <c r="O38" s="19">
        <f t="shared" si="8"/>
        <v>0</v>
      </c>
      <c r="P38" s="19">
        <f>SUMIFS('Data Additive'!$D:$D,'Data Additive'!$P:$P,'Painel Additive'!$B21,'Data Additive'!$Q:$Q,"&lt;=0",'Data Additive'!$Q:$Q,"&gt;=-30")</f>
        <v>0</v>
      </c>
      <c r="Q38" s="19">
        <f>SUMIFS('Data Additive'!$D:$D,'Data Additive'!$P:$P,'Painel Additive'!$B21,'Data Additive'!$Q:$Q,"&lt;=-31",'Data Additive'!$Q:$Q,"&gt;=-60")</f>
        <v>0</v>
      </c>
      <c r="R38" s="19">
        <f>SUMIFS('Data Additive'!$D:$D,'Data Additive'!$P:$P,'Painel Additive'!$B21,'Data Additive'!$Q:$Q,"&lt;=-61",'Data Additive'!$Q:$Q,"&gt;=-90")</f>
        <v>0</v>
      </c>
      <c r="S38" s="19">
        <f>SUMIFS('Data Additive'!$D:$D,'Data Additive'!$P:$P,'Painel Additive'!$B21,'Data Additive'!$Q:$Q,"&lt;=-91",'Data Additive'!$Q:$Q,"&gt;=-120")</f>
        <v>0</v>
      </c>
      <c r="T38" s="19">
        <f>SUMIFS('Data Additive'!$D:$D,'Data Additive'!$P:$P,'Painel Additive'!$B21,'Data Additive'!$Q:$Q,"&lt;=-121",'Data Additive'!$Q:$Q,"&gt;=-180")</f>
        <v>0</v>
      </c>
      <c r="U38" s="19">
        <f>SUMIFS('Data Additive'!$D:$D,'Data Additive'!$P:$P,'Painel Additive'!$B21,'Data Additive'!$Q:$Q,"&lt;=-181",'Data Additive'!$Q:$Q,"&gt;=-360")</f>
        <v>0</v>
      </c>
      <c r="V38" s="23">
        <f>SUMIFS('Data Additive'!$D:$D,'Data Additive'!$P:$P,'Painel Additive'!$B21,'Data Additive'!$Q:$Q,"&lt;-360")</f>
        <v>0</v>
      </c>
      <c r="W38" s="19" t="e">
        <f>SUMIFS('Bad Debt Provision'!#REF!,'Bad Debt Provision'!#REF!,'Painel Additive'!$B21)</f>
        <v>#REF!</v>
      </c>
      <c r="X38" s="5"/>
      <c r="Y38" s="20"/>
      <c r="Z38" s="20"/>
      <c r="AA38" s="21"/>
      <c r="AB38" s="5"/>
      <c r="AC38" s="19"/>
      <c r="AD38" s="20"/>
      <c r="AE38" s="22"/>
      <c r="AF38" s="22"/>
      <c r="AG38" s="5"/>
      <c r="AH38" s="28">
        <f t="shared" si="9"/>
        <v>0</v>
      </c>
      <c r="AI38" s="5"/>
    </row>
    <row r="39" spans="2:35" x14ac:dyDescent="0.25">
      <c r="B39" s="41" t="s">
        <v>333</v>
      </c>
      <c r="C39" s="94" cm="1">
        <f t="array" ref="C39">IFERROR(INDEX('Limite de crédito'!$D:$D, MATCH(MAX(IF('Limite de crédito'!$C:$C=$B39, 'Limite de crédito'!$A:$A)), 'Limite de crédito'!$A:$A, 0)),"")</f>
        <v>45919</v>
      </c>
      <c r="D39" s="18" t="str" cm="1">
        <f t="array" ref="D39">IFERROR(INDEX('Limite de crédito'!$F:$F, MATCH(MAX(IF('Limite de crédito'!$C:$C=$B39, 'Limite de crédito'!$A:$A)), 'Limite de crédito'!$A:$A, 0)),0)</f>
        <v>Sim</v>
      </c>
      <c r="E39" s="18" t="e">
        <f t="shared" si="6"/>
        <v>#VALUE!</v>
      </c>
      <c r="F39" s="18">
        <f t="shared" si="7"/>
        <v>0</v>
      </c>
      <c r="G39" s="19">
        <f>SUMIFS('Data Additive'!$D:$D,'Data Additive'!$P:$P,'Painel Additive'!#REF!,'Data Additive'!$Q:$Q,"&gt;0",'Data Additive'!$Q:$Q,"&lt;=30")</f>
        <v>0</v>
      </c>
      <c r="H39" s="19">
        <f>SUMIFS('Data Additive'!$D:$D,'Data Additive'!$P:$P,'Painel Additive'!#REF!,'Data Additive'!$Q:$Q,"&gt;30",'Data Additive'!$Q:$Q,"&lt;=60")</f>
        <v>0</v>
      </c>
      <c r="I39" s="19">
        <f>SUMIFS('Data Additive'!$D:$D,'Data Additive'!$P:$P,'Painel Additive'!#REF!,'Data Additive'!$Q:$Q,"&gt;60",'Data Additive'!$Q:$Q,"&lt;=90")</f>
        <v>0</v>
      </c>
      <c r="J39" s="19">
        <f>SUMIFS('Data Additive'!$D:$D,'Data Additive'!$P:$P,'Painel Additive'!#REF!,'Data Additive'!$Q:$Q,"&gt;90",'Data Additive'!$Q:$Q,"&lt;=120")</f>
        <v>0</v>
      </c>
      <c r="K39" s="19">
        <f>SUMIFS('Data Additive'!$D:$D,'Data Additive'!$P:$P,'Painel Additive'!#REF!,'Data Additive'!$Q:$Q,"&gt;120",'Data Additive'!$Q:$Q,"&lt;=180")</f>
        <v>0</v>
      </c>
      <c r="L39" s="19">
        <f>SUMIFS('Data Additive'!$D:$D,'Data Additive'!$P:$P,'Painel Additive'!#REF!,'Data Additive'!$Q:$Q,"&gt;180",'Data Additive'!$Q:$Q,"&lt;=360")</f>
        <v>0</v>
      </c>
      <c r="M39" s="23">
        <f>SUMIFS('Data Additive'!$D:$D,'Data Additive'!$P:$P,'Painel Additive'!#REF!,'Data Additive'!$Q:$Q,"&gt;360")</f>
        <v>0</v>
      </c>
      <c r="N39" s="19">
        <f>SUMIFS('Data Additive'!$D:$D,'Data Additive'!$P:$P,'Painel Additive'!#REF!,'Data Additive'!$Q:$Q,"&gt;0")</f>
        <v>0</v>
      </c>
      <c r="O39" s="19">
        <f t="shared" si="8"/>
        <v>0</v>
      </c>
      <c r="P39" s="19">
        <f>SUMIFS('Data Additive'!$D:$D,'Data Additive'!$P:$P,'Painel Additive'!#REF!,'Data Additive'!$Q:$Q,"&lt;=0",'Data Additive'!$Q:$Q,"&gt;=-30")</f>
        <v>0</v>
      </c>
      <c r="Q39" s="19">
        <f>SUMIFS('Data Additive'!$D:$D,'Data Additive'!$P:$P,'Painel Additive'!#REF!,'Data Additive'!$Q:$Q,"&lt;=-31",'Data Additive'!$Q:$Q,"&gt;=-60")</f>
        <v>0</v>
      </c>
      <c r="R39" s="19">
        <f>SUMIFS('Data Additive'!$D:$D,'Data Additive'!$P:$P,'Painel Additive'!#REF!,'Data Additive'!$Q:$Q,"&lt;=-61",'Data Additive'!$Q:$Q,"&gt;=-90")</f>
        <v>0</v>
      </c>
      <c r="S39" s="19">
        <f>SUMIFS('Data Additive'!$D:$D,'Data Additive'!$P:$P,'Painel Additive'!#REF!,'Data Additive'!$Q:$Q,"&lt;=-91",'Data Additive'!$Q:$Q,"&gt;=-120")</f>
        <v>0</v>
      </c>
      <c r="T39" s="19">
        <f>SUMIFS('Data Additive'!$D:$D,'Data Additive'!$P:$P,'Painel Additive'!#REF!,'Data Additive'!$Q:$Q,"&lt;=-121",'Data Additive'!$Q:$Q,"&gt;=-180")</f>
        <v>0</v>
      </c>
      <c r="U39" s="19">
        <f>SUMIFS('Data Additive'!$D:$D,'Data Additive'!$P:$P,'Painel Additive'!#REF!,'Data Additive'!$Q:$Q,"&lt;=-181",'Data Additive'!$Q:$Q,"&gt;=-360")</f>
        <v>0</v>
      </c>
      <c r="V39" s="23">
        <f>SUMIFS('Data Additive'!$D:$D,'Data Additive'!$P:$P,'Painel Additive'!#REF!,'Data Additive'!$Q:$Q,"&lt;-360")</f>
        <v>0</v>
      </c>
      <c r="W39" s="19" t="e">
        <f>SUMIFS('Bad Debt Provision'!#REF!,'Bad Debt Provision'!#REF!,'Painel Additive'!#REF!)</f>
        <v>#REF!</v>
      </c>
      <c r="X39" s="5"/>
      <c r="Y39" s="20"/>
      <c r="Z39" s="20"/>
      <c r="AA39" s="21"/>
      <c r="AB39" s="5"/>
      <c r="AC39" s="19"/>
      <c r="AD39" s="20"/>
      <c r="AE39" s="22"/>
      <c r="AF39" s="22"/>
      <c r="AG39" s="5"/>
      <c r="AH39" s="28">
        <f t="shared" si="9"/>
        <v>0</v>
      </c>
    </row>
    <row r="40" spans="2:35" x14ac:dyDescent="0.25">
      <c r="B40" s="17" t="s">
        <v>290</v>
      </c>
      <c r="C40" s="93" cm="1">
        <f t="array" ref="C40">IFERROR(INDEX('Limite de crédito'!$D:$D, MATCH(MAX(IF('Limite de crédito'!$C:$C=$B40, 'Limite de crédito'!$A:$A)), 'Limite de crédito'!$A:$A, 0)),"")</f>
        <v>45936</v>
      </c>
      <c r="D40" s="18" t="str" cm="1">
        <f t="array" ref="D40">IFERROR(INDEX('Limite de crédito'!$F:$F, MATCH(MAX(IF('Limite de crédito'!$C:$C=$B40, 'Limite de crédito'!$A:$A)), 'Limite de crédito'!$A:$A, 0)),0)</f>
        <v>Sim</v>
      </c>
      <c r="E40" s="18" t="e">
        <f t="shared" si="6"/>
        <v>#VALUE!</v>
      </c>
      <c r="F40" s="18">
        <f t="shared" si="7"/>
        <v>0</v>
      </c>
      <c r="G40" s="19">
        <f>SUMIFS('Data Additive'!$D:$D,'Data Additive'!$P:$P,'Painel Additive'!#REF!,'Data Additive'!$Q:$Q,"&gt;0",'Data Additive'!$Q:$Q,"&lt;=30")</f>
        <v>0</v>
      </c>
      <c r="H40" s="19">
        <f>SUMIFS('Data Additive'!$D:$D,'Data Additive'!$P:$P,'Painel Additive'!#REF!,'Data Additive'!$Q:$Q,"&gt;30",'Data Additive'!$Q:$Q,"&lt;=60")</f>
        <v>0</v>
      </c>
      <c r="I40" s="19">
        <f>SUMIFS('Data Additive'!$D:$D,'Data Additive'!$P:$P,'Painel Additive'!#REF!,'Data Additive'!$Q:$Q,"&gt;60",'Data Additive'!$Q:$Q,"&lt;=90")</f>
        <v>0</v>
      </c>
      <c r="J40" s="19">
        <f>SUMIFS('Data Additive'!$D:$D,'Data Additive'!$P:$P,'Painel Additive'!#REF!,'Data Additive'!$Q:$Q,"&gt;90",'Data Additive'!$Q:$Q,"&lt;=120")</f>
        <v>0</v>
      </c>
      <c r="K40" s="19">
        <f>SUMIFS('Data Additive'!$D:$D,'Data Additive'!$P:$P,'Painel Additive'!#REF!,'Data Additive'!$Q:$Q,"&gt;120",'Data Additive'!$Q:$Q,"&lt;=180")</f>
        <v>0</v>
      </c>
      <c r="L40" s="19">
        <f>SUMIFS('Data Additive'!$D:$D,'Data Additive'!$P:$P,'Painel Additive'!#REF!,'Data Additive'!$Q:$Q,"&gt;180",'Data Additive'!$Q:$Q,"&lt;=360")</f>
        <v>0</v>
      </c>
      <c r="M40" s="23">
        <f>SUMIFS('Data Additive'!$D:$D,'Data Additive'!$P:$P,'Painel Additive'!#REF!,'Data Additive'!$Q:$Q,"&gt;360")</f>
        <v>0</v>
      </c>
      <c r="N40" s="19">
        <f>SUMIFS('Data Additive'!$D:$D,'Data Additive'!$P:$P,'Painel Additive'!#REF!,'Data Additive'!$Q:$Q,"&gt;0")</f>
        <v>0</v>
      </c>
      <c r="O40" s="19">
        <f t="shared" si="8"/>
        <v>0</v>
      </c>
      <c r="P40" s="19">
        <f>SUMIFS('Data Additive'!$D:$D,'Data Additive'!$P:$P,'Painel Additive'!#REF!,'Data Additive'!$Q:$Q,"&lt;=0",'Data Additive'!$Q:$Q,"&gt;=-30")</f>
        <v>0</v>
      </c>
      <c r="Q40" s="19">
        <f>SUMIFS('Data Additive'!$D:$D,'Data Additive'!$P:$P,'Painel Additive'!#REF!,'Data Additive'!$Q:$Q,"&lt;=-31",'Data Additive'!$Q:$Q,"&gt;=-60")</f>
        <v>0</v>
      </c>
      <c r="R40" s="19">
        <f>SUMIFS('Data Additive'!$D:$D,'Data Additive'!$P:$P,'Painel Additive'!#REF!,'Data Additive'!$Q:$Q,"&lt;=-61",'Data Additive'!$Q:$Q,"&gt;=-90")</f>
        <v>0</v>
      </c>
      <c r="S40" s="19">
        <f>SUMIFS('Data Additive'!$D:$D,'Data Additive'!$P:$P,'Painel Additive'!#REF!,'Data Additive'!$Q:$Q,"&lt;=-91",'Data Additive'!$Q:$Q,"&gt;=-120")</f>
        <v>0</v>
      </c>
      <c r="T40" s="19">
        <f>SUMIFS('Data Additive'!$D:$D,'Data Additive'!$P:$P,'Painel Additive'!#REF!,'Data Additive'!$Q:$Q,"&lt;=-121",'Data Additive'!$Q:$Q,"&gt;=-180")</f>
        <v>0</v>
      </c>
      <c r="U40" s="19">
        <f>SUMIFS('Data Additive'!$D:$D,'Data Additive'!$P:$P,'Painel Additive'!#REF!,'Data Additive'!$Q:$Q,"&lt;=-181",'Data Additive'!$Q:$Q,"&gt;=-360")</f>
        <v>0</v>
      </c>
      <c r="V40" s="23">
        <f>SUMIFS('Data Additive'!$D:$D,'Data Additive'!$P:$P,'Painel Additive'!#REF!,'Data Additive'!$Q:$Q,"&lt;-360")</f>
        <v>0</v>
      </c>
      <c r="W40" s="19" t="e">
        <f>SUMIFS('Bad Debt Provision'!#REF!,'Bad Debt Provision'!#REF!,'Painel Additive'!#REF!)</f>
        <v>#REF!</v>
      </c>
      <c r="X40" s="5"/>
      <c r="Y40" s="20"/>
      <c r="Z40" s="20"/>
      <c r="AA40" s="21"/>
      <c r="AB40" s="5"/>
      <c r="AC40" s="19"/>
      <c r="AD40" s="20"/>
      <c r="AE40" s="22"/>
      <c r="AF40" s="22"/>
      <c r="AG40" s="5"/>
      <c r="AH40" s="28">
        <f t="shared" si="9"/>
        <v>0</v>
      </c>
    </row>
    <row r="41" spans="2:35" x14ac:dyDescent="0.25">
      <c r="B41" s="17" t="s">
        <v>258</v>
      </c>
      <c r="C41" s="93" cm="1">
        <f t="array" ref="C41">IFERROR(INDEX('Limite de crédito'!$D:$D, MATCH(MAX(IF('Limite de crédito'!$C:$C=$B41, 'Limite de crédito'!$A:$A)), 'Limite de crédito'!$A:$A, 0)),"")</f>
        <v>45799</v>
      </c>
      <c r="D41" s="18" t="str" cm="1">
        <f t="array" ref="D41">IFERROR(INDEX('Limite de crédito'!$F:$F, MATCH(MAX(IF('Limite de crédito'!$C:$C=$B41, 'Limite de crédito'!$A:$A)), 'Limite de crédito'!$A:$A, 0)),0)</f>
        <v>Sim</v>
      </c>
      <c r="E41" s="18" t="e">
        <f t="shared" si="6"/>
        <v>#VALUE!</v>
      </c>
      <c r="F41" s="18">
        <f t="shared" si="7"/>
        <v>0</v>
      </c>
      <c r="G41" s="19">
        <f>SUMIFS('Data Additive'!$D:$D,'Data Additive'!$P:$P,'Painel Additive'!#REF!,'Data Additive'!$Q:$Q,"&gt;0",'Data Additive'!$Q:$Q,"&lt;=30")</f>
        <v>0</v>
      </c>
      <c r="H41" s="19">
        <f>SUMIFS('Data Additive'!$D:$D,'Data Additive'!$P:$P,'Painel Additive'!#REF!,'Data Additive'!$Q:$Q,"&gt;30",'Data Additive'!$Q:$Q,"&lt;=60")</f>
        <v>0</v>
      </c>
      <c r="I41" s="19">
        <f>SUMIFS('Data Additive'!$D:$D,'Data Additive'!$P:$P,'Painel Additive'!#REF!,'Data Additive'!$Q:$Q,"&gt;60",'Data Additive'!$Q:$Q,"&lt;=90")</f>
        <v>0</v>
      </c>
      <c r="J41" s="19">
        <f>SUMIFS('Data Additive'!$D:$D,'Data Additive'!$P:$P,'Painel Additive'!#REF!,'Data Additive'!$Q:$Q,"&gt;90",'Data Additive'!$Q:$Q,"&lt;=120")</f>
        <v>0</v>
      </c>
      <c r="K41" s="19">
        <f>SUMIFS('Data Additive'!$D:$D,'Data Additive'!$P:$P,'Painel Additive'!#REF!,'Data Additive'!$Q:$Q,"&gt;120",'Data Additive'!$Q:$Q,"&lt;=180")</f>
        <v>0</v>
      </c>
      <c r="L41" s="19">
        <f>SUMIFS('Data Additive'!$D:$D,'Data Additive'!$P:$P,'Painel Additive'!#REF!,'Data Additive'!$Q:$Q,"&gt;180",'Data Additive'!$Q:$Q,"&lt;=360")</f>
        <v>0</v>
      </c>
      <c r="M41" s="23">
        <f>SUMIFS('Data Additive'!$D:$D,'Data Additive'!$P:$P,'Painel Additive'!#REF!,'Data Additive'!$Q:$Q,"&gt;360")</f>
        <v>0</v>
      </c>
      <c r="N41" s="19">
        <f>SUMIFS('Data Additive'!$D:$D,'Data Additive'!$P:$P,'Painel Additive'!#REF!,'Data Additive'!$Q:$Q,"&gt;0")</f>
        <v>0</v>
      </c>
      <c r="O41" s="19">
        <f t="shared" si="8"/>
        <v>0</v>
      </c>
      <c r="P41" s="19">
        <f>SUMIFS('Data Additive'!$D:$D,'Data Additive'!$P:$P,'Painel Additive'!#REF!,'Data Additive'!$Q:$Q,"&lt;=0",'Data Additive'!$Q:$Q,"&gt;=-30")</f>
        <v>0</v>
      </c>
      <c r="Q41" s="19">
        <f>SUMIFS('Data Additive'!$D:$D,'Data Additive'!$P:$P,'Painel Additive'!#REF!,'Data Additive'!$Q:$Q,"&lt;=-31",'Data Additive'!$Q:$Q,"&gt;=-60")</f>
        <v>0</v>
      </c>
      <c r="R41" s="19">
        <f>SUMIFS('Data Additive'!$D:$D,'Data Additive'!$P:$P,'Painel Additive'!#REF!,'Data Additive'!$Q:$Q,"&lt;=-61",'Data Additive'!$Q:$Q,"&gt;=-90")</f>
        <v>0</v>
      </c>
      <c r="S41" s="19">
        <f>SUMIFS('Data Additive'!$D:$D,'Data Additive'!$P:$P,'Painel Additive'!#REF!,'Data Additive'!$Q:$Q,"&lt;=-91",'Data Additive'!$Q:$Q,"&gt;=-120")</f>
        <v>0</v>
      </c>
      <c r="T41" s="19">
        <f>SUMIFS('Data Additive'!$D:$D,'Data Additive'!$P:$P,'Painel Additive'!#REF!,'Data Additive'!$Q:$Q,"&lt;=-121",'Data Additive'!$Q:$Q,"&gt;=-180")</f>
        <v>0</v>
      </c>
      <c r="U41" s="19">
        <f>SUMIFS('Data Additive'!$D:$D,'Data Additive'!$P:$P,'Painel Additive'!#REF!,'Data Additive'!$Q:$Q,"&lt;=-181",'Data Additive'!$Q:$Q,"&gt;=-360")</f>
        <v>0</v>
      </c>
      <c r="V41" s="23">
        <f>SUMIFS('Data Additive'!$D:$D,'Data Additive'!$P:$P,'Painel Additive'!#REF!,'Data Additive'!$Q:$Q,"&lt;-360")</f>
        <v>0</v>
      </c>
      <c r="W41" s="19" t="e">
        <f>SUMIFS('Bad Debt Provision'!#REF!,'Bad Debt Provision'!#REF!,'Painel Additive'!#REF!)</f>
        <v>#REF!</v>
      </c>
      <c r="X41" s="5"/>
      <c r="Y41" s="20"/>
      <c r="Z41" s="20"/>
      <c r="AA41" s="21"/>
      <c r="AB41" s="5"/>
      <c r="AC41" s="19"/>
      <c r="AD41" s="20"/>
      <c r="AE41" s="22"/>
      <c r="AF41" s="22"/>
      <c r="AG41" s="5"/>
      <c r="AH41" s="28">
        <f t="shared" si="9"/>
        <v>0</v>
      </c>
    </row>
    <row r="42" spans="2:35" x14ac:dyDescent="0.25">
      <c r="B42" s="17" t="s">
        <v>154</v>
      </c>
      <c r="C42" s="93" t="str" cm="1">
        <f t="array" ref="C42">IFERROR(INDEX('Limite de crédito'!$D:$D, MATCH(MAX(IF('Limite de crédito'!$C:$C=$B42, 'Limite de crédito'!$A:$A)), 'Limite de crédito'!$A:$A, 0)),"")</f>
        <v/>
      </c>
      <c r="D42" s="18" cm="1">
        <f t="array" ref="D42">IFERROR(INDEX('Limite de crédito'!$F:$F, MATCH(MAX(IF('Limite de crédito'!$C:$C=$B42, 'Limite de crédito'!$A:$A)), 'Limite de crédito'!$A:$A, 0)),0)</f>
        <v>0</v>
      </c>
      <c r="E42" s="18">
        <f t="shared" si="6"/>
        <v>0</v>
      </c>
      <c r="F42" s="18">
        <f t="shared" si="7"/>
        <v>0</v>
      </c>
      <c r="G42" s="19">
        <f>SUMIFS('Data Additive'!$D:$D,'Data Additive'!$P:$P,'Painel Additive'!#REF!,'Data Additive'!$Q:$Q,"&gt;0",'Data Additive'!$Q:$Q,"&lt;=30")</f>
        <v>0</v>
      </c>
      <c r="H42" s="19">
        <f>SUMIFS('Data Additive'!$D:$D,'Data Additive'!$P:$P,'Painel Additive'!#REF!,'Data Additive'!$Q:$Q,"&gt;30",'Data Additive'!$Q:$Q,"&lt;=60")</f>
        <v>0</v>
      </c>
      <c r="I42" s="19">
        <f>SUMIFS('Data Additive'!$D:$D,'Data Additive'!$P:$P,'Painel Additive'!#REF!,'Data Additive'!$Q:$Q,"&gt;60",'Data Additive'!$Q:$Q,"&lt;=90")</f>
        <v>0</v>
      </c>
      <c r="J42" s="19">
        <f>SUMIFS('Data Additive'!$D:$D,'Data Additive'!$P:$P,'Painel Additive'!#REF!,'Data Additive'!$Q:$Q,"&gt;90",'Data Additive'!$Q:$Q,"&lt;=120")</f>
        <v>0</v>
      </c>
      <c r="K42" s="19">
        <f>SUMIFS('Data Additive'!$D:$D,'Data Additive'!$P:$P,'Painel Additive'!#REF!,'Data Additive'!$Q:$Q,"&gt;120",'Data Additive'!$Q:$Q,"&lt;=180")</f>
        <v>0</v>
      </c>
      <c r="L42" s="19">
        <f>SUMIFS('Data Additive'!$D:$D,'Data Additive'!$P:$P,'Painel Additive'!#REF!,'Data Additive'!$Q:$Q,"&gt;180",'Data Additive'!$Q:$Q,"&lt;=360")</f>
        <v>0</v>
      </c>
      <c r="M42" s="23">
        <f>SUMIFS('Data Additive'!$D:$D,'Data Additive'!$P:$P,'Painel Additive'!#REF!,'Data Additive'!$Q:$Q,"&gt;360")</f>
        <v>0</v>
      </c>
      <c r="N42" s="19">
        <f>SUMIFS('Data Additive'!$D:$D,'Data Additive'!$P:$P,'Painel Additive'!#REF!,'Data Additive'!$Q:$Q,"&gt;0")</f>
        <v>0</v>
      </c>
      <c r="O42" s="19">
        <f t="shared" si="8"/>
        <v>0</v>
      </c>
      <c r="P42" s="19">
        <f>SUMIFS('Data Additive'!$D:$D,'Data Additive'!$P:$P,'Painel Additive'!#REF!,'Data Additive'!$Q:$Q,"&lt;=0",'Data Additive'!$Q:$Q,"&gt;=-30")</f>
        <v>0</v>
      </c>
      <c r="Q42" s="19">
        <f>SUMIFS('Data Additive'!$D:$D,'Data Additive'!$P:$P,'Painel Additive'!#REF!,'Data Additive'!$Q:$Q,"&lt;=-31",'Data Additive'!$Q:$Q,"&gt;=-60")</f>
        <v>0</v>
      </c>
      <c r="R42" s="19">
        <f>SUMIFS('Data Additive'!$D:$D,'Data Additive'!$P:$P,'Painel Additive'!#REF!,'Data Additive'!$Q:$Q,"&lt;=-61",'Data Additive'!$Q:$Q,"&gt;=-90")</f>
        <v>0</v>
      </c>
      <c r="S42" s="19">
        <f>SUMIFS('Data Additive'!$D:$D,'Data Additive'!$P:$P,'Painel Additive'!#REF!,'Data Additive'!$Q:$Q,"&lt;=-91",'Data Additive'!$Q:$Q,"&gt;=-120")</f>
        <v>0</v>
      </c>
      <c r="T42" s="19">
        <f>SUMIFS('Data Additive'!$D:$D,'Data Additive'!$P:$P,'Painel Additive'!#REF!,'Data Additive'!$Q:$Q,"&lt;=-121",'Data Additive'!$Q:$Q,"&gt;=-180")</f>
        <v>0</v>
      </c>
      <c r="U42" s="19">
        <f>SUMIFS('Data Additive'!$D:$D,'Data Additive'!$P:$P,'Painel Additive'!#REF!,'Data Additive'!$Q:$Q,"&lt;=-181",'Data Additive'!$Q:$Q,"&gt;=-360")</f>
        <v>0</v>
      </c>
      <c r="V42" s="23">
        <f>SUMIFS('Data Additive'!$D:$D,'Data Additive'!$P:$P,'Painel Additive'!#REF!,'Data Additive'!$Q:$Q,"&lt;-360")</f>
        <v>0</v>
      </c>
      <c r="W42" s="19" t="e">
        <f>SUMIFS('Bad Debt Provision'!#REF!,'Bad Debt Provision'!#REF!,'Painel Additive'!#REF!)</f>
        <v>#REF!</v>
      </c>
      <c r="X42" s="5"/>
      <c r="Y42" s="20"/>
      <c r="Z42" s="20"/>
      <c r="AA42" s="21"/>
      <c r="AB42" s="5"/>
      <c r="AC42" s="19"/>
      <c r="AD42" s="20"/>
      <c r="AE42" s="22"/>
      <c r="AF42" s="22"/>
      <c r="AG42" s="5"/>
      <c r="AH42" s="28">
        <f t="shared" si="9"/>
        <v>0</v>
      </c>
      <c r="AI42" s="5"/>
    </row>
    <row r="43" spans="2:35" x14ac:dyDescent="0.25">
      <c r="B43" s="41" t="s">
        <v>421</v>
      </c>
      <c r="C43" s="94" cm="1">
        <f t="array" ref="C43">IFERROR(INDEX('Limite de crédito'!$D:$D, MATCH(MAX(IF('Limite de crédito'!$C:$C=$B43, 'Limite de crédito'!$A:$A)), 'Limite de crédito'!$A:$A, 0)),"")</f>
        <v>45804</v>
      </c>
      <c r="D43" s="18" t="str" cm="1">
        <f t="array" ref="D43">IFERROR(INDEX('Limite de crédito'!$F:$F, MATCH(MAX(IF('Limite de crédito'!$C:$C=$B43, 'Limite de crédito'!$A:$A)), 'Limite de crédito'!$A:$A, 0)),0)</f>
        <v>Sim</v>
      </c>
      <c r="E43" s="18" t="e">
        <f t="shared" si="6"/>
        <v>#VALUE!</v>
      </c>
      <c r="F43" s="18">
        <f t="shared" si="7"/>
        <v>0</v>
      </c>
      <c r="G43" s="19">
        <f>SUMIFS('Data Additive'!$D:$D,'Data Additive'!$P:$P,'Painel Additive'!#REF!,'Data Additive'!$Q:$Q,"&gt;0",'Data Additive'!$Q:$Q,"&lt;=30")</f>
        <v>0</v>
      </c>
      <c r="H43" s="19">
        <f>SUMIFS('Data Additive'!$D:$D,'Data Additive'!$P:$P,'Painel Additive'!#REF!,'Data Additive'!$Q:$Q,"&gt;30",'Data Additive'!$Q:$Q,"&lt;=60")</f>
        <v>0</v>
      </c>
      <c r="I43" s="19">
        <f>SUMIFS('Data Additive'!$D:$D,'Data Additive'!$P:$P,'Painel Additive'!#REF!,'Data Additive'!$Q:$Q,"&gt;60",'Data Additive'!$Q:$Q,"&lt;=90")</f>
        <v>0</v>
      </c>
      <c r="J43" s="19">
        <f>SUMIFS('Data Additive'!$D:$D,'Data Additive'!$P:$P,'Painel Additive'!#REF!,'Data Additive'!$Q:$Q,"&gt;90",'Data Additive'!$Q:$Q,"&lt;=120")</f>
        <v>0</v>
      </c>
      <c r="K43" s="19">
        <f>SUMIFS('Data Additive'!$D:$D,'Data Additive'!$P:$P,'Painel Additive'!#REF!,'Data Additive'!$Q:$Q,"&gt;120",'Data Additive'!$Q:$Q,"&lt;=180")</f>
        <v>0</v>
      </c>
      <c r="L43" s="19">
        <f>SUMIFS('Data Additive'!$D:$D,'Data Additive'!$P:$P,'Painel Additive'!#REF!,'Data Additive'!$Q:$Q,"&gt;180",'Data Additive'!$Q:$Q,"&lt;=360")</f>
        <v>0</v>
      </c>
      <c r="M43" s="23">
        <f>SUMIFS('Data Additive'!$D:$D,'Data Additive'!$P:$P,'Painel Additive'!#REF!,'Data Additive'!$Q:$Q,"&gt;360")</f>
        <v>0</v>
      </c>
      <c r="N43" s="19">
        <f>SUMIFS('Data Additive'!$D:$D,'Data Additive'!$P:$P,'Painel Additive'!#REF!,'Data Additive'!$Q:$Q,"&gt;0")</f>
        <v>0</v>
      </c>
      <c r="O43" s="19">
        <f t="shared" si="8"/>
        <v>0</v>
      </c>
      <c r="P43" s="19">
        <f>SUMIFS('Data Additive'!$D:$D,'Data Additive'!$P:$P,'Painel Additive'!#REF!,'Data Additive'!$Q:$Q,"&lt;=0",'Data Additive'!$Q:$Q,"&gt;=-30")</f>
        <v>0</v>
      </c>
      <c r="Q43" s="19">
        <f>SUMIFS('Data Additive'!$D:$D,'Data Additive'!$P:$P,'Painel Additive'!#REF!,'Data Additive'!$Q:$Q,"&lt;=-31",'Data Additive'!$Q:$Q,"&gt;=-60")</f>
        <v>0</v>
      </c>
      <c r="R43" s="19">
        <f>SUMIFS('Data Additive'!$D:$D,'Data Additive'!$P:$P,'Painel Additive'!#REF!,'Data Additive'!$Q:$Q,"&lt;=-61",'Data Additive'!$Q:$Q,"&gt;=-90")</f>
        <v>0</v>
      </c>
      <c r="S43" s="19">
        <f>SUMIFS('Data Additive'!$D:$D,'Data Additive'!$P:$P,'Painel Additive'!#REF!,'Data Additive'!$Q:$Q,"&lt;=-91",'Data Additive'!$Q:$Q,"&gt;=-120")</f>
        <v>0</v>
      </c>
      <c r="T43" s="19">
        <f>SUMIFS('Data Additive'!$D:$D,'Data Additive'!$P:$P,'Painel Additive'!#REF!,'Data Additive'!$Q:$Q,"&lt;=-121",'Data Additive'!$Q:$Q,"&gt;=-180")</f>
        <v>0</v>
      </c>
      <c r="U43" s="19">
        <f>SUMIFS('Data Additive'!$D:$D,'Data Additive'!$P:$P,'Painel Additive'!#REF!,'Data Additive'!$Q:$Q,"&lt;=-181",'Data Additive'!$Q:$Q,"&gt;=-360")</f>
        <v>0</v>
      </c>
      <c r="V43" s="23">
        <f>SUMIFS('Data Additive'!$D:$D,'Data Additive'!$P:$P,'Painel Additive'!#REF!,'Data Additive'!$Q:$Q,"&lt;-360")</f>
        <v>0</v>
      </c>
      <c r="W43" s="19" t="e">
        <f>SUMIFS('Bad Debt Provision'!#REF!,'Bad Debt Provision'!#REF!,'Painel Additive'!#REF!)</f>
        <v>#REF!</v>
      </c>
      <c r="X43" s="5"/>
      <c r="Y43" s="20"/>
      <c r="Z43" s="20"/>
      <c r="AA43" s="21"/>
      <c r="AB43" s="5"/>
      <c r="AC43" s="19"/>
      <c r="AD43" s="20"/>
      <c r="AE43" s="22"/>
      <c r="AF43" s="22"/>
      <c r="AG43" s="5"/>
      <c r="AH43" s="28">
        <f t="shared" si="9"/>
        <v>0</v>
      </c>
    </row>
    <row r="44" spans="2:35" x14ac:dyDescent="0.25">
      <c r="B44" s="17" t="s">
        <v>91</v>
      </c>
      <c r="C44" s="93" t="str" cm="1">
        <f t="array" ref="C44">IFERROR(INDEX('Limite de crédito'!$D:$D, MATCH(MAX(IF('Limite de crédito'!$C:$C=$B44, 'Limite de crédito'!$A:$A)), 'Limite de crédito'!$A:$A, 0)),"")</f>
        <v/>
      </c>
      <c r="D44" s="18" cm="1">
        <f t="array" ref="D44">IFERROR(INDEX('Limite de crédito'!$F:$F, MATCH(MAX(IF('Limite de crédito'!$C:$C=$B44, 'Limite de crédito'!$A:$A)), 'Limite de crédito'!$A:$A, 0)),0)</f>
        <v>0</v>
      </c>
      <c r="E44" s="18">
        <f t="shared" si="6"/>
        <v>0</v>
      </c>
      <c r="F44" s="18">
        <f t="shared" si="7"/>
        <v>0</v>
      </c>
      <c r="G44" s="19">
        <f>SUMIFS('Data Additive'!$D:$D,'Data Additive'!$P:$P,'Painel Additive'!$B38,'Data Additive'!$Q:$Q,"&gt;0",'Data Additive'!$Q:$Q,"&lt;=30")</f>
        <v>0</v>
      </c>
      <c r="H44" s="19">
        <f>SUMIFS('Data Additive'!$D:$D,'Data Additive'!$P:$P,'Painel Additive'!$B38,'Data Additive'!$Q:$Q,"&gt;30",'Data Additive'!$Q:$Q,"&lt;=60")</f>
        <v>0</v>
      </c>
      <c r="I44" s="19">
        <f>SUMIFS('Data Additive'!$D:$D,'Data Additive'!$P:$P,'Painel Additive'!$B38,'Data Additive'!$Q:$Q,"&gt;60",'Data Additive'!$Q:$Q,"&lt;=90")</f>
        <v>0</v>
      </c>
      <c r="J44" s="19">
        <f>SUMIFS('Data Additive'!$D:$D,'Data Additive'!$P:$P,'Painel Additive'!$B38,'Data Additive'!$Q:$Q,"&gt;90",'Data Additive'!$Q:$Q,"&lt;=120")</f>
        <v>0</v>
      </c>
      <c r="K44" s="19">
        <f>SUMIFS('Data Additive'!$D:$D,'Data Additive'!$P:$P,'Painel Additive'!$B38,'Data Additive'!$Q:$Q,"&gt;120",'Data Additive'!$Q:$Q,"&lt;=180")</f>
        <v>0</v>
      </c>
      <c r="L44" s="19">
        <f>SUMIFS('Data Additive'!$D:$D,'Data Additive'!$P:$P,'Painel Additive'!$B38,'Data Additive'!$Q:$Q,"&gt;180",'Data Additive'!$Q:$Q,"&lt;=360")</f>
        <v>0</v>
      </c>
      <c r="M44" s="23">
        <f>SUMIFS('Data Additive'!$D:$D,'Data Additive'!$P:$P,'Painel Additive'!$B38,'Data Additive'!$Q:$Q,"&gt;360")</f>
        <v>0</v>
      </c>
      <c r="N44" s="19">
        <f>SUMIFS('Data Additive'!$D:$D,'Data Additive'!$P:$P,'Painel Additive'!$B38,'Data Additive'!$Q:$Q,"&gt;0")</f>
        <v>0</v>
      </c>
      <c r="O44" s="19">
        <f t="shared" si="8"/>
        <v>0</v>
      </c>
      <c r="P44" s="19">
        <f>SUMIFS('Data Additive'!$D:$D,'Data Additive'!$P:$P,'Painel Additive'!$B38,'Data Additive'!$Q:$Q,"&lt;=0",'Data Additive'!$Q:$Q,"&gt;=-30")</f>
        <v>0</v>
      </c>
      <c r="Q44" s="19">
        <f>SUMIFS('Data Additive'!$D:$D,'Data Additive'!$P:$P,'Painel Additive'!$B38,'Data Additive'!$Q:$Q,"&lt;=-31",'Data Additive'!$Q:$Q,"&gt;=-60")</f>
        <v>0</v>
      </c>
      <c r="R44" s="19">
        <f>SUMIFS('Data Additive'!$D:$D,'Data Additive'!$P:$P,'Painel Additive'!$B38,'Data Additive'!$Q:$Q,"&lt;=-61",'Data Additive'!$Q:$Q,"&gt;=-90")</f>
        <v>0</v>
      </c>
      <c r="S44" s="19">
        <f>SUMIFS('Data Additive'!$D:$D,'Data Additive'!$P:$P,'Painel Additive'!$B38,'Data Additive'!$Q:$Q,"&lt;=-91",'Data Additive'!$Q:$Q,"&gt;=-120")</f>
        <v>0</v>
      </c>
      <c r="T44" s="19">
        <f>SUMIFS('Data Additive'!$D:$D,'Data Additive'!$P:$P,'Painel Additive'!$B38,'Data Additive'!$Q:$Q,"&lt;=-121",'Data Additive'!$Q:$Q,"&gt;=-180")</f>
        <v>0</v>
      </c>
      <c r="U44" s="19">
        <f>SUMIFS('Data Additive'!$D:$D,'Data Additive'!$P:$P,'Painel Additive'!$B38,'Data Additive'!$Q:$Q,"&lt;=-181",'Data Additive'!$Q:$Q,"&gt;=-360")</f>
        <v>0</v>
      </c>
      <c r="V44" s="23">
        <f>SUMIFS('Data Additive'!$D:$D,'Data Additive'!$P:$P,'Painel Additive'!$B38,'Data Additive'!$Q:$Q,"&lt;-360")</f>
        <v>0</v>
      </c>
      <c r="W44" s="19" t="e">
        <f>SUMIFS('Bad Debt Provision'!#REF!,'Bad Debt Provision'!#REF!,'Painel Additive'!$B38)</f>
        <v>#REF!</v>
      </c>
      <c r="X44" s="5"/>
      <c r="Y44" s="20"/>
      <c r="Z44" s="20"/>
      <c r="AA44" s="21"/>
      <c r="AB44" s="5"/>
      <c r="AC44" s="19"/>
      <c r="AD44" s="20"/>
      <c r="AE44" s="22"/>
      <c r="AF44" s="22"/>
      <c r="AG44" s="5"/>
      <c r="AH44" s="28">
        <f t="shared" si="9"/>
        <v>0</v>
      </c>
      <c r="AI44" s="5"/>
    </row>
    <row r="45" spans="2:35" x14ac:dyDescent="0.25">
      <c r="B45" s="17" t="s">
        <v>85</v>
      </c>
      <c r="C45" s="93" t="str" cm="1">
        <f t="array" ref="C45">IFERROR(INDEX('Limite de crédito'!$D:$D, MATCH(MAX(IF('Limite de crédito'!$C:$C=$B45, 'Limite de crédito'!$A:$A)), 'Limite de crédito'!$A:$A, 0)),"")</f>
        <v/>
      </c>
      <c r="D45" s="18" cm="1">
        <f t="array" ref="D45">IFERROR(INDEX('Limite de crédito'!$F:$F, MATCH(MAX(IF('Limite de crédito'!$C:$C=$B45, 'Limite de crédito'!$A:$A)), 'Limite de crédito'!$A:$A, 0)),0)</f>
        <v>0</v>
      </c>
      <c r="E45" s="18">
        <f t="shared" si="6"/>
        <v>0</v>
      </c>
      <c r="F45" s="18">
        <f t="shared" si="7"/>
        <v>0</v>
      </c>
      <c r="G45" s="19">
        <f>SUMIFS('Data Additive'!$D:$D,'Data Additive'!$P:$P,'Painel Additive'!$B34,'Data Additive'!$Q:$Q,"&gt;0",'Data Additive'!$Q:$Q,"&lt;=30")</f>
        <v>0</v>
      </c>
      <c r="H45" s="19">
        <f>SUMIFS('Data Additive'!$D:$D,'Data Additive'!$P:$P,'Painel Additive'!$B34,'Data Additive'!$Q:$Q,"&gt;30",'Data Additive'!$Q:$Q,"&lt;=60")</f>
        <v>0</v>
      </c>
      <c r="I45" s="19">
        <f>SUMIFS('Data Additive'!$D:$D,'Data Additive'!$P:$P,'Painel Additive'!$B34,'Data Additive'!$Q:$Q,"&gt;60",'Data Additive'!$Q:$Q,"&lt;=90")</f>
        <v>0</v>
      </c>
      <c r="J45" s="19">
        <f>SUMIFS('Data Additive'!$D:$D,'Data Additive'!$P:$P,'Painel Additive'!$B34,'Data Additive'!$Q:$Q,"&gt;90",'Data Additive'!$Q:$Q,"&lt;=120")</f>
        <v>0</v>
      </c>
      <c r="K45" s="19">
        <f>SUMIFS('Data Additive'!$D:$D,'Data Additive'!$P:$P,'Painel Additive'!$B34,'Data Additive'!$Q:$Q,"&gt;120",'Data Additive'!$Q:$Q,"&lt;=180")</f>
        <v>0</v>
      </c>
      <c r="L45" s="19">
        <f>SUMIFS('Data Additive'!$D:$D,'Data Additive'!$P:$P,'Painel Additive'!$B34,'Data Additive'!$Q:$Q,"&gt;180",'Data Additive'!$Q:$Q,"&lt;=360")</f>
        <v>0</v>
      </c>
      <c r="M45" s="23">
        <f>SUMIFS('Data Additive'!$D:$D,'Data Additive'!$P:$P,'Painel Additive'!$B34,'Data Additive'!$Q:$Q,"&gt;360")</f>
        <v>0</v>
      </c>
      <c r="N45" s="19">
        <f>SUMIFS('Data Additive'!$D:$D,'Data Additive'!$P:$P,'Painel Additive'!$B34,'Data Additive'!$Q:$Q,"&gt;0")</f>
        <v>0</v>
      </c>
      <c r="O45" s="19">
        <f t="shared" si="8"/>
        <v>0</v>
      </c>
      <c r="P45" s="19">
        <f>SUMIFS('Data Additive'!$D:$D,'Data Additive'!$P:$P,'Painel Additive'!$B34,'Data Additive'!$Q:$Q,"&lt;=0",'Data Additive'!$Q:$Q,"&gt;=-30")</f>
        <v>0</v>
      </c>
      <c r="Q45" s="19">
        <f>SUMIFS('Data Additive'!$D:$D,'Data Additive'!$P:$P,'Painel Additive'!$B34,'Data Additive'!$Q:$Q,"&lt;=-31",'Data Additive'!$Q:$Q,"&gt;=-60")</f>
        <v>0</v>
      </c>
      <c r="R45" s="19">
        <f>SUMIFS('Data Additive'!$D:$D,'Data Additive'!$P:$P,'Painel Additive'!$B34,'Data Additive'!$Q:$Q,"&lt;=-61",'Data Additive'!$Q:$Q,"&gt;=-90")</f>
        <v>0</v>
      </c>
      <c r="S45" s="19">
        <f>SUMIFS('Data Additive'!$D:$D,'Data Additive'!$P:$P,'Painel Additive'!$B34,'Data Additive'!$Q:$Q,"&lt;=-91",'Data Additive'!$Q:$Q,"&gt;=-120")</f>
        <v>0</v>
      </c>
      <c r="T45" s="19">
        <f>SUMIFS('Data Additive'!$D:$D,'Data Additive'!$P:$P,'Painel Additive'!$B34,'Data Additive'!$Q:$Q,"&lt;=-121",'Data Additive'!$Q:$Q,"&gt;=-180")</f>
        <v>0</v>
      </c>
      <c r="U45" s="19">
        <f>SUMIFS('Data Additive'!$D:$D,'Data Additive'!$P:$P,'Painel Additive'!$B34,'Data Additive'!$Q:$Q,"&lt;=-181",'Data Additive'!$Q:$Q,"&gt;=-360")</f>
        <v>0</v>
      </c>
      <c r="V45" s="23">
        <f>SUMIFS('Data Additive'!$D:$D,'Data Additive'!$P:$P,'Painel Additive'!$B34,'Data Additive'!$Q:$Q,"&lt;-360")</f>
        <v>0</v>
      </c>
      <c r="W45" s="19" t="e">
        <f>SUMIFS('Bad Debt Provision'!#REF!,'Bad Debt Provision'!#REF!,'Painel Additive'!$B34)</f>
        <v>#REF!</v>
      </c>
      <c r="X45" s="5"/>
      <c r="Y45" s="20"/>
      <c r="Z45" s="20"/>
      <c r="AA45" s="21"/>
      <c r="AB45" s="5"/>
      <c r="AC45" s="19"/>
      <c r="AD45" s="20"/>
      <c r="AE45" s="22"/>
      <c r="AF45" s="22"/>
      <c r="AG45" s="5"/>
      <c r="AH45" s="28">
        <f t="shared" si="9"/>
        <v>0</v>
      </c>
      <c r="AI45" s="5"/>
    </row>
    <row r="46" spans="2:35" x14ac:dyDescent="0.25">
      <c r="B46" s="17" t="s">
        <v>146</v>
      </c>
      <c r="C46" s="93" t="str" cm="1">
        <f t="array" ref="C46">IFERROR(INDEX('Limite de crédito'!$D:$D, MATCH(MAX(IF('Limite de crédito'!$C:$C=$B46, 'Limite de crédito'!$A:$A)), 'Limite de crédito'!$A:$A, 0)),"")</f>
        <v/>
      </c>
      <c r="D46" s="18" cm="1">
        <f t="array" ref="D46">IFERROR(INDEX('Limite de crédito'!$F:$F, MATCH(MAX(IF('Limite de crédito'!$C:$C=$B46, 'Limite de crédito'!$A:$A)), 'Limite de crédito'!$A:$A, 0)),0)</f>
        <v>0</v>
      </c>
      <c r="E46" s="18">
        <f t="shared" si="6"/>
        <v>-100</v>
      </c>
      <c r="F46" s="18">
        <f t="shared" si="7"/>
        <v>100</v>
      </c>
      <c r="G46" s="19">
        <f>SUMIFS('Data Additive'!$D:$D,'Data Additive'!$P:$P,'Painel Additive'!$B44,'Data Additive'!$Q:$Q,"&gt;0",'Data Additive'!$Q:$Q,"&lt;=30")</f>
        <v>0</v>
      </c>
      <c r="H46" s="19">
        <f>SUMIFS('Data Additive'!$D:$D,'Data Additive'!$P:$P,'Painel Additive'!$B44,'Data Additive'!$Q:$Q,"&gt;30",'Data Additive'!$Q:$Q,"&lt;=60")</f>
        <v>0</v>
      </c>
      <c r="I46" s="19">
        <f>SUMIFS('Data Additive'!$D:$D,'Data Additive'!$P:$P,'Painel Additive'!$B44,'Data Additive'!$Q:$Q,"&gt;60",'Data Additive'!$Q:$Q,"&lt;=90")</f>
        <v>0</v>
      </c>
      <c r="J46" s="19">
        <f>SUMIFS('Data Additive'!$D:$D,'Data Additive'!$P:$P,'Painel Additive'!$B44,'Data Additive'!$Q:$Q,"&gt;90",'Data Additive'!$Q:$Q,"&lt;=120")</f>
        <v>0</v>
      </c>
      <c r="K46" s="19">
        <f>SUMIFS('Data Additive'!$D:$D,'Data Additive'!$P:$P,'Painel Additive'!$B44,'Data Additive'!$Q:$Q,"&gt;120",'Data Additive'!$Q:$Q,"&lt;=180")</f>
        <v>0</v>
      </c>
      <c r="L46" s="19">
        <f>SUMIFS('Data Additive'!$D:$D,'Data Additive'!$P:$P,'Painel Additive'!$B44,'Data Additive'!$Q:$Q,"&gt;180",'Data Additive'!$Q:$Q,"&lt;=360")</f>
        <v>0</v>
      </c>
      <c r="M46" s="23">
        <f>SUMIFS('Data Additive'!$D:$D,'Data Additive'!$P:$P,'Painel Additive'!$B44,'Data Additive'!$Q:$Q,"&gt;360")</f>
        <v>100</v>
      </c>
      <c r="N46" s="19">
        <f>SUMIFS('Data Additive'!$D:$D,'Data Additive'!$P:$P,'Painel Additive'!$B44,'Data Additive'!$Q:$Q,"&gt;0")</f>
        <v>100</v>
      </c>
      <c r="O46" s="19">
        <f t="shared" si="8"/>
        <v>0</v>
      </c>
      <c r="P46" s="19">
        <f>SUMIFS('Data Additive'!$D:$D,'Data Additive'!$P:$P,'Painel Additive'!$B44,'Data Additive'!$Q:$Q,"&lt;=0",'Data Additive'!$Q:$Q,"&gt;=-30")</f>
        <v>0</v>
      </c>
      <c r="Q46" s="19">
        <f>SUMIFS('Data Additive'!$D:$D,'Data Additive'!$P:$P,'Painel Additive'!$B44,'Data Additive'!$Q:$Q,"&lt;=-31",'Data Additive'!$Q:$Q,"&gt;=-60")</f>
        <v>0</v>
      </c>
      <c r="R46" s="19">
        <f>SUMIFS('Data Additive'!$D:$D,'Data Additive'!$P:$P,'Painel Additive'!$B44,'Data Additive'!$Q:$Q,"&lt;=-61",'Data Additive'!$Q:$Q,"&gt;=-90")</f>
        <v>0</v>
      </c>
      <c r="S46" s="19">
        <f>SUMIFS('Data Additive'!$D:$D,'Data Additive'!$P:$P,'Painel Additive'!$B44,'Data Additive'!$Q:$Q,"&lt;=-91",'Data Additive'!$Q:$Q,"&gt;=-120")</f>
        <v>0</v>
      </c>
      <c r="T46" s="19">
        <f>SUMIFS('Data Additive'!$D:$D,'Data Additive'!$P:$P,'Painel Additive'!$B44,'Data Additive'!$Q:$Q,"&lt;=-121",'Data Additive'!$Q:$Q,"&gt;=-180")</f>
        <v>0</v>
      </c>
      <c r="U46" s="19">
        <f>SUMIFS('Data Additive'!$D:$D,'Data Additive'!$P:$P,'Painel Additive'!$B44,'Data Additive'!$Q:$Q,"&lt;=-181",'Data Additive'!$Q:$Q,"&gt;=-360")</f>
        <v>0</v>
      </c>
      <c r="V46" s="23">
        <f>SUMIFS('Data Additive'!$D:$D,'Data Additive'!$P:$P,'Painel Additive'!$B44,'Data Additive'!$Q:$Q,"&lt;-360")</f>
        <v>0</v>
      </c>
      <c r="W46" s="19" t="e">
        <f>SUMIFS('Bad Debt Provision'!#REF!,'Bad Debt Provision'!#REF!,'Painel Additive'!$B44)</f>
        <v>#REF!</v>
      </c>
      <c r="X46" s="5"/>
      <c r="Y46" s="20"/>
      <c r="Z46" s="20"/>
      <c r="AA46" s="21"/>
      <c r="AB46" s="5"/>
      <c r="AC46" s="19"/>
      <c r="AD46" s="20"/>
      <c r="AE46" s="22"/>
      <c r="AF46" s="22"/>
      <c r="AG46" s="5"/>
      <c r="AH46" s="28">
        <f t="shared" si="9"/>
        <v>-100</v>
      </c>
      <c r="AI46" s="5"/>
    </row>
    <row r="47" spans="2:35" x14ac:dyDescent="0.25">
      <c r="B47" s="17" t="s">
        <v>136</v>
      </c>
      <c r="C47" s="93" t="str" cm="1">
        <f t="array" ref="C47">IFERROR(INDEX('Limite de crédito'!$D:$D, MATCH(MAX(IF('Limite de crédito'!$C:$C=$B47, 'Limite de crédito'!$A:$A)), 'Limite de crédito'!$A:$A, 0)),"")</f>
        <v/>
      </c>
      <c r="D47" s="18" cm="1">
        <f t="array" ref="D47">IFERROR(INDEX('Limite de crédito'!$F:$F, MATCH(MAX(IF('Limite de crédito'!$C:$C=$B47, 'Limite de crédito'!$A:$A)), 'Limite de crédito'!$A:$A, 0)),0)</f>
        <v>0</v>
      </c>
      <c r="E47" s="18">
        <f t="shared" si="6"/>
        <v>0</v>
      </c>
      <c r="F47" s="18">
        <f t="shared" si="7"/>
        <v>0</v>
      </c>
      <c r="G47" s="19">
        <f>SUMIFS('Data Additive'!$D:$D,'Data Additive'!$P:$P,'Painel Additive'!$B43,'Data Additive'!$Q:$Q,"&gt;0",'Data Additive'!$Q:$Q,"&lt;=30")</f>
        <v>0</v>
      </c>
      <c r="H47" s="19">
        <f>SUMIFS('Data Additive'!$D:$D,'Data Additive'!$P:$P,'Painel Additive'!$B43,'Data Additive'!$Q:$Q,"&gt;30",'Data Additive'!$Q:$Q,"&lt;=60")</f>
        <v>0</v>
      </c>
      <c r="I47" s="19">
        <f>SUMIFS('Data Additive'!$D:$D,'Data Additive'!$P:$P,'Painel Additive'!$B43,'Data Additive'!$Q:$Q,"&gt;60",'Data Additive'!$Q:$Q,"&lt;=90")</f>
        <v>0</v>
      </c>
      <c r="J47" s="19">
        <f>SUMIFS('Data Additive'!$D:$D,'Data Additive'!$P:$P,'Painel Additive'!$B43,'Data Additive'!$Q:$Q,"&gt;90",'Data Additive'!$Q:$Q,"&lt;=120")</f>
        <v>0</v>
      </c>
      <c r="K47" s="19">
        <f>SUMIFS('Data Additive'!$D:$D,'Data Additive'!$P:$P,'Painel Additive'!$B43,'Data Additive'!$Q:$Q,"&gt;120",'Data Additive'!$Q:$Q,"&lt;=180")</f>
        <v>0</v>
      </c>
      <c r="L47" s="19">
        <f>SUMIFS('Data Additive'!$D:$D,'Data Additive'!$P:$P,'Painel Additive'!$B43,'Data Additive'!$Q:$Q,"&gt;180",'Data Additive'!$Q:$Q,"&lt;=360")</f>
        <v>0</v>
      </c>
      <c r="M47" s="23">
        <f>SUMIFS('Data Additive'!$D:$D,'Data Additive'!$P:$P,'Painel Additive'!$B43,'Data Additive'!$Q:$Q,"&gt;360")</f>
        <v>0</v>
      </c>
      <c r="N47" s="19">
        <f>SUMIFS('Data Additive'!$D:$D,'Data Additive'!$P:$P,'Painel Additive'!$B43,'Data Additive'!$Q:$Q,"&gt;0")</f>
        <v>0</v>
      </c>
      <c r="O47" s="19">
        <f t="shared" si="8"/>
        <v>0</v>
      </c>
      <c r="P47" s="19">
        <f>SUMIFS('Data Additive'!$D:$D,'Data Additive'!$P:$P,'Painel Additive'!$B43,'Data Additive'!$Q:$Q,"&lt;=0",'Data Additive'!$Q:$Q,"&gt;=-30")</f>
        <v>0</v>
      </c>
      <c r="Q47" s="19">
        <f>SUMIFS('Data Additive'!$D:$D,'Data Additive'!$P:$P,'Painel Additive'!$B43,'Data Additive'!$Q:$Q,"&lt;=-31",'Data Additive'!$Q:$Q,"&gt;=-60")</f>
        <v>0</v>
      </c>
      <c r="R47" s="19">
        <f>SUMIFS('Data Additive'!$D:$D,'Data Additive'!$P:$P,'Painel Additive'!$B43,'Data Additive'!$Q:$Q,"&lt;=-61",'Data Additive'!$Q:$Q,"&gt;=-90")</f>
        <v>0</v>
      </c>
      <c r="S47" s="19">
        <f>SUMIFS('Data Additive'!$D:$D,'Data Additive'!$P:$P,'Painel Additive'!$B43,'Data Additive'!$Q:$Q,"&lt;=-91",'Data Additive'!$Q:$Q,"&gt;=-120")</f>
        <v>0</v>
      </c>
      <c r="T47" s="19">
        <f>SUMIFS('Data Additive'!$D:$D,'Data Additive'!$P:$P,'Painel Additive'!$B43,'Data Additive'!$Q:$Q,"&lt;=-121",'Data Additive'!$Q:$Q,"&gt;=-180")</f>
        <v>0</v>
      </c>
      <c r="U47" s="19">
        <f>SUMIFS('Data Additive'!$D:$D,'Data Additive'!$P:$P,'Painel Additive'!$B43,'Data Additive'!$Q:$Q,"&lt;=-181",'Data Additive'!$Q:$Q,"&gt;=-360")</f>
        <v>0</v>
      </c>
      <c r="V47" s="23">
        <f>SUMIFS('Data Additive'!$D:$D,'Data Additive'!$P:$P,'Painel Additive'!$B43,'Data Additive'!$Q:$Q,"&lt;-360")</f>
        <v>0</v>
      </c>
      <c r="W47" s="19" t="e">
        <f>SUMIFS('Bad Debt Provision'!#REF!,'Bad Debt Provision'!#REF!,'Painel Additive'!$B43)</f>
        <v>#REF!</v>
      </c>
      <c r="X47" s="5"/>
      <c r="Y47" s="20"/>
      <c r="Z47" s="20"/>
      <c r="AA47" s="21"/>
      <c r="AB47" s="5"/>
      <c r="AC47" s="19"/>
      <c r="AD47" s="20"/>
      <c r="AE47" s="22"/>
      <c r="AF47" s="22"/>
      <c r="AG47" s="5"/>
      <c r="AH47" s="28">
        <f t="shared" si="9"/>
        <v>0</v>
      </c>
      <c r="AI47" s="5"/>
    </row>
    <row r="48" spans="2:35" x14ac:dyDescent="0.25">
      <c r="B48" s="17" t="s">
        <v>143</v>
      </c>
      <c r="C48" s="93" t="str" cm="1">
        <f t="array" ref="C48">IFERROR(INDEX('Limite de crédito'!$D:$D, MATCH(MAX(IF('Limite de crédito'!$C:$C=$B48, 'Limite de crédito'!$A:$A)), 'Limite de crédito'!$A:$A, 0)),"")</f>
        <v/>
      </c>
      <c r="D48" s="18" cm="1">
        <f t="array" ref="D48">IFERROR(INDEX('Limite de crédito'!$F:$F, MATCH(MAX(IF('Limite de crédito'!$C:$C=$B48, 'Limite de crédito'!$A:$A)), 'Limite de crédito'!$A:$A, 0)),0)</f>
        <v>0</v>
      </c>
      <c r="E48" s="18">
        <f t="shared" si="6"/>
        <v>0</v>
      </c>
      <c r="F48" s="18">
        <f t="shared" si="7"/>
        <v>0</v>
      </c>
      <c r="G48" s="19">
        <f>SUMIFS('Data Additive'!$D:$D,'Data Additive'!$P:$P,'Painel Additive'!#REF!,'Data Additive'!$Q:$Q,"&gt;0",'Data Additive'!$Q:$Q,"&lt;=30")</f>
        <v>0</v>
      </c>
      <c r="H48" s="19">
        <f>SUMIFS('Data Additive'!$D:$D,'Data Additive'!$P:$P,'Painel Additive'!#REF!,'Data Additive'!$Q:$Q,"&gt;30",'Data Additive'!$Q:$Q,"&lt;=60")</f>
        <v>0</v>
      </c>
      <c r="I48" s="19">
        <f>SUMIFS('Data Additive'!$D:$D,'Data Additive'!$P:$P,'Painel Additive'!#REF!,'Data Additive'!$Q:$Q,"&gt;60",'Data Additive'!$Q:$Q,"&lt;=90")</f>
        <v>0</v>
      </c>
      <c r="J48" s="19">
        <f>SUMIFS('Data Additive'!$D:$D,'Data Additive'!$P:$P,'Painel Additive'!#REF!,'Data Additive'!$Q:$Q,"&gt;90",'Data Additive'!$Q:$Q,"&lt;=120")</f>
        <v>0</v>
      </c>
      <c r="K48" s="19">
        <f>SUMIFS('Data Additive'!$D:$D,'Data Additive'!$P:$P,'Painel Additive'!#REF!,'Data Additive'!$Q:$Q,"&gt;120",'Data Additive'!$Q:$Q,"&lt;=180")</f>
        <v>0</v>
      </c>
      <c r="L48" s="19">
        <f>SUMIFS('Data Additive'!$D:$D,'Data Additive'!$P:$P,'Painel Additive'!#REF!,'Data Additive'!$Q:$Q,"&gt;180",'Data Additive'!$Q:$Q,"&lt;=360")</f>
        <v>0</v>
      </c>
      <c r="M48" s="23">
        <f>SUMIFS('Data Additive'!$D:$D,'Data Additive'!$P:$P,'Painel Additive'!#REF!,'Data Additive'!$Q:$Q,"&gt;360")</f>
        <v>0</v>
      </c>
      <c r="N48" s="19">
        <f>SUMIFS('Data Additive'!$D:$D,'Data Additive'!$P:$P,'Painel Additive'!#REF!,'Data Additive'!$Q:$Q,"&gt;0")</f>
        <v>0</v>
      </c>
      <c r="O48" s="19">
        <f t="shared" si="8"/>
        <v>0</v>
      </c>
      <c r="P48" s="19">
        <f>SUMIFS('Data Additive'!$D:$D,'Data Additive'!$P:$P,'Painel Additive'!#REF!,'Data Additive'!$Q:$Q,"&lt;=0",'Data Additive'!$Q:$Q,"&gt;=-30")</f>
        <v>0</v>
      </c>
      <c r="Q48" s="19">
        <f>SUMIFS('Data Additive'!$D:$D,'Data Additive'!$P:$P,'Painel Additive'!#REF!,'Data Additive'!$Q:$Q,"&lt;=-31",'Data Additive'!$Q:$Q,"&gt;=-60")</f>
        <v>0</v>
      </c>
      <c r="R48" s="19">
        <f>SUMIFS('Data Additive'!$D:$D,'Data Additive'!$P:$P,'Painel Additive'!#REF!,'Data Additive'!$Q:$Q,"&lt;=-61",'Data Additive'!$Q:$Q,"&gt;=-90")</f>
        <v>0</v>
      </c>
      <c r="S48" s="19">
        <f>SUMIFS('Data Additive'!$D:$D,'Data Additive'!$P:$P,'Painel Additive'!#REF!,'Data Additive'!$Q:$Q,"&lt;=-91",'Data Additive'!$Q:$Q,"&gt;=-120")</f>
        <v>0</v>
      </c>
      <c r="T48" s="19">
        <f>SUMIFS('Data Additive'!$D:$D,'Data Additive'!$P:$P,'Painel Additive'!#REF!,'Data Additive'!$Q:$Q,"&lt;=-121",'Data Additive'!$Q:$Q,"&gt;=-180")</f>
        <v>0</v>
      </c>
      <c r="U48" s="19">
        <f>SUMIFS('Data Additive'!$D:$D,'Data Additive'!$P:$P,'Painel Additive'!#REF!,'Data Additive'!$Q:$Q,"&lt;=-181",'Data Additive'!$Q:$Q,"&gt;=-360")</f>
        <v>0</v>
      </c>
      <c r="V48" s="23">
        <f>SUMIFS('Data Additive'!$D:$D,'Data Additive'!$P:$P,'Painel Additive'!#REF!,'Data Additive'!$Q:$Q,"&lt;-360")</f>
        <v>0</v>
      </c>
      <c r="W48" s="19" t="e">
        <f>SUMIFS('Bad Debt Provision'!#REF!,'Bad Debt Provision'!#REF!,'Painel Additive'!#REF!)</f>
        <v>#REF!</v>
      </c>
      <c r="X48" s="5"/>
      <c r="Y48" s="20"/>
      <c r="Z48" s="20"/>
      <c r="AA48" s="21"/>
      <c r="AB48" s="5"/>
      <c r="AC48" s="19"/>
      <c r="AD48" s="20"/>
      <c r="AE48" s="22"/>
      <c r="AF48" s="22"/>
      <c r="AG48" s="5"/>
      <c r="AH48" s="28">
        <f t="shared" si="9"/>
        <v>0</v>
      </c>
      <c r="AI48" s="5"/>
    </row>
    <row r="49" spans="2:36" x14ac:dyDescent="0.25">
      <c r="B49" s="17" t="s">
        <v>152</v>
      </c>
      <c r="C49" s="93" t="str" cm="1">
        <f t="array" ref="C49">IFERROR(INDEX('Limite de crédito'!$D:$D, MATCH(MAX(IF('Limite de crédito'!$C:$C=$B49, 'Limite de crédito'!$A:$A)), 'Limite de crédito'!$A:$A, 0)),"")</f>
        <v/>
      </c>
      <c r="D49" s="18" cm="1">
        <f t="array" ref="D49">IFERROR(INDEX('Limite de crédito'!$F:$F, MATCH(MAX(IF('Limite de crédito'!$C:$C=$B49, 'Limite de crédito'!$A:$A)), 'Limite de crédito'!$A:$A, 0)),0)</f>
        <v>0</v>
      </c>
      <c r="E49" s="18">
        <f t="shared" si="6"/>
        <v>-300</v>
      </c>
      <c r="F49" s="18">
        <f t="shared" si="7"/>
        <v>300</v>
      </c>
      <c r="G49" s="19">
        <f>SUMIFS('Data Additive'!$D:$D,'Data Additive'!$P:$P,'Painel Additive'!$B42,'Data Additive'!$Q:$Q,"&gt;0",'Data Additive'!$Q:$Q,"&lt;=30")</f>
        <v>0</v>
      </c>
      <c r="H49" s="19">
        <f>SUMIFS('Data Additive'!$D:$D,'Data Additive'!$P:$P,'Painel Additive'!$B42,'Data Additive'!$Q:$Q,"&gt;30",'Data Additive'!$Q:$Q,"&lt;=60")</f>
        <v>0</v>
      </c>
      <c r="I49" s="19">
        <f>SUMIFS('Data Additive'!$D:$D,'Data Additive'!$P:$P,'Painel Additive'!$B42,'Data Additive'!$Q:$Q,"&gt;60",'Data Additive'!$Q:$Q,"&lt;=90")</f>
        <v>0</v>
      </c>
      <c r="J49" s="19">
        <f>SUMIFS('Data Additive'!$D:$D,'Data Additive'!$P:$P,'Painel Additive'!$B42,'Data Additive'!$Q:$Q,"&gt;90",'Data Additive'!$Q:$Q,"&lt;=120")</f>
        <v>0</v>
      </c>
      <c r="K49" s="19">
        <f>SUMIFS('Data Additive'!$D:$D,'Data Additive'!$P:$P,'Painel Additive'!$B42,'Data Additive'!$Q:$Q,"&gt;120",'Data Additive'!$Q:$Q,"&lt;=180")</f>
        <v>0</v>
      </c>
      <c r="L49" s="19">
        <f>SUMIFS('Data Additive'!$D:$D,'Data Additive'!$P:$P,'Painel Additive'!$B42,'Data Additive'!$Q:$Q,"&gt;180",'Data Additive'!$Q:$Q,"&lt;=360")</f>
        <v>0</v>
      </c>
      <c r="M49" s="23">
        <f>SUMIFS('Data Additive'!$D:$D,'Data Additive'!$P:$P,'Painel Additive'!$B42,'Data Additive'!$Q:$Q,"&gt;360")</f>
        <v>300</v>
      </c>
      <c r="N49" s="19">
        <f>SUMIFS('Data Additive'!$D:$D,'Data Additive'!$P:$P,'Painel Additive'!$B42,'Data Additive'!$Q:$Q,"&gt;0")</f>
        <v>300</v>
      </c>
      <c r="O49" s="19">
        <f t="shared" si="8"/>
        <v>0</v>
      </c>
      <c r="P49" s="19">
        <f>SUMIFS('Data Additive'!$D:$D,'Data Additive'!$P:$P,'Painel Additive'!$B42,'Data Additive'!$Q:$Q,"&lt;=0",'Data Additive'!$Q:$Q,"&gt;=-30")</f>
        <v>0</v>
      </c>
      <c r="Q49" s="19">
        <f>SUMIFS('Data Additive'!$D:$D,'Data Additive'!$P:$P,'Painel Additive'!$B42,'Data Additive'!$Q:$Q,"&lt;=-31",'Data Additive'!$Q:$Q,"&gt;=-60")</f>
        <v>0</v>
      </c>
      <c r="R49" s="19">
        <f>SUMIFS('Data Additive'!$D:$D,'Data Additive'!$P:$P,'Painel Additive'!$B42,'Data Additive'!$Q:$Q,"&lt;=-61",'Data Additive'!$Q:$Q,"&gt;=-90")</f>
        <v>0</v>
      </c>
      <c r="S49" s="19">
        <f>SUMIFS('Data Additive'!$D:$D,'Data Additive'!$P:$P,'Painel Additive'!$B42,'Data Additive'!$Q:$Q,"&lt;=-91",'Data Additive'!$Q:$Q,"&gt;=-120")</f>
        <v>0</v>
      </c>
      <c r="T49" s="19">
        <f>SUMIFS('Data Additive'!$D:$D,'Data Additive'!$P:$P,'Painel Additive'!$B42,'Data Additive'!$Q:$Q,"&lt;=-121",'Data Additive'!$Q:$Q,"&gt;=-180")</f>
        <v>0</v>
      </c>
      <c r="U49" s="19">
        <f>SUMIFS('Data Additive'!$D:$D,'Data Additive'!$P:$P,'Painel Additive'!$B42,'Data Additive'!$Q:$Q,"&lt;=-181",'Data Additive'!$Q:$Q,"&gt;=-360")</f>
        <v>0</v>
      </c>
      <c r="V49" s="23">
        <f>SUMIFS('Data Additive'!$D:$D,'Data Additive'!$P:$P,'Painel Additive'!$B42,'Data Additive'!$Q:$Q,"&lt;-360")</f>
        <v>0</v>
      </c>
      <c r="W49" s="19" t="e">
        <f>SUMIFS('Bad Debt Provision'!#REF!,'Bad Debt Provision'!#REF!,'Painel Additive'!$B42)</f>
        <v>#REF!</v>
      </c>
      <c r="X49" s="5"/>
      <c r="Y49" s="20"/>
      <c r="Z49" s="20"/>
      <c r="AA49" s="21"/>
      <c r="AB49" s="5"/>
      <c r="AC49" s="19"/>
      <c r="AD49" s="20"/>
      <c r="AE49" s="22"/>
      <c r="AF49" s="22"/>
      <c r="AG49" s="5"/>
      <c r="AH49" s="28">
        <f t="shared" si="9"/>
        <v>-300</v>
      </c>
      <c r="AI49" s="5"/>
    </row>
    <row r="50" spans="2:36" x14ac:dyDescent="0.25">
      <c r="B50" s="17" t="s">
        <v>94</v>
      </c>
      <c r="C50" s="93" cm="1">
        <f t="array" ref="C50">IFERROR(INDEX('Limite de crédito'!$D:$D, MATCH(MAX(IF('Limite de crédito'!$C:$C=$B50, 'Limite de crédito'!$A:$A)), 'Limite de crédito'!$A:$A, 0)),"")</f>
        <v>45916</v>
      </c>
      <c r="D50" s="18" t="str" cm="1">
        <f t="array" ref="D50">IFERROR(INDEX('Limite de crédito'!$F:$F, MATCH(MAX(IF('Limite de crédito'!$C:$C=$B50, 'Limite de crédito'!$A:$A)), 'Limite de crédito'!$A:$A, 0)),0)</f>
        <v>Sim</v>
      </c>
      <c r="E50" s="18" t="e">
        <f t="shared" si="6"/>
        <v>#VALUE!</v>
      </c>
      <c r="F50" s="18">
        <f t="shared" si="7"/>
        <v>0</v>
      </c>
      <c r="G50" s="19">
        <f>SUMIFS('Data Additive'!$D:$D,'Data Additive'!$P:$P,'Painel Additive'!$B36,'Data Additive'!$Q:$Q,"&gt;0",'Data Additive'!$Q:$Q,"&lt;=30")</f>
        <v>0</v>
      </c>
      <c r="H50" s="19">
        <f>SUMIFS('Data Additive'!$D:$D,'Data Additive'!$P:$P,'Painel Additive'!$B36,'Data Additive'!$Q:$Q,"&gt;30",'Data Additive'!$Q:$Q,"&lt;=60")</f>
        <v>0</v>
      </c>
      <c r="I50" s="19">
        <f>SUMIFS('Data Additive'!$D:$D,'Data Additive'!$P:$P,'Painel Additive'!$B36,'Data Additive'!$Q:$Q,"&gt;60",'Data Additive'!$Q:$Q,"&lt;=90")</f>
        <v>0</v>
      </c>
      <c r="J50" s="19">
        <f>SUMIFS('Data Additive'!$D:$D,'Data Additive'!$P:$P,'Painel Additive'!$B36,'Data Additive'!$Q:$Q,"&gt;90",'Data Additive'!$Q:$Q,"&lt;=120")</f>
        <v>0</v>
      </c>
      <c r="K50" s="19">
        <f>SUMIFS('Data Additive'!$D:$D,'Data Additive'!$P:$P,'Painel Additive'!$B36,'Data Additive'!$Q:$Q,"&gt;120",'Data Additive'!$Q:$Q,"&lt;=180")</f>
        <v>0</v>
      </c>
      <c r="L50" s="19">
        <f>SUMIFS('Data Additive'!$D:$D,'Data Additive'!$P:$P,'Painel Additive'!$B36,'Data Additive'!$Q:$Q,"&gt;180",'Data Additive'!$Q:$Q,"&lt;=360")</f>
        <v>0</v>
      </c>
      <c r="M50" s="23">
        <f>SUMIFS('Data Additive'!$D:$D,'Data Additive'!$P:$P,'Painel Additive'!$B36,'Data Additive'!$Q:$Q,"&gt;360")</f>
        <v>0</v>
      </c>
      <c r="N50" s="19">
        <f>SUMIFS('Data Additive'!$D:$D,'Data Additive'!$P:$P,'Painel Additive'!$B36,'Data Additive'!$Q:$Q,"&gt;0")</f>
        <v>0</v>
      </c>
      <c r="O50" s="19">
        <f t="shared" si="8"/>
        <v>0</v>
      </c>
      <c r="P50" s="19">
        <f>SUMIFS('Data Additive'!$D:$D,'Data Additive'!$P:$P,'Painel Additive'!$B36,'Data Additive'!$Q:$Q,"&lt;=0",'Data Additive'!$Q:$Q,"&gt;=-30")</f>
        <v>0</v>
      </c>
      <c r="Q50" s="19">
        <f>SUMIFS('Data Additive'!$D:$D,'Data Additive'!$P:$P,'Painel Additive'!$B36,'Data Additive'!$Q:$Q,"&lt;=-31",'Data Additive'!$Q:$Q,"&gt;=-60")</f>
        <v>0</v>
      </c>
      <c r="R50" s="19">
        <f>SUMIFS('Data Additive'!$D:$D,'Data Additive'!$P:$P,'Painel Additive'!$B36,'Data Additive'!$Q:$Q,"&lt;=-61",'Data Additive'!$Q:$Q,"&gt;=-90")</f>
        <v>0</v>
      </c>
      <c r="S50" s="19">
        <f>SUMIFS('Data Additive'!$D:$D,'Data Additive'!$P:$P,'Painel Additive'!$B36,'Data Additive'!$Q:$Q,"&lt;=-91",'Data Additive'!$Q:$Q,"&gt;=-120")</f>
        <v>0</v>
      </c>
      <c r="T50" s="19">
        <f>SUMIFS('Data Additive'!$D:$D,'Data Additive'!$P:$P,'Painel Additive'!$B36,'Data Additive'!$Q:$Q,"&lt;=-121",'Data Additive'!$Q:$Q,"&gt;=-180")</f>
        <v>0</v>
      </c>
      <c r="U50" s="19">
        <f>SUMIFS('Data Additive'!$D:$D,'Data Additive'!$P:$P,'Painel Additive'!$B36,'Data Additive'!$Q:$Q,"&lt;=-181",'Data Additive'!$Q:$Q,"&gt;=-360")</f>
        <v>0</v>
      </c>
      <c r="V50" s="23">
        <f>SUMIFS('Data Additive'!$D:$D,'Data Additive'!$P:$P,'Painel Additive'!$B36,'Data Additive'!$Q:$Q,"&lt;-360")</f>
        <v>0</v>
      </c>
      <c r="W50" s="19" t="e">
        <f>SUMIFS('Bad Debt Provision'!#REF!,'Bad Debt Provision'!#REF!,'Painel Additive'!$B36)</f>
        <v>#REF!</v>
      </c>
      <c r="X50" s="5"/>
      <c r="Y50" s="20"/>
      <c r="Z50" s="20"/>
      <c r="AA50" s="21"/>
      <c r="AB50" s="5"/>
      <c r="AC50" s="19"/>
      <c r="AD50" s="20"/>
      <c r="AE50" s="22"/>
      <c r="AF50" s="22"/>
      <c r="AG50" s="5"/>
      <c r="AH50" s="28">
        <f t="shared" si="9"/>
        <v>0</v>
      </c>
      <c r="AI50" s="5"/>
    </row>
    <row r="51" spans="2:36" x14ac:dyDescent="0.25">
      <c r="B51" s="17" t="s">
        <v>149</v>
      </c>
      <c r="C51" s="93" t="str" cm="1">
        <f t="array" ref="C51">IFERROR(INDEX('Limite de crédito'!$D:$D, MATCH(MAX(IF('Limite de crédito'!$C:$C=$B51, 'Limite de crédito'!$A:$A)), 'Limite de crédito'!$A:$A, 0)),"")</f>
        <v/>
      </c>
      <c r="D51" s="18" cm="1">
        <f t="array" ref="D51">IFERROR(INDEX('Limite de crédito'!$F:$F, MATCH(MAX(IF('Limite de crédito'!$C:$C=$B51, 'Limite de crédito'!$A:$A)), 'Limite de crédito'!$A:$A, 0)),0)</f>
        <v>0</v>
      </c>
      <c r="E51" s="18">
        <f t="shared" si="6"/>
        <v>-50</v>
      </c>
      <c r="F51" s="18">
        <f t="shared" si="7"/>
        <v>50</v>
      </c>
      <c r="G51" s="19">
        <f>SUMIFS('Data Additive'!$D:$D,'Data Additive'!$P:$P,'Painel Additive'!$B45,'Data Additive'!$Q:$Q,"&gt;0",'Data Additive'!$Q:$Q,"&lt;=30")</f>
        <v>0</v>
      </c>
      <c r="H51" s="19">
        <f>SUMIFS('Data Additive'!$D:$D,'Data Additive'!$P:$P,'Painel Additive'!$B45,'Data Additive'!$Q:$Q,"&gt;30",'Data Additive'!$Q:$Q,"&lt;=60")</f>
        <v>0</v>
      </c>
      <c r="I51" s="19">
        <f>SUMIFS('Data Additive'!$D:$D,'Data Additive'!$P:$P,'Painel Additive'!$B45,'Data Additive'!$Q:$Q,"&gt;60",'Data Additive'!$Q:$Q,"&lt;=90")</f>
        <v>0</v>
      </c>
      <c r="J51" s="19">
        <f>SUMIFS('Data Additive'!$D:$D,'Data Additive'!$P:$P,'Painel Additive'!$B45,'Data Additive'!$Q:$Q,"&gt;90",'Data Additive'!$Q:$Q,"&lt;=120")</f>
        <v>0</v>
      </c>
      <c r="K51" s="19">
        <f>SUMIFS('Data Additive'!$D:$D,'Data Additive'!$P:$P,'Painel Additive'!$B45,'Data Additive'!$Q:$Q,"&gt;120",'Data Additive'!$Q:$Q,"&lt;=180")</f>
        <v>0</v>
      </c>
      <c r="L51" s="19">
        <f>SUMIFS('Data Additive'!$D:$D,'Data Additive'!$P:$P,'Painel Additive'!$B45,'Data Additive'!$Q:$Q,"&gt;180",'Data Additive'!$Q:$Q,"&lt;=360")</f>
        <v>0</v>
      </c>
      <c r="M51" s="23">
        <f>SUMIFS('Data Additive'!$D:$D,'Data Additive'!$P:$P,'Painel Additive'!$B45,'Data Additive'!$Q:$Q,"&gt;360")</f>
        <v>50</v>
      </c>
      <c r="N51" s="19">
        <f>SUMIFS('Data Additive'!$D:$D,'Data Additive'!$P:$P,'Painel Additive'!$B45,'Data Additive'!$Q:$Q,"&gt;0")</f>
        <v>50</v>
      </c>
      <c r="O51" s="19">
        <f t="shared" si="8"/>
        <v>0</v>
      </c>
      <c r="P51" s="19">
        <f>SUMIFS('Data Additive'!$D:$D,'Data Additive'!$P:$P,'Painel Additive'!$B45,'Data Additive'!$Q:$Q,"&lt;=0",'Data Additive'!$Q:$Q,"&gt;=-30")</f>
        <v>0</v>
      </c>
      <c r="Q51" s="19">
        <f>SUMIFS('Data Additive'!$D:$D,'Data Additive'!$P:$P,'Painel Additive'!$B45,'Data Additive'!$Q:$Q,"&lt;=-31",'Data Additive'!$Q:$Q,"&gt;=-60")</f>
        <v>0</v>
      </c>
      <c r="R51" s="19">
        <f>SUMIFS('Data Additive'!$D:$D,'Data Additive'!$P:$P,'Painel Additive'!$B45,'Data Additive'!$Q:$Q,"&lt;=-61",'Data Additive'!$Q:$Q,"&gt;=-90")</f>
        <v>0</v>
      </c>
      <c r="S51" s="19">
        <f>SUMIFS('Data Additive'!$D:$D,'Data Additive'!$P:$P,'Painel Additive'!$B45,'Data Additive'!$Q:$Q,"&lt;=-91",'Data Additive'!$Q:$Q,"&gt;=-120")</f>
        <v>0</v>
      </c>
      <c r="T51" s="19">
        <f>SUMIFS('Data Additive'!$D:$D,'Data Additive'!$P:$P,'Painel Additive'!$B45,'Data Additive'!$Q:$Q,"&lt;=-121",'Data Additive'!$Q:$Q,"&gt;=-180")</f>
        <v>0</v>
      </c>
      <c r="U51" s="19">
        <f>SUMIFS('Data Additive'!$D:$D,'Data Additive'!$P:$P,'Painel Additive'!$B45,'Data Additive'!$Q:$Q,"&lt;=-181",'Data Additive'!$Q:$Q,"&gt;=-360")</f>
        <v>0</v>
      </c>
      <c r="V51" s="23">
        <f>SUMIFS('Data Additive'!$D:$D,'Data Additive'!$P:$P,'Painel Additive'!$B45,'Data Additive'!$Q:$Q,"&lt;-360")</f>
        <v>0</v>
      </c>
      <c r="W51" s="19" t="e">
        <f>SUMIFS('Bad Debt Provision'!#REF!,'Bad Debt Provision'!#REF!,'Painel Additive'!$B45)</f>
        <v>#REF!</v>
      </c>
      <c r="X51" s="5"/>
      <c r="Y51" s="20"/>
      <c r="Z51" s="20"/>
      <c r="AA51" s="21"/>
      <c r="AB51" s="5"/>
      <c r="AC51" s="19"/>
      <c r="AD51" s="20"/>
      <c r="AE51" s="22"/>
      <c r="AF51" s="22"/>
      <c r="AG51" s="5"/>
      <c r="AH51" s="28">
        <f t="shared" si="9"/>
        <v>-50</v>
      </c>
      <c r="AI51" s="5"/>
    </row>
    <row r="52" spans="2:36" x14ac:dyDescent="0.25">
      <c r="B52" s="17" t="s">
        <v>158</v>
      </c>
      <c r="C52" s="93" t="str" cm="1">
        <f t="array" ref="C52">IFERROR(INDEX('Limite de crédito'!$D:$D, MATCH(MAX(IF('Limite de crédito'!$C:$C=$B52, 'Limite de crédito'!$A:$A)), 'Limite de crédito'!$A:$A, 0)),"")</f>
        <v/>
      </c>
      <c r="D52" s="18" cm="1">
        <f t="array" ref="D52">IFERROR(INDEX('Limite de crédito'!$F:$F, MATCH(MAX(IF('Limite de crédito'!$C:$C=$B52, 'Limite de crédito'!$A:$A)), 'Limite de crédito'!$A:$A, 0)),0)</f>
        <v>0</v>
      </c>
      <c r="E52" s="18">
        <f t="shared" si="6"/>
        <v>0</v>
      </c>
      <c r="F52" s="18">
        <f t="shared" si="7"/>
        <v>0</v>
      </c>
      <c r="G52" s="19">
        <f>SUMIFS('Data Additive'!$D:$D,'Data Additive'!$P:$P,'Painel Additive'!#REF!,'Data Additive'!$Q:$Q,"&gt;0",'Data Additive'!$Q:$Q,"&lt;=30")</f>
        <v>0</v>
      </c>
      <c r="H52" s="19">
        <f>SUMIFS('Data Additive'!$D:$D,'Data Additive'!$P:$P,'Painel Additive'!#REF!,'Data Additive'!$Q:$Q,"&gt;30",'Data Additive'!$Q:$Q,"&lt;=60")</f>
        <v>0</v>
      </c>
      <c r="I52" s="19">
        <f>SUMIFS('Data Additive'!$D:$D,'Data Additive'!$P:$P,'Painel Additive'!#REF!,'Data Additive'!$Q:$Q,"&gt;60",'Data Additive'!$Q:$Q,"&lt;=90")</f>
        <v>0</v>
      </c>
      <c r="J52" s="19">
        <f>SUMIFS('Data Additive'!$D:$D,'Data Additive'!$P:$P,'Painel Additive'!#REF!,'Data Additive'!$Q:$Q,"&gt;90",'Data Additive'!$Q:$Q,"&lt;=120")</f>
        <v>0</v>
      </c>
      <c r="K52" s="19">
        <f>SUMIFS('Data Additive'!$D:$D,'Data Additive'!$P:$P,'Painel Additive'!#REF!,'Data Additive'!$Q:$Q,"&gt;120",'Data Additive'!$Q:$Q,"&lt;=180")</f>
        <v>0</v>
      </c>
      <c r="L52" s="19">
        <f>SUMIFS('Data Additive'!$D:$D,'Data Additive'!$P:$P,'Painel Additive'!#REF!,'Data Additive'!$Q:$Q,"&gt;180",'Data Additive'!$Q:$Q,"&lt;=360")</f>
        <v>0</v>
      </c>
      <c r="M52" s="23">
        <f>SUMIFS('Data Additive'!$D:$D,'Data Additive'!$P:$P,'Painel Additive'!#REF!,'Data Additive'!$Q:$Q,"&gt;360")</f>
        <v>0</v>
      </c>
      <c r="N52" s="19">
        <f>SUMIFS('Data Additive'!$D:$D,'Data Additive'!$P:$P,'Painel Additive'!#REF!,'Data Additive'!$Q:$Q,"&gt;0")</f>
        <v>0</v>
      </c>
      <c r="O52" s="19">
        <f t="shared" si="8"/>
        <v>0</v>
      </c>
      <c r="P52" s="19">
        <f>SUMIFS('Data Additive'!$D:$D,'Data Additive'!$P:$P,'Painel Additive'!#REF!,'Data Additive'!$Q:$Q,"&lt;=0",'Data Additive'!$Q:$Q,"&gt;=-30")</f>
        <v>0</v>
      </c>
      <c r="Q52" s="19">
        <f>SUMIFS('Data Additive'!$D:$D,'Data Additive'!$P:$P,'Painel Additive'!#REF!,'Data Additive'!$Q:$Q,"&lt;=-31",'Data Additive'!$Q:$Q,"&gt;=-60")</f>
        <v>0</v>
      </c>
      <c r="R52" s="19">
        <f>SUMIFS('Data Additive'!$D:$D,'Data Additive'!$P:$P,'Painel Additive'!#REF!,'Data Additive'!$Q:$Q,"&lt;=-61",'Data Additive'!$Q:$Q,"&gt;=-90")</f>
        <v>0</v>
      </c>
      <c r="S52" s="19">
        <f>SUMIFS('Data Additive'!$D:$D,'Data Additive'!$P:$P,'Painel Additive'!#REF!,'Data Additive'!$Q:$Q,"&lt;=-91",'Data Additive'!$Q:$Q,"&gt;=-120")</f>
        <v>0</v>
      </c>
      <c r="T52" s="19">
        <f>SUMIFS('Data Additive'!$D:$D,'Data Additive'!$P:$P,'Painel Additive'!#REF!,'Data Additive'!$Q:$Q,"&lt;=-121",'Data Additive'!$Q:$Q,"&gt;=-180")</f>
        <v>0</v>
      </c>
      <c r="U52" s="19">
        <f>SUMIFS('Data Additive'!$D:$D,'Data Additive'!$P:$P,'Painel Additive'!#REF!,'Data Additive'!$Q:$Q,"&lt;=-181",'Data Additive'!$Q:$Q,"&gt;=-360")</f>
        <v>0</v>
      </c>
      <c r="V52" s="23">
        <f>SUMIFS('Data Additive'!$D:$D,'Data Additive'!$P:$P,'Painel Additive'!#REF!,'Data Additive'!$Q:$Q,"&lt;-360")</f>
        <v>0</v>
      </c>
      <c r="W52" s="19" t="e">
        <f>SUMIFS('Bad Debt Provision'!#REF!,'Bad Debt Provision'!#REF!,'Painel Additive'!#REF!)</f>
        <v>#REF!</v>
      </c>
      <c r="X52" s="5"/>
      <c r="Y52" s="20"/>
      <c r="Z52" s="20"/>
      <c r="AA52" s="21"/>
      <c r="AB52" s="5"/>
      <c r="AC52" s="19"/>
      <c r="AD52" s="20"/>
      <c r="AE52" s="22"/>
      <c r="AF52" s="22"/>
      <c r="AG52" s="5">
        <f>AG53+AG54</f>
        <v>0</v>
      </c>
      <c r="AH52" s="28">
        <f t="shared" si="9"/>
        <v>0</v>
      </c>
      <c r="AI52" s="5">
        <f>AI53+AI54</f>
        <v>0</v>
      </c>
    </row>
    <row r="53" spans="2:36" x14ac:dyDescent="0.25">
      <c r="B53" s="17" t="s">
        <v>168</v>
      </c>
      <c r="C53" s="93" cm="1">
        <f t="array" ref="C53">IFERROR(INDEX('Limite de crédito'!$D:$D, MATCH(MAX(IF('Limite de crédito'!$C:$C=$B53, 'Limite de crédito'!$A:$A)), 'Limite de crédito'!$A:$A, 0)),"")</f>
        <v>45804</v>
      </c>
      <c r="D53" s="18" t="str" cm="1">
        <f t="array" ref="D53">IFERROR(INDEX('Limite de crédito'!$F:$F, MATCH(MAX(IF('Limite de crédito'!$C:$C=$B53, 'Limite de crédito'!$A:$A)), 'Limite de crédito'!$A:$A, 0)),0)</f>
        <v>Sim</v>
      </c>
      <c r="E53" s="18" t="e">
        <f t="shared" si="6"/>
        <v>#VALUE!</v>
      </c>
      <c r="F53" s="18">
        <f t="shared" si="7"/>
        <v>0</v>
      </c>
      <c r="G53" s="19">
        <f>SUMIFS('Data Additive'!$D:$D,'Data Additive'!$P:$P,'Painel Additive'!#REF!,'Data Additive'!$Q:$Q,"&gt;0",'Data Additive'!$Q:$Q,"&lt;=30")</f>
        <v>0</v>
      </c>
      <c r="H53" s="19">
        <f>SUMIFS('Data Additive'!$D:$D,'Data Additive'!$P:$P,'Painel Additive'!#REF!,'Data Additive'!$Q:$Q,"&gt;30",'Data Additive'!$Q:$Q,"&lt;=60")</f>
        <v>0</v>
      </c>
      <c r="I53" s="19">
        <f>SUMIFS('Data Additive'!$D:$D,'Data Additive'!$P:$P,'Painel Additive'!#REF!,'Data Additive'!$Q:$Q,"&gt;60",'Data Additive'!$Q:$Q,"&lt;=90")</f>
        <v>0</v>
      </c>
      <c r="J53" s="19">
        <f>SUMIFS('Data Additive'!$D:$D,'Data Additive'!$P:$P,'Painel Additive'!#REF!,'Data Additive'!$Q:$Q,"&gt;90",'Data Additive'!$Q:$Q,"&lt;=120")</f>
        <v>0</v>
      </c>
      <c r="K53" s="19">
        <f>SUMIFS('Data Additive'!$D:$D,'Data Additive'!$P:$P,'Painel Additive'!#REF!,'Data Additive'!$Q:$Q,"&gt;120",'Data Additive'!$Q:$Q,"&lt;=180")</f>
        <v>0</v>
      </c>
      <c r="L53" s="19">
        <f>SUMIFS('Data Additive'!$D:$D,'Data Additive'!$P:$P,'Painel Additive'!#REF!,'Data Additive'!$Q:$Q,"&gt;180",'Data Additive'!$Q:$Q,"&lt;=360")</f>
        <v>0</v>
      </c>
      <c r="M53" s="23">
        <f>SUMIFS('Data Additive'!$D:$D,'Data Additive'!$P:$P,'Painel Additive'!#REF!,'Data Additive'!$Q:$Q,"&gt;360")</f>
        <v>0</v>
      </c>
      <c r="N53" s="19">
        <f>SUMIFS('Data Additive'!$D:$D,'Data Additive'!$P:$P,'Painel Additive'!#REF!,'Data Additive'!$Q:$Q,"&gt;0")</f>
        <v>0</v>
      </c>
      <c r="O53" s="19">
        <f t="shared" si="8"/>
        <v>0</v>
      </c>
      <c r="P53" s="19">
        <f>SUMIFS('Data Additive'!$D:$D,'Data Additive'!$P:$P,'Painel Additive'!#REF!,'Data Additive'!$Q:$Q,"&lt;=0",'Data Additive'!$Q:$Q,"&gt;=-30")</f>
        <v>0</v>
      </c>
      <c r="Q53" s="19">
        <f>SUMIFS('Data Additive'!$D:$D,'Data Additive'!$P:$P,'Painel Additive'!#REF!,'Data Additive'!$Q:$Q,"&lt;=-31",'Data Additive'!$Q:$Q,"&gt;=-60")</f>
        <v>0</v>
      </c>
      <c r="R53" s="19">
        <f>SUMIFS('Data Additive'!$D:$D,'Data Additive'!$P:$P,'Painel Additive'!#REF!,'Data Additive'!$Q:$Q,"&lt;=-61",'Data Additive'!$Q:$Q,"&gt;=-90")</f>
        <v>0</v>
      </c>
      <c r="S53" s="19">
        <f>SUMIFS('Data Additive'!$D:$D,'Data Additive'!$P:$P,'Painel Additive'!#REF!,'Data Additive'!$Q:$Q,"&lt;=-91",'Data Additive'!$Q:$Q,"&gt;=-120")</f>
        <v>0</v>
      </c>
      <c r="T53" s="19">
        <f>SUMIFS('Data Additive'!$D:$D,'Data Additive'!$P:$P,'Painel Additive'!#REF!,'Data Additive'!$Q:$Q,"&lt;=-121",'Data Additive'!$Q:$Q,"&gt;=-180")</f>
        <v>0</v>
      </c>
      <c r="U53" s="19">
        <f>SUMIFS('Data Additive'!$D:$D,'Data Additive'!$P:$P,'Painel Additive'!#REF!,'Data Additive'!$Q:$Q,"&lt;=-181",'Data Additive'!$Q:$Q,"&gt;=-360")</f>
        <v>0</v>
      </c>
      <c r="V53" s="23">
        <f>SUMIFS('Data Additive'!$D:$D,'Data Additive'!$P:$P,'Painel Additive'!#REF!,'Data Additive'!$Q:$Q,"&lt;-360")</f>
        <v>0</v>
      </c>
      <c r="W53" s="19" t="e">
        <f>SUMIFS('Bad Debt Provision'!#REF!,'Bad Debt Provision'!#REF!,'Painel Additive'!#REF!)</f>
        <v>#REF!</v>
      </c>
      <c r="X53" s="5"/>
      <c r="Y53" s="20"/>
      <c r="Z53" s="20"/>
      <c r="AA53" s="21"/>
      <c r="AB53" s="5"/>
      <c r="AC53" s="19"/>
      <c r="AD53" s="20"/>
      <c r="AE53" s="22"/>
      <c r="AF53" s="22"/>
      <c r="AG53" s="5"/>
      <c r="AH53" s="28">
        <f t="shared" si="9"/>
        <v>0</v>
      </c>
      <c r="AI53" s="5"/>
    </row>
    <row r="54" spans="2:36" x14ac:dyDescent="0.25">
      <c r="B54" s="17" t="s">
        <v>155</v>
      </c>
      <c r="C54" s="93" t="str" cm="1">
        <f t="array" ref="C54">IFERROR(INDEX('Limite de crédito'!$D:$D, MATCH(MAX(IF('Limite de crédito'!$C:$C=$B54, 'Limite de crédito'!$A:$A)), 'Limite de crédito'!$A:$A, 0)),"")</f>
        <v/>
      </c>
      <c r="D54" s="18" cm="1">
        <f t="array" ref="D54">IFERROR(INDEX('Limite de crédito'!$F:$F, MATCH(MAX(IF('Limite de crédito'!$C:$C=$B54, 'Limite de crédito'!$A:$A)), 'Limite de crédito'!$A:$A, 0)),0)</f>
        <v>0</v>
      </c>
      <c r="E54" s="18">
        <f t="shared" si="6"/>
        <v>0</v>
      </c>
      <c r="F54" s="18">
        <f t="shared" si="7"/>
        <v>0</v>
      </c>
      <c r="G54" s="19">
        <f>SUMIFS('Data Additive'!$D:$D,'Data Additive'!$P:$P,'Painel Additive'!$B46,'Data Additive'!$Q:$Q,"&gt;0",'Data Additive'!$Q:$Q,"&lt;=30")</f>
        <v>0</v>
      </c>
      <c r="H54" s="19">
        <f>SUMIFS('Data Additive'!$D:$D,'Data Additive'!$P:$P,'Painel Additive'!$B46,'Data Additive'!$Q:$Q,"&gt;30",'Data Additive'!$Q:$Q,"&lt;=60")</f>
        <v>0</v>
      </c>
      <c r="I54" s="19">
        <f>SUMIFS('Data Additive'!$D:$D,'Data Additive'!$P:$P,'Painel Additive'!$B46,'Data Additive'!$Q:$Q,"&gt;60",'Data Additive'!$Q:$Q,"&lt;=90")</f>
        <v>0</v>
      </c>
      <c r="J54" s="19">
        <f>SUMIFS('Data Additive'!$D:$D,'Data Additive'!$P:$P,'Painel Additive'!$B46,'Data Additive'!$Q:$Q,"&gt;90",'Data Additive'!$Q:$Q,"&lt;=120")</f>
        <v>0</v>
      </c>
      <c r="K54" s="19">
        <f>SUMIFS('Data Additive'!$D:$D,'Data Additive'!$P:$P,'Painel Additive'!$B46,'Data Additive'!$Q:$Q,"&gt;120",'Data Additive'!$Q:$Q,"&lt;=180")</f>
        <v>0</v>
      </c>
      <c r="L54" s="19">
        <f>SUMIFS('Data Additive'!$D:$D,'Data Additive'!$P:$P,'Painel Additive'!$B46,'Data Additive'!$Q:$Q,"&gt;180",'Data Additive'!$Q:$Q,"&lt;=360")</f>
        <v>0</v>
      </c>
      <c r="M54" s="23">
        <f>SUMIFS('Data Additive'!$D:$D,'Data Additive'!$P:$P,'Painel Additive'!$B46,'Data Additive'!$Q:$Q,"&gt;360")</f>
        <v>0</v>
      </c>
      <c r="N54" s="19">
        <f>SUMIFS('Data Additive'!$D:$D,'Data Additive'!$P:$P,'Painel Additive'!$B46,'Data Additive'!$Q:$Q,"&gt;0")</f>
        <v>0</v>
      </c>
      <c r="O54" s="19">
        <f t="shared" si="8"/>
        <v>0</v>
      </c>
      <c r="P54" s="19">
        <f>SUMIFS('Data Additive'!$D:$D,'Data Additive'!$P:$P,'Painel Additive'!$B46,'Data Additive'!$Q:$Q,"&lt;=0",'Data Additive'!$Q:$Q,"&gt;=-30")</f>
        <v>0</v>
      </c>
      <c r="Q54" s="19">
        <f>SUMIFS('Data Additive'!$D:$D,'Data Additive'!$P:$P,'Painel Additive'!$B46,'Data Additive'!$Q:$Q,"&lt;=-31",'Data Additive'!$Q:$Q,"&gt;=-60")</f>
        <v>0</v>
      </c>
      <c r="R54" s="19">
        <f>SUMIFS('Data Additive'!$D:$D,'Data Additive'!$P:$P,'Painel Additive'!$B46,'Data Additive'!$Q:$Q,"&lt;=-61",'Data Additive'!$Q:$Q,"&gt;=-90")</f>
        <v>0</v>
      </c>
      <c r="S54" s="19">
        <f>SUMIFS('Data Additive'!$D:$D,'Data Additive'!$P:$P,'Painel Additive'!$B46,'Data Additive'!$Q:$Q,"&lt;=-91",'Data Additive'!$Q:$Q,"&gt;=-120")</f>
        <v>0</v>
      </c>
      <c r="T54" s="19">
        <f>SUMIFS('Data Additive'!$D:$D,'Data Additive'!$P:$P,'Painel Additive'!$B46,'Data Additive'!$Q:$Q,"&lt;=-121",'Data Additive'!$Q:$Q,"&gt;=-180")</f>
        <v>0</v>
      </c>
      <c r="U54" s="19">
        <f>SUMIFS('Data Additive'!$D:$D,'Data Additive'!$P:$P,'Painel Additive'!$B46,'Data Additive'!$Q:$Q,"&lt;=-181",'Data Additive'!$Q:$Q,"&gt;=-360")</f>
        <v>0</v>
      </c>
      <c r="V54" s="23">
        <f>SUMIFS('Data Additive'!$D:$D,'Data Additive'!$P:$P,'Painel Additive'!$B46,'Data Additive'!$Q:$Q,"&lt;-360")</f>
        <v>0</v>
      </c>
      <c r="W54" s="19" t="e">
        <f>SUMIFS('Bad Debt Provision'!#REF!,'Bad Debt Provision'!#REF!,'Painel Additive'!$B46)</f>
        <v>#REF!</v>
      </c>
      <c r="X54" s="5"/>
      <c r="Y54" s="20"/>
      <c r="Z54" s="20"/>
      <c r="AA54" s="21"/>
      <c r="AB54" s="5"/>
      <c r="AC54" s="19"/>
      <c r="AD54" s="20"/>
      <c r="AE54" s="22"/>
      <c r="AF54" s="22"/>
      <c r="AG54" s="5"/>
      <c r="AH54" s="28">
        <f t="shared" si="9"/>
        <v>0</v>
      </c>
      <c r="AI54" s="5"/>
    </row>
    <row r="55" spans="2:36" x14ac:dyDescent="0.25">
      <c r="B55" s="17" t="s">
        <v>145</v>
      </c>
      <c r="C55" s="93" t="str" cm="1">
        <f t="array" ref="C55">IFERROR(INDEX('Limite de crédito'!$D:$D, MATCH(MAX(IF('Limite de crédito'!$C:$C=$B55, 'Limite de crédito'!$A:$A)), 'Limite de crédito'!$A:$A, 0)),"")</f>
        <v/>
      </c>
      <c r="D55" s="18" cm="1">
        <f t="array" ref="D55">IFERROR(INDEX('Limite de crédito'!$F:$F, MATCH(MAX(IF('Limite de crédito'!$C:$C=$B55, 'Limite de crédito'!$A:$A)), 'Limite de crédito'!$A:$A, 0)),0)</f>
        <v>0</v>
      </c>
      <c r="E55" s="18">
        <f t="shared" si="6"/>
        <v>0</v>
      </c>
      <c r="F55" s="18">
        <f t="shared" si="7"/>
        <v>0</v>
      </c>
      <c r="G55" s="19">
        <f>SUMIFS('Data Additive'!$D:$D,'Data Additive'!$P:$P,'Painel Additive'!$B39,'Data Additive'!$Q:$Q,"&gt;0",'Data Additive'!$Q:$Q,"&lt;=30")</f>
        <v>0</v>
      </c>
      <c r="H55" s="19">
        <f>SUMIFS('Data Additive'!$D:$D,'Data Additive'!$P:$P,'Painel Additive'!$B39,'Data Additive'!$Q:$Q,"&gt;30",'Data Additive'!$Q:$Q,"&lt;=60")</f>
        <v>0</v>
      </c>
      <c r="I55" s="19">
        <f>SUMIFS('Data Additive'!$D:$D,'Data Additive'!$P:$P,'Painel Additive'!$B39,'Data Additive'!$Q:$Q,"&gt;60",'Data Additive'!$Q:$Q,"&lt;=90")</f>
        <v>0</v>
      </c>
      <c r="J55" s="19">
        <f>SUMIFS('Data Additive'!$D:$D,'Data Additive'!$P:$P,'Painel Additive'!$B39,'Data Additive'!$Q:$Q,"&gt;90",'Data Additive'!$Q:$Q,"&lt;=120")</f>
        <v>0</v>
      </c>
      <c r="K55" s="19">
        <f>SUMIFS('Data Additive'!$D:$D,'Data Additive'!$P:$P,'Painel Additive'!$B39,'Data Additive'!$Q:$Q,"&gt;120",'Data Additive'!$Q:$Q,"&lt;=180")</f>
        <v>0</v>
      </c>
      <c r="L55" s="19">
        <f>SUMIFS('Data Additive'!$D:$D,'Data Additive'!$P:$P,'Painel Additive'!$B39,'Data Additive'!$Q:$Q,"&gt;180",'Data Additive'!$Q:$Q,"&lt;=360")</f>
        <v>0</v>
      </c>
      <c r="M55" s="23">
        <f>SUMIFS('Data Additive'!$D:$D,'Data Additive'!$P:$P,'Painel Additive'!$B39,'Data Additive'!$Q:$Q,"&gt;360")</f>
        <v>0</v>
      </c>
      <c r="N55" s="19">
        <f>SUMIFS('Data Additive'!$D:$D,'Data Additive'!$P:$P,'Painel Additive'!$B39,'Data Additive'!$Q:$Q,"&gt;0")</f>
        <v>0</v>
      </c>
      <c r="O55" s="19">
        <f t="shared" si="8"/>
        <v>0</v>
      </c>
      <c r="P55" s="19">
        <f>SUMIFS('Data Additive'!$D:$D,'Data Additive'!$P:$P,'Painel Additive'!$B39,'Data Additive'!$Q:$Q,"&lt;=0",'Data Additive'!$Q:$Q,"&gt;=-30")</f>
        <v>0</v>
      </c>
      <c r="Q55" s="19">
        <f>SUMIFS('Data Additive'!$D:$D,'Data Additive'!$P:$P,'Painel Additive'!$B39,'Data Additive'!$Q:$Q,"&lt;=-31",'Data Additive'!$Q:$Q,"&gt;=-60")</f>
        <v>0</v>
      </c>
      <c r="R55" s="19">
        <f>SUMIFS('Data Additive'!$D:$D,'Data Additive'!$P:$P,'Painel Additive'!$B39,'Data Additive'!$Q:$Q,"&lt;=-61",'Data Additive'!$Q:$Q,"&gt;=-90")</f>
        <v>0</v>
      </c>
      <c r="S55" s="19">
        <f>SUMIFS('Data Additive'!$D:$D,'Data Additive'!$P:$P,'Painel Additive'!$B39,'Data Additive'!$Q:$Q,"&lt;=-91",'Data Additive'!$Q:$Q,"&gt;=-120")</f>
        <v>0</v>
      </c>
      <c r="T55" s="19">
        <f>SUMIFS('Data Additive'!$D:$D,'Data Additive'!$P:$P,'Painel Additive'!$B39,'Data Additive'!$Q:$Q,"&lt;=-121",'Data Additive'!$Q:$Q,"&gt;=-180")</f>
        <v>0</v>
      </c>
      <c r="U55" s="19">
        <f>SUMIFS('Data Additive'!$D:$D,'Data Additive'!$P:$P,'Painel Additive'!$B39,'Data Additive'!$Q:$Q,"&lt;=-181",'Data Additive'!$Q:$Q,"&gt;=-360")</f>
        <v>0</v>
      </c>
      <c r="V55" s="23">
        <f>SUMIFS('Data Additive'!$D:$D,'Data Additive'!$P:$P,'Painel Additive'!$B39,'Data Additive'!$Q:$Q,"&lt;-360")</f>
        <v>0</v>
      </c>
      <c r="W55" s="19" t="e">
        <f>SUMIFS('Bad Debt Provision'!#REF!,'Bad Debt Provision'!#REF!,'Painel Additive'!$B39)</f>
        <v>#REF!</v>
      </c>
      <c r="X55" s="5"/>
      <c r="Y55" s="20"/>
      <c r="Z55" s="20"/>
      <c r="AA55" s="21"/>
      <c r="AB55" s="5"/>
      <c r="AC55" s="19"/>
      <c r="AD55" s="20"/>
      <c r="AE55" s="22"/>
      <c r="AF55" s="22"/>
      <c r="AG55" s="5"/>
      <c r="AH55" s="28">
        <f t="shared" si="9"/>
        <v>0</v>
      </c>
      <c r="AI55" s="5"/>
    </row>
    <row r="56" spans="2:36" x14ac:dyDescent="0.25">
      <c r="B56" s="17" t="s">
        <v>175</v>
      </c>
      <c r="C56" s="93" t="str" cm="1">
        <f t="array" ref="C56">IFERROR(INDEX('Limite de crédito'!$D:$D, MATCH(MAX(IF('Limite de crédito'!$C:$C=$B56, 'Limite de crédito'!$A:$A)), 'Limite de crédito'!$A:$A, 0)),"")</f>
        <v/>
      </c>
      <c r="D56" s="18" cm="1">
        <f t="array" ref="D56">IFERROR(INDEX('Limite de crédito'!$F:$F, MATCH(MAX(IF('Limite de crédito'!$C:$C=$B56, 'Limite de crédito'!$A:$A)), 'Limite de crédito'!$A:$A, 0)),0)</f>
        <v>0</v>
      </c>
      <c r="E56" s="18">
        <f t="shared" si="6"/>
        <v>0</v>
      </c>
      <c r="F56" s="18">
        <f t="shared" si="7"/>
        <v>0</v>
      </c>
      <c r="G56" s="19">
        <f>SUMIFS('Data Additive'!$D:$D,'Data Additive'!$P:$P,'Painel Additive'!$B29,'Data Additive'!$Q:$Q,"&gt;0",'Data Additive'!$Q:$Q,"&lt;=30")</f>
        <v>0</v>
      </c>
      <c r="H56" s="19">
        <f>SUMIFS('Data Additive'!$D:$D,'Data Additive'!$P:$P,'Painel Additive'!$B29,'Data Additive'!$Q:$Q,"&gt;30",'Data Additive'!$Q:$Q,"&lt;=60")</f>
        <v>0</v>
      </c>
      <c r="I56" s="19">
        <f>SUMIFS('Data Additive'!$D:$D,'Data Additive'!$P:$P,'Painel Additive'!$B29,'Data Additive'!$Q:$Q,"&gt;60",'Data Additive'!$Q:$Q,"&lt;=90")</f>
        <v>0</v>
      </c>
      <c r="J56" s="19">
        <f>SUMIFS('Data Additive'!$D:$D,'Data Additive'!$P:$P,'Painel Additive'!$B29,'Data Additive'!$Q:$Q,"&gt;90",'Data Additive'!$Q:$Q,"&lt;=120")</f>
        <v>0</v>
      </c>
      <c r="K56" s="19">
        <f>SUMIFS('Data Additive'!$D:$D,'Data Additive'!$P:$P,'Painel Additive'!$B29,'Data Additive'!$Q:$Q,"&gt;120",'Data Additive'!$Q:$Q,"&lt;=180")</f>
        <v>0</v>
      </c>
      <c r="L56" s="19">
        <f>SUMIFS('Data Additive'!$D:$D,'Data Additive'!$P:$P,'Painel Additive'!$B29,'Data Additive'!$Q:$Q,"&gt;180",'Data Additive'!$Q:$Q,"&lt;=360")</f>
        <v>0</v>
      </c>
      <c r="M56" s="23">
        <f>SUMIFS('Data Additive'!$D:$D,'Data Additive'!$P:$P,'Painel Additive'!$B29,'Data Additive'!$Q:$Q,"&gt;360")</f>
        <v>0</v>
      </c>
      <c r="N56" s="19">
        <f>SUMIFS('Data Additive'!$D:$D,'Data Additive'!$P:$P,'Painel Additive'!$B29,'Data Additive'!$Q:$Q,"&gt;0")</f>
        <v>0</v>
      </c>
      <c r="O56" s="19">
        <f t="shared" si="8"/>
        <v>0</v>
      </c>
      <c r="P56" s="19">
        <f>SUMIFS('Data Additive'!$D:$D,'Data Additive'!$P:$P,'Painel Additive'!$B29,'Data Additive'!$Q:$Q,"&lt;=0",'Data Additive'!$Q:$Q,"&gt;=-30")</f>
        <v>0</v>
      </c>
      <c r="Q56" s="19">
        <f>SUMIFS('Data Additive'!$D:$D,'Data Additive'!$P:$P,'Painel Additive'!$B29,'Data Additive'!$Q:$Q,"&lt;=-31",'Data Additive'!$Q:$Q,"&gt;=-60")</f>
        <v>0</v>
      </c>
      <c r="R56" s="19">
        <f>SUMIFS('Data Additive'!$D:$D,'Data Additive'!$P:$P,'Painel Additive'!$B29,'Data Additive'!$Q:$Q,"&lt;=-61",'Data Additive'!$Q:$Q,"&gt;=-90")</f>
        <v>0</v>
      </c>
      <c r="S56" s="19">
        <f>SUMIFS('Data Additive'!$D:$D,'Data Additive'!$P:$P,'Painel Additive'!$B29,'Data Additive'!$Q:$Q,"&lt;=-91",'Data Additive'!$Q:$Q,"&gt;=-120")</f>
        <v>0</v>
      </c>
      <c r="T56" s="19">
        <f>SUMIFS('Data Additive'!$D:$D,'Data Additive'!$P:$P,'Painel Additive'!$B29,'Data Additive'!$Q:$Q,"&lt;=-121",'Data Additive'!$Q:$Q,"&gt;=-180")</f>
        <v>0</v>
      </c>
      <c r="U56" s="19">
        <f>SUMIFS('Data Additive'!$D:$D,'Data Additive'!$P:$P,'Painel Additive'!$B29,'Data Additive'!$Q:$Q,"&lt;=-181",'Data Additive'!$Q:$Q,"&gt;=-360")</f>
        <v>0</v>
      </c>
      <c r="V56" s="23">
        <f>SUMIFS('Data Additive'!$D:$D,'Data Additive'!$P:$P,'Painel Additive'!$B29,'Data Additive'!$Q:$Q,"&lt;-360")</f>
        <v>0</v>
      </c>
      <c r="W56" s="19" t="e">
        <f>SUMIFS('Bad Debt Provision'!#REF!,'Bad Debt Provision'!#REF!,'Painel Additive'!$B29)</f>
        <v>#REF!</v>
      </c>
      <c r="X56" s="5"/>
      <c r="Y56" s="20"/>
      <c r="Z56" s="20"/>
      <c r="AA56" s="21"/>
      <c r="AB56" s="5"/>
      <c r="AC56" s="19"/>
      <c r="AD56" s="20"/>
      <c r="AE56" s="22"/>
      <c r="AF56" s="22"/>
      <c r="AG56" s="5"/>
      <c r="AH56" s="28">
        <f t="shared" si="9"/>
        <v>0</v>
      </c>
      <c r="AI56" s="5"/>
    </row>
    <row r="57" spans="2:36" x14ac:dyDescent="0.25">
      <c r="B57" s="17" t="s">
        <v>273</v>
      </c>
      <c r="C57" s="93" t="str" cm="1">
        <f t="array" ref="C57">IFERROR(INDEX('Limite de crédito'!$D:$D, MATCH(MAX(IF('Limite de crédito'!$C:$C=$B57, 'Limite de crédito'!$A:$A)), 'Limite de crédito'!$A:$A, 0)),"")</f>
        <v/>
      </c>
      <c r="D57" s="18" cm="1">
        <f t="array" ref="D57">IFERROR(INDEX('Limite de crédito'!$F:$F, MATCH(MAX(IF('Limite de crédito'!$C:$C=$B57, 'Limite de crédito'!$A:$A)), 'Limite de crédito'!$A:$A, 0)),0)</f>
        <v>0</v>
      </c>
      <c r="E57" s="18">
        <f t="shared" si="6"/>
        <v>0</v>
      </c>
      <c r="F57" s="18">
        <f t="shared" si="7"/>
        <v>0</v>
      </c>
      <c r="G57" s="19">
        <f>SUMIFS('Data Additive'!$D:$D,'Data Additive'!$P:$P,'Painel Additive'!#REF!,'Data Additive'!$Q:$Q,"&gt;0",'Data Additive'!$Q:$Q,"&lt;=30")</f>
        <v>0</v>
      </c>
      <c r="H57" s="19">
        <f>SUMIFS('Data Additive'!$D:$D,'Data Additive'!$P:$P,'Painel Additive'!#REF!,'Data Additive'!$Q:$Q,"&gt;30",'Data Additive'!$Q:$Q,"&lt;=60")</f>
        <v>0</v>
      </c>
      <c r="I57" s="19">
        <f>SUMIFS('Data Additive'!$D:$D,'Data Additive'!$P:$P,'Painel Additive'!#REF!,'Data Additive'!$Q:$Q,"&gt;60",'Data Additive'!$Q:$Q,"&lt;=90")</f>
        <v>0</v>
      </c>
      <c r="J57" s="19">
        <f>SUMIFS('Data Additive'!$D:$D,'Data Additive'!$P:$P,'Painel Additive'!#REF!,'Data Additive'!$Q:$Q,"&gt;90",'Data Additive'!$Q:$Q,"&lt;=120")</f>
        <v>0</v>
      </c>
      <c r="K57" s="19">
        <f>SUMIFS('Data Additive'!$D:$D,'Data Additive'!$P:$P,'Painel Additive'!#REF!,'Data Additive'!$Q:$Q,"&gt;120",'Data Additive'!$Q:$Q,"&lt;=180")</f>
        <v>0</v>
      </c>
      <c r="L57" s="19">
        <f>SUMIFS('Data Additive'!$D:$D,'Data Additive'!$P:$P,'Painel Additive'!#REF!,'Data Additive'!$Q:$Q,"&gt;180",'Data Additive'!$Q:$Q,"&lt;=360")</f>
        <v>0</v>
      </c>
      <c r="M57" s="23">
        <f>SUMIFS('Data Additive'!$D:$D,'Data Additive'!$P:$P,'Painel Additive'!#REF!,'Data Additive'!$Q:$Q,"&gt;360")</f>
        <v>0</v>
      </c>
      <c r="N57" s="19">
        <f>SUMIFS('Data Additive'!$D:$D,'Data Additive'!$P:$P,'Painel Additive'!#REF!,'Data Additive'!$Q:$Q,"&gt;0")</f>
        <v>0</v>
      </c>
      <c r="O57" s="19">
        <f t="shared" si="8"/>
        <v>0</v>
      </c>
      <c r="P57" s="19">
        <f>SUMIFS('Data Additive'!$D:$D,'Data Additive'!$P:$P,'Painel Additive'!#REF!,'Data Additive'!$Q:$Q,"&lt;=0",'Data Additive'!$Q:$Q,"&gt;=-30")</f>
        <v>0</v>
      </c>
      <c r="Q57" s="19">
        <f>SUMIFS('Data Additive'!$D:$D,'Data Additive'!$P:$P,'Painel Additive'!#REF!,'Data Additive'!$Q:$Q,"&lt;=-31",'Data Additive'!$Q:$Q,"&gt;=-60")</f>
        <v>0</v>
      </c>
      <c r="R57" s="19">
        <f>SUMIFS('Data Additive'!$D:$D,'Data Additive'!$P:$P,'Painel Additive'!#REF!,'Data Additive'!$Q:$Q,"&lt;=-61",'Data Additive'!$Q:$Q,"&gt;=-90")</f>
        <v>0</v>
      </c>
      <c r="S57" s="19">
        <f>SUMIFS('Data Additive'!$D:$D,'Data Additive'!$P:$P,'Painel Additive'!#REF!,'Data Additive'!$Q:$Q,"&lt;=-91",'Data Additive'!$Q:$Q,"&gt;=-120")</f>
        <v>0</v>
      </c>
      <c r="T57" s="19">
        <f>SUMIFS('Data Additive'!$D:$D,'Data Additive'!$P:$P,'Painel Additive'!#REF!,'Data Additive'!$Q:$Q,"&lt;=-121",'Data Additive'!$Q:$Q,"&gt;=-180")</f>
        <v>0</v>
      </c>
      <c r="U57" s="19">
        <f>SUMIFS('Data Additive'!$D:$D,'Data Additive'!$P:$P,'Painel Additive'!#REF!,'Data Additive'!$Q:$Q,"&lt;=-181",'Data Additive'!$Q:$Q,"&gt;=-360")</f>
        <v>0</v>
      </c>
      <c r="V57" s="23">
        <f>SUMIFS('Data Additive'!$D:$D,'Data Additive'!$P:$P,'Painel Additive'!#REF!,'Data Additive'!$Q:$Q,"&lt;-360")</f>
        <v>0</v>
      </c>
      <c r="W57" s="19" t="e">
        <f>SUMIFS('Bad Debt Provision'!#REF!,'Bad Debt Provision'!#REF!,'Painel Additive'!#REF!)</f>
        <v>#REF!</v>
      </c>
      <c r="X57" s="5"/>
      <c r="Y57" s="20"/>
      <c r="Z57" s="20"/>
      <c r="AA57" s="21"/>
      <c r="AB57" s="5"/>
      <c r="AC57" s="19"/>
      <c r="AD57" s="20"/>
      <c r="AE57" s="22"/>
      <c r="AF57" s="22"/>
      <c r="AG57" s="5"/>
      <c r="AH57" s="28">
        <f t="shared" si="9"/>
        <v>0</v>
      </c>
    </row>
    <row r="58" spans="2:36" x14ac:dyDescent="0.25">
      <c r="B58" s="17" t="s">
        <v>291</v>
      </c>
      <c r="C58" s="93" t="str" cm="1">
        <f t="array" ref="C58">IFERROR(INDEX('Limite de crédito'!$D:$D, MATCH(MAX(IF('Limite de crédito'!$C:$C=$B58, 'Limite de crédito'!$A:$A)), 'Limite de crédito'!$A:$A, 0)),"")</f>
        <v/>
      </c>
      <c r="D58" s="18" cm="1">
        <f t="array" ref="D58">IFERROR(INDEX('Limite de crédito'!$F:$F, MATCH(MAX(IF('Limite de crédito'!$C:$C=$B58, 'Limite de crédito'!$A:$A)), 'Limite de crédito'!$A:$A, 0)),0)</f>
        <v>0</v>
      </c>
      <c r="E58" s="18">
        <f t="shared" si="6"/>
        <v>0</v>
      </c>
      <c r="F58" s="18">
        <f t="shared" si="7"/>
        <v>0</v>
      </c>
      <c r="G58" s="19">
        <f>SUMIFS('Data Additive'!$D:$D,'Data Additive'!$P:$P,'Painel Additive'!#REF!,'Data Additive'!$Q:$Q,"&gt;0",'Data Additive'!$Q:$Q,"&lt;=30")</f>
        <v>0</v>
      </c>
      <c r="H58" s="19">
        <f>SUMIFS('Data Additive'!$D:$D,'Data Additive'!$P:$P,'Painel Additive'!#REF!,'Data Additive'!$Q:$Q,"&gt;30",'Data Additive'!$Q:$Q,"&lt;=60")</f>
        <v>0</v>
      </c>
      <c r="I58" s="19">
        <f>SUMIFS('Data Additive'!$D:$D,'Data Additive'!$P:$P,'Painel Additive'!#REF!,'Data Additive'!$Q:$Q,"&gt;60",'Data Additive'!$Q:$Q,"&lt;=90")</f>
        <v>0</v>
      </c>
      <c r="J58" s="19">
        <f>SUMIFS('Data Additive'!$D:$D,'Data Additive'!$P:$P,'Painel Additive'!#REF!,'Data Additive'!$Q:$Q,"&gt;90",'Data Additive'!$Q:$Q,"&lt;=120")</f>
        <v>0</v>
      </c>
      <c r="K58" s="19">
        <f>SUMIFS('Data Additive'!$D:$D,'Data Additive'!$P:$P,'Painel Additive'!#REF!,'Data Additive'!$Q:$Q,"&gt;120",'Data Additive'!$Q:$Q,"&lt;=180")</f>
        <v>0</v>
      </c>
      <c r="L58" s="19">
        <f>SUMIFS('Data Additive'!$D:$D,'Data Additive'!$P:$P,'Painel Additive'!#REF!,'Data Additive'!$Q:$Q,"&gt;180",'Data Additive'!$Q:$Q,"&lt;=360")</f>
        <v>0</v>
      </c>
      <c r="M58" s="23">
        <f>SUMIFS('Data Additive'!$D:$D,'Data Additive'!$P:$P,'Painel Additive'!#REF!,'Data Additive'!$Q:$Q,"&gt;360")</f>
        <v>0</v>
      </c>
      <c r="N58" s="19">
        <f>SUMIFS('Data Additive'!$D:$D,'Data Additive'!$P:$P,'Painel Additive'!#REF!,'Data Additive'!$Q:$Q,"&gt;0")</f>
        <v>0</v>
      </c>
      <c r="O58" s="19">
        <f t="shared" si="8"/>
        <v>0</v>
      </c>
      <c r="P58" s="19">
        <f>SUMIFS('Data Additive'!$D:$D,'Data Additive'!$P:$P,'Painel Additive'!#REF!,'Data Additive'!$Q:$Q,"&lt;=0",'Data Additive'!$Q:$Q,"&gt;=-30")</f>
        <v>0</v>
      </c>
      <c r="Q58" s="19">
        <f>SUMIFS('Data Additive'!$D:$D,'Data Additive'!$P:$P,'Painel Additive'!#REF!,'Data Additive'!$Q:$Q,"&lt;=-31",'Data Additive'!$Q:$Q,"&gt;=-60")</f>
        <v>0</v>
      </c>
      <c r="R58" s="19">
        <f>SUMIFS('Data Additive'!$D:$D,'Data Additive'!$P:$P,'Painel Additive'!#REF!,'Data Additive'!$Q:$Q,"&lt;=-61",'Data Additive'!$Q:$Q,"&gt;=-90")</f>
        <v>0</v>
      </c>
      <c r="S58" s="19">
        <f>SUMIFS('Data Additive'!$D:$D,'Data Additive'!$P:$P,'Painel Additive'!#REF!,'Data Additive'!$Q:$Q,"&lt;=-91",'Data Additive'!$Q:$Q,"&gt;=-120")</f>
        <v>0</v>
      </c>
      <c r="T58" s="19">
        <f>SUMIFS('Data Additive'!$D:$D,'Data Additive'!$P:$P,'Painel Additive'!#REF!,'Data Additive'!$Q:$Q,"&lt;=-121",'Data Additive'!$Q:$Q,"&gt;=-180")</f>
        <v>0</v>
      </c>
      <c r="U58" s="19">
        <f>SUMIFS('Data Additive'!$D:$D,'Data Additive'!$P:$P,'Painel Additive'!#REF!,'Data Additive'!$Q:$Q,"&lt;=-181",'Data Additive'!$Q:$Q,"&gt;=-360")</f>
        <v>0</v>
      </c>
      <c r="V58" s="23">
        <f>SUMIFS('Data Additive'!$D:$D,'Data Additive'!$P:$P,'Painel Additive'!#REF!,'Data Additive'!$Q:$Q,"&lt;-360")</f>
        <v>0</v>
      </c>
      <c r="W58" s="19" t="e">
        <f>SUMIFS('Bad Debt Provision'!#REF!,'Bad Debt Provision'!#REF!,'Painel Additive'!#REF!)</f>
        <v>#REF!</v>
      </c>
      <c r="X58" s="5"/>
      <c r="Y58" s="20"/>
      <c r="Z58" s="20"/>
      <c r="AA58" s="21"/>
      <c r="AB58" s="5"/>
      <c r="AC58" s="19"/>
      <c r="AD58" s="20"/>
      <c r="AE58" s="22"/>
      <c r="AF58" s="22"/>
      <c r="AG58" s="5"/>
      <c r="AH58" s="28">
        <f t="shared" si="9"/>
        <v>0</v>
      </c>
    </row>
    <row r="59" spans="2:36" x14ac:dyDescent="0.25">
      <c r="B59" s="17" t="s">
        <v>95</v>
      </c>
      <c r="C59" s="93" t="str" cm="1">
        <f t="array" ref="C59">IFERROR(INDEX('Limite de crédito'!$D:$D, MATCH(MAX(IF('Limite de crédito'!$C:$C=$B59, 'Limite de crédito'!$A:$A)), 'Limite de crédito'!$A:$A, 0)),"")</f>
        <v/>
      </c>
      <c r="D59" s="18" cm="1">
        <f t="array" ref="D59">IFERROR(INDEX('Limite de crédito'!$F:$F, MATCH(MAX(IF('Limite de crédito'!$C:$C=$B59, 'Limite de crédito'!$A:$A)), 'Limite de crédito'!$A:$A, 0)),0)</f>
        <v>0</v>
      </c>
      <c r="E59" s="18">
        <f t="shared" si="6"/>
        <v>0</v>
      </c>
      <c r="F59" s="18">
        <f t="shared" si="7"/>
        <v>0</v>
      </c>
      <c r="G59" s="19">
        <f>SUMIFS('Data Additive'!$D:$D,'Data Additive'!$P:$P,'Painel Additive'!$B40,'Data Additive'!$Q:$Q,"&gt;0",'Data Additive'!$Q:$Q,"&lt;=30")</f>
        <v>0</v>
      </c>
      <c r="H59" s="19">
        <f>SUMIFS('Data Additive'!$D:$D,'Data Additive'!$P:$P,'Painel Additive'!$B40,'Data Additive'!$Q:$Q,"&gt;30",'Data Additive'!$Q:$Q,"&lt;=60")</f>
        <v>0</v>
      </c>
      <c r="I59" s="19">
        <f>SUMIFS('Data Additive'!$D:$D,'Data Additive'!$P:$P,'Painel Additive'!$B40,'Data Additive'!$Q:$Q,"&gt;60",'Data Additive'!$Q:$Q,"&lt;=90")</f>
        <v>0</v>
      </c>
      <c r="J59" s="19">
        <f>SUMIFS('Data Additive'!$D:$D,'Data Additive'!$P:$P,'Painel Additive'!$B40,'Data Additive'!$Q:$Q,"&gt;90",'Data Additive'!$Q:$Q,"&lt;=120")</f>
        <v>0</v>
      </c>
      <c r="K59" s="19">
        <f>SUMIFS('Data Additive'!$D:$D,'Data Additive'!$P:$P,'Painel Additive'!$B40,'Data Additive'!$Q:$Q,"&gt;120",'Data Additive'!$Q:$Q,"&lt;=180")</f>
        <v>0</v>
      </c>
      <c r="L59" s="19">
        <f>SUMIFS('Data Additive'!$D:$D,'Data Additive'!$P:$P,'Painel Additive'!$B40,'Data Additive'!$Q:$Q,"&gt;180",'Data Additive'!$Q:$Q,"&lt;=360")</f>
        <v>0</v>
      </c>
      <c r="M59" s="23">
        <f>SUMIFS('Data Additive'!$D:$D,'Data Additive'!$P:$P,'Painel Additive'!$B40,'Data Additive'!$Q:$Q,"&gt;360")</f>
        <v>0</v>
      </c>
      <c r="N59" s="19">
        <f>SUMIFS('Data Additive'!$D:$D,'Data Additive'!$P:$P,'Painel Additive'!$B40,'Data Additive'!$Q:$Q,"&gt;0")</f>
        <v>0</v>
      </c>
      <c r="O59" s="19">
        <f t="shared" si="8"/>
        <v>0</v>
      </c>
      <c r="P59" s="19">
        <f>SUMIFS('Data Additive'!$D:$D,'Data Additive'!$P:$P,'Painel Additive'!$B40,'Data Additive'!$Q:$Q,"&lt;=0",'Data Additive'!$Q:$Q,"&gt;=-30")</f>
        <v>0</v>
      </c>
      <c r="Q59" s="19">
        <f>SUMIFS('Data Additive'!$D:$D,'Data Additive'!$P:$P,'Painel Additive'!$B40,'Data Additive'!$Q:$Q,"&lt;=-31",'Data Additive'!$Q:$Q,"&gt;=-60")</f>
        <v>0</v>
      </c>
      <c r="R59" s="19">
        <f>SUMIFS('Data Additive'!$D:$D,'Data Additive'!$P:$P,'Painel Additive'!$B40,'Data Additive'!$Q:$Q,"&lt;=-61",'Data Additive'!$Q:$Q,"&gt;=-90")</f>
        <v>0</v>
      </c>
      <c r="S59" s="19">
        <f>SUMIFS('Data Additive'!$D:$D,'Data Additive'!$P:$P,'Painel Additive'!$B40,'Data Additive'!$Q:$Q,"&lt;=-91",'Data Additive'!$Q:$Q,"&gt;=-120")</f>
        <v>0</v>
      </c>
      <c r="T59" s="19">
        <f>SUMIFS('Data Additive'!$D:$D,'Data Additive'!$P:$P,'Painel Additive'!$B40,'Data Additive'!$Q:$Q,"&lt;=-121",'Data Additive'!$Q:$Q,"&gt;=-180")</f>
        <v>0</v>
      </c>
      <c r="U59" s="19">
        <f>SUMIFS('Data Additive'!$D:$D,'Data Additive'!$P:$P,'Painel Additive'!$B40,'Data Additive'!$Q:$Q,"&lt;=-181",'Data Additive'!$Q:$Q,"&gt;=-360")</f>
        <v>0</v>
      </c>
      <c r="V59" s="23">
        <f>SUMIFS('Data Additive'!$D:$D,'Data Additive'!$P:$P,'Painel Additive'!$B40,'Data Additive'!$Q:$Q,"&lt;-360")</f>
        <v>0</v>
      </c>
      <c r="W59" s="19" t="e">
        <f>SUMIFS('Bad Debt Provision'!#REF!,'Bad Debt Provision'!#REF!,'Painel Additive'!$B40)</f>
        <v>#REF!</v>
      </c>
      <c r="X59" s="5"/>
      <c r="Y59" s="20"/>
      <c r="Z59" s="20"/>
      <c r="AA59" s="21"/>
      <c r="AB59" s="5"/>
      <c r="AC59" s="19"/>
      <c r="AD59" s="20"/>
      <c r="AE59" s="22"/>
      <c r="AF59" s="22"/>
      <c r="AG59" s="5"/>
      <c r="AH59" s="28">
        <f t="shared" si="9"/>
        <v>0</v>
      </c>
      <c r="AI59" s="5"/>
    </row>
    <row r="60" spans="2:36" x14ac:dyDescent="0.25">
      <c r="B60" s="41" t="s">
        <v>365</v>
      </c>
      <c r="C60" s="94" t="str" cm="1">
        <f t="array" ref="C60">IFERROR(INDEX('Limite de crédito'!$D:$D, MATCH(MAX(IF('Limite de crédito'!$C:$C=$B60, 'Limite de crédito'!$A:$A)), 'Limite de crédito'!$A:$A, 0)),"")</f>
        <v/>
      </c>
      <c r="D60" s="18" cm="1">
        <f t="array" ref="D60">IFERROR(INDEX('Limite de crédito'!$F:$F, MATCH(MAX(IF('Limite de crédito'!$C:$C=$B60, 'Limite de crédito'!$A:$A)), 'Limite de crédito'!$A:$A, 0)),0)</f>
        <v>0</v>
      </c>
      <c r="E60" s="18">
        <f t="shared" si="6"/>
        <v>0</v>
      </c>
      <c r="F60" s="18">
        <f t="shared" si="7"/>
        <v>0</v>
      </c>
      <c r="G60" s="19">
        <f>SUMIFS('Data Additive'!$D:$D,'Data Additive'!$P:$P,'Painel Additive'!#REF!,'Data Additive'!$Q:$Q,"&gt;0",'Data Additive'!$Q:$Q,"&lt;=30")</f>
        <v>0</v>
      </c>
      <c r="H60" s="19">
        <f>SUMIFS('Data Additive'!$D:$D,'Data Additive'!$P:$P,'Painel Additive'!#REF!,'Data Additive'!$Q:$Q,"&gt;30",'Data Additive'!$Q:$Q,"&lt;=60")</f>
        <v>0</v>
      </c>
      <c r="I60" s="19">
        <f>SUMIFS('Data Additive'!$D:$D,'Data Additive'!$P:$P,'Painel Additive'!#REF!,'Data Additive'!$Q:$Q,"&gt;60",'Data Additive'!$Q:$Q,"&lt;=90")</f>
        <v>0</v>
      </c>
      <c r="J60" s="19">
        <f>SUMIFS('Data Additive'!$D:$D,'Data Additive'!$P:$P,'Painel Additive'!#REF!,'Data Additive'!$Q:$Q,"&gt;90",'Data Additive'!$Q:$Q,"&lt;=120")</f>
        <v>0</v>
      </c>
      <c r="K60" s="19">
        <f>SUMIFS('Data Additive'!$D:$D,'Data Additive'!$P:$P,'Painel Additive'!#REF!,'Data Additive'!$Q:$Q,"&gt;120",'Data Additive'!$Q:$Q,"&lt;=180")</f>
        <v>0</v>
      </c>
      <c r="L60" s="19">
        <f>SUMIFS('Data Additive'!$D:$D,'Data Additive'!$P:$P,'Painel Additive'!#REF!,'Data Additive'!$Q:$Q,"&gt;180",'Data Additive'!$Q:$Q,"&lt;=360")</f>
        <v>0</v>
      </c>
      <c r="M60" s="23">
        <f>SUMIFS('Data Additive'!$D:$D,'Data Additive'!$P:$P,'Painel Additive'!#REF!,'Data Additive'!$Q:$Q,"&gt;360")</f>
        <v>0</v>
      </c>
      <c r="N60" s="19">
        <f>SUMIFS('Data Additive'!$D:$D,'Data Additive'!$P:$P,'Painel Additive'!#REF!,'Data Additive'!$Q:$Q,"&gt;0")</f>
        <v>0</v>
      </c>
      <c r="O60" s="19">
        <f t="shared" si="8"/>
        <v>0</v>
      </c>
      <c r="P60" s="19">
        <f>SUMIFS('Data Additive'!$D:$D,'Data Additive'!$P:$P,'Painel Additive'!#REF!,'Data Additive'!$Q:$Q,"&lt;=0",'Data Additive'!$Q:$Q,"&gt;=-30")</f>
        <v>0</v>
      </c>
      <c r="Q60" s="19">
        <f>SUMIFS('Data Additive'!$D:$D,'Data Additive'!$P:$P,'Painel Additive'!#REF!,'Data Additive'!$Q:$Q,"&lt;=-31",'Data Additive'!$Q:$Q,"&gt;=-60")</f>
        <v>0</v>
      </c>
      <c r="R60" s="19">
        <f>SUMIFS('Data Additive'!$D:$D,'Data Additive'!$P:$P,'Painel Additive'!#REF!,'Data Additive'!$Q:$Q,"&lt;=-61",'Data Additive'!$Q:$Q,"&gt;=-90")</f>
        <v>0</v>
      </c>
      <c r="S60" s="19">
        <f>SUMIFS('Data Additive'!$D:$D,'Data Additive'!$P:$P,'Painel Additive'!#REF!,'Data Additive'!$Q:$Q,"&lt;=-91",'Data Additive'!$Q:$Q,"&gt;=-120")</f>
        <v>0</v>
      </c>
      <c r="T60" s="19">
        <f>SUMIFS('Data Additive'!$D:$D,'Data Additive'!$P:$P,'Painel Additive'!#REF!,'Data Additive'!$Q:$Q,"&lt;=-121",'Data Additive'!$Q:$Q,"&gt;=-180")</f>
        <v>0</v>
      </c>
      <c r="U60" s="19">
        <f>SUMIFS('Data Additive'!$D:$D,'Data Additive'!$P:$P,'Painel Additive'!#REF!,'Data Additive'!$Q:$Q,"&lt;=-181",'Data Additive'!$Q:$Q,"&gt;=-360")</f>
        <v>0</v>
      </c>
      <c r="V60" s="23">
        <f>SUMIFS('Data Additive'!$D:$D,'Data Additive'!$P:$P,'Painel Additive'!#REF!,'Data Additive'!$Q:$Q,"&lt;-360")</f>
        <v>0</v>
      </c>
      <c r="W60" s="19" t="e">
        <f>SUMIFS('Bad Debt Provision'!#REF!,'Bad Debt Provision'!#REF!,'Painel Additive'!#REF!)</f>
        <v>#REF!</v>
      </c>
      <c r="X60" s="5"/>
      <c r="Y60" s="20"/>
      <c r="Z60" s="20"/>
      <c r="AA60" s="21"/>
      <c r="AB60" s="5"/>
      <c r="AC60" s="19"/>
      <c r="AD60" s="20"/>
      <c r="AE60" s="22"/>
      <c r="AF60" s="22"/>
      <c r="AG60" s="5"/>
      <c r="AH60" s="28">
        <f t="shared" si="9"/>
        <v>0</v>
      </c>
    </row>
    <row r="61" spans="2:36" x14ac:dyDescent="0.25">
      <c r="B61" s="17" t="s">
        <v>160</v>
      </c>
      <c r="C61" s="93" t="str" cm="1">
        <f t="array" ref="C61">IFERROR(INDEX('Limite de crédito'!$D:$D, MATCH(MAX(IF('Limite de crédito'!$C:$C=$B61, 'Limite de crédito'!$A:$A)), 'Limite de crédito'!$A:$A, 0)),"")</f>
        <v/>
      </c>
      <c r="D61" s="18" cm="1">
        <f t="array" ref="D61">IFERROR(INDEX('Limite de crédito'!$F:$F, MATCH(MAX(IF('Limite de crédito'!$C:$C=$B61, 'Limite de crédito'!$A:$A)), 'Limite de crédito'!$A:$A, 0)),0)</f>
        <v>0</v>
      </c>
      <c r="E61" s="18">
        <f t="shared" si="6"/>
        <v>0</v>
      </c>
      <c r="F61" s="18">
        <f t="shared" si="7"/>
        <v>0</v>
      </c>
      <c r="G61" s="19">
        <f>SUMIFS('Data Additive'!$D:$D,'Data Additive'!$P:$P,'Painel Additive'!#REF!,'Data Additive'!$Q:$Q,"&gt;0",'Data Additive'!$Q:$Q,"&lt;=30")</f>
        <v>0</v>
      </c>
      <c r="H61" s="19">
        <f>SUMIFS('Data Additive'!$D:$D,'Data Additive'!$P:$P,'Painel Additive'!#REF!,'Data Additive'!$Q:$Q,"&gt;30",'Data Additive'!$Q:$Q,"&lt;=60")</f>
        <v>0</v>
      </c>
      <c r="I61" s="19">
        <f>SUMIFS('Data Additive'!$D:$D,'Data Additive'!$P:$P,'Painel Additive'!#REF!,'Data Additive'!$Q:$Q,"&gt;60",'Data Additive'!$Q:$Q,"&lt;=90")</f>
        <v>0</v>
      </c>
      <c r="J61" s="19">
        <f>SUMIFS('Data Additive'!$D:$D,'Data Additive'!$P:$P,'Painel Additive'!#REF!,'Data Additive'!$Q:$Q,"&gt;90",'Data Additive'!$Q:$Q,"&lt;=120")</f>
        <v>0</v>
      </c>
      <c r="K61" s="19">
        <f>SUMIFS('Data Additive'!$D:$D,'Data Additive'!$P:$P,'Painel Additive'!#REF!,'Data Additive'!$Q:$Q,"&gt;120",'Data Additive'!$Q:$Q,"&lt;=180")</f>
        <v>0</v>
      </c>
      <c r="L61" s="19">
        <f>SUMIFS('Data Additive'!$D:$D,'Data Additive'!$P:$P,'Painel Additive'!#REF!,'Data Additive'!$Q:$Q,"&gt;180",'Data Additive'!$Q:$Q,"&lt;=360")</f>
        <v>0</v>
      </c>
      <c r="M61" s="23">
        <f>SUMIFS('Data Additive'!$D:$D,'Data Additive'!$P:$P,'Painel Additive'!#REF!,'Data Additive'!$Q:$Q,"&gt;360")</f>
        <v>0</v>
      </c>
      <c r="N61" s="19">
        <f>SUMIFS('Data Additive'!$D:$D,'Data Additive'!$P:$P,'Painel Additive'!#REF!,'Data Additive'!$Q:$Q,"&gt;0")</f>
        <v>0</v>
      </c>
      <c r="O61" s="19">
        <f t="shared" si="8"/>
        <v>0</v>
      </c>
      <c r="P61" s="19">
        <f>SUMIFS('Data Additive'!$D:$D,'Data Additive'!$P:$P,'Painel Additive'!#REF!,'Data Additive'!$Q:$Q,"&lt;=0",'Data Additive'!$Q:$Q,"&gt;=-30")</f>
        <v>0</v>
      </c>
      <c r="Q61" s="19">
        <f>SUMIFS('Data Additive'!$D:$D,'Data Additive'!$P:$P,'Painel Additive'!#REF!,'Data Additive'!$Q:$Q,"&lt;=-31",'Data Additive'!$Q:$Q,"&gt;=-60")</f>
        <v>0</v>
      </c>
      <c r="R61" s="19">
        <f>SUMIFS('Data Additive'!$D:$D,'Data Additive'!$P:$P,'Painel Additive'!#REF!,'Data Additive'!$Q:$Q,"&lt;=-61",'Data Additive'!$Q:$Q,"&gt;=-90")</f>
        <v>0</v>
      </c>
      <c r="S61" s="19">
        <f>SUMIFS('Data Additive'!$D:$D,'Data Additive'!$P:$P,'Painel Additive'!#REF!,'Data Additive'!$Q:$Q,"&lt;=-91",'Data Additive'!$Q:$Q,"&gt;=-120")</f>
        <v>0</v>
      </c>
      <c r="T61" s="19">
        <f>SUMIFS('Data Additive'!$D:$D,'Data Additive'!$P:$P,'Painel Additive'!#REF!,'Data Additive'!$Q:$Q,"&lt;=-121",'Data Additive'!$Q:$Q,"&gt;=-180")</f>
        <v>0</v>
      </c>
      <c r="U61" s="19">
        <f>SUMIFS('Data Additive'!$D:$D,'Data Additive'!$P:$P,'Painel Additive'!#REF!,'Data Additive'!$Q:$Q,"&lt;=-181",'Data Additive'!$Q:$Q,"&gt;=-360")</f>
        <v>0</v>
      </c>
      <c r="V61" s="23">
        <f>SUMIFS('Data Additive'!$D:$D,'Data Additive'!$P:$P,'Painel Additive'!#REF!,'Data Additive'!$Q:$Q,"&lt;-360")</f>
        <v>0</v>
      </c>
      <c r="W61" s="19" t="e">
        <f>SUMIFS('Bad Debt Provision'!#REF!,'Bad Debt Provision'!#REF!,'Painel Additive'!#REF!)</f>
        <v>#REF!</v>
      </c>
      <c r="X61" s="5"/>
      <c r="Y61" s="20"/>
      <c r="Z61" s="20"/>
      <c r="AA61" s="21"/>
      <c r="AB61" s="5"/>
      <c r="AC61" s="19"/>
      <c r="AD61" s="20"/>
      <c r="AE61" s="22"/>
      <c r="AF61" s="22"/>
      <c r="AG61" s="5"/>
      <c r="AH61" s="28">
        <f t="shared" si="9"/>
        <v>0</v>
      </c>
      <c r="AI61" s="5"/>
    </row>
    <row r="62" spans="2:36" x14ac:dyDescent="0.25">
      <c r="B62" s="17" t="s">
        <v>43</v>
      </c>
      <c r="C62" s="93" t="str" cm="1">
        <f t="array" ref="C62">IFERROR(INDEX('Limite de crédito'!$D:$D, MATCH(MAX(IF('Limite de crédito'!$C:$C=$B62, 'Limite de crédito'!$A:$A)), 'Limite de crédito'!$A:$A, 0)),"")</f>
        <v/>
      </c>
      <c r="D62" s="18" cm="1">
        <f t="array" ref="D62">IFERROR(INDEX('Limite de crédito'!$F:$F, MATCH(MAX(IF('Limite de crédito'!$C:$C=$B62, 'Limite de crédito'!$A:$A)), 'Limite de crédito'!$A:$A, 0)),0)</f>
        <v>0</v>
      </c>
      <c r="E62" s="18">
        <f t="shared" si="6"/>
        <v>-3871241.14</v>
      </c>
      <c r="F62" s="18">
        <f t="shared" si="7"/>
        <v>3871241.14</v>
      </c>
      <c r="G62" s="19">
        <f>SUMIFS('Data Additive'!$D:$D,'Data Additive'!$P:$P,'Painel Additive'!$B4,'Data Additive'!$Q:$Q,"&gt;0",'Data Additive'!$Q:$Q,"&lt;=30")</f>
        <v>0</v>
      </c>
      <c r="H62" s="19">
        <f>SUMIFS('Data Additive'!$D:$D,'Data Additive'!$P:$P,'Painel Additive'!$B4,'Data Additive'!$Q:$Q,"&gt;30",'Data Additive'!$Q:$Q,"&lt;=60")</f>
        <v>0</v>
      </c>
      <c r="I62" s="19">
        <f>SUMIFS('Data Additive'!$D:$D,'Data Additive'!$P:$P,'Painel Additive'!$B4,'Data Additive'!$Q:$Q,"&gt;60",'Data Additive'!$Q:$Q,"&lt;=90")</f>
        <v>0</v>
      </c>
      <c r="J62" s="19">
        <f>SUMIFS('Data Additive'!$D:$D,'Data Additive'!$P:$P,'Painel Additive'!$B4,'Data Additive'!$Q:$Q,"&gt;90",'Data Additive'!$Q:$Q,"&lt;=120")</f>
        <v>0</v>
      </c>
      <c r="K62" s="19">
        <f>SUMIFS('Data Additive'!$D:$D,'Data Additive'!$P:$P,'Painel Additive'!$B4,'Data Additive'!$Q:$Q,"&gt;120",'Data Additive'!$Q:$Q,"&lt;=180")</f>
        <v>0</v>
      </c>
      <c r="L62" s="19">
        <f>SUMIFS('Data Additive'!$D:$D,'Data Additive'!$P:$P,'Painel Additive'!$B4,'Data Additive'!$Q:$Q,"&gt;180",'Data Additive'!$Q:$Q,"&lt;=360")</f>
        <v>64.2</v>
      </c>
      <c r="M62" s="23">
        <f>SUMIFS('Data Additive'!$D:$D,'Data Additive'!$P:$P,'Painel Additive'!$B4,'Data Additive'!$Q:$Q,"&gt;360")</f>
        <v>16754.72</v>
      </c>
      <c r="N62" s="19">
        <f>SUMIFS('Data Additive'!$D:$D,'Data Additive'!$P:$P,'Painel Additive'!$B4,'Data Additive'!$Q:$Q,"&gt;0")</f>
        <v>16818.920000000002</v>
      </c>
      <c r="O62" s="19">
        <f t="shared" si="8"/>
        <v>3854422.22</v>
      </c>
      <c r="P62" s="19">
        <f>SUMIFS('Data Additive'!$D:$D,'Data Additive'!$P:$P,'Painel Additive'!$B4,'Data Additive'!$Q:$Q,"&lt;=0",'Data Additive'!$Q:$Q,"&gt;=-30")</f>
        <v>1696548.62</v>
      </c>
      <c r="Q62" s="19">
        <f>SUMIFS('Data Additive'!$D:$D,'Data Additive'!$P:$P,'Painel Additive'!$B4,'Data Additive'!$Q:$Q,"&lt;=-31",'Data Additive'!$Q:$Q,"&gt;=-60")</f>
        <v>1268599.2000000002</v>
      </c>
      <c r="R62" s="19">
        <f>SUMIFS('Data Additive'!$D:$D,'Data Additive'!$P:$P,'Painel Additive'!$B4,'Data Additive'!$Q:$Q,"&lt;=-61",'Data Additive'!$Q:$Q,"&gt;=-90")</f>
        <v>852594.6</v>
      </c>
      <c r="S62" s="19">
        <f>SUMIFS('Data Additive'!$D:$D,'Data Additive'!$P:$P,'Painel Additive'!$B4,'Data Additive'!$Q:$Q,"&lt;=-91",'Data Additive'!$Q:$Q,"&gt;=-120")</f>
        <v>36679.800000000003</v>
      </c>
      <c r="T62" s="19">
        <f>SUMIFS('Data Additive'!$D:$D,'Data Additive'!$P:$P,'Painel Additive'!$B4,'Data Additive'!$Q:$Q,"&lt;=-121",'Data Additive'!$Q:$Q,"&gt;=-180")</f>
        <v>0</v>
      </c>
      <c r="U62" s="19">
        <f>SUMIFS('Data Additive'!$D:$D,'Data Additive'!$P:$P,'Painel Additive'!$B4,'Data Additive'!$Q:$Q,"&lt;=-181",'Data Additive'!$Q:$Q,"&gt;=-360")</f>
        <v>0</v>
      </c>
      <c r="V62" s="23">
        <f>SUMIFS('Data Additive'!$D:$D,'Data Additive'!$P:$P,'Painel Additive'!$B4,'Data Additive'!$Q:$Q,"&lt;-360")</f>
        <v>0</v>
      </c>
      <c r="W62" s="19" t="e">
        <f>SUMIFS('Bad Debt Provision'!#REF!,'Bad Debt Provision'!#REF!,'Painel Additive'!$B4)</f>
        <v>#REF!</v>
      </c>
      <c r="X62" s="5"/>
      <c r="Y62" s="20"/>
      <c r="Z62" s="20"/>
      <c r="AA62" s="21"/>
      <c r="AB62" s="5"/>
      <c r="AC62" s="19"/>
      <c r="AD62" s="20"/>
      <c r="AE62" s="22"/>
      <c r="AF62" s="22"/>
      <c r="AG62" s="5"/>
      <c r="AH62" s="28">
        <f t="shared" si="9"/>
        <v>-3871241.14</v>
      </c>
      <c r="AI62" s="5"/>
      <c r="AJ62" s="26"/>
    </row>
    <row r="63" spans="2:36" x14ac:dyDescent="0.25">
      <c r="B63" s="17" t="s">
        <v>76</v>
      </c>
      <c r="C63" s="93" t="str" cm="1">
        <f t="array" ref="C63">IFERROR(INDEX('Limite de crédito'!$D:$D, MATCH(MAX(IF('Limite de crédito'!$C:$C=$B63, 'Limite de crédito'!$A:$A)), 'Limite de crédito'!$A:$A, 0)),"")</f>
        <v/>
      </c>
      <c r="D63" s="18" cm="1">
        <f t="array" ref="D63">IFERROR(INDEX('Limite de crédito'!$F:$F, MATCH(MAX(IF('Limite de crédito'!$C:$C=$B63, 'Limite de crédito'!$A:$A)), 'Limite de crédito'!$A:$A, 0)),0)</f>
        <v>0</v>
      </c>
      <c r="E63" s="18">
        <f t="shared" si="6"/>
        <v>-511022</v>
      </c>
      <c r="F63" s="18">
        <f t="shared" si="7"/>
        <v>511022</v>
      </c>
      <c r="G63" s="19">
        <f>SUMIFS('Data Additive'!$D:$D,'Data Additive'!$P:$P,'Painel Additive'!$B5,'Data Additive'!$Q:$Q,"&gt;0",'Data Additive'!$Q:$Q,"&lt;=30")</f>
        <v>0</v>
      </c>
      <c r="H63" s="19">
        <f>SUMIFS('Data Additive'!$D:$D,'Data Additive'!$P:$P,'Painel Additive'!$B5,'Data Additive'!$Q:$Q,"&gt;30",'Data Additive'!$Q:$Q,"&lt;=60")</f>
        <v>0</v>
      </c>
      <c r="I63" s="19">
        <f>SUMIFS('Data Additive'!$D:$D,'Data Additive'!$P:$P,'Painel Additive'!$B5,'Data Additive'!$Q:$Q,"&gt;60",'Data Additive'!$Q:$Q,"&lt;=90")</f>
        <v>0</v>
      </c>
      <c r="J63" s="19">
        <f>SUMIFS('Data Additive'!$D:$D,'Data Additive'!$P:$P,'Painel Additive'!$B5,'Data Additive'!$Q:$Q,"&gt;90",'Data Additive'!$Q:$Q,"&lt;=120")</f>
        <v>0</v>
      </c>
      <c r="K63" s="19">
        <f>SUMIFS('Data Additive'!$D:$D,'Data Additive'!$P:$P,'Painel Additive'!$B5,'Data Additive'!$Q:$Q,"&gt;120",'Data Additive'!$Q:$Q,"&lt;=180")</f>
        <v>0</v>
      </c>
      <c r="L63" s="19">
        <f>SUMIFS('Data Additive'!$D:$D,'Data Additive'!$P:$P,'Painel Additive'!$B5,'Data Additive'!$Q:$Q,"&gt;180",'Data Additive'!$Q:$Q,"&lt;=360")</f>
        <v>0</v>
      </c>
      <c r="M63" s="23">
        <f>SUMIFS('Data Additive'!$D:$D,'Data Additive'!$P:$P,'Painel Additive'!$B5,'Data Additive'!$Q:$Q,"&gt;360")</f>
        <v>0</v>
      </c>
      <c r="N63" s="19">
        <f>SUMIFS('Data Additive'!$D:$D,'Data Additive'!$P:$P,'Painel Additive'!$B5,'Data Additive'!$Q:$Q,"&gt;0")</f>
        <v>0</v>
      </c>
      <c r="O63" s="19">
        <f t="shared" si="8"/>
        <v>511022</v>
      </c>
      <c r="P63" s="19">
        <f>SUMIFS('Data Additive'!$D:$D,'Data Additive'!$P:$P,'Painel Additive'!$B5,'Data Additive'!$Q:$Q,"&lt;=0",'Data Additive'!$Q:$Q,"&gt;=-30")</f>
        <v>511022</v>
      </c>
      <c r="Q63" s="19">
        <f>SUMIFS('Data Additive'!$D:$D,'Data Additive'!$P:$P,'Painel Additive'!$B5,'Data Additive'!$Q:$Q,"&lt;=-31",'Data Additive'!$Q:$Q,"&gt;=-60")</f>
        <v>0</v>
      </c>
      <c r="R63" s="19">
        <f>SUMIFS('Data Additive'!$D:$D,'Data Additive'!$P:$P,'Painel Additive'!$B5,'Data Additive'!$Q:$Q,"&lt;=-61",'Data Additive'!$Q:$Q,"&gt;=-90")</f>
        <v>0</v>
      </c>
      <c r="S63" s="19">
        <f>SUMIFS('Data Additive'!$D:$D,'Data Additive'!$P:$P,'Painel Additive'!$B5,'Data Additive'!$Q:$Q,"&lt;=-91",'Data Additive'!$Q:$Q,"&gt;=-120")</f>
        <v>0</v>
      </c>
      <c r="T63" s="19">
        <f>SUMIFS('Data Additive'!$D:$D,'Data Additive'!$P:$P,'Painel Additive'!$B5,'Data Additive'!$Q:$Q,"&lt;=-121",'Data Additive'!$Q:$Q,"&gt;=-180")</f>
        <v>0</v>
      </c>
      <c r="U63" s="19">
        <f>SUMIFS('Data Additive'!$D:$D,'Data Additive'!$P:$P,'Painel Additive'!$B5,'Data Additive'!$Q:$Q,"&lt;=-181",'Data Additive'!$Q:$Q,"&gt;=-360")</f>
        <v>0</v>
      </c>
      <c r="V63" s="23">
        <f>SUMIFS('Data Additive'!$D:$D,'Data Additive'!$P:$P,'Painel Additive'!$B5,'Data Additive'!$Q:$Q,"&lt;-360")</f>
        <v>0</v>
      </c>
      <c r="W63" s="19" t="e">
        <f>SUMIFS('Bad Debt Provision'!#REF!,'Bad Debt Provision'!#REF!,'Painel Additive'!$B5)</f>
        <v>#REF!</v>
      </c>
      <c r="X63" s="5"/>
      <c r="Y63" s="20"/>
      <c r="Z63" s="20"/>
      <c r="AA63" s="21"/>
      <c r="AB63" s="5"/>
      <c r="AC63" s="19"/>
      <c r="AD63" s="20"/>
      <c r="AE63" s="22"/>
      <c r="AF63" s="22"/>
      <c r="AG63" s="5"/>
      <c r="AH63" s="28">
        <f t="shared" si="9"/>
        <v>-511022</v>
      </c>
      <c r="AI63" s="5"/>
    </row>
    <row r="64" spans="2:36" x14ac:dyDescent="0.25">
      <c r="B64" s="17" t="s">
        <v>39</v>
      </c>
      <c r="C64" s="93" t="str" cm="1">
        <f t="array" ref="C64">IFERROR(INDEX('Limite de crédito'!$D:$D, MATCH(MAX(IF('Limite de crédito'!$C:$C=$B64, 'Limite de crédito'!$A:$A)), 'Limite de crédito'!$A:$A, 0)),"")</f>
        <v/>
      </c>
      <c r="D64" s="18" cm="1">
        <f t="array" ref="D64">IFERROR(INDEX('Limite de crédito'!$F:$F, MATCH(MAX(IF('Limite de crédito'!$C:$C=$B64, 'Limite de crédito'!$A:$A)), 'Limite de crédito'!$A:$A, 0)),0)</f>
        <v>0</v>
      </c>
      <c r="E64" s="18">
        <f t="shared" si="6"/>
        <v>0</v>
      </c>
      <c r="F64" s="18">
        <f t="shared" si="7"/>
        <v>0</v>
      </c>
      <c r="G64" s="19">
        <f>SUMIFS('Data Additive'!$D:$D,'Data Additive'!$P:$P,'Painel Additive'!#REF!,'Data Additive'!$Q:$Q,"&gt;0",'Data Additive'!$Q:$Q,"&lt;=30")</f>
        <v>0</v>
      </c>
      <c r="H64" s="19">
        <f>SUMIFS('Data Additive'!$D:$D,'Data Additive'!$P:$P,'Painel Additive'!#REF!,'Data Additive'!$Q:$Q,"&gt;30",'Data Additive'!$Q:$Q,"&lt;=60")</f>
        <v>0</v>
      </c>
      <c r="I64" s="19">
        <f>SUMIFS('Data Additive'!$D:$D,'Data Additive'!$P:$P,'Painel Additive'!#REF!,'Data Additive'!$Q:$Q,"&gt;60",'Data Additive'!$Q:$Q,"&lt;=90")</f>
        <v>0</v>
      </c>
      <c r="J64" s="19">
        <f>SUMIFS('Data Additive'!$D:$D,'Data Additive'!$P:$P,'Painel Additive'!#REF!,'Data Additive'!$Q:$Q,"&gt;90",'Data Additive'!$Q:$Q,"&lt;=120")</f>
        <v>0</v>
      </c>
      <c r="K64" s="19">
        <f>SUMIFS('Data Additive'!$D:$D,'Data Additive'!$P:$P,'Painel Additive'!#REF!,'Data Additive'!$Q:$Q,"&gt;120",'Data Additive'!$Q:$Q,"&lt;=180")</f>
        <v>0</v>
      </c>
      <c r="L64" s="19">
        <f>SUMIFS('Data Additive'!$D:$D,'Data Additive'!$P:$P,'Painel Additive'!#REF!,'Data Additive'!$Q:$Q,"&gt;180",'Data Additive'!$Q:$Q,"&lt;=360")</f>
        <v>0</v>
      </c>
      <c r="M64" s="23">
        <f>SUMIFS('Data Additive'!$D:$D,'Data Additive'!$P:$P,'Painel Additive'!#REF!,'Data Additive'!$Q:$Q,"&gt;360")</f>
        <v>0</v>
      </c>
      <c r="N64" s="19">
        <f>SUMIFS('Data Additive'!$D:$D,'Data Additive'!$P:$P,'Painel Additive'!#REF!,'Data Additive'!$Q:$Q,"&gt;0")</f>
        <v>0</v>
      </c>
      <c r="O64" s="19">
        <f t="shared" si="8"/>
        <v>0</v>
      </c>
      <c r="P64" s="19">
        <f>SUMIFS('Data Additive'!$D:$D,'Data Additive'!$P:$P,'Painel Additive'!#REF!,'Data Additive'!$Q:$Q,"&lt;=0",'Data Additive'!$Q:$Q,"&gt;=-30")</f>
        <v>0</v>
      </c>
      <c r="Q64" s="19">
        <f>SUMIFS('Data Additive'!$D:$D,'Data Additive'!$P:$P,'Painel Additive'!#REF!,'Data Additive'!$Q:$Q,"&lt;=-31",'Data Additive'!$Q:$Q,"&gt;=-60")</f>
        <v>0</v>
      </c>
      <c r="R64" s="19">
        <f>SUMIFS('Data Additive'!$D:$D,'Data Additive'!$P:$P,'Painel Additive'!#REF!,'Data Additive'!$Q:$Q,"&lt;=-61",'Data Additive'!$Q:$Q,"&gt;=-90")</f>
        <v>0</v>
      </c>
      <c r="S64" s="19">
        <f>SUMIFS('Data Additive'!$D:$D,'Data Additive'!$P:$P,'Painel Additive'!#REF!,'Data Additive'!$Q:$Q,"&lt;=-91",'Data Additive'!$Q:$Q,"&gt;=-120")</f>
        <v>0</v>
      </c>
      <c r="T64" s="19">
        <f>SUMIFS('Data Additive'!$D:$D,'Data Additive'!$P:$P,'Painel Additive'!#REF!,'Data Additive'!$Q:$Q,"&lt;=-121",'Data Additive'!$Q:$Q,"&gt;=-180")</f>
        <v>0</v>
      </c>
      <c r="U64" s="19">
        <f>SUMIFS('Data Additive'!$D:$D,'Data Additive'!$P:$P,'Painel Additive'!#REF!,'Data Additive'!$Q:$Q,"&lt;=-181",'Data Additive'!$Q:$Q,"&gt;=-360")</f>
        <v>0</v>
      </c>
      <c r="V64" s="23">
        <f>SUMIFS('Data Additive'!$D:$D,'Data Additive'!$P:$P,'Painel Additive'!#REF!,'Data Additive'!$Q:$Q,"&lt;-360")</f>
        <v>0</v>
      </c>
      <c r="W64" s="19" t="e">
        <f>SUMIFS('Bad Debt Provision'!#REF!,'Bad Debt Provision'!#REF!,'Painel Additive'!#REF!)</f>
        <v>#REF!</v>
      </c>
      <c r="X64" s="5"/>
      <c r="Y64" s="20"/>
      <c r="Z64" s="20"/>
      <c r="AA64" s="21"/>
      <c r="AB64" s="5"/>
      <c r="AC64" s="19"/>
      <c r="AD64" s="20"/>
      <c r="AE64" s="22"/>
      <c r="AF64" s="22"/>
      <c r="AG64" s="5"/>
      <c r="AH64" s="28">
        <f t="shared" si="9"/>
        <v>0</v>
      </c>
      <c r="AI64" s="5"/>
      <c r="AJ64" s="26"/>
    </row>
    <row r="65" spans="2:35" x14ac:dyDescent="0.25">
      <c r="B65" s="17" t="s">
        <v>40</v>
      </c>
      <c r="C65" s="93" cm="1">
        <f t="array" ref="C65">IFERROR(INDEX('Limite de crédito'!$D:$D, MATCH(MAX(IF('Limite de crédito'!$C:$C=$B65, 'Limite de crédito'!$A:$A)), 'Limite de crédito'!$A:$A, 0)),"")</f>
        <v>45980</v>
      </c>
      <c r="D65" s="18" t="str" cm="1">
        <f t="array" ref="D65">IFERROR(INDEX('Limite de crédito'!$F:$F, MATCH(MAX(IF('Limite de crédito'!$C:$C=$B65, 'Limite de crédito'!$A:$A)), 'Limite de crédito'!$A:$A, 0)),0)</f>
        <v>Sim</v>
      </c>
      <c r="E65" s="18" t="e">
        <f t="shared" si="6"/>
        <v>#VALUE!</v>
      </c>
      <c r="F65" s="18">
        <f t="shared" si="7"/>
        <v>0</v>
      </c>
      <c r="G65" s="19">
        <f>SUMIFS('Data Additive'!$D:$D,'Data Additive'!$P:$P,'Painel Additive'!$B7,'Data Additive'!$Q:$Q,"&gt;0",'Data Additive'!$Q:$Q,"&lt;=30")</f>
        <v>0</v>
      </c>
      <c r="H65" s="19">
        <f>SUMIFS('Data Additive'!$D:$D,'Data Additive'!$P:$P,'Painel Additive'!$B7,'Data Additive'!$Q:$Q,"&gt;30",'Data Additive'!$Q:$Q,"&lt;=60")</f>
        <v>0</v>
      </c>
      <c r="I65" s="19">
        <f>SUMIFS('Data Additive'!$D:$D,'Data Additive'!$P:$P,'Painel Additive'!$B7,'Data Additive'!$Q:$Q,"&gt;60",'Data Additive'!$Q:$Q,"&lt;=90")</f>
        <v>0</v>
      </c>
      <c r="J65" s="19">
        <f>SUMIFS('Data Additive'!$D:$D,'Data Additive'!$P:$P,'Painel Additive'!$B7,'Data Additive'!$Q:$Q,"&gt;90",'Data Additive'!$Q:$Q,"&lt;=120")</f>
        <v>0</v>
      </c>
      <c r="K65" s="19">
        <f>SUMIFS('Data Additive'!$D:$D,'Data Additive'!$P:$P,'Painel Additive'!$B7,'Data Additive'!$Q:$Q,"&gt;120",'Data Additive'!$Q:$Q,"&lt;=180")</f>
        <v>0</v>
      </c>
      <c r="L65" s="19">
        <f>SUMIFS('Data Additive'!$D:$D,'Data Additive'!$P:$P,'Painel Additive'!$B7,'Data Additive'!$Q:$Q,"&gt;180",'Data Additive'!$Q:$Q,"&lt;=360")</f>
        <v>0</v>
      </c>
      <c r="M65" s="23">
        <f>SUMIFS('Data Additive'!$D:$D,'Data Additive'!$P:$P,'Painel Additive'!$B7,'Data Additive'!$Q:$Q,"&gt;360")</f>
        <v>0</v>
      </c>
      <c r="N65" s="19">
        <f>SUMIFS('Data Additive'!$D:$D,'Data Additive'!$P:$P,'Painel Additive'!$B7,'Data Additive'!$Q:$Q,"&gt;0")</f>
        <v>0</v>
      </c>
      <c r="O65" s="19">
        <f t="shared" si="8"/>
        <v>0</v>
      </c>
      <c r="P65" s="19">
        <f>SUMIFS('Data Additive'!$D:$D,'Data Additive'!$P:$P,'Painel Additive'!$B7,'Data Additive'!$Q:$Q,"&lt;=0",'Data Additive'!$Q:$Q,"&gt;=-30")</f>
        <v>0</v>
      </c>
      <c r="Q65" s="19">
        <f>SUMIFS('Data Additive'!$D:$D,'Data Additive'!$P:$P,'Painel Additive'!$B7,'Data Additive'!$Q:$Q,"&lt;=-31",'Data Additive'!$Q:$Q,"&gt;=-60")</f>
        <v>0</v>
      </c>
      <c r="R65" s="19">
        <f>SUMIFS('Data Additive'!$D:$D,'Data Additive'!$P:$P,'Painel Additive'!$B7,'Data Additive'!$Q:$Q,"&lt;=-61",'Data Additive'!$Q:$Q,"&gt;=-90")</f>
        <v>0</v>
      </c>
      <c r="S65" s="19">
        <f>SUMIFS('Data Additive'!$D:$D,'Data Additive'!$P:$P,'Painel Additive'!$B7,'Data Additive'!$Q:$Q,"&lt;=-91",'Data Additive'!$Q:$Q,"&gt;=-120")</f>
        <v>0</v>
      </c>
      <c r="T65" s="19">
        <f>SUMIFS('Data Additive'!$D:$D,'Data Additive'!$P:$P,'Painel Additive'!$B7,'Data Additive'!$Q:$Q,"&lt;=-121",'Data Additive'!$Q:$Q,"&gt;=-180")</f>
        <v>0</v>
      </c>
      <c r="U65" s="19">
        <f>SUMIFS('Data Additive'!$D:$D,'Data Additive'!$P:$P,'Painel Additive'!$B7,'Data Additive'!$Q:$Q,"&lt;=-181",'Data Additive'!$Q:$Q,"&gt;=-360")</f>
        <v>0</v>
      </c>
      <c r="V65" s="23">
        <f>SUMIFS('Data Additive'!$D:$D,'Data Additive'!$P:$P,'Painel Additive'!$B7,'Data Additive'!$Q:$Q,"&lt;-360")</f>
        <v>0</v>
      </c>
      <c r="W65" s="19" t="e">
        <f>SUMIFS('Bad Debt Provision'!#REF!,'Bad Debt Provision'!#REF!,'Painel Additive'!$B7)</f>
        <v>#REF!</v>
      </c>
      <c r="X65" s="5"/>
      <c r="Y65" s="20"/>
      <c r="Z65" s="20"/>
      <c r="AA65" s="21"/>
      <c r="AB65" s="5"/>
      <c r="AC65" s="19"/>
      <c r="AD65" s="20"/>
      <c r="AE65" s="22"/>
      <c r="AF65" s="22"/>
      <c r="AG65" s="5"/>
      <c r="AH65" s="28">
        <f t="shared" si="9"/>
        <v>0</v>
      </c>
      <c r="AI65" s="5"/>
    </row>
    <row r="66" spans="2:35" x14ac:dyDescent="0.25">
      <c r="B66" s="17" t="s">
        <v>64</v>
      </c>
      <c r="C66" s="93" t="str" cm="1">
        <f t="array" ref="C66">IFERROR(INDEX('Limite de crédito'!$D:$D, MATCH(MAX(IF('Limite de crédito'!$C:$C=$B66, 'Limite de crédito'!$A:$A)), 'Limite de crédito'!$A:$A, 0)),"")</f>
        <v/>
      </c>
      <c r="D66" s="18" cm="1">
        <f t="array" ref="D66">IFERROR(INDEX('Limite de crédito'!$F:$F, MATCH(MAX(IF('Limite de crédito'!$C:$C=$B66, 'Limite de crédito'!$A:$A)), 'Limite de crédito'!$A:$A, 0)),0)</f>
        <v>0</v>
      </c>
      <c r="E66" s="18">
        <f t="shared" si="6"/>
        <v>-775264</v>
      </c>
      <c r="F66" s="18">
        <f t="shared" si="7"/>
        <v>775264</v>
      </c>
      <c r="G66" s="19">
        <f>SUMIFS('Data Additive'!$D:$D,'Data Additive'!$P:$P,'Painel Additive'!$B10,'Data Additive'!$Q:$Q,"&gt;0",'Data Additive'!$Q:$Q,"&lt;=30")</f>
        <v>0</v>
      </c>
      <c r="H66" s="19">
        <f>SUMIFS('Data Additive'!$D:$D,'Data Additive'!$P:$P,'Painel Additive'!$B10,'Data Additive'!$Q:$Q,"&gt;30",'Data Additive'!$Q:$Q,"&lt;=60")</f>
        <v>0</v>
      </c>
      <c r="I66" s="19">
        <f>SUMIFS('Data Additive'!$D:$D,'Data Additive'!$P:$P,'Painel Additive'!$B10,'Data Additive'!$Q:$Q,"&gt;60",'Data Additive'!$Q:$Q,"&lt;=90")</f>
        <v>0</v>
      </c>
      <c r="J66" s="19">
        <f>SUMIFS('Data Additive'!$D:$D,'Data Additive'!$P:$P,'Painel Additive'!$B10,'Data Additive'!$Q:$Q,"&gt;90",'Data Additive'!$Q:$Q,"&lt;=120")</f>
        <v>0</v>
      </c>
      <c r="K66" s="19">
        <f>SUMIFS('Data Additive'!$D:$D,'Data Additive'!$P:$P,'Painel Additive'!$B10,'Data Additive'!$Q:$Q,"&gt;120",'Data Additive'!$Q:$Q,"&lt;=180")</f>
        <v>0</v>
      </c>
      <c r="L66" s="19">
        <f>SUMIFS('Data Additive'!$D:$D,'Data Additive'!$P:$P,'Painel Additive'!$B10,'Data Additive'!$Q:$Q,"&gt;180",'Data Additive'!$Q:$Q,"&lt;=360")</f>
        <v>0</v>
      </c>
      <c r="M66" s="23">
        <f>SUMIFS('Data Additive'!$D:$D,'Data Additive'!$P:$P,'Painel Additive'!$B10,'Data Additive'!$Q:$Q,"&gt;360")</f>
        <v>0</v>
      </c>
      <c r="N66" s="19">
        <f>SUMIFS('Data Additive'!$D:$D,'Data Additive'!$P:$P,'Painel Additive'!$B10,'Data Additive'!$Q:$Q,"&gt;0")</f>
        <v>0</v>
      </c>
      <c r="O66" s="19">
        <f t="shared" si="8"/>
        <v>775264</v>
      </c>
      <c r="P66" s="19">
        <f>SUMIFS('Data Additive'!$D:$D,'Data Additive'!$P:$P,'Painel Additive'!$B10,'Data Additive'!$Q:$Q,"&lt;=0",'Data Additive'!$Q:$Q,"&gt;=-30")</f>
        <v>171254.1</v>
      </c>
      <c r="Q66" s="19">
        <f>SUMIFS('Data Additive'!$D:$D,'Data Additive'!$P:$P,'Painel Additive'!$B10,'Data Additive'!$Q:$Q,"&lt;=-31",'Data Additive'!$Q:$Q,"&gt;=-60")</f>
        <v>459685.9</v>
      </c>
      <c r="R66" s="19">
        <f>SUMIFS('Data Additive'!$D:$D,'Data Additive'!$P:$P,'Painel Additive'!$B10,'Data Additive'!$Q:$Q,"&lt;=-61",'Data Additive'!$Q:$Q,"&gt;=-90")</f>
        <v>144324</v>
      </c>
      <c r="S66" s="19">
        <f>SUMIFS('Data Additive'!$D:$D,'Data Additive'!$P:$P,'Painel Additive'!$B10,'Data Additive'!$Q:$Q,"&lt;=-91",'Data Additive'!$Q:$Q,"&gt;=-120")</f>
        <v>0</v>
      </c>
      <c r="T66" s="19">
        <f>SUMIFS('Data Additive'!$D:$D,'Data Additive'!$P:$P,'Painel Additive'!$B10,'Data Additive'!$Q:$Q,"&lt;=-121",'Data Additive'!$Q:$Q,"&gt;=-180")</f>
        <v>0</v>
      </c>
      <c r="U66" s="19">
        <f>SUMIFS('Data Additive'!$D:$D,'Data Additive'!$P:$P,'Painel Additive'!$B10,'Data Additive'!$Q:$Q,"&lt;=-181",'Data Additive'!$Q:$Q,"&gt;=-360")</f>
        <v>0</v>
      </c>
      <c r="V66" s="23">
        <f>SUMIFS('Data Additive'!$D:$D,'Data Additive'!$P:$P,'Painel Additive'!$B10,'Data Additive'!$Q:$Q,"&lt;-360")</f>
        <v>0</v>
      </c>
      <c r="W66" s="19" t="e">
        <f>SUMIFS('Bad Debt Provision'!#REF!,'Bad Debt Provision'!#REF!,'Painel Additive'!$B10)</f>
        <v>#REF!</v>
      </c>
      <c r="X66" s="5"/>
      <c r="Y66" s="20"/>
      <c r="Z66" s="20"/>
      <c r="AA66" s="21"/>
      <c r="AB66" s="5"/>
      <c r="AC66" s="19"/>
      <c r="AD66" s="20"/>
      <c r="AE66" s="22"/>
      <c r="AF66" s="22"/>
      <c r="AG66" s="5"/>
      <c r="AH66" s="28">
        <f t="shared" si="9"/>
        <v>-775264</v>
      </c>
      <c r="AI66" s="5"/>
    </row>
    <row r="67" spans="2:35" x14ac:dyDescent="0.25">
      <c r="B67" s="17" t="s">
        <v>164</v>
      </c>
      <c r="C67" s="93" t="str" cm="1">
        <f t="array" ref="C67">IFERROR(INDEX('Limite de crédito'!$D:$D, MATCH(MAX(IF('Limite de crédito'!$C:$C=$B67, 'Limite de crédito'!$A:$A)), 'Limite de crédito'!$A:$A, 0)),"")</f>
        <v/>
      </c>
      <c r="D67" s="18" cm="1">
        <f t="array" ref="D67">IFERROR(INDEX('Limite de crédito'!$F:$F, MATCH(MAX(IF('Limite de crédito'!$C:$C=$B67, 'Limite de crédito'!$A:$A)), 'Limite de crédito'!$A:$A, 0)),0)</f>
        <v>0</v>
      </c>
      <c r="E67" s="18">
        <f t="shared" si="6"/>
        <v>0</v>
      </c>
      <c r="F67" s="18">
        <f t="shared" si="7"/>
        <v>0</v>
      </c>
      <c r="G67" s="19">
        <f>SUMIFS('Data Additive'!$D:$D,'Data Additive'!$P:$P,'Painel Additive'!$B11,'Data Additive'!$Q:$Q,"&gt;0",'Data Additive'!$Q:$Q,"&lt;=30")</f>
        <v>0</v>
      </c>
      <c r="H67" s="19">
        <f>SUMIFS('Data Additive'!$D:$D,'Data Additive'!$P:$P,'Painel Additive'!$B11,'Data Additive'!$Q:$Q,"&gt;30",'Data Additive'!$Q:$Q,"&lt;=60")</f>
        <v>0</v>
      </c>
      <c r="I67" s="19">
        <f>SUMIFS('Data Additive'!$D:$D,'Data Additive'!$P:$P,'Painel Additive'!$B11,'Data Additive'!$Q:$Q,"&gt;60",'Data Additive'!$Q:$Q,"&lt;=90")</f>
        <v>0</v>
      </c>
      <c r="J67" s="19">
        <f>SUMIFS('Data Additive'!$D:$D,'Data Additive'!$P:$P,'Painel Additive'!$B11,'Data Additive'!$Q:$Q,"&gt;90",'Data Additive'!$Q:$Q,"&lt;=120")</f>
        <v>0</v>
      </c>
      <c r="K67" s="19">
        <f>SUMIFS('Data Additive'!$D:$D,'Data Additive'!$P:$P,'Painel Additive'!$B11,'Data Additive'!$Q:$Q,"&gt;120",'Data Additive'!$Q:$Q,"&lt;=180")</f>
        <v>0</v>
      </c>
      <c r="L67" s="19">
        <f>SUMIFS('Data Additive'!$D:$D,'Data Additive'!$P:$P,'Painel Additive'!$B11,'Data Additive'!$Q:$Q,"&gt;180",'Data Additive'!$Q:$Q,"&lt;=360")</f>
        <v>0</v>
      </c>
      <c r="M67" s="23">
        <f>SUMIFS('Data Additive'!$D:$D,'Data Additive'!$P:$P,'Painel Additive'!$B11,'Data Additive'!$Q:$Q,"&gt;360")</f>
        <v>0</v>
      </c>
      <c r="N67" s="19">
        <f>SUMIFS('Data Additive'!$D:$D,'Data Additive'!$P:$P,'Painel Additive'!$B11,'Data Additive'!$Q:$Q,"&gt;0")</f>
        <v>0</v>
      </c>
      <c r="O67" s="19">
        <f t="shared" si="8"/>
        <v>0</v>
      </c>
      <c r="P67" s="19">
        <f>SUMIFS('Data Additive'!$D:$D,'Data Additive'!$P:$P,'Painel Additive'!$B11,'Data Additive'!$Q:$Q,"&lt;=0",'Data Additive'!$Q:$Q,"&gt;=-30")</f>
        <v>0</v>
      </c>
      <c r="Q67" s="19">
        <f>SUMIFS('Data Additive'!$D:$D,'Data Additive'!$P:$P,'Painel Additive'!$B11,'Data Additive'!$Q:$Q,"&lt;=-31",'Data Additive'!$Q:$Q,"&gt;=-60")</f>
        <v>0</v>
      </c>
      <c r="R67" s="19">
        <f>SUMIFS('Data Additive'!$D:$D,'Data Additive'!$P:$P,'Painel Additive'!$B11,'Data Additive'!$Q:$Q,"&lt;=-61",'Data Additive'!$Q:$Q,"&gt;=-90")</f>
        <v>0</v>
      </c>
      <c r="S67" s="19">
        <f>SUMIFS('Data Additive'!$D:$D,'Data Additive'!$P:$P,'Painel Additive'!$B11,'Data Additive'!$Q:$Q,"&lt;=-91",'Data Additive'!$Q:$Q,"&gt;=-120")</f>
        <v>0</v>
      </c>
      <c r="T67" s="19">
        <f>SUMIFS('Data Additive'!$D:$D,'Data Additive'!$P:$P,'Painel Additive'!$B11,'Data Additive'!$Q:$Q,"&lt;=-121",'Data Additive'!$Q:$Q,"&gt;=-180")</f>
        <v>0</v>
      </c>
      <c r="U67" s="19">
        <f>SUMIFS('Data Additive'!$D:$D,'Data Additive'!$P:$P,'Painel Additive'!$B11,'Data Additive'!$Q:$Q,"&lt;=-181",'Data Additive'!$Q:$Q,"&gt;=-360")</f>
        <v>0</v>
      </c>
      <c r="V67" s="23">
        <f>SUMIFS('Data Additive'!$D:$D,'Data Additive'!$P:$P,'Painel Additive'!$B11,'Data Additive'!$Q:$Q,"&lt;-360")</f>
        <v>0</v>
      </c>
      <c r="W67" s="19" t="e">
        <f>SUMIFS('Bad Debt Provision'!#REF!,'Bad Debt Provision'!#REF!,'Painel Additive'!$B11)</f>
        <v>#REF!</v>
      </c>
      <c r="X67" s="5"/>
      <c r="Y67" s="20"/>
      <c r="Z67" s="20"/>
      <c r="AA67" s="21"/>
      <c r="AB67" s="5"/>
      <c r="AC67" s="19"/>
      <c r="AD67" s="20"/>
      <c r="AE67" s="22"/>
      <c r="AF67" s="22"/>
      <c r="AG67" s="5"/>
      <c r="AH67" s="28">
        <f t="shared" si="9"/>
        <v>0</v>
      </c>
      <c r="AI67" s="5"/>
    </row>
    <row r="68" spans="2:35" x14ac:dyDescent="0.25">
      <c r="B68" s="17" t="s">
        <v>36</v>
      </c>
      <c r="C68" s="93" t="str" cm="1">
        <f t="array" ref="C68">IFERROR(INDEX('Limite de crédito'!$D:$D, MATCH(MAX(IF('Limite de crédito'!$C:$C=$B68, 'Limite de crédito'!$A:$A)), 'Limite de crédito'!$A:$A, 0)),"")</f>
        <v/>
      </c>
      <c r="D68" s="18" cm="1">
        <f t="array" ref="D68">IFERROR(INDEX('Limite de crédito'!$F:$F, MATCH(MAX(IF('Limite de crédito'!$C:$C=$B68, 'Limite de crédito'!$A:$A)), 'Limite de crédito'!$A:$A, 0)),0)</f>
        <v>0</v>
      </c>
      <c r="E68" s="18">
        <f t="shared" ref="E68:E99" si="10">D68-F68</f>
        <v>0</v>
      </c>
      <c r="F68" s="18">
        <f t="shared" ref="F68:F99" si="11">O68+N68</f>
        <v>0</v>
      </c>
      <c r="G68" s="19">
        <f>SUMIFS('Data Additive'!$D:$D,'Data Additive'!$P:$P,'Painel Additive'!$B12,'Data Additive'!$Q:$Q,"&gt;0",'Data Additive'!$Q:$Q,"&lt;=30")</f>
        <v>0</v>
      </c>
      <c r="H68" s="19">
        <f>SUMIFS('Data Additive'!$D:$D,'Data Additive'!$P:$P,'Painel Additive'!$B12,'Data Additive'!$Q:$Q,"&gt;30",'Data Additive'!$Q:$Q,"&lt;=60")</f>
        <v>0</v>
      </c>
      <c r="I68" s="19">
        <f>SUMIFS('Data Additive'!$D:$D,'Data Additive'!$P:$P,'Painel Additive'!$B12,'Data Additive'!$Q:$Q,"&gt;60",'Data Additive'!$Q:$Q,"&lt;=90")</f>
        <v>0</v>
      </c>
      <c r="J68" s="19">
        <f>SUMIFS('Data Additive'!$D:$D,'Data Additive'!$P:$P,'Painel Additive'!$B12,'Data Additive'!$Q:$Q,"&gt;90",'Data Additive'!$Q:$Q,"&lt;=120")</f>
        <v>0</v>
      </c>
      <c r="K68" s="19">
        <f>SUMIFS('Data Additive'!$D:$D,'Data Additive'!$P:$P,'Painel Additive'!$B12,'Data Additive'!$Q:$Q,"&gt;120",'Data Additive'!$Q:$Q,"&lt;=180")</f>
        <v>0</v>
      </c>
      <c r="L68" s="19">
        <f>SUMIFS('Data Additive'!$D:$D,'Data Additive'!$P:$P,'Painel Additive'!$B12,'Data Additive'!$Q:$Q,"&gt;180",'Data Additive'!$Q:$Q,"&lt;=360")</f>
        <v>0</v>
      </c>
      <c r="M68" s="23">
        <f>SUMIFS('Data Additive'!$D:$D,'Data Additive'!$P:$P,'Painel Additive'!$B12,'Data Additive'!$Q:$Q,"&gt;360")</f>
        <v>0</v>
      </c>
      <c r="N68" s="19">
        <f>SUMIFS('Data Additive'!$D:$D,'Data Additive'!$P:$P,'Painel Additive'!$B12,'Data Additive'!$Q:$Q,"&gt;0")</f>
        <v>0</v>
      </c>
      <c r="O68" s="19">
        <f t="shared" ref="O68:O99" si="12">SUBTOTAL(9,P68:V68)</f>
        <v>0</v>
      </c>
      <c r="P68" s="19">
        <f>SUMIFS('Data Additive'!$D:$D,'Data Additive'!$P:$P,'Painel Additive'!$B12,'Data Additive'!$Q:$Q,"&lt;=0",'Data Additive'!$Q:$Q,"&gt;=-30")</f>
        <v>0</v>
      </c>
      <c r="Q68" s="19">
        <f>SUMIFS('Data Additive'!$D:$D,'Data Additive'!$P:$P,'Painel Additive'!$B12,'Data Additive'!$Q:$Q,"&lt;=-31",'Data Additive'!$Q:$Q,"&gt;=-60")</f>
        <v>0</v>
      </c>
      <c r="R68" s="19">
        <f>SUMIFS('Data Additive'!$D:$D,'Data Additive'!$P:$P,'Painel Additive'!$B12,'Data Additive'!$Q:$Q,"&lt;=-61",'Data Additive'!$Q:$Q,"&gt;=-90")</f>
        <v>0</v>
      </c>
      <c r="S68" s="19">
        <f>SUMIFS('Data Additive'!$D:$D,'Data Additive'!$P:$P,'Painel Additive'!$B12,'Data Additive'!$Q:$Q,"&lt;=-91",'Data Additive'!$Q:$Q,"&gt;=-120")</f>
        <v>0</v>
      </c>
      <c r="T68" s="19">
        <f>SUMIFS('Data Additive'!$D:$D,'Data Additive'!$P:$P,'Painel Additive'!$B12,'Data Additive'!$Q:$Q,"&lt;=-121",'Data Additive'!$Q:$Q,"&gt;=-180")</f>
        <v>0</v>
      </c>
      <c r="U68" s="19">
        <f>SUMIFS('Data Additive'!$D:$D,'Data Additive'!$P:$P,'Painel Additive'!$B12,'Data Additive'!$Q:$Q,"&lt;=-181",'Data Additive'!$Q:$Q,"&gt;=-360")</f>
        <v>0</v>
      </c>
      <c r="V68" s="23">
        <f>SUMIFS('Data Additive'!$D:$D,'Data Additive'!$P:$P,'Painel Additive'!$B12,'Data Additive'!$Q:$Q,"&lt;-360")</f>
        <v>0</v>
      </c>
      <c r="W68" s="19" t="e">
        <f>SUMIFS('Bad Debt Provision'!#REF!,'Bad Debt Provision'!#REF!,'Painel Additive'!$B12)</f>
        <v>#REF!</v>
      </c>
      <c r="X68" s="5"/>
      <c r="Y68" s="20"/>
      <c r="Z68" s="20"/>
      <c r="AA68" s="21"/>
      <c r="AB68" s="5"/>
      <c r="AC68" s="19"/>
      <c r="AD68" s="20"/>
      <c r="AE68" s="22"/>
      <c r="AF68" s="22"/>
      <c r="AG68" s="5"/>
      <c r="AH68" s="28">
        <f t="shared" ref="AH68:AH99" si="13">AC68-F68</f>
        <v>0</v>
      </c>
      <c r="AI68" s="5"/>
    </row>
    <row r="69" spans="2:35" x14ac:dyDescent="0.25">
      <c r="B69" s="17" t="s">
        <v>74</v>
      </c>
      <c r="C69" s="93" t="str" cm="1">
        <f t="array" ref="C69">IFERROR(INDEX('Limite de crédito'!$D:$D, MATCH(MAX(IF('Limite de crédito'!$C:$C=$B69, 'Limite de crédito'!$A:$A)), 'Limite de crédito'!$A:$A, 0)),"")</f>
        <v/>
      </c>
      <c r="D69" s="18" cm="1">
        <f t="array" ref="D69">IFERROR(INDEX('Limite de crédito'!$F:$F, MATCH(MAX(IF('Limite de crédito'!$C:$C=$B69, 'Limite de crédito'!$A:$A)), 'Limite de crédito'!$A:$A, 0)),0)</f>
        <v>0</v>
      </c>
      <c r="E69" s="18">
        <f t="shared" si="10"/>
        <v>0</v>
      </c>
      <c r="F69" s="18">
        <f t="shared" si="11"/>
        <v>0</v>
      </c>
      <c r="G69" s="19">
        <f>SUMIFS('Data Additive'!$D:$D,'Data Additive'!$P:$P,'Painel Additive'!#REF!,'Data Additive'!$Q:$Q,"&gt;0",'Data Additive'!$Q:$Q,"&lt;=30")</f>
        <v>0</v>
      </c>
      <c r="H69" s="19">
        <f>SUMIFS('Data Additive'!$D:$D,'Data Additive'!$P:$P,'Painel Additive'!#REF!,'Data Additive'!$Q:$Q,"&gt;30",'Data Additive'!$Q:$Q,"&lt;=60")</f>
        <v>0</v>
      </c>
      <c r="I69" s="19">
        <f>SUMIFS('Data Additive'!$D:$D,'Data Additive'!$P:$P,'Painel Additive'!#REF!,'Data Additive'!$Q:$Q,"&gt;60",'Data Additive'!$Q:$Q,"&lt;=90")</f>
        <v>0</v>
      </c>
      <c r="J69" s="19">
        <f>SUMIFS('Data Additive'!$D:$D,'Data Additive'!$P:$P,'Painel Additive'!#REF!,'Data Additive'!$Q:$Q,"&gt;90",'Data Additive'!$Q:$Q,"&lt;=120")</f>
        <v>0</v>
      </c>
      <c r="K69" s="19">
        <f>SUMIFS('Data Additive'!$D:$D,'Data Additive'!$P:$P,'Painel Additive'!#REF!,'Data Additive'!$Q:$Q,"&gt;120",'Data Additive'!$Q:$Q,"&lt;=180")</f>
        <v>0</v>
      </c>
      <c r="L69" s="19">
        <f>SUMIFS('Data Additive'!$D:$D,'Data Additive'!$P:$P,'Painel Additive'!#REF!,'Data Additive'!$Q:$Q,"&gt;180",'Data Additive'!$Q:$Q,"&lt;=360")</f>
        <v>0</v>
      </c>
      <c r="M69" s="23">
        <f>SUMIFS('Data Additive'!$D:$D,'Data Additive'!$P:$P,'Painel Additive'!#REF!,'Data Additive'!$Q:$Q,"&gt;360")</f>
        <v>0</v>
      </c>
      <c r="N69" s="19">
        <f>SUMIFS('Data Additive'!$D:$D,'Data Additive'!$P:$P,'Painel Additive'!#REF!,'Data Additive'!$Q:$Q,"&gt;0")</f>
        <v>0</v>
      </c>
      <c r="O69" s="19">
        <f t="shared" si="12"/>
        <v>0</v>
      </c>
      <c r="P69" s="19">
        <f>SUMIFS('Data Additive'!$D:$D,'Data Additive'!$P:$P,'Painel Additive'!#REF!,'Data Additive'!$Q:$Q,"&lt;=0",'Data Additive'!$Q:$Q,"&gt;=-30")</f>
        <v>0</v>
      </c>
      <c r="Q69" s="19">
        <f>SUMIFS('Data Additive'!$D:$D,'Data Additive'!$P:$P,'Painel Additive'!#REF!,'Data Additive'!$Q:$Q,"&lt;=-31",'Data Additive'!$Q:$Q,"&gt;=-60")</f>
        <v>0</v>
      </c>
      <c r="R69" s="19">
        <f>SUMIFS('Data Additive'!$D:$D,'Data Additive'!$P:$P,'Painel Additive'!#REF!,'Data Additive'!$Q:$Q,"&lt;=-61",'Data Additive'!$Q:$Q,"&gt;=-90")</f>
        <v>0</v>
      </c>
      <c r="S69" s="19">
        <f>SUMIFS('Data Additive'!$D:$D,'Data Additive'!$P:$P,'Painel Additive'!#REF!,'Data Additive'!$Q:$Q,"&lt;=-91",'Data Additive'!$Q:$Q,"&gt;=-120")</f>
        <v>0</v>
      </c>
      <c r="T69" s="19">
        <f>SUMIFS('Data Additive'!$D:$D,'Data Additive'!$P:$P,'Painel Additive'!#REF!,'Data Additive'!$Q:$Q,"&lt;=-121",'Data Additive'!$Q:$Q,"&gt;=-180")</f>
        <v>0</v>
      </c>
      <c r="U69" s="19">
        <f>SUMIFS('Data Additive'!$D:$D,'Data Additive'!$P:$P,'Painel Additive'!#REF!,'Data Additive'!$Q:$Q,"&lt;=-181",'Data Additive'!$Q:$Q,"&gt;=-360")</f>
        <v>0</v>
      </c>
      <c r="V69" s="23">
        <f>SUMIFS('Data Additive'!$D:$D,'Data Additive'!$P:$P,'Painel Additive'!#REF!,'Data Additive'!$Q:$Q,"&lt;-360")</f>
        <v>0</v>
      </c>
      <c r="W69" s="19" t="e">
        <f>SUMIFS('Bad Debt Provision'!#REF!,'Bad Debt Provision'!#REF!,'Painel Additive'!#REF!)</f>
        <v>#REF!</v>
      </c>
      <c r="X69" s="5"/>
      <c r="Y69" s="20"/>
      <c r="Z69" s="20"/>
      <c r="AA69" s="21"/>
      <c r="AB69" s="5"/>
      <c r="AC69" s="19"/>
      <c r="AD69" s="20"/>
      <c r="AE69" s="22"/>
      <c r="AF69" s="22"/>
      <c r="AG69" s="5"/>
      <c r="AH69" s="28">
        <f t="shared" si="13"/>
        <v>0</v>
      </c>
      <c r="AI69" s="5"/>
    </row>
    <row r="70" spans="2:35" x14ac:dyDescent="0.25">
      <c r="B70" s="17" t="s">
        <v>44</v>
      </c>
      <c r="C70" s="93" t="str" cm="1">
        <f t="array" ref="C70">IFERROR(INDEX('Limite de crédito'!$D:$D, MATCH(MAX(IF('Limite de crédito'!$C:$C=$B70, 'Limite de crédito'!$A:$A)), 'Limite de crédito'!$A:$A, 0)),"")</f>
        <v/>
      </c>
      <c r="D70" s="18" cm="1">
        <f t="array" ref="D70">IFERROR(INDEX('Limite de crédito'!$F:$F, MATCH(MAX(IF('Limite de crédito'!$C:$C=$B70, 'Limite de crédito'!$A:$A)), 'Limite de crédito'!$A:$A, 0)),0)</f>
        <v>0</v>
      </c>
      <c r="E70" s="18">
        <f t="shared" si="10"/>
        <v>-523627.50000000006</v>
      </c>
      <c r="F70" s="18">
        <f t="shared" si="11"/>
        <v>523627.50000000006</v>
      </c>
      <c r="G70" s="19">
        <f>SUMIFS('Data Additive'!$D:$D,'Data Additive'!$P:$P,'Painel Additive'!$B13,'Data Additive'!$Q:$Q,"&gt;0",'Data Additive'!$Q:$Q,"&lt;=30")</f>
        <v>0</v>
      </c>
      <c r="H70" s="19">
        <f>SUMIFS('Data Additive'!$D:$D,'Data Additive'!$P:$P,'Painel Additive'!$B13,'Data Additive'!$Q:$Q,"&gt;30",'Data Additive'!$Q:$Q,"&lt;=60")</f>
        <v>0</v>
      </c>
      <c r="I70" s="19">
        <f>SUMIFS('Data Additive'!$D:$D,'Data Additive'!$P:$P,'Painel Additive'!$B13,'Data Additive'!$Q:$Q,"&gt;60",'Data Additive'!$Q:$Q,"&lt;=90")</f>
        <v>0</v>
      </c>
      <c r="J70" s="19">
        <f>SUMIFS('Data Additive'!$D:$D,'Data Additive'!$P:$P,'Painel Additive'!$B13,'Data Additive'!$Q:$Q,"&gt;90",'Data Additive'!$Q:$Q,"&lt;=120")</f>
        <v>0</v>
      </c>
      <c r="K70" s="19">
        <f>SUMIFS('Data Additive'!$D:$D,'Data Additive'!$P:$P,'Painel Additive'!$B13,'Data Additive'!$Q:$Q,"&gt;120",'Data Additive'!$Q:$Q,"&lt;=180")</f>
        <v>0</v>
      </c>
      <c r="L70" s="19">
        <f>SUMIFS('Data Additive'!$D:$D,'Data Additive'!$P:$P,'Painel Additive'!$B13,'Data Additive'!$Q:$Q,"&gt;180",'Data Additive'!$Q:$Q,"&lt;=360")</f>
        <v>0</v>
      </c>
      <c r="M70" s="23">
        <f>SUMIFS('Data Additive'!$D:$D,'Data Additive'!$P:$P,'Painel Additive'!$B13,'Data Additive'!$Q:$Q,"&gt;360")</f>
        <v>0</v>
      </c>
      <c r="N70" s="19">
        <f>SUMIFS('Data Additive'!$D:$D,'Data Additive'!$P:$P,'Painel Additive'!$B13,'Data Additive'!$Q:$Q,"&gt;0")</f>
        <v>0</v>
      </c>
      <c r="O70" s="19">
        <f t="shared" si="12"/>
        <v>523627.50000000006</v>
      </c>
      <c r="P70" s="19">
        <f>SUMIFS('Data Additive'!$D:$D,'Data Additive'!$P:$P,'Painel Additive'!$B13,'Data Additive'!$Q:$Q,"&lt;=0",'Data Additive'!$Q:$Q,"&gt;=-30")</f>
        <v>523627.50000000006</v>
      </c>
      <c r="Q70" s="19">
        <f>SUMIFS('Data Additive'!$D:$D,'Data Additive'!$P:$P,'Painel Additive'!$B13,'Data Additive'!$Q:$Q,"&lt;=-31",'Data Additive'!$Q:$Q,"&gt;=-60")</f>
        <v>0</v>
      </c>
      <c r="R70" s="19">
        <f>SUMIFS('Data Additive'!$D:$D,'Data Additive'!$P:$P,'Painel Additive'!$B13,'Data Additive'!$Q:$Q,"&lt;=-61",'Data Additive'!$Q:$Q,"&gt;=-90")</f>
        <v>0</v>
      </c>
      <c r="S70" s="19">
        <f>SUMIFS('Data Additive'!$D:$D,'Data Additive'!$P:$P,'Painel Additive'!$B13,'Data Additive'!$Q:$Q,"&lt;=-91",'Data Additive'!$Q:$Q,"&gt;=-120")</f>
        <v>0</v>
      </c>
      <c r="T70" s="19">
        <f>SUMIFS('Data Additive'!$D:$D,'Data Additive'!$P:$P,'Painel Additive'!$B13,'Data Additive'!$Q:$Q,"&lt;=-121",'Data Additive'!$Q:$Q,"&gt;=-180")</f>
        <v>0</v>
      </c>
      <c r="U70" s="19">
        <f>SUMIFS('Data Additive'!$D:$D,'Data Additive'!$P:$P,'Painel Additive'!$B13,'Data Additive'!$Q:$Q,"&lt;=-181",'Data Additive'!$Q:$Q,"&gt;=-360")</f>
        <v>0</v>
      </c>
      <c r="V70" s="23">
        <f>SUMIFS('Data Additive'!$D:$D,'Data Additive'!$P:$P,'Painel Additive'!$B13,'Data Additive'!$Q:$Q,"&lt;-360")</f>
        <v>0</v>
      </c>
      <c r="W70" s="19" t="e">
        <f>SUMIFS('Bad Debt Provision'!#REF!,'Bad Debt Provision'!#REF!,'Painel Additive'!$B13)</f>
        <v>#REF!</v>
      </c>
      <c r="X70" s="5"/>
      <c r="Y70" s="20"/>
      <c r="Z70" s="20"/>
      <c r="AA70" s="21"/>
      <c r="AB70" s="5"/>
      <c r="AC70" s="19"/>
      <c r="AD70" s="20"/>
      <c r="AE70" s="22"/>
      <c r="AF70" s="22"/>
      <c r="AG70" s="5"/>
      <c r="AH70" s="28">
        <f t="shared" si="13"/>
        <v>-523627.50000000006</v>
      </c>
      <c r="AI70" s="5"/>
    </row>
    <row r="71" spans="2:35" x14ac:dyDescent="0.25">
      <c r="B71" s="17" t="s">
        <v>165</v>
      </c>
      <c r="C71" s="93" t="str" cm="1">
        <f t="array" ref="C71">IFERROR(INDEX('Limite de crédito'!$D:$D, MATCH(MAX(IF('Limite de crédito'!$C:$C=$B71, 'Limite de crédito'!$A:$A)), 'Limite de crédito'!$A:$A, 0)),"")</f>
        <v/>
      </c>
      <c r="D71" s="18" cm="1">
        <f t="array" ref="D71">IFERROR(INDEX('Limite de crédito'!$F:$F, MATCH(MAX(IF('Limite de crédito'!$C:$C=$B71, 'Limite de crédito'!$A:$A)), 'Limite de crédito'!$A:$A, 0)),0)</f>
        <v>0</v>
      </c>
      <c r="E71" s="18">
        <f t="shared" si="10"/>
        <v>0</v>
      </c>
      <c r="F71" s="18">
        <f t="shared" si="11"/>
        <v>0</v>
      </c>
      <c r="G71" s="19">
        <f>SUMIFS('Data Additive'!$D:$D,'Data Additive'!$P:$P,'Painel Additive'!#REF!,'Data Additive'!$Q:$Q,"&gt;0",'Data Additive'!$Q:$Q,"&lt;=30")</f>
        <v>0</v>
      </c>
      <c r="H71" s="19">
        <f>SUMIFS('Data Additive'!$D:$D,'Data Additive'!$P:$P,'Painel Additive'!#REF!,'Data Additive'!$Q:$Q,"&gt;30",'Data Additive'!$Q:$Q,"&lt;=60")</f>
        <v>0</v>
      </c>
      <c r="I71" s="19">
        <f>SUMIFS('Data Additive'!$D:$D,'Data Additive'!$P:$P,'Painel Additive'!#REF!,'Data Additive'!$Q:$Q,"&gt;60",'Data Additive'!$Q:$Q,"&lt;=90")</f>
        <v>0</v>
      </c>
      <c r="J71" s="19">
        <f>SUMIFS('Data Additive'!$D:$D,'Data Additive'!$P:$P,'Painel Additive'!#REF!,'Data Additive'!$Q:$Q,"&gt;90",'Data Additive'!$Q:$Q,"&lt;=120")</f>
        <v>0</v>
      </c>
      <c r="K71" s="19">
        <f>SUMIFS('Data Additive'!$D:$D,'Data Additive'!$P:$P,'Painel Additive'!#REF!,'Data Additive'!$Q:$Q,"&gt;120",'Data Additive'!$Q:$Q,"&lt;=180")</f>
        <v>0</v>
      </c>
      <c r="L71" s="19">
        <f>SUMIFS('Data Additive'!$D:$D,'Data Additive'!$P:$P,'Painel Additive'!#REF!,'Data Additive'!$Q:$Q,"&gt;180",'Data Additive'!$Q:$Q,"&lt;=360")</f>
        <v>0</v>
      </c>
      <c r="M71" s="23">
        <f>SUMIFS('Data Additive'!$D:$D,'Data Additive'!$P:$P,'Painel Additive'!#REF!,'Data Additive'!$Q:$Q,"&gt;360")</f>
        <v>0</v>
      </c>
      <c r="N71" s="19">
        <f>SUMIFS('Data Additive'!$D:$D,'Data Additive'!$P:$P,'Painel Additive'!#REF!,'Data Additive'!$Q:$Q,"&gt;0")</f>
        <v>0</v>
      </c>
      <c r="O71" s="19">
        <f t="shared" si="12"/>
        <v>0</v>
      </c>
      <c r="P71" s="19">
        <f>SUMIFS('Data Additive'!$D:$D,'Data Additive'!$P:$P,'Painel Additive'!#REF!,'Data Additive'!$Q:$Q,"&lt;=0",'Data Additive'!$Q:$Q,"&gt;=-30")</f>
        <v>0</v>
      </c>
      <c r="Q71" s="19">
        <f>SUMIFS('Data Additive'!$D:$D,'Data Additive'!$P:$P,'Painel Additive'!#REF!,'Data Additive'!$Q:$Q,"&lt;=-31",'Data Additive'!$Q:$Q,"&gt;=-60")</f>
        <v>0</v>
      </c>
      <c r="R71" s="19">
        <f>SUMIFS('Data Additive'!$D:$D,'Data Additive'!$P:$P,'Painel Additive'!#REF!,'Data Additive'!$Q:$Q,"&lt;=-61",'Data Additive'!$Q:$Q,"&gt;=-90")</f>
        <v>0</v>
      </c>
      <c r="S71" s="19">
        <f>SUMIFS('Data Additive'!$D:$D,'Data Additive'!$P:$P,'Painel Additive'!#REF!,'Data Additive'!$Q:$Q,"&lt;=-91",'Data Additive'!$Q:$Q,"&gt;=-120")</f>
        <v>0</v>
      </c>
      <c r="T71" s="19">
        <f>SUMIFS('Data Additive'!$D:$D,'Data Additive'!$P:$P,'Painel Additive'!#REF!,'Data Additive'!$Q:$Q,"&lt;=-121",'Data Additive'!$Q:$Q,"&gt;=-180")</f>
        <v>0</v>
      </c>
      <c r="U71" s="19">
        <f>SUMIFS('Data Additive'!$D:$D,'Data Additive'!$P:$P,'Painel Additive'!#REF!,'Data Additive'!$Q:$Q,"&lt;=-181",'Data Additive'!$Q:$Q,"&gt;=-360")</f>
        <v>0</v>
      </c>
      <c r="V71" s="23">
        <f>SUMIFS('Data Additive'!$D:$D,'Data Additive'!$P:$P,'Painel Additive'!#REF!,'Data Additive'!$Q:$Q,"&lt;-360")</f>
        <v>0</v>
      </c>
      <c r="W71" s="19" t="e">
        <f>SUMIFS('Bad Debt Provision'!#REF!,'Bad Debt Provision'!#REF!,'Painel Additive'!#REF!)</f>
        <v>#REF!</v>
      </c>
      <c r="X71" s="5"/>
      <c r="Y71" s="20"/>
      <c r="Z71" s="20"/>
      <c r="AA71" s="21"/>
      <c r="AB71" s="5"/>
      <c r="AC71" s="19"/>
      <c r="AD71" s="20"/>
      <c r="AE71" s="22"/>
      <c r="AF71" s="22"/>
      <c r="AG71" s="5"/>
      <c r="AH71" s="28">
        <f t="shared" si="13"/>
        <v>0</v>
      </c>
      <c r="AI71" s="5"/>
    </row>
    <row r="72" spans="2:35" x14ac:dyDescent="0.25">
      <c r="B72" s="17" t="s">
        <v>34</v>
      </c>
      <c r="C72" s="93" t="str" cm="1">
        <f t="array" ref="C72">IFERROR(INDEX('Limite de crédito'!$D:$D, MATCH(MAX(IF('Limite de crédito'!$C:$C=$B72, 'Limite de crédito'!$A:$A)), 'Limite de crédito'!$A:$A, 0)),"")</f>
        <v/>
      </c>
      <c r="D72" s="18" cm="1">
        <f t="array" ref="D72">IFERROR(INDEX('Limite de crédito'!$F:$F, MATCH(MAX(IF('Limite de crédito'!$C:$C=$B72, 'Limite de crédito'!$A:$A)), 'Limite de crédito'!$A:$A, 0)),0)</f>
        <v>0</v>
      </c>
      <c r="E72" s="18">
        <f t="shared" si="10"/>
        <v>-410856.52</v>
      </c>
      <c r="F72" s="18">
        <f t="shared" si="11"/>
        <v>410856.52</v>
      </c>
      <c r="G72" s="19">
        <f>SUMIFS('Data Additive'!$D:$D,'Data Additive'!$P:$P,'Painel Additive'!$B14,'Data Additive'!$Q:$Q,"&gt;0",'Data Additive'!$Q:$Q,"&lt;=30")</f>
        <v>0</v>
      </c>
      <c r="H72" s="19">
        <f>SUMIFS('Data Additive'!$D:$D,'Data Additive'!$P:$P,'Painel Additive'!$B14,'Data Additive'!$Q:$Q,"&gt;30",'Data Additive'!$Q:$Q,"&lt;=60")</f>
        <v>0</v>
      </c>
      <c r="I72" s="19">
        <f>SUMIFS('Data Additive'!$D:$D,'Data Additive'!$P:$P,'Painel Additive'!$B14,'Data Additive'!$Q:$Q,"&gt;60",'Data Additive'!$Q:$Q,"&lt;=90")</f>
        <v>0</v>
      </c>
      <c r="J72" s="19">
        <f>SUMIFS('Data Additive'!$D:$D,'Data Additive'!$P:$P,'Painel Additive'!$B14,'Data Additive'!$Q:$Q,"&gt;90",'Data Additive'!$Q:$Q,"&lt;=120")</f>
        <v>0</v>
      </c>
      <c r="K72" s="19">
        <f>SUMIFS('Data Additive'!$D:$D,'Data Additive'!$P:$P,'Painel Additive'!$B14,'Data Additive'!$Q:$Q,"&gt;120",'Data Additive'!$Q:$Q,"&lt;=180")</f>
        <v>0</v>
      </c>
      <c r="L72" s="19">
        <f>SUMIFS('Data Additive'!$D:$D,'Data Additive'!$P:$P,'Painel Additive'!$B14,'Data Additive'!$Q:$Q,"&gt;180",'Data Additive'!$Q:$Q,"&lt;=360")</f>
        <v>0</v>
      </c>
      <c r="M72" s="23">
        <f>SUMIFS('Data Additive'!$D:$D,'Data Additive'!$P:$P,'Painel Additive'!$B14,'Data Additive'!$Q:$Q,"&gt;360")</f>
        <v>0</v>
      </c>
      <c r="N72" s="19">
        <f>SUMIFS('Data Additive'!$D:$D,'Data Additive'!$P:$P,'Painel Additive'!$B14,'Data Additive'!$Q:$Q,"&gt;0")</f>
        <v>0</v>
      </c>
      <c r="O72" s="19">
        <f t="shared" si="12"/>
        <v>410856.52</v>
      </c>
      <c r="P72" s="19">
        <f>SUMIFS('Data Additive'!$D:$D,'Data Additive'!$P:$P,'Painel Additive'!$B14,'Data Additive'!$Q:$Q,"&lt;=0",'Data Additive'!$Q:$Q,"&gt;=-30")</f>
        <v>0</v>
      </c>
      <c r="Q72" s="19">
        <f>SUMIFS('Data Additive'!$D:$D,'Data Additive'!$P:$P,'Painel Additive'!$B14,'Data Additive'!$Q:$Q,"&lt;=-31",'Data Additive'!$Q:$Q,"&gt;=-60")</f>
        <v>410856.52</v>
      </c>
      <c r="R72" s="19">
        <f>SUMIFS('Data Additive'!$D:$D,'Data Additive'!$P:$P,'Painel Additive'!$B14,'Data Additive'!$Q:$Q,"&lt;=-61",'Data Additive'!$Q:$Q,"&gt;=-90")</f>
        <v>0</v>
      </c>
      <c r="S72" s="19">
        <f>SUMIFS('Data Additive'!$D:$D,'Data Additive'!$P:$P,'Painel Additive'!$B14,'Data Additive'!$Q:$Q,"&lt;=-91",'Data Additive'!$Q:$Q,"&gt;=-120")</f>
        <v>0</v>
      </c>
      <c r="T72" s="19">
        <f>SUMIFS('Data Additive'!$D:$D,'Data Additive'!$P:$P,'Painel Additive'!$B14,'Data Additive'!$Q:$Q,"&lt;=-121",'Data Additive'!$Q:$Q,"&gt;=-180")</f>
        <v>0</v>
      </c>
      <c r="U72" s="19">
        <f>SUMIFS('Data Additive'!$D:$D,'Data Additive'!$P:$P,'Painel Additive'!$B14,'Data Additive'!$Q:$Q,"&lt;=-181",'Data Additive'!$Q:$Q,"&gt;=-360")</f>
        <v>0</v>
      </c>
      <c r="V72" s="23">
        <f>SUMIFS('Data Additive'!$D:$D,'Data Additive'!$P:$P,'Painel Additive'!$B14,'Data Additive'!$Q:$Q,"&lt;-360")</f>
        <v>0</v>
      </c>
      <c r="W72" s="19" t="e">
        <f>SUMIFS('Bad Debt Provision'!#REF!,'Bad Debt Provision'!#REF!,'Painel Additive'!$B14)</f>
        <v>#REF!</v>
      </c>
      <c r="X72" s="5"/>
      <c r="Y72" s="20"/>
      <c r="Z72" s="20"/>
      <c r="AA72" s="21"/>
      <c r="AB72" s="5"/>
      <c r="AC72" s="19"/>
      <c r="AD72" s="20"/>
      <c r="AE72" s="22"/>
      <c r="AF72" s="22"/>
      <c r="AG72" s="5"/>
      <c r="AH72" s="28">
        <f t="shared" si="13"/>
        <v>-410856.52</v>
      </c>
      <c r="AI72" s="5"/>
    </row>
    <row r="73" spans="2:35" x14ac:dyDescent="0.25">
      <c r="B73" s="17" t="s">
        <v>41</v>
      </c>
      <c r="C73" s="93" t="str" cm="1">
        <f t="array" ref="C73">IFERROR(INDEX('Limite de crédito'!$D:$D, MATCH(MAX(IF('Limite de crédito'!$C:$C=$B73, 'Limite de crédito'!$A:$A)), 'Limite de crédito'!$A:$A, 0)),"")</f>
        <v/>
      </c>
      <c r="D73" s="18" cm="1">
        <f t="array" ref="D73">IFERROR(INDEX('Limite de crédito'!$F:$F, MATCH(MAX(IF('Limite de crédito'!$C:$C=$B73, 'Limite de crédito'!$A:$A)), 'Limite de crédito'!$A:$A, 0)),0)</f>
        <v>0</v>
      </c>
      <c r="E73" s="18">
        <f t="shared" si="10"/>
        <v>-189028.7</v>
      </c>
      <c r="F73" s="18">
        <f t="shared" si="11"/>
        <v>189028.7</v>
      </c>
      <c r="G73" s="19">
        <f>SUMIFS('Data Additive'!$D:$D,'Data Additive'!$P:$P,'Painel Additive'!$B15,'Data Additive'!$Q:$Q,"&gt;0",'Data Additive'!$Q:$Q,"&lt;=30")</f>
        <v>37491.5</v>
      </c>
      <c r="H73" s="19">
        <f>SUMIFS('Data Additive'!$D:$D,'Data Additive'!$P:$P,'Painel Additive'!$B15,'Data Additive'!$Q:$Q,"&gt;30",'Data Additive'!$Q:$Q,"&lt;=60")</f>
        <v>0</v>
      </c>
      <c r="I73" s="19">
        <f>SUMIFS('Data Additive'!$D:$D,'Data Additive'!$P:$P,'Painel Additive'!$B15,'Data Additive'!$Q:$Q,"&gt;60",'Data Additive'!$Q:$Q,"&lt;=90")</f>
        <v>0</v>
      </c>
      <c r="J73" s="19">
        <f>SUMIFS('Data Additive'!$D:$D,'Data Additive'!$P:$P,'Painel Additive'!$B15,'Data Additive'!$Q:$Q,"&gt;90",'Data Additive'!$Q:$Q,"&lt;=120")</f>
        <v>0</v>
      </c>
      <c r="K73" s="19">
        <f>SUMIFS('Data Additive'!$D:$D,'Data Additive'!$P:$P,'Painel Additive'!$B15,'Data Additive'!$Q:$Q,"&gt;120",'Data Additive'!$Q:$Q,"&lt;=180")</f>
        <v>0</v>
      </c>
      <c r="L73" s="19">
        <f>SUMIFS('Data Additive'!$D:$D,'Data Additive'!$P:$P,'Painel Additive'!$B15,'Data Additive'!$Q:$Q,"&gt;180",'Data Additive'!$Q:$Q,"&lt;=360")</f>
        <v>0</v>
      </c>
      <c r="M73" s="23">
        <f>SUMIFS('Data Additive'!$D:$D,'Data Additive'!$P:$P,'Painel Additive'!$B15,'Data Additive'!$Q:$Q,"&gt;360")</f>
        <v>0</v>
      </c>
      <c r="N73" s="19">
        <f>SUMIFS('Data Additive'!$D:$D,'Data Additive'!$P:$P,'Painel Additive'!$B15,'Data Additive'!$Q:$Q,"&gt;0")</f>
        <v>37491.5</v>
      </c>
      <c r="O73" s="19">
        <f t="shared" si="12"/>
        <v>151537.20000000001</v>
      </c>
      <c r="P73" s="19">
        <f>SUMIFS('Data Additive'!$D:$D,'Data Additive'!$P:$P,'Painel Additive'!$B15,'Data Additive'!$Q:$Q,"&lt;=0",'Data Additive'!$Q:$Q,"&gt;=-30")</f>
        <v>75216.800000000003</v>
      </c>
      <c r="Q73" s="19">
        <f>SUMIFS('Data Additive'!$D:$D,'Data Additive'!$P:$P,'Painel Additive'!$B15,'Data Additive'!$Q:$Q,"&lt;=-31",'Data Additive'!$Q:$Q,"&gt;=-60")</f>
        <v>76320.399999999994</v>
      </c>
      <c r="R73" s="19">
        <f>SUMIFS('Data Additive'!$D:$D,'Data Additive'!$P:$P,'Painel Additive'!$B15,'Data Additive'!$Q:$Q,"&lt;=-61",'Data Additive'!$Q:$Q,"&gt;=-90")</f>
        <v>0</v>
      </c>
      <c r="S73" s="19">
        <f>SUMIFS('Data Additive'!$D:$D,'Data Additive'!$P:$P,'Painel Additive'!$B15,'Data Additive'!$Q:$Q,"&lt;=-91",'Data Additive'!$Q:$Q,"&gt;=-120")</f>
        <v>0</v>
      </c>
      <c r="T73" s="19">
        <f>SUMIFS('Data Additive'!$D:$D,'Data Additive'!$P:$P,'Painel Additive'!$B15,'Data Additive'!$Q:$Q,"&lt;=-121",'Data Additive'!$Q:$Q,"&gt;=-180")</f>
        <v>0</v>
      </c>
      <c r="U73" s="19">
        <f>SUMIFS('Data Additive'!$D:$D,'Data Additive'!$P:$P,'Painel Additive'!$B15,'Data Additive'!$Q:$Q,"&lt;=-181",'Data Additive'!$Q:$Q,"&gt;=-360")</f>
        <v>0</v>
      </c>
      <c r="V73" s="23">
        <f>SUMIFS('Data Additive'!$D:$D,'Data Additive'!$P:$P,'Painel Additive'!$B15,'Data Additive'!$Q:$Q,"&lt;-360")</f>
        <v>0</v>
      </c>
      <c r="W73" s="19" t="e">
        <f>SUMIFS('Bad Debt Provision'!#REF!,'Bad Debt Provision'!#REF!,'Painel Additive'!$B15)</f>
        <v>#REF!</v>
      </c>
      <c r="X73" s="5"/>
      <c r="Y73" s="20"/>
      <c r="Z73" s="20"/>
      <c r="AA73" s="21"/>
      <c r="AB73" s="5"/>
      <c r="AC73" s="19"/>
      <c r="AD73" s="20"/>
      <c r="AE73" s="22"/>
      <c r="AF73" s="22"/>
      <c r="AG73" s="5"/>
      <c r="AH73" s="28">
        <f t="shared" si="13"/>
        <v>-189028.7</v>
      </c>
      <c r="AI73" s="5"/>
    </row>
    <row r="74" spans="2:35" x14ac:dyDescent="0.25">
      <c r="B74" s="17" t="s">
        <v>52</v>
      </c>
      <c r="C74" s="93" t="str" cm="1">
        <f t="array" ref="C74">IFERROR(INDEX('Limite de crédito'!$D:$D, MATCH(MAX(IF('Limite de crédito'!$C:$C=$B74, 'Limite de crédito'!$A:$A)), 'Limite de crédito'!$A:$A, 0)),"")</f>
        <v/>
      </c>
      <c r="D74" s="18" cm="1">
        <f t="array" ref="D74">IFERROR(INDEX('Limite de crédito'!$F:$F, MATCH(MAX(IF('Limite de crédito'!$C:$C=$B74, 'Limite de crédito'!$A:$A)), 'Limite de crédito'!$A:$A, 0)),0)</f>
        <v>0</v>
      </c>
      <c r="E74" s="18">
        <f t="shared" si="10"/>
        <v>-80079.3</v>
      </c>
      <c r="F74" s="18">
        <f t="shared" si="11"/>
        <v>80079.3</v>
      </c>
      <c r="G74" s="19">
        <f>SUMIFS('Data Additive'!$D:$D,'Data Additive'!$P:$P,'Painel Additive'!$B16,'Data Additive'!$Q:$Q,"&gt;0",'Data Additive'!$Q:$Q,"&lt;=30")</f>
        <v>0</v>
      </c>
      <c r="H74" s="19">
        <f>SUMIFS('Data Additive'!$D:$D,'Data Additive'!$P:$P,'Painel Additive'!$B16,'Data Additive'!$Q:$Q,"&gt;30",'Data Additive'!$Q:$Q,"&lt;=60")</f>
        <v>0</v>
      </c>
      <c r="I74" s="19">
        <f>SUMIFS('Data Additive'!$D:$D,'Data Additive'!$P:$P,'Painel Additive'!$B16,'Data Additive'!$Q:$Q,"&gt;60",'Data Additive'!$Q:$Q,"&lt;=90")</f>
        <v>0</v>
      </c>
      <c r="J74" s="19">
        <f>SUMIFS('Data Additive'!$D:$D,'Data Additive'!$P:$P,'Painel Additive'!$B16,'Data Additive'!$Q:$Q,"&gt;90",'Data Additive'!$Q:$Q,"&lt;=120")</f>
        <v>0</v>
      </c>
      <c r="K74" s="19">
        <f>SUMIFS('Data Additive'!$D:$D,'Data Additive'!$P:$P,'Painel Additive'!$B16,'Data Additive'!$Q:$Q,"&gt;120",'Data Additive'!$Q:$Q,"&lt;=180")</f>
        <v>0</v>
      </c>
      <c r="L74" s="19">
        <f>SUMIFS('Data Additive'!$D:$D,'Data Additive'!$P:$P,'Painel Additive'!$B16,'Data Additive'!$Q:$Q,"&gt;180",'Data Additive'!$Q:$Q,"&lt;=360")</f>
        <v>0</v>
      </c>
      <c r="M74" s="23">
        <f>SUMIFS('Data Additive'!$D:$D,'Data Additive'!$P:$P,'Painel Additive'!$B16,'Data Additive'!$Q:$Q,"&gt;360")</f>
        <v>0</v>
      </c>
      <c r="N74" s="19">
        <f>SUMIFS('Data Additive'!$D:$D,'Data Additive'!$P:$P,'Painel Additive'!$B16,'Data Additive'!$Q:$Q,"&gt;0")</f>
        <v>0</v>
      </c>
      <c r="O74" s="19">
        <f t="shared" si="12"/>
        <v>80079.3</v>
      </c>
      <c r="P74" s="19">
        <f>SUMIFS('Data Additive'!$D:$D,'Data Additive'!$P:$P,'Painel Additive'!$B16,'Data Additive'!$Q:$Q,"&lt;=0",'Data Additive'!$Q:$Q,"&gt;=-30")</f>
        <v>80079.3</v>
      </c>
      <c r="Q74" s="19">
        <f>SUMIFS('Data Additive'!$D:$D,'Data Additive'!$P:$P,'Painel Additive'!$B16,'Data Additive'!$Q:$Q,"&lt;=-31",'Data Additive'!$Q:$Q,"&gt;=-60")</f>
        <v>0</v>
      </c>
      <c r="R74" s="19">
        <f>SUMIFS('Data Additive'!$D:$D,'Data Additive'!$P:$P,'Painel Additive'!$B16,'Data Additive'!$Q:$Q,"&lt;=-61",'Data Additive'!$Q:$Q,"&gt;=-90")</f>
        <v>0</v>
      </c>
      <c r="S74" s="19">
        <f>SUMIFS('Data Additive'!$D:$D,'Data Additive'!$P:$P,'Painel Additive'!$B16,'Data Additive'!$Q:$Q,"&lt;=-91",'Data Additive'!$Q:$Q,"&gt;=-120")</f>
        <v>0</v>
      </c>
      <c r="T74" s="19">
        <f>SUMIFS('Data Additive'!$D:$D,'Data Additive'!$P:$P,'Painel Additive'!$B16,'Data Additive'!$Q:$Q,"&lt;=-121",'Data Additive'!$Q:$Q,"&gt;=-180")</f>
        <v>0</v>
      </c>
      <c r="U74" s="19">
        <f>SUMIFS('Data Additive'!$D:$D,'Data Additive'!$P:$P,'Painel Additive'!$B16,'Data Additive'!$Q:$Q,"&lt;=-181",'Data Additive'!$Q:$Q,"&gt;=-360")</f>
        <v>0</v>
      </c>
      <c r="V74" s="23">
        <f>SUMIFS('Data Additive'!$D:$D,'Data Additive'!$P:$P,'Painel Additive'!$B16,'Data Additive'!$Q:$Q,"&lt;-360")</f>
        <v>0</v>
      </c>
      <c r="W74" s="19" t="e">
        <f>SUMIFS('Bad Debt Provision'!#REF!,'Bad Debt Provision'!#REF!,'Painel Additive'!$B16)</f>
        <v>#REF!</v>
      </c>
      <c r="X74" s="5"/>
      <c r="Y74" s="20"/>
      <c r="Z74" s="20"/>
      <c r="AA74" s="21"/>
      <c r="AB74" s="5"/>
      <c r="AC74" s="19"/>
      <c r="AD74" s="20"/>
      <c r="AE74" s="22"/>
      <c r="AF74" s="22"/>
      <c r="AG74" s="5"/>
      <c r="AH74" s="28">
        <f t="shared" si="13"/>
        <v>-80079.3</v>
      </c>
      <c r="AI74" s="5"/>
    </row>
    <row r="75" spans="2:35" x14ac:dyDescent="0.25">
      <c r="B75" s="17" t="s">
        <v>59</v>
      </c>
      <c r="C75" s="93" t="str" cm="1">
        <f t="array" ref="C75">IFERROR(INDEX('Limite de crédito'!$D:$D, MATCH(MAX(IF('Limite de crédito'!$C:$C=$B75, 'Limite de crédito'!$A:$A)), 'Limite de crédito'!$A:$A, 0)),"")</f>
        <v/>
      </c>
      <c r="D75" s="18" cm="1">
        <f t="array" ref="D75">IFERROR(INDEX('Limite de crédito'!$F:$F, MATCH(MAX(IF('Limite de crédito'!$C:$C=$B75, 'Limite de crédito'!$A:$A)), 'Limite de crédito'!$A:$A, 0)),0)</f>
        <v>0</v>
      </c>
      <c r="E75" s="18">
        <f t="shared" si="10"/>
        <v>0</v>
      </c>
      <c r="F75" s="18">
        <f t="shared" si="11"/>
        <v>0</v>
      </c>
      <c r="G75" s="19">
        <f>SUMIFS('Data Additive'!$D:$D,'Data Additive'!$P:$P,'Painel Additive'!#REF!,'Data Additive'!$Q:$Q,"&gt;0",'Data Additive'!$Q:$Q,"&lt;=30")</f>
        <v>0</v>
      </c>
      <c r="H75" s="19">
        <f>SUMIFS('Data Additive'!$D:$D,'Data Additive'!$P:$P,'Painel Additive'!#REF!,'Data Additive'!$Q:$Q,"&gt;30",'Data Additive'!$Q:$Q,"&lt;=60")</f>
        <v>0</v>
      </c>
      <c r="I75" s="19">
        <f>SUMIFS('Data Additive'!$D:$D,'Data Additive'!$P:$P,'Painel Additive'!#REF!,'Data Additive'!$Q:$Q,"&gt;60",'Data Additive'!$Q:$Q,"&lt;=90")</f>
        <v>0</v>
      </c>
      <c r="J75" s="19">
        <f>SUMIFS('Data Additive'!$D:$D,'Data Additive'!$P:$P,'Painel Additive'!#REF!,'Data Additive'!$Q:$Q,"&gt;90",'Data Additive'!$Q:$Q,"&lt;=120")</f>
        <v>0</v>
      </c>
      <c r="K75" s="19">
        <f>SUMIFS('Data Additive'!$D:$D,'Data Additive'!$P:$P,'Painel Additive'!#REF!,'Data Additive'!$Q:$Q,"&gt;120",'Data Additive'!$Q:$Q,"&lt;=180")</f>
        <v>0</v>
      </c>
      <c r="L75" s="19">
        <f>SUMIFS('Data Additive'!$D:$D,'Data Additive'!$P:$P,'Painel Additive'!#REF!,'Data Additive'!$Q:$Q,"&gt;180",'Data Additive'!$Q:$Q,"&lt;=360")</f>
        <v>0</v>
      </c>
      <c r="M75" s="23">
        <f>SUMIFS('Data Additive'!$D:$D,'Data Additive'!$P:$P,'Painel Additive'!#REF!,'Data Additive'!$Q:$Q,"&gt;360")</f>
        <v>0</v>
      </c>
      <c r="N75" s="19">
        <f>SUMIFS('Data Additive'!$D:$D,'Data Additive'!$P:$P,'Painel Additive'!#REF!,'Data Additive'!$Q:$Q,"&gt;0")</f>
        <v>0</v>
      </c>
      <c r="O75" s="19">
        <f t="shared" si="12"/>
        <v>0</v>
      </c>
      <c r="P75" s="19">
        <f>SUMIFS('Data Additive'!$D:$D,'Data Additive'!$P:$P,'Painel Additive'!#REF!,'Data Additive'!$Q:$Q,"&lt;=0",'Data Additive'!$Q:$Q,"&gt;=-30")</f>
        <v>0</v>
      </c>
      <c r="Q75" s="19">
        <f>SUMIFS('Data Additive'!$D:$D,'Data Additive'!$P:$P,'Painel Additive'!#REF!,'Data Additive'!$Q:$Q,"&lt;=-31",'Data Additive'!$Q:$Q,"&gt;=-60")</f>
        <v>0</v>
      </c>
      <c r="R75" s="19">
        <f>SUMIFS('Data Additive'!$D:$D,'Data Additive'!$P:$P,'Painel Additive'!#REF!,'Data Additive'!$Q:$Q,"&lt;=-61",'Data Additive'!$Q:$Q,"&gt;=-90")</f>
        <v>0</v>
      </c>
      <c r="S75" s="19">
        <f>SUMIFS('Data Additive'!$D:$D,'Data Additive'!$P:$P,'Painel Additive'!#REF!,'Data Additive'!$Q:$Q,"&lt;=-91",'Data Additive'!$Q:$Q,"&gt;=-120")</f>
        <v>0</v>
      </c>
      <c r="T75" s="19">
        <f>SUMIFS('Data Additive'!$D:$D,'Data Additive'!$P:$P,'Painel Additive'!#REF!,'Data Additive'!$Q:$Q,"&lt;=-121",'Data Additive'!$Q:$Q,"&gt;=-180")</f>
        <v>0</v>
      </c>
      <c r="U75" s="19">
        <f>SUMIFS('Data Additive'!$D:$D,'Data Additive'!$P:$P,'Painel Additive'!#REF!,'Data Additive'!$Q:$Q,"&lt;=-181",'Data Additive'!$Q:$Q,"&gt;=-360")</f>
        <v>0</v>
      </c>
      <c r="V75" s="23">
        <f>SUMIFS('Data Additive'!$D:$D,'Data Additive'!$P:$P,'Painel Additive'!#REF!,'Data Additive'!$Q:$Q,"&lt;-360")</f>
        <v>0</v>
      </c>
      <c r="W75" s="19" t="e">
        <f>SUMIFS('Bad Debt Provision'!#REF!,'Bad Debt Provision'!#REF!,'Painel Additive'!#REF!)</f>
        <v>#REF!</v>
      </c>
      <c r="X75" s="5"/>
      <c r="Y75" s="20"/>
      <c r="Z75" s="20"/>
      <c r="AA75" s="21"/>
      <c r="AB75" s="5"/>
      <c r="AC75" s="19"/>
      <c r="AD75" s="20"/>
      <c r="AE75" s="22"/>
      <c r="AF75" s="22"/>
      <c r="AG75" s="5"/>
      <c r="AH75" s="28">
        <f t="shared" si="13"/>
        <v>0</v>
      </c>
      <c r="AI75" s="5"/>
    </row>
    <row r="76" spans="2:35" x14ac:dyDescent="0.25">
      <c r="B76" s="17" t="s">
        <v>51</v>
      </c>
      <c r="C76" s="93" cm="1">
        <f t="array" ref="C76">IFERROR(INDEX('Limite de crédito'!$D:$D, MATCH(MAX(IF('Limite de crédito'!$C:$C=$B76, 'Limite de crédito'!$A:$A)), 'Limite de crédito'!$A:$A, 0)),"")</f>
        <v>45980</v>
      </c>
      <c r="D76" s="18" t="str" cm="1">
        <f t="array" ref="D76">IFERROR(INDEX('Limite de crédito'!$F:$F, MATCH(MAX(IF('Limite de crédito'!$C:$C=$B76, 'Limite de crédito'!$A:$A)), 'Limite de crédito'!$A:$A, 0)),0)</f>
        <v>Sim</v>
      </c>
      <c r="E76" s="18" t="e">
        <f t="shared" si="10"/>
        <v>#VALUE!</v>
      </c>
      <c r="F76" s="18">
        <f t="shared" si="11"/>
        <v>226233.60000000001</v>
      </c>
      <c r="G76" s="19">
        <f>SUMIFS('Data Additive'!$D:$D,'Data Additive'!$P:$P,'Painel Additive'!$B17,'Data Additive'!$Q:$Q,"&gt;0",'Data Additive'!$Q:$Q,"&lt;=30")</f>
        <v>0</v>
      </c>
      <c r="H76" s="19">
        <f>SUMIFS('Data Additive'!$D:$D,'Data Additive'!$P:$P,'Painel Additive'!$B17,'Data Additive'!$Q:$Q,"&gt;30",'Data Additive'!$Q:$Q,"&lt;=60")</f>
        <v>0</v>
      </c>
      <c r="I76" s="19">
        <f>SUMIFS('Data Additive'!$D:$D,'Data Additive'!$P:$P,'Painel Additive'!$B17,'Data Additive'!$Q:$Q,"&gt;60",'Data Additive'!$Q:$Q,"&lt;=90")</f>
        <v>0</v>
      </c>
      <c r="J76" s="19">
        <f>SUMIFS('Data Additive'!$D:$D,'Data Additive'!$P:$P,'Painel Additive'!$B17,'Data Additive'!$Q:$Q,"&gt;90",'Data Additive'!$Q:$Q,"&lt;=120")</f>
        <v>0</v>
      </c>
      <c r="K76" s="19">
        <f>SUMIFS('Data Additive'!$D:$D,'Data Additive'!$P:$P,'Painel Additive'!$B17,'Data Additive'!$Q:$Q,"&gt;120",'Data Additive'!$Q:$Q,"&lt;=180")</f>
        <v>0</v>
      </c>
      <c r="L76" s="19">
        <f>SUMIFS('Data Additive'!$D:$D,'Data Additive'!$P:$P,'Painel Additive'!$B17,'Data Additive'!$Q:$Q,"&gt;180",'Data Additive'!$Q:$Q,"&lt;=360")</f>
        <v>0</v>
      </c>
      <c r="M76" s="23">
        <f>SUMIFS('Data Additive'!$D:$D,'Data Additive'!$P:$P,'Painel Additive'!$B17,'Data Additive'!$Q:$Q,"&gt;360")</f>
        <v>226233.60000000001</v>
      </c>
      <c r="N76" s="19">
        <f>SUMIFS('Data Additive'!$D:$D,'Data Additive'!$P:$P,'Painel Additive'!$B17,'Data Additive'!$Q:$Q,"&gt;0")</f>
        <v>226233.60000000001</v>
      </c>
      <c r="O76" s="19">
        <f t="shared" si="12"/>
        <v>0</v>
      </c>
      <c r="P76" s="19">
        <f>SUMIFS('Data Additive'!$D:$D,'Data Additive'!$P:$P,'Painel Additive'!$B17,'Data Additive'!$Q:$Q,"&lt;=0",'Data Additive'!$Q:$Q,"&gt;=-30")</f>
        <v>0</v>
      </c>
      <c r="Q76" s="19">
        <f>SUMIFS('Data Additive'!$D:$D,'Data Additive'!$P:$P,'Painel Additive'!$B17,'Data Additive'!$Q:$Q,"&lt;=-31",'Data Additive'!$Q:$Q,"&gt;=-60")</f>
        <v>0</v>
      </c>
      <c r="R76" s="19">
        <f>SUMIFS('Data Additive'!$D:$D,'Data Additive'!$P:$P,'Painel Additive'!$B17,'Data Additive'!$Q:$Q,"&lt;=-61",'Data Additive'!$Q:$Q,"&gt;=-90")</f>
        <v>0</v>
      </c>
      <c r="S76" s="19">
        <f>SUMIFS('Data Additive'!$D:$D,'Data Additive'!$P:$P,'Painel Additive'!$B17,'Data Additive'!$Q:$Q,"&lt;=-91",'Data Additive'!$Q:$Q,"&gt;=-120")</f>
        <v>0</v>
      </c>
      <c r="T76" s="19">
        <f>SUMIFS('Data Additive'!$D:$D,'Data Additive'!$P:$P,'Painel Additive'!$B17,'Data Additive'!$Q:$Q,"&lt;=-121",'Data Additive'!$Q:$Q,"&gt;=-180")</f>
        <v>0</v>
      </c>
      <c r="U76" s="19">
        <f>SUMIFS('Data Additive'!$D:$D,'Data Additive'!$P:$P,'Painel Additive'!$B17,'Data Additive'!$Q:$Q,"&lt;=-181",'Data Additive'!$Q:$Q,"&gt;=-360")</f>
        <v>0</v>
      </c>
      <c r="V76" s="23">
        <f>SUMIFS('Data Additive'!$D:$D,'Data Additive'!$P:$P,'Painel Additive'!$B17,'Data Additive'!$Q:$Q,"&lt;-360")</f>
        <v>0</v>
      </c>
      <c r="W76" s="19" t="e">
        <f>SUMIFS('Bad Debt Provision'!#REF!,'Bad Debt Provision'!#REF!,'Painel Additive'!$B17)</f>
        <v>#REF!</v>
      </c>
      <c r="X76" s="5"/>
      <c r="Y76" s="20"/>
      <c r="Z76" s="20"/>
      <c r="AA76" s="21"/>
      <c r="AB76" s="5"/>
      <c r="AC76" s="19"/>
      <c r="AD76" s="20"/>
      <c r="AE76" s="22"/>
      <c r="AF76" s="22"/>
      <c r="AG76" s="5"/>
      <c r="AH76" s="28">
        <f t="shared" si="13"/>
        <v>-226233.60000000001</v>
      </c>
      <c r="AI76" s="5"/>
    </row>
    <row r="77" spans="2:35" x14ac:dyDescent="0.25">
      <c r="B77" s="17" t="s">
        <v>49</v>
      </c>
      <c r="C77" s="93" t="str" cm="1">
        <f t="array" ref="C77">IFERROR(INDEX('Limite de crédito'!$D:$D, MATCH(MAX(IF('Limite de crédito'!$C:$C=$B77, 'Limite de crédito'!$A:$A)), 'Limite de crédito'!$A:$A, 0)),"")</f>
        <v/>
      </c>
      <c r="D77" s="18" cm="1">
        <f t="array" ref="D77">IFERROR(INDEX('Limite de crédito'!$F:$F, MATCH(MAX(IF('Limite de crédito'!$C:$C=$B77, 'Limite de crédito'!$A:$A)), 'Limite de crédito'!$A:$A, 0)),0)</f>
        <v>0</v>
      </c>
      <c r="E77" s="18">
        <f t="shared" si="10"/>
        <v>-213750</v>
      </c>
      <c r="F77" s="18">
        <f t="shared" si="11"/>
        <v>213750</v>
      </c>
      <c r="G77" s="19">
        <f>SUMIFS('Data Additive'!$D:$D,'Data Additive'!$P:$P,'Painel Additive'!$B18,'Data Additive'!$Q:$Q,"&gt;0",'Data Additive'!$Q:$Q,"&lt;=30")</f>
        <v>0</v>
      </c>
      <c r="H77" s="19">
        <f>SUMIFS('Data Additive'!$D:$D,'Data Additive'!$P:$P,'Painel Additive'!$B18,'Data Additive'!$Q:$Q,"&gt;30",'Data Additive'!$Q:$Q,"&lt;=60")</f>
        <v>0</v>
      </c>
      <c r="I77" s="19">
        <f>SUMIFS('Data Additive'!$D:$D,'Data Additive'!$P:$P,'Painel Additive'!$B18,'Data Additive'!$Q:$Q,"&gt;60",'Data Additive'!$Q:$Q,"&lt;=90")</f>
        <v>0</v>
      </c>
      <c r="J77" s="19">
        <f>SUMIFS('Data Additive'!$D:$D,'Data Additive'!$P:$P,'Painel Additive'!$B18,'Data Additive'!$Q:$Q,"&gt;90",'Data Additive'!$Q:$Q,"&lt;=120")</f>
        <v>0</v>
      </c>
      <c r="K77" s="19">
        <f>SUMIFS('Data Additive'!$D:$D,'Data Additive'!$P:$P,'Painel Additive'!$B18,'Data Additive'!$Q:$Q,"&gt;120",'Data Additive'!$Q:$Q,"&lt;=180")</f>
        <v>0</v>
      </c>
      <c r="L77" s="19">
        <f>SUMIFS('Data Additive'!$D:$D,'Data Additive'!$P:$P,'Painel Additive'!$B18,'Data Additive'!$Q:$Q,"&gt;180",'Data Additive'!$Q:$Q,"&lt;=360")</f>
        <v>0</v>
      </c>
      <c r="M77" s="23">
        <f>SUMIFS('Data Additive'!$D:$D,'Data Additive'!$P:$P,'Painel Additive'!$B18,'Data Additive'!$Q:$Q,"&gt;360")</f>
        <v>213750</v>
      </c>
      <c r="N77" s="19">
        <f>SUMIFS('Data Additive'!$D:$D,'Data Additive'!$P:$P,'Painel Additive'!$B18,'Data Additive'!$Q:$Q,"&gt;0")</f>
        <v>213750</v>
      </c>
      <c r="O77" s="19">
        <f t="shared" si="12"/>
        <v>0</v>
      </c>
      <c r="P77" s="19">
        <f>SUMIFS('Data Additive'!$D:$D,'Data Additive'!$P:$P,'Painel Additive'!$B18,'Data Additive'!$Q:$Q,"&lt;=0",'Data Additive'!$Q:$Q,"&gt;=-30")</f>
        <v>0</v>
      </c>
      <c r="Q77" s="19">
        <f>SUMIFS('Data Additive'!$D:$D,'Data Additive'!$P:$P,'Painel Additive'!$B18,'Data Additive'!$Q:$Q,"&lt;=-31",'Data Additive'!$Q:$Q,"&gt;=-60")</f>
        <v>0</v>
      </c>
      <c r="R77" s="19">
        <f>SUMIFS('Data Additive'!$D:$D,'Data Additive'!$P:$P,'Painel Additive'!$B18,'Data Additive'!$Q:$Q,"&lt;=-61",'Data Additive'!$Q:$Q,"&gt;=-90")</f>
        <v>0</v>
      </c>
      <c r="S77" s="19">
        <f>SUMIFS('Data Additive'!$D:$D,'Data Additive'!$P:$P,'Painel Additive'!$B18,'Data Additive'!$Q:$Q,"&lt;=-91",'Data Additive'!$Q:$Q,"&gt;=-120")</f>
        <v>0</v>
      </c>
      <c r="T77" s="19">
        <f>SUMIFS('Data Additive'!$D:$D,'Data Additive'!$P:$P,'Painel Additive'!$B18,'Data Additive'!$Q:$Q,"&lt;=-121",'Data Additive'!$Q:$Q,"&gt;=-180")</f>
        <v>0</v>
      </c>
      <c r="U77" s="19">
        <f>SUMIFS('Data Additive'!$D:$D,'Data Additive'!$P:$P,'Painel Additive'!$B18,'Data Additive'!$Q:$Q,"&lt;=-181",'Data Additive'!$Q:$Q,"&gt;=-360")</f>
        <v>0</v>
      </c>
      <c r="V77" s="23">
        <f>SUMIFS('Data Additive'!$D:$D,'Data Additive'!$P:$P,'Painel Additive'!$B18,'Data Additive'!$Q:$Q,"&lt;-360")</f>
        <v>0</v>
      </c>
      <c r="W77" s="19" t="e">
        <f>SUMIFS('Bad Debt Provision'!#REF!,'Bad Debt Provision'!#REF!,'Painel Additive'!$B18)</f>
        <v>#REF!</v>
      </c>
      <c r="X77" s="5"/>
      <c r="Y77" s="20"/>
      <c r="Z77" s="20"/>
      <c r="AA77" s="21"/>
      <c r="AB77" s="5"/>
      <c r="AC77" s="19"/>
      <c r="AD77" s="20"/>
      <c r="AE77" s="22"/>
      <c r="AF77" s="22"/>
      <c r="AG77" s="5"/>
      <c r="AH77" s="28">
        <f t="shared" si="13"/>
        <v>-213750</v>
      </c>
      <c r="AI77" s="5"/>
    </row>
    <row r="78" spans="2:35" x14ac:dyDescent="0.25">
      <c r="B78" s="17" t="s">
        <v>166</v>
      </c>
      <c r="C78" s="93" t="str" cm="1">
        <f t="array" ref="C78">IFERROR(INDEX('Limite de crédito'!$D:$D, MATCH(MAX(IF('Limite de crédito'!$C:$C=$B78, 'Limite de crédito'!$A:$A)), 'Limite de crédito'!$A:$A, 0)),"")</f>
        <v/>
      </c>
      <c r="D78" s="18" cm="1">
        <f t="array" ref="D78">IFERROR(INDEX('Limite de crédito'!$F:$F, MATCH(MAX(IF('Limite de crédito'!$C:$C=$B78, 'Limite de crédito'!$A:$A)), 'Limite de crédito'!$A:$A, 0)),0)</f>
        <v>0</v>
      </c>
      <c r="E78" s="18">
        <f t="shared" si="10"/>
        <v>0</v>
      </c>
      <c r="F78" s="18">
        <f t="shared" si="11"/>
        <v>0</v>
      </c>
      <c r="G78" s="19">
        <f>SUMIFS('Data Additive'!$D:$D,'Data Additive'!$P:$P,'Painel Additive'!$B19,'Data Additive'!$Q:$Q,"&gt;0",'Data Additive'!$Q:$Q,"&lt;=30")</f>
        <v>0</v>
      </c>
      <c r="H78" s="19">
        <f>SUMIFS('Data Additive'!$D:$D,'Data Additive'!$P:$P,'Painel Additive'!$B19,'Data Additive'!$Q:$Q,"&gt;30",'Data Additive'!$Q:$Q,"&lt;=60")</f>
        <v>0</v>
      </c>
      <c r="I78" s="19">
        <f>SUMIFS('Data Additive'!$D:$D,'Data Additive'!$P:$P,'Painel Additive'!$B19,'Data Additive'!$Q:$Q,"&gt;60",'Data Additive'!$Q:$Q,"&lt;=90")</f>
        <v>0</v>
      </c>
      <c r="J78" s="19">
        <f>SUMIFS('Data Additive'!$D:$D,'Data Additive'!$P:$P,'Painel Additive'!$B19,'Data Additive'!$Q:$Q,"&gt;90",'Data Additive'!$Q:$Q,"&lt;=120")</f>
        <v>0</v>
      </c>
      <c r="K78" s="19">
        <f>SUMIFS('Data Additive'!$D:$D,'Data Additive'!$P:$P,'Painel Additive'!$B19,'Data Additive'!$Q:$Q,"&gt;120",'Data Additive'!$Q:$Q,"&lt;=180")</f>
        <v>0</v>
      </c>
      <c r="L78" s="19">
        <f>SUMIFS('Data Additive'!$D:$D,'Data Additive'!$P:$P,'Painel Additive'!$B19,'Data Additive'!$Q:$Q,"&gt;180",'Data Additive'!$Q:$Q,"&lt;=360")</f>
        <v>0</v>
      </c>
      <c r="M78" s="23">
        <f>SUMIFS('Data Additive'!$D:$D,'Data Additive'!$P:$P,'Painel Additive'!$B19,'Data Additive'!$Q:$Q,"&gt;360")</f>
        <v>0</v>
      </c>
      <c r="N78" s="19">
        <f>SUMIFS('Data Additive'!$D:$D,'Data Additive'!$P:$P,'Painel Additive'!$B19,'Data Additive'!$Q:$Q,"&gt;0")</f>
        <v>0</v>
      </c>
      <c r="O78" s="19">
        <f t="shared" si="12"/>
        <v>0</v>
      </c>
      <c r="P78" s="19">
        <f>SUMIFS('Data Additive'!$D:$D,'Data Additive'!$P:$P,'Painel Additive'!$B19,'Data Additive'!$Q:$Q,"&lt;=0",'Data Additive'!$Q:$Q,"&gt;=-30")</f>
        <v>0</v>
      </c>
      <c r="Q78" s="19">
        <f>SUMIFS('Data Additive'!$D:$D,'Data Additive'!$P:$P,'Painel Additive'!$B19,'Data Additive'!$Q:$Q,"&lt;=-31",'Data Additive'!$Q:$Q,"&gt;=-60")</f>
        <v>0</v>
      </c>
      <c r="R78" s="19">
        <f>SUMIFS('Data Additive'!$D:$D,'Data Additive'!$P:$P,'Painel Additive'!$B19,'Data Additive'!$Q:$Q,"&lt;=-61",'Data Additive'!$Q:$Q,"&gt;=-90")</f>
        <v>0</v>
      </c>
      <c r="S78" s="19">
        <f>SUMIFS('Data Additive'!$D:$D,'Data Additive'!$P:$P,'Painel Additive'!$B19,'Data Additive'!$Q:$Q,"&lt;=-91",'Data Additive'!$Q:$Q,"&gt;=-120")</f>
        <v>0</v>
      </c>
      <c r="T78" s="19">
        <f>SUMIFS('Data Additive'!$D:$D,'Data Additive'!$P:$P,'Painel Additive'!$B19,'Data Additive'!$Q:$Q,"&lt;=-121",'Data Additive'!$Q:$Q,"&gt;=-180")</f>
        <v>0</v>
      </c>
      <c r="U78" s="19">
        <f>SUMIFS('Data Additive'!$D:$D,'Data Additive'!$P:$P,'Painel Additive'!$B19,'Data Additive'!$Q:$Q,"&lt;=-181",'Data Additive'!$Q:$Q,"&gt;=-360")</f>
        <v>0</v>
      </c>
      <c r="V78" s="23">
        <f>SUMIFS('Data Additive'!$D:$D,'Data Additive'!$P:$P,'Painel Additive'!$B19,'Data Additive'!$Q:$Q,"&lt;-360")</f>
        <v>0</v>
      </c>
      <c r="W78" s="19" t="e">
        <f>SUMIFS('Bad Debt Provision'!#REF!,'Bad Debt Provision'!#REF!,'Painel Additive'!$B19)</f>
        <v>#REF!</v>
      </c>
      <c r="X78" s="5"/>
      <c r="Y78" s="20"/>
      <c r="Z78" s="20"/>
      <c r="AA78" s="21"/>
      <c r="AB78" s="5"/>
      <c r="AC78" s="19"/>
      <c r="AD78" s="20"/>
      <c r="AE78" s="22"/>
      <c r="AF78" s="22"/>
      <c r="AG78" s="5"/>
      <c r="AH78" s="28">
        <f t="shared" si="13"/>
        <v>0</v>
      </c>
      <c r="AI78" s="5"/>
    </row>
    <row r="79" spans="2:35" x14ac:dyDescent="0.25">
      <c r="B79" s="17" t="s">
        <v>57</v>
      </c>
      <c r="C79" s="93" t="str" cm="1">
        <f t="array" ref="C79">IFERROR(INDEX('Limite de crédito'!$D:$D, MATCH(MAX(IF('Limite de crédito'!$C:$C=$B79, 'Limite de crédito'!$A:$A)), 'Limite de crédito'!$A:$A, 0)),"")</f>
        <v/>
      </c>
      <c r="D79" s="18" cm="1">
        <f t="array" ref="D79">IFERROR(INDEX('Limite de crédito'!$F:$F, MATCH(MAX(IF('Limite de crédito'!$C:$C=$B79, 'Limite de crédito'!$A:$A)), 'Limite de crédito'!$A:$A, 0)),0)</f>
        <v>0</v>
      </c>
      <c r="E79" s="18">
        <f t="shared" si="10"/>
        <v>0</v>
      </c>
      <c r="F79" s="18">
        <f t="shared" si="11"/>
        <v>0</v>
      </c>
      <c r="G79" s="19">
        <f>SUMIFS('Data Additive'!$D:$D,'Data Additive'!$P:$P,'Painel Additive'!$B20,'Data Additive'!$Q:$Q,"&gt;0",'Data Additive'!$Q:$Q,"&lt;=30")</f>
        <v>0</v>
      </c>
      <c r="H79" s="19">
        <f>SUMIFS('Data Additive'!$D:$D,'Data Additive'!$P:$P,'Painel Additive'!$B20,'Data Additive'!$Q:$Q,"&gt;30",'Data Additive'!$Q:$Q,"&lt;=60")</f>
        <v>0</v>
      </c>
      <c r="I79" s="19">
        <f>SUMIFS('Data Additive'!$D:$D,'Data Additive'!$P:$P,'Painel Additive'!$B20,'Data Additive'!$Q:$Q,"&gt;60",'Data Additive'!$Q:$Q,"&lt;=90")</f>
        <v>0</v>
      </c>
      <c r="J79" s="19">
        <f>SUMIFS('Data Additive'!$D:$D,'Data Additive'!$P:$P,'Painel Additive'!$B20,'Data Additive'!$Q:$Q,"&gt;90",'Data Additive'!$Q:$Q,"&lt;=120")</f>
        <v>0</v>
      </c>
      <c r="K79" s="19">
        <f>SUMIFS('Data Additive'!$D:$D,'Data Additive'!$P:$P,'Painel Additive'!$B20,'Data Additive'!$Q:$Q,"&gt;120",'Data Additive'!$Q:$Q,"&lt;=180")</f>
        <v>0</v>
      </c>
      <c r="L79" s="19">
        <f>SUMIFS('Data Additive'!$D:$D,'Data Additive'!$P:$P,'Painel Additive'!$B20,'Data Additive'!$Q:$Q,"&gt;180",'Data Additive'!$Q:$Q,"&lt;=360")</f>
        <v>0</v>
      </c>
      <c r="M79" s="23">
        <f>SUMIFS('Data Additive'!$D:$D,'Data Additive'!$P:$P,'Painel Additive'!$B20,'Data Additive'!$Q:$Q,"&gt;360")</f>
        <v>0</v>
      </c>
      <c r="N79" s="19">
        <f>SUMIFS('Data Additive'!$D:$D,'Data Additive'!$P:$P,'Painel Additive'!$B20,'Data Additive'!$Q:$Q,"&gt;0")</f>
        <v>0</v>
      </c>
      <c r="O79" s="19">
        <f t="shared" si="12"/>
        <v>0</v>
      </c>
      <c r="P79" s="19">
        <f>SUMIFS('Data Additive'!$D:$D,'Data Additive'!$P:$P,'Painel Additive'!$B20,'Data Additive'!$Q:$Q,"&lt;=0",'Data Additive'!$Q:$Q,"&gt;=-30")</f>
        <v>0</v>
      </c>
      <c r="Q79" s="19">
        <f>SUMIFS('Data Additive'!$D:$D,'Data Additive'!$P:$P,'Painel Additive'!$B20,'Data Additive'!$Q:$Q,"&lt;=-31",'Data Additive'!$Q:$Q,"&gt;=-60")</f>
        <v>0</v>
      </c>
      <c r="R79" s="19">
        <f>SUMIFS('Data Additive'!$D:$D,'Data Additive'!$P:$P,'Painel Additive'!$B20,'Data Additive'!$Q:$Q,"&lt;=-61",'Data Additive'!$Q:$Q,"&gt;=-90")</f>
        <v>0</v>
      </c>
      <c r="S79" s="19">
        <f>SUMIFS('Data Additive'!$D:$D,'Data Additive'!$P:$P,'Painel Additive'!$B20,'Data Additive'!$Q:$Q,"&lt;=-91",'Data Additive'!$Q:$Q,"&gt;=-120")</f>
        <v>0</v>
      </c>
      <c r="T79" s="19">
        <f>SUMIFS('Data Additive'!$D:$D,'Data Additive'!$P:$P,'Painel Additive'!$B20,'Data Additive'!$Q:$Q,"&lt;=-121",'Data Additive'!$Q:$Q,"&gt;=-180")</f>
        <v>0</v>
      </c>
      <c r="U79" s="19">
        <f>SUMIFS('Data Additive'!$D:$D,'Data Additive'!$P:$P,'Painel Additive'!$B20,'Data Additive'!$Q:$Q,"&lt;=-181",'Data Additive'!$Q:$Q,"&gt;=-360")</f>
        <v>0</v>
      </c>
      <c r="V79" s="23">
        <f>SUMIFS('Data Additive'!$D:$D,'Data Additive'!$P:$P,'Painel Additive'!$B20,'Data Additive'!$Q:$Q,"&lt;-360")</f>
        <v>0</v>
      </c>
      <c r="W79" s="19" t="e">
        <f>SUMIFS('Bad Debt Provision'!#REF!,'Bad Debt Provision'!#REF!,'Painel Additive'!$B20)</f>
        <v>#REF!</v>
      </c>
      <c r="X79" s="5"/>
      <c r="Y79" s="20"/>
      <c r="Z79" s="20"/>
      <c r="AA79" s="21"/>
      <c r="AB79" s="5"/>
      <c r="AC79" s="19"/>
      <c r="AD79" s="20"/>
      <c r="AE79" s="22"/>
      <c r="AF79" s="22"/>
      <c r="AG79" s="5"/>
      <c r="AH79" s="28">
        <f t="shared" si="13"/>
        <v>0</v>
      </c>
      <c r="AI79" s="5"/>
    </row>
    <row r="80" spans="2:35" x14ac:dyDescent="0.25">
      <c r="B80" s="17" t="s">
        <v>38</v>
      </c>
      <c r="C80" s="93" t="str" cm="1">
        <f t="array" ref="C80">IFERROR(INDEX('Limite de crédito'!$D:$D, MATCH(MAX(IF('Limite de crédito'!$C:$C=$B80, 'Limite de crédito'!$A:$A)), 'Limite de crédito'!$A:$A, 0)),"")</f>
        <v/>
      </c>
      <c r="D80" s="18" cm="1">
        <f t="array" ref="D80">IFERROR(INDEX('Limite de crédito'!$F:$F, MATCH(MAX(IF('Limite de crédito'!$C:$C=$B80, 'Limite de crédito'!$A:$A)), 'Limite de crédito'!$A:$A, 0)),0)</f>
        <v>0</v>
      </c>
      <c r="E80" s="18">
        <f t="shared" si="10"/>
        <v>0</v>
      </c>
      <c r="F80" s="18">
        <f t="shared" si="11"/>
        <v>0</v>
      </c>
      <c r="G80" s="19">
        <f>SUMIFS('Data Additive'!$D:$D,'Data Additive'!$P:$P,'Painel Additive'!#REF!,'Data Additive'!$Q:$Q,"&gt;0",'Data Additive'!$Q:$Q,"&lt;=30")</f>
        <v>0</v>
      </c>
      <c r="H80" s="19">
        <f>SUMIFS('Data Additive'!$D:$D,'Data Additive'!$P:$P,'Painel Additive'!#REF!,'Data Additive'!$Q:$Q,"&gt;30",'Data Additive'!$Q:$Q,"&lt;=60")</f>
        <v>0</v>
      </c>
      <c r="I80" s="19">
        <f>SUMIFS('Data Additive'!$D:$D,'Data Additive'!$P:$P,'Painel Additive'!#REF!,'Data Additive'!$Q:$Q,"&gt;60",'Data Additive'!$Q:$Q,"&lt;=90")</f>
        <v>0</v>
      </c>
      <c r="J80" s="19">
        <f>SUMIFS('Data Additive'!$D:$D,'Data Additive'!$P:$P,'Painel Additive'!#REF!,'Data Additive'!$Q:$Q,"&gt;90",'Data Additive'!$Q:$Q,"&lt;=120")</f>
        <v>0</v>
      </c>
      <c r="K80" s="19">
        <f>SUMIFS('Data Additive'!$D:$D,'Data Additive'!$P:$P,'Painel Additive'!#REF!,'Data Additive'!$Q:$Q,"&gt;120",'Data Additive'!$Q:$Q,"&lt;=180")</f>
        <v>0</v>
      </c>
      <c r="L80" s="19">
        <f>SUMIFS('Data Additive'!$D:$D,'Data Additive'!$P:$P,'Painel Additive'!#REF!,'Data Additive'!$Q:$Q,"&gt;180",'Data Additive'!$Q:$Q,"&lt;=360")</f>
        <v>0</v>
      </c>
      <c r="M80" s="23">
        <f>SUMIFS('Data Additive'!$D:$D,'Data Additive'!$P:$P,'Painel Additive'!#REF!,'Data Additive'!$Q:$Q,"&gt;360")</f>
        <v>0</v>
      </c>
      <c r="N80" s="19">
        <f>SUMIFS('Data Additive'!$D:$D,'Data Additive'!$P:$P,'Painel Additive'!#REF!,'Data Additive'!$Q:$Q,"&gt;0")</f>
        <v>0</v>
      </c>
      <c r="O80" s="19">
        <f t="shared" si="12"/>
        <v>0</v>
      </c>
      <c r="P80" s="19">
        <f>SUMIFS('Data Additive'!$D:$D,'Data Additive'!$P:$P,'Painel Additive'!#REF!,'Data Additive'!$Q:$Q,"&lt;=0",'Data Additive'!$Q:$Q,"&gt;=-30")</f>
        <v>0</v>
      </c>
      <c r="Q80" s="19">
        <f>SUMIFS('Data Additive'!$D:$D,'Data Additive'!$P:$P,'Painel Additive'!#REF!,'Data Additive'!$Q:$Q,"&lt;=-31",'Data Additive'!$Q:$Q,"&gt;=-60")</f>
        <v>0</v>
      </c>
      <c r="R80" s="19">
        <f>SUMIFS('Data Additive'!$D:$D,'Data Additive'!$P:$P,'Painel Additive'!#REF!,'Data Additive'!$Q:$Q,"&lt;=-61",'Data Additive'!$Q:$Q,"&gt;=-90")</f>
        <v>0</v>
      </c>
      <c r="S80" s="19">
        <f>SUMIFS('Data Additive'!$D:$D,'Data Additive'!$P:$P,'Painel Additive'!#REF!,'Data Additive'!$Q:$Q,"&lt;=-91",'Data Additive'!$Q:$Q,"&gt;=-120")</f>
        <v>0</v>
      </c>
      <c r="T80" s="19">
        <f>SUMIFS('Data Additive'!$D:$D,'Data Additive'!$P:$P,'Painel Additive'!#REF!,'Data Additive'!$Q:$Q,"&lt;=-121",'Data Additive'!$Q:$Q,"&gt;=-180")</f>
        <v>0</v>
      </c>
      <c r="U80" s="19">
        <f>SUMIFS('Data Additive'!$D:$D,'Data Additive'!$P:$P,'Painel Additive'!#REF!,'Data Additive'!$Q:$Q,"&lt;=-181",'Data Additive'!$Q:$Q,"&gt;=-360")</f>
        <v>0</v>
      </c>
      <c r="V80" s="23">
        <f>SUMIFS('Data Additive'!$D:$D,'Data Additive'!$P:$P,'Painel Additive'!#REF!,'Data Additive'!$Q:$Q,"&lt;-360")</f>
        <v>0</v>
      </c>
      <c r="W80" s="19" t="e">
        <f>SUMIFS('Bad Debt Provision'!#REF!,'Bad Debt Provision'!#REF!,'Painel Additive'!#REF!)</f>
        <v>#REF!</v>
      </c>
      <c r="X80" s="5"/>
      <c r="Y80" s="20"/>
      <c r="Z80" s="20"/>
      <c r="AA80" s="21"/>
      <c r="AB80" s="5"/>
      <c r="AC80" s="19"/>
      <c r="AD80" s="20"/>
      <c r="AE80" s="22"/>
      <c r="AF80" s="22"/>
      <c r="AG80" s="5"/>
      <c r="AH80" s="28">
        <f t="shared" si="13"/>
        <v>0</v>
      </c>
      <c r="AI80" s="5"/>
    </row>
    <row r="81" spans="2:35" x14ac:dyDescent="0.25">
      <c r="B81" s="17" t="s">
        <v>55</v>
      </c>
      <c r="C81" s="93" t="str" cm="1">
        <f t="array" ref="C81">IFERROR(INDEX('Limite de crédito'!$D:$D, MATCH(MAX(IF('Limite de crédito'!$C:$C=$B81, 'Limite de crédito'!$A:$A)), 'Limite de crédito'!$A:$A, 0)),"")</f>
        <v/>
      </c>
      <c r="D81" s="18" cm="1">
        <f t="array" ref="D81">IFERROR(INDEX('Limite de crédito'!$F:$F, MATCH(MAX(IF('Limite de crédito'!$C:$C=$B81, 'Limite de crédito'!$A:$A)), 'Limite de crédito'!$A:$A, 0)),0)</f>
        <v>0</v>
      </c>
      <c r="E81" s="18">
        <f t="shared" si="10"/>
        <v>0</v>
      </c>
      <c r="F81" s="18">
        <f t="shared" si="11"/>
        <v>0</v>
      </c>
      <c r="G81" s="19">
        <f>SUMIFS('Data Additive'!$D:$D,'Data Additive'!$P:$P,'Painel Additive'!$B22,'Data Additive'!$Q:$Q,"&gt;0",'Data Additive'!$Q:$Q,"&lt;=30")</f>
        <v>0</v>
      </c>
      <c r="H81" s="19">
        <f>SUMIFS('Data Additive'!$D:$D,'Data Additive'!$P:$P,'Painel Additive'!$B22,'Data Additive'!$Q:$Q,"&gt;30",'Data Additive'!$Q:$Q,"&lt;=60")</f>
        <v>0</v>
      </c>
      <c r="I81" s="19">
        <f>SUMIFS('Data Additive'!$D:$D,'Data Additive'!$P:$P,'Painel Additive'!$B22,'Data Additive'!$Q:$Q,"&gt;60",'Data Additive'!$Q:$Q,"&lt;=90")</f>
        <v>0</v>
      </c>
      <c r="J81" s="19">
        <f>SUMIFS('Data Additive'!$D:$D,'Data Additive'!$P:$P,'Painel Additive'!$B22,'Data Additive'!$Q:$Q,"&gt;90",'Data Additive'!$Q:$Q,"&lt;=120")</f>
        <v>0</v>
      </c>
      <c r="K81" s="19">
        <f>SUMIFS('Data Additive'!$D:$D,'Data Additive'!$P:$P,'Painel Additive'!$B22,'Data Additive'!$Q:$Q,"&gt;120",'Data Additive'!$Q:$Q,"&lt;=180")</f>
        <v>0</v>
      </c>
      <c r="L81" s="19">
        <f>SUMIFS('Data Additive'!$D:$D,'Data Additive'!$P:$P,'Painel Additive'!$B22,'Data Additive'!$Q:$Q,"&gt;180",'Data Additive'!$Q:$Q,"&lt;=360")</f>
        <v>0</v>
      </c>
      <c r="M81" s="23">
        <f>SUMIFS('Data Additive'!$D:$D,'Data Additive'!$P:$P,'Painel Additive'!$B22,'Data Additive'!$Q:$Q,"&gt;360")</f>
        <v>0</v>
      </c>
      <c r="N81" s="19">
        <f>SUMIFS('Data Additive'!$D:$D,'Data Additive'!$P:$P,'Painel Additive'!$B22,'Data Additive'!$Q:$Q,"&gt;0")</f>
        <v>0</v>
      </c>
      <c r="O81" s="19">
        <f t="shared" si="12"/>
        <v>0</v>
      </c>
      <c r="P81" s="19">
        <f>SUMIFS('Data Additive'!$D:$D,'Data Additive'!$P:$P,'Painel Additive'!$B22,'Data Additive'!$Q:$Q,"&lt;=0",'Data Additive'!$Q:$Q,"&gt;=-30")</f>
        <v>0</v>
      </c>
      <c r="Q81" s="19">
        <f>SUMIFS('Data Additive'!$D:$D,'Data Additive'!$P:$P,'Painel Additive'!$B22,'Data Additive'!$Q:$Q,"&lt;=-31",'Data Additive'!$Q:$Q,"&gt;=-60")</f>
        <v>0</v>
      </c>
      <c r="R81" s="19">
        <f>SUMIFS('Data Additive'!$D:$D,'Data Additive'!$P:$P,'Painel Additive'!$B22,'Data Additive'!$Q:$Q,"&lt;=-61",'Data Additive'!$Q:$Q,"&gt;=-90")</f>
        <v>0</v>
      </c>
      <c r="S81" s="19">
        <f>SUMIFS('Data Additive'!$D:$D,'Data Additive'!$P:$P,'Painel Additive'!$B22,'Data Additive'!$Q:$Q,"&lt;=-91",'Data Additive'!$Q:$Q,"&gt;=-120")</f>
        <v>0</v>
      </c>
      <c r="T81" s="19">
        <f>SUMIFS('Data Additive'!$D:$D,'Data Additive'!$P:$P,'Painel Additive'!$B22,'Data Additive'!$Q:$Q,"&lt;=-121",'Data Additive'!$Q:$Q,"&gt;=-180")</f>
        <v>0</v>
      </c>
      <c r="U81" s="19">
        <f>SUMIFS('Data Additive'!$D:$D,'Data Additive'!$P:$P,'Painel Additive'!$B22,'Data Additive'!$Q:$Q,"&lt;=-181",'Data Additive'!$Q:$Q,"&gt;=-360")</f>
        <v>0</v>
      </c>
      <c r="V81" s="23">
        <f>SUMIFS('Data Additive'!$D:$D,'Data Additive'!$P:$P,'Painel Additive'!$B22,'Data Additive'!$Q:$Q,"&lt;-360")</f>
        <v>0</v>
      </c>
      <c r="W81" s="19" t="e">
        <f>SUMIFS('Bad Debt Provision'!#REF!,'Bad Debt Provision'!#REF!,'Painel Additive'!$B22)</f>
        <v>#REF!</v>
      </c>
      <c r="X81" s="5"/>
      <c r="Y81" s="20"/>
      <c r="Z81" s="20"/>
      <c r="AA81" s="21"/>
      <c r="AB81" s="5"/>
      <c r="AC81" s="19"/>
      <c r="AD81" s="20"/>
      <c r="AE81" s="22"/>
      <c r="AF81" s="22"/>
      <c r="AG81" s="5"/>
      <c r="AH81" s="28">
        <f t="shared" si="13"/>
        <v>0</v>
      </c>
      <c r="AI81" s="5"/>
    </row>
    <row r="82" spans="2:35" x14ac:dyDescent="0.25">
      <c r="B82" s="17" t="s">
        <v>56</v>
      </c>
      <c r="C82" s="93" t="str" cm="1">
        <f t="array" ref="C82">IFERROR(INDEX('Limite de crédito'!$D:$D, MATCH(MAX(IF('Limite de crédito'!$C:$C=$B82, 'Limite de crédito'!$A:$A)), 'Limite de crédito'!$A:$A, 0)),"")</f>
        <v/>
      </c>
      <c r="D82" s="18" cm="1">
        <f t="array" ref="D82">IFERROR(INDEX('Limite de crédito'!$F:$F, MATCH(MAX(IF('Limite de crédito'!$C:$C=$B82, 'Limite de crédito'!$A:$A)), 'Limite de crédito'!$A:$A, 0)),0)</f>
        <v>0</v>
      </c>
      <c r="E82" s="18">
        <f t="shared" si="10"/>
        <v>0</v>
      </c>
      <c r="F82" s="18">
        <f t="shared" si="11"/>
        <v>0</v>
      </c>
      <c r="G82" s="19">
        <f>SUMIFS('Data Additive'!$D:$D,'Data Additive'!$P:$P,'Painel Additive'!$B23,'Data Additive'!$Q:$Q,"&gt;0",'Data Additive'!$Q:$Q,"&lt;=30")</f>
        <v>0</v>
      </c>
      <c r="H82" s="19">
        <f>SUMIFS('Data Additive'!$D:$D,'Data Additive'!$P:$P,'Painel Additive'!$B23,'Data Additive'!$Q:$Q,"&gt;30",'Data Additive'!$Q:$Q,"&lt;=60")</f>
        <v>0</v>
      </c>
      <c r="I82" s="19">
        <f>SUMIFS('Data Additive'!$D:$D,'Data Additive'!$P:$P,'Painel Additive'!$B23,'Data Additive'!$Q:$Q,"&gt;60",'Data Additive'!$Q:$Q,"&lt;=90")</f>
        <v>0</v>
      </c>
      <c r="J82" s="19">
        <f>SUMIFS('Data Additive'!$D:$D,'Data Additive'!$P:$P,'Painel Additive'!$B23,'Data Additive'!$Q:$Q,"&gt;90",'Data Additive'!$Q:$Q,"&lt;=120")</f>
        <v>0</v>
      </c>
      <c r="K82" s="19">
        <f>SUMIFS('Data Additive'!$D:$D,'Data Additive'!$P:$P,'Painel Additive'!$B23,'Data Additive'!$Q:$Q,"&gt;120",'Data Additive'!$Q:$Q,"&lt;=180")</f>
        <v>0</v>
      </c>
      <c r="L82" s="19">
        <f>SUMIFS('Data Additive'!$D:$D,'Data Additive'!$P:$P,'Painel Additive'!$B23,'Data Additive'!$Q:$Q,"&gt;180",'Data Additive'!$Q:$Q,"&lt;=360")</f>
        <v>0</v>
      </c>
      <c r="M82" s="23">
        <f>SUMIFS('Data Additive'!$D:$D,'Data Additive'!$P:$P,'Painel Additive'!$B23,'Data Additive'!$Q:$Q,"&gt;360")</f>
        <v>0</v>
      </c>
      <c r="N82" s="19">
        <f>SUMIFS('Data Additive'!$D:$D,'Data Additive'!$P:$P,'Painel Additive'!$B23,'Data Additive'!$Q:$Q,"&gt;0")</f>
        <v>0</v>
      </c>
      <c r="O82" s="19">
        <f t="shared" si="12"/>
        <v>0</v>
      </c>
      <c r="P82" s="19">
        <f>SUMIFS('Data Additive'!$D:$D,'Data Additive'!$P:$P,'Painel Additive'!$B23,'Data Additive'!$Q:$Q,"&lt;=0",'Data Additive'!$Q:$Q,"&gt;=-30")</f>
        <v>0</v>
      </c>
      <c r="Q82" s="19">
        <f>SUMIFS('Data Additive'!$D:$D,'Data Additive'!$P:$P,'Painel Additive'!$B23,'Data Additive'!$Q:$Q,"&lt;=-31",'Data Additive'!$Q:$Q,"&gt;=-60")</f>
        <v>0</v>
      </c>
      <c r="R82" s="19">
        <f>SUMIFS('Data Additive'!$D:$D,'Data Additive'!$P:$P,'Painel Additive'!$B23,'Data Additive'!$Q:$Q,"&lt;=-61",'Data Additive'!$Q:$Q,"&gt;=-90")</f>
        <v>0</v>
      </c>
      <c r="S82" s="19">
        <f>SUMIFS('Data Additive'!$D:$D,'Data Additive'!$P:$P,'Painel Additive'!$B23,'Data Additive'!$Q:$Q,"&lt;=-91",'Data Additive'!$Q:$Q,"&gt;=-120")</f>
        <v>0</v>
      </c>
      <c r="T82" s="19">
        <f>SUMIFS('Data Additive'!$D:$D,'Data Additive'!$P:$P,'Painel Additive'!$B23,'Data Additive'!$Q:$Q,"&lt;=-121",'Data Additive'!$Q:$Q,"&gt;=-180")</f>
        <v>0</v>
      </c>
      <c r="U82" s="19">
        <f>SUMIFS('Data Additive'!$D:$D,'Data Additive'!$P:$P,'Painel Additive'!$B23,'Data Additive'!$Q:$Q,"&lt;=-181",'Data Additive'!$Q:$Q,"&gt;=-360")</f>
        <v>0</v>
      </c>
      <c r="V82" s="23">
        <f>SUMIFS('Data Additive'!$D:$D,'Data Additive'!$P:$P,'Painel Additive'!$B23,'Data Additive'!$Q:$Q,"&lt;-360")</f>
        <v>0</v>
      </c>
      <c r="W82" s="19" t="e">
        <f>SUMIFS('Bad Debt Provision'!#REF!,'Bad Debt Provision'!#REF!,'Painel Additive'!$B23)</f>
        <v>#REF!</v>
      </c>
      <c r="X82" s="5"/>
      <c r="Y82" s="20"/>
      <c r="Z82" s="20"/>
      <c r="AA82" s="21"/>
      <c r="AB82" s="5"/>
      <c r="AC82" s="19"/>
      <c r="AD82" s="20"/>
      <c r="AE82" s="22"/>
      <c r="AF82" s="22"/>
      <c r="AG82" s="5"/>
      <c r="AH82" s="28">
        <f t="shared" si="13"/>
        <v>0</v>
      </c>
      <c r="AI82" s="5"/>
    </row>
    <row r="83" spans="2:35" x14ac:dyDescent="0.25">
      <c r="B83" s="17" t="s">
        <v>46</v>
      </c>
      <c r="C83" s="93" t="str" cm="1">
        <f t="array" ref="C83">IFERROR(INDEX('Limite de crédito'!$D:$D, MATCH(MAX(IF('Limite de crédito'!$C:$C=$B83, 'Limite de crédito'!$A:$A)), 'Limite de crédito'!$A:$A, 0)),"")</f>
        <v/>
      </c>
      <c r="D83" s="18" cm="1">
        <f t="array" ref="D83">IFERROR(INDEX('Limite de crédito'!$F:$F, MATCH(MAX(IF('Limite de crédito'!$C:$C=$B83, 'Limite de crédito'!$A:$A)), 'Limite de crédito'!$A:$A, 0)),0)</f>
        <v>0</v>
      </c>
      <c r="E83" s="18">
        <f t="shared" si="10"/>
        <v>-120000</v>
      </c>
      <c r="F83" s="18">
        <f t="shared" si="11"/>
        <v>120000</v>
      </c>
      <c r="G83" s="19">
        <f>SUMIFS('Data Additive'!$D:$D,'Data Additive'!$P:$P,'Painel Additive'!$B24,'Data Additive'!$Q:$Q,"&gt;0",'Data Additive'!$Q:$Q,"&lt;=30")</f>
        <v>0</v>
      </c>
      <c r="H83" s="19">
        <f>SUMIFS('Data Additive'!$D:$D,'Data Additive'!$P:$P,'Painel Additive'!$B24,'Data Additive'!$Q:$Q,"&gt;30",'Data Additive'!$Q:$Q,"&lt;=60")</f>
        <v>0</v>
      </c>
      <c r="I83" s="19">
        <f>SUMIFS('Data Additive'!$D:$D,'Data Additive'!$P:$P,'Painel Additive'!$B24,'Data Additive'!$Q:$Q,"&gt;60",'Data Additive'!$Q:$Q,"&lt;=90")</f>
        <v>0</v>
      </c>
      <c r="J83" s="19">
        <f>SUMIFS('Data Additive'!$D:$D,'Data Additive'!$P:$P,'Painel Additive'!$B24,'Data Additive'!$Q:$Q,"&gt;90",'Data Additive'!$Q:$Q,"&lt;=120")</f>
        <v>0</v>
      </c>
      <c r="K83" s="19">
        <f>SUMIFS('Data Additive'!$D:$D,'Data Additive'!$P:$P,'Painel Additive'!$B24,'Data Additive'!$Q:$Q,"&gt;120",'Data Additive'!$Q:$Q,"&lt;=180")</f>
        <v>0</v>
      </c>
      <c r="L83" s="19">
        <f>SUMIFS('Data Additive'!$D:$D,'Data Additive'!$P:$P,'Painel Additive'!$B24,'Data Additive'!$Q:$Q,"&gt;180",'Data Additive'!$Q:$Q,"&lt;=360")</f>
        <v>0</v>
      </c>
      <c r="M83" s="23">
        <f>SUMIFS('Data Additive'!$D:$D,'Data Additive'!$P:$P,'Painel Additive'!$B24,'Data Additive'!$Q:$Q,"&gt;360")</f>
        <v>0</v>
      </c>
      <c r="N83" s="19">
        <f>SUMIFS('Data Additive'!$D:$D,'Data Additive'!$P:$P,'Painel Additive'!$B24,'Data Additive'!$Q:$Q,"&gt;0")</f>
        <v>0</v>
      </c>
      <c r="O83" s="19">
        <f t="shared" si="12"/>
        <v>120000</v>
      </c>
      <c r="P83" s="19">
        <f>SUMIFS('Data Additive'!$D:$D,'Data Additive'!$P:$P,'Painel Additive'!$B24,'Data Additive'!$Q:$Q,"&lt;=0",'Data Additive'!$Q:$Q,"&gt;=-30")</f>
        <v>120000</v>
      </c>
      <c r="Q83" s="19">
        <f>SUMIFS('Data Additive'!$D:$D,'Data Additive'!$P:$P,'Painel Additive'!$B24,'Data Additive'!$Q:$Q,"&lt;=-31",'Data Additive'!$Q:$Q,"&gt;=-60")</f>
        <v>0</v>
      </c>
      <c r="R83" s="19">
        <f>SUMIFS('Data Additive'!$D:$D,'Data Additive'!$P:$P,'Painel Additive'!$B24,'Data Additive'!$Q:$Q,"&lt;=-61",'Data Additive'!$Q:$Q,"&gt;=-90")</f>
        <v>0</v>
      </c>
      <c r="S83" s="19">
        <f>SUMIFS('Data Additive'!$D:$D,'Data Additive'!$P:$P,'Painel Additive'!$B24,'Data Additive'!$Q:$Q,"&lt;=-91",'Data Additive'!$Q:$Q,"&gt;=-120")</f>
        <v>0</v>
      </c>
      <c r="T83" s="19">
        <f>SUMIFS('Data Additive'!$D:$D,'Data Additive'!$P:$P,'Painel Additive'!$B24,'Data Additive'!$Q:$Q,"&lt;=-121",'Data Additive'!$Q:$Q,"&gt;=-180")</f>
        <v>0</v>
      </c>
      <c r="U83" s="19">
        <f>SUMIFS('Data Additive'!$D:$D,'Data Additive'!$P:$P,'Painel Additive'!$B24,'Data Additive'!$Q:$Q,"&lt;=-181",'Data Additive'!$Q:$Q,"&gt;=-360")</f>
        <v>0</v>
      </c>
      <c r="V83" s="23">
        <f>SUMIFS('Data Additive'!$D:$D,'Data Additive'!$P:$P,'Painel Additive'!$B24,'Data Additive'!$Q:$Q,"&lt;-360")</f>
        <v>0</v>
      </c>
      <c r="W83" s="19" t="e">
        <f>SUMIFS('Bad Debt Provision'!#REF!,'Bad Debt Provision'!#REF!,'Painel Additive'!$B24)</f>
        <v>#REF!</v>
      </c>
      <c r="X83" s="5"/>
      <c r="Y83" s="20"/>
      <c r="Z83" s="20"/>
      <c r="AA83" s="21"/>
      <c r="AB83" s="5"/>
      <c r="AC83" s="19"/>
      <c r="AD83" s="20"/>
      <c r="AE83" s="22"/>
      <c r="AF83" s="22"/>
      <c r="AG83" s="5"/>
      <c r="AH83" s="28">
        <f t="shared" si="13"/>
        <v>-120000</v>
      </c>
      <c r="AI83" s="5"/>
    </row>
    <row r="84" spans="2:35" x14ac:dyDescent="0.25">
      <c r="B84" s="17" t="s">
        <v>60</v>
      </c>
      <c r="C84" s="93" t="str" cm="1">
        <f t="array" ref="C84">IFERROR(INDEX('Limite de crédito'!$D:$D, MATCH(MAX(IF('Limite de crédito'!$C:$C=$B84, 'Limite de crédito'!$A:$A)), 'Limite de crédito'!$A:$A, 0)),"")</f>
        <v/>
      </c>
      <c r="D84" s="18" cm="1">
        <f t="array" ref="D84">IFERROR(INDEX('Limite de crédito'!$F:$F, MATCH(MAX(IF('Limite de crédito'!$C:$C=$B84, 'Limite de crédito'!$A:$A)), 'Limite de crédito'!$A:$A, 0)),0)</f>
        <v>0</v>
      </c>
      <c r="E84" s="18">
        <f t="shared" si="10"/>
        <v>0</v>
      </c>
      <c r="F84" s="18">
        <f t="shared" si="11"/>
        <v>0</v>
      </c>
      <c r="G84" s="19">
        <f>SUMIFS('Data Additive'!$D:$D,'Data Additive'!$P:$P,'Painel Additive'!#REF!,'Data Additive'!$Q:$Q,"&gt;0",'Data Additive'!$Q:$Q,"&lt;=30")</f>
        <v>0</v>
      </c>
      <c r="H84" s="19">
        <f>SUMIFS('Data Additive'!$D:$D,'Data Additive'!$P:$P,'Painel Additive'!#REF!,'Data Additive'!$Q:$Q,"&gt;30",'Data Additive'!$Q:$Q,"&lt;=60")</f>
        <v>0</v>
      </c>
      <c r="I84" s="19">
        <f>SUMIFS('Data Additive'!$D:$D,'Data Additive'!$P:$P,'Painel Additive'!#REF!,'Data Additive'!$Q:$Q,"&gt;60",'Data Additive'!$Q:$Q,"&lt;=90")</f>
        <v>0</v>
      </c>
      <c r="J84" s="19">
        <f>SUMIFS('Data Additive'!$D:$D,'Data Additive'!$P:$P,'Painel Additive'!#REF!,'Data Additive'!$Q:$Q,"&gt;90",'Data Additive'!$Q:$Q,"&lt;=120")</f>
        <v>0</v>
      </c>
      <c r="K84" s="19">
        <f>SUMIFS('Data Additive'!$D:$D,'Data Additive'!$P:$P,'Painel Additive'!#REF!,'Data Additive'!$Q:$Q,"&gt;120",'Data Additive'!$Q:$Q,"&lt;=180")</f>
        <v>0</v>
      </c>
      <c r="L84" s="19">
        <f>SUMIFS('Data Additive'!$D:$D,'Data Additive'!$P:$P,'Painel Additive'!#REF!,'Data Additive'!$Q:$Q,"&gt;180",'Data Additive'!$Q:$Q,"&lt;=360")</f>
        <v>0</v>
      </c>
      <c r="M84" s="23">
        <f>SUMIFS('Data Additive'!$D:$D,'Data Additive'!$P:$P,'Painel Additive'!#REF!,'Data Additive'!$Q:$Q,"&gt;360")</f>
        <v>0</v>
      </c>
      <c r="N84" s="19">
        <f>SUMIFS('Data Additive'!$D:$D,'Data Additive'!$P:$P,'Painel Additive'!#REF!,'Data Additive'!$Q:$Q,"&gt;0")</f>
        <v>0</v>
      </c>
      <c r="O84" s="19">
        <f t="shared" si="12"/>
        <v>0</v>
      </c>
      <c r="P84" s="19">
        <f>SUMIFS('Data Additive'!$D:$D,'Data Additive'!$P:$P,'Painel Additive'!#REF!,'Data Additive'!$Q:$Q,"&lt;=0",'Data Additive'!$Q:$Q,"&gt;=-30")</f>
        <v>0</v>
      </c>
      <c r="Q84" s="19">
        <f>SUMIFS('Data Additive'!$D:$D,'Data Additive'!$P:$P,'Painel Additive'!#REF!,'Data Additive'!$Q:$Q,"&lt;=-31",'Data Additive'!$Q:$Q,"&gt;=-60")</f>
        <v>0</v>
      </c>
      <c r="R84" s="19">
        <f>SUMIFS('Data Additive'!$D:$D,'Data Additive'!$P:$P,'Painel Additive'!#REF!,'Data Additive'!$Q:$Q,"&lt;=-61",'Data Additive'!$Q:$Q,"&gt;=-90")</f>
        <v>0</v>
      </c>
      <c r="S84" s="19">
        <f>SUMIFS('Data Additive'!$D:$D,'Data Additive'!$P:$P,'Painel Additive'!#REF!,'Data Additive'!$Q:$Q,"&lt;=-91",'Data Additive'!$Q:$Q,"&gt;=-120")</f>
        <v>0</v>
      </c>
      <c r="T84" s="19">
        <f>SUMIFS('Data Additive'!$D:$D,'Data Additive'!$P:$P,'Painel Additive'!#REF!,'Data Additive'!$Q:$Q,"&lt;=-121",'Data Additive'!$Q:$Q,"&gt;=-180")</f>
        <v>0</v>
      </c>
      <c r="U84" s="19">
        <f>SUMIFS('Data Additive'!$D:$D,'Data Additive'!$P:$P,'Painel Additive'!#REF!,'Data Additive'!$Q:$Q,"&lt;=-181",'Data Additive'!$Q:$Q,"&gt;=-360")</f>
        <v>0</v>
      </c>
      <c r="V84" s="23">
        <f>SUMIFS('Data Additive'!$D:$D,'Data Additive'!$P:$P,'Painel Additive'!#REF!,'Data Additive'!$Q:$Q,"&lt;-360")</f>
        <v>0</v>
      </c>
      <c r="W84" s="19" t="e">
        <f>SUMIFS('Bad Debt Provision'!#REF!,'Bad Debt Provision'!#REF!,'Painel Additive'!#REF!)</f>
        <v>#REF!</v>
      </c>
      <c r="X84" s="5"/>
      <c r="Y84" s="20"/>
      <c r="Z84" s="20"/>
      <c r="AA84" s="21"/>
      <c r="AB84" s="5"/>
      <c r="AC84" s="19"/>
      <c r="AD84" s="20"/>
      <c r="AE84" s="22"/>
      <c r="AF84" s="22"/>
      <c r="AG84" s="5"/>
      <c r="AH84" s="28">
        <f t="shared" si="13"/>
        <v>0</v>
      </c>
      <c r="AI84" s="5"/>
    </row>
    <row r="85" spans="2:35" x14ac:dyDescent="0.25">
      <c r="B85" s="17" t="s">
        <v>167</v>
      </c>
      <c r="C85" s="93" t="str" cm="1">
        <f t="array" ref="C85">IFERROR(INDEX('Limite de crédito'!$D:$D, MATCH(MAX(IF('Limite de crédito'!$C:$C=$B85, 'Limite de crédito'!$A:$A)), 'Limite de crédito'!$A:$A, 0)),"")</f>
        <v/>
      </c>
      <c r="D85" s="18" cm="1">
        <f t="array" ref="D85">IFERROR(INDEX('Limite de crédito'!$F:$F, MATCH(MAX(IF('Limite de crédito'!$C:$C=$B85, 'Limite de crédito'!$A:$A)), 'Limite de crédito'!$A:$A, 0)),0)</f>
        <v>0</v>
      </c>
      <c r="E85" s="18">
        <f t="shared" si="10"/>
        <v>0</v>
      </c>
      <c r="F85" s="18">
        <f t="shared" si="11"/>
        <v>0</v>
      </c>
      <c r="G85" s="19">
        <f>SUMIFS('Data Additive'!$D:$D,'Data Additive'!$P:$P,'Painel Additive'!#REF!,'Data Additive'!$Q:$Q,"&gt;0",'Data Additive'!$Q:$Q,"&lt;=30")</f>
        <v>0</v>
      </c>
      <c r="H85" s="19">
        <f>SUMIFS('Data Additive'!$D:$D,'Data Additive'!$P:$P,'Painel Additive'!#REF!,'Data Additive'!$Q:$Q,"&gt;30",'Data Additive'!$Q:$Q,"&lt;=60")</f>
        <v>0</v>
      </c>
      <c r="I85" s="19">
        <f>SUMIFS('Data Additive'!$D:$D,'Data Additive'!$P:$P,'Painel Additive'!#REF!,'Data Additive'!$Q:$Q,"&gt;60",'Data Additive'!$Q:$Q,"&lt;=90")</f>
        <v>0</v>
      </c>
      <c r="J85" s="19">
        <f>SUMIFS('Data Additive'!$D:$D,'Data Additive'!$P:$P,'Painel Additive'!#REF!,'Data Additive'!$Q:$Q,"&gt;90",'Data Additive'!$Q:$Q,"&lt;=120")</f>
        <v>0</v>
      </c>
      <c r="K85" s="19">
        <f>SUMIFS('Data Additive'!$D:$D,'Data Additive'!$P:$P,'Painel Additive'!#REF!,'Data Additive'!$Q:$Q,"&gt;120",'Data Additive'!$Q:$Q,"&lt;=180")</f>
        <v>0</v>
      </c>
      <c r="L85" s="19">
        <f>SUMIFS('Data Additive'!$D:$D,'Data Additive'!$P:$P,'Painel Additive'!#REF!,'Data Additive'!$Q:$Q,"&gt;180",'Data Additive'!$Q:$Q,"&lt;=360")</f>
        <v>0</v>
      </c>
      <c r="M85" s="23">
        <f>SUMIFS('Data Additive'!$D:$D,'Data Additive'!$P:$P,'Painel Additive'!#REF!,'Data Additive'!$Q:$Q,"&gt;360")</f>
        <v>0</v>
      </c>
      <c r="N85" s="19">
        <f>SUMIFS('Data Additive'!$D:$D,'Data Additive'!$P:$P,'Painel Additive'!#REF!,'Data Additive'!$Q:$Q,"&gt;0")</f>
        <v>0</v>
      </c>
      <c r="O85" s="19">
        <f t="shared" si="12"/>
        <v>0</v>
      </c>
      <c r="P85" s="19">
        <f>SUMIFS('Data Additive'!$D:$D,'Data Additive'!$P:$P,'Painel Additive'!#REF!,'Data Additive'!$Q:$Q,"&lt;=0",'Data Additive'!$Q:$Q,"&gt;=-30")</f>
        <v>0</v>
      </c>
      <c r="Q85" s="19">
        <f>SUMIFS('Data Additive'!$D:$D,'Data Additive'!$P:$P,'Painel Additive'!#REF!,'Data Additive'!$Q:$Q,"&lt;=-31",'Data Additive'!$Q:$Q,"&gt;=-60")</f>
        <v>0</v>
      </c>
      <c r="R85" s="19">
        <f>SUMIFS('Data Additive'!$D:$D,'Data Additive'!$P:$P,'Painel Additive'!#REF!,'Data Additive'!$Q:$Q,"&lt;=-61",'Data Additive'!$Q:$Q,"&gt;=-90")</f>
        <v>0</v>
      </c>
      <c r="S85" s="19">
        <f>SUMIFS('Data Additive'!$D:$D,'Data Additive'!$P:$P,'Painel Additive'!#REF!,'Data Additive'!$Q:$Q,"&lt;=-91",'Data Additive'!$Q:$Q,"&gt;=-120")</f>
        <v>0</v>
      </c>
      <c r="T85" s="19">
        <f>SUMIFS('Data Additive'!$D:$D,'Data Additive'!$P:$P,'Painel Additive'!#REF!,'Data Additive'!$Q:$Q,"&lt;=-121",'Data Additive'!$Q:$Q,"&gt;=-180")</f>
        <v>0</v>
      </c>
      <c r="U85" s="19">
        <f>SUMIFS('Data Additive'!$D:$D,'Data Additive'!$P:$P,'Painel Additive'!#REF!,'Data Additive'!$Q:$Q,"&lt;=-181",'Data Additive'!$Q:$Q,"&gt;=-360")</f>
        <v>0</v>
      </c>
      <c r="V85" s="23">
        <f>SUMIFS('Data Additive'!$D:$D,'Data Additive'!$P:$P,'Painel Additive'!#REF!,'Data Additive'!$Q:$Q,"&lt;-360")</f>
        <v>0</v>
      </c>
      <c r="W85" s="19" t="e">
        <f>SUMIFS('Bad Debt Provision'!#REF!,'Bad Debt Provision'!#REF!,'Painel Additive'!#REF!)</f>
        <v>#REF!</v>
      </c>
      <c r="X85" s="5"/>
      <c r="Y85" s="20"/>
      <c r="Z85" s="20"/>
      <c r="AA85" s="21"/>
      <c r="AB85" s="5"/>
      <c r="AC85" s="19"/>
      <c r="AD85" s="20"/>
      <c r="AE85" s="22"/>
      <c r="AF85" s="22"/>
      <c r="AG85" s="5"/>
      <c r="AH85" s="28">
        <f t="shared" si="13"/>
        <v>0</v>
      </c>
      <c r="AI85" s="5"/>
    </row>
    <row r="86" spans="2:35" x14ac:dyDescent="0.25">
      <c r="B86" s="17" t="s">
        <v>47</v>
      </c>
      <c r="C86" s="93" t="str" cm="1">
        <f t="array" ref="C86">IFERROR(INDEX('Limite de crédito'!$D:$D, MATCH(MAX(IF('Limite de crédito'!$C:$C=$B86, 'Limite de crédito'!$A:$A)), 'Limite de crédito'!$A:$A, 0)),"")</f>
        <v/>
      </c>
      <c r="D86" s="18" cm="1">
        <f t="array" ref="D86">IFERROR(INDEX('Limite de crédito'!$F:$F, MATCH(MAX(IF('Limite de crédito'!$C:$C=$B86, 'Limite de crédito'!$A:$A)), 'Limite de crédito'!$A:$A, 0)),0)</f>
        <v>0</v>
      </c>
      <c r="E86" s="18">
        <f t="shared" si="10"/>
        <v>0</v>
      </c>
      <c r="F86" s="18">
        <f t="shared" si="11"/>
        <v>0</v>
      </c>
      <c r="G86" s="19">
        <f>SUMIFS('Data Additive'!$D:$D,'Data Additive'!$P:$P,'Painel Additive'!#REF!,'Data Additive'!$Q:$Q,"&gt;0",'Data Additive'!$Q:$Q,"&lt;=30")</f>
        <v>0</v>
      </c>
      <c r="H86" s="19">
        <f>SUMIFS('Data Additive'!$D:$D,'Data Additive'!$P:$P,'Painel Additive'!#REF!,'Data Additive'!$Q:$Q,"&gt;30",'Data Additive'!$Q:$Q,"&lt;=60")</f>
        <v>0</v>
      </c>
      <c r="I86" s="19">
        <f>SUMIFS('Data Additive'!$D:$D,'Data Additive'!$P:$P,'Painel Additive'!#REF!,'Data Additive'!$Q:$Q,"&gt;60",'Data Additive'!$Q:$Q,"&lt;=90")</f>
        <v>0</v>
      </c>
      <c r="J86" s="19">
        <f>SUMIFS('Data Additive'!$D:$D,'Data Additive'!$P:$P,'Painel Additive'!#REF!,'Data Additive'!$Q:$Q,"&gt;90",'Data Additive'!$Q:$Q,"&lt;=120")</f>
        <v>0</v>
      </c>
      <c r="K86" s="19">
        <f>SUMIFS('Data Additive'!$D:$D,'Data Additive'!$P:$P,'Painel Additive'!#REF!,'Data Additive'!$Q:$Q,"&gt;120",'Data Additive'!$Q:$Q,"&lt;=180")</f>
        <v>0</v>
      </c>
      <c r="L86" s="19">
        <f>SUMIFS('Data Additive'!$D:$D,'Data Additive'!$P:$P,'Painel Additive'!#REF!,'Data Additive'!$Q:$Q,"&gt;180",'Data Additive'!$Q:$Q,"&lt;=360")</f>
        <v>0</v>
      </c>
      <c r="M86" s="23">
        <f>SUMIFS('Data Additive'!$D:$D,'Data Additive'!$P:$P,'Painel Additive'!#REF!,'Data Additive'!$Q:$Q,"&gt;360")</f>
        <v>0</v>
      </c>
      <c r="N86" s="19">
        <f>SUMIFS('Data Additive'!$D:$D,'Data Additive'!$P:$P,'Painel Additive'!#REF!,'Data Additive'!$Q:$Q,"&gt;0")</f>
        <v>0</v>
      </c>
      <c r="O86" s="19">
        <f t="shared" si="12"/>
        <v>0</v>
      </c>
      <c r="P86" s="19">
        <f>SUMIFS('Data Additive'!$D:$D,'Data Additive'!$P:$P,'Painel Additive'!#REF!,'Data Additive'!$Q:$Q,"&lt;=0",'Data Additive'!$Q:$Q,"&gt;=-30")</f>
        <v>0</v>
      </c>
      <c r="Q86" s="19">
        <f>SUMIFS('Data Additive'!$D:$D,'Data Additive'!$P:$P,'Painel Additive'!#REF!,'Data Additive'!$Q:$Q,"&lt;=-31",'Data Additive'!$Q:$Q,"&gt;=-60")</f>
        <v>0</v>
      </c>
      <c r="R86" s="19">
        <f>SUMIFS('Data Additive'!$D:$D,'Data Additive'!$P:$P,'Painel Additive'!#REF!,'Data Additive'!$Q:$Q,"&lt;=-61",'Data Additive'!$Q:$Q,"&gt;=-90")</f>
        <v>0</v>
      </c>
      <c r="S86" s="19">
        <f>SUMIFS('Data Additive'!$D:$D,'Data Additive'!$P:$P,'Painel Additive'!#REF!,'Data Additive'!$Q:$Q,"&lt;=-91",'Data Additive'!$Q:$Q,"&gt;=-120")</f>
        <v>0</v>
      </c>
      <c r="T86" s="19">
        <f>SUMIFS('Data Additive'!$D:$D,'Data Additive'!$P:$P,'Painel Additive'!#REF!,'Data Additive'!$Q:$Q,"&lt;=-121",'Data Additive'!$Q:$Q,"&gt;=-180")</f>
        <v>0</v>
      </c>
      <c r="U86" s="19">
        <f>SUMIFS('Data Additive'!$D:$D,'Data Additive'!$P:$P,'Painel Additive'!#REF!,'Data Additive'!$Q:$Q,"&lt;=-181",'Data Additive'!$Q:$Q,"&gt;=-360")</f>
        <v>0</v>
      </c>
      <c r="V86" s="23">
        <f>SUMIFS('Data Additive'!$D:$D,'Data Additive'!$P:$P,'Painel Additive'!#REF!,'Data Additive'!$Q:$Q,"&lt;-360")</f>
        <v>0</v>
      </c>
      <c r="W86" s="19" t="e">
        <f>SUMIFS('Bad Debt Provision'!#REF!,'Bad Debt Provision'!#REF!,'Painel Additive'!#REF!)</f>
        <v>#REF!</v>
      </c>
      <c r="X86" s="5"/>
      <c r="Y86" s="20"/>
      <c r="Z86" s="20"/>
      <c r="AA86" s="21"/>
      <c r="AB86" s="5"/>
      <c r="AC86" s="19"/>
      <c r="AD86" s="20"/>
      <c r="AE86" s="22"/>
      <c r="AF86" s="22"/>
      <c r="AG86" s="5"/>
      <c r="AH86" s="28">
        <f t="shared" si="13"/>
        <v>0</v>
      </c>
      <c r="AI86" s="5"/>
    </row>
    <row r="87" spans="2:35" x14ac:dyDescent="0.25">
      <c r="B87" s="17" t="s">
        <v>169</v>
      </c>
      <c r="C87" s="93" t="str" cm="1">
        <f t="array" ref="C87">IFERROR(INDEX('Limite de crédito'!$D:$D, MATCH(MAX(IF('Limite de crédito'!$C:$C=$B87, 'Limite de crédito'!$A:$A)), 'Limite de crédito'!$A:$A, 0)),"")</f>
        <v/>
      </c>
      <c r="D87" s="18" cm="1">
        <f t="array" ref="D87">IFERROR(INDEX('Limite de crédito'!$F:$F, MATCH(MAX(IF('Limite de crédito'!$C:$C=$B87, 'Limite de crédito'!$A:$A)), 'Limite de crédito'!$A:$A, 0)),0)</f>
        <v>0</v>
      </c>
      <c r="E87" s="18">
        <f t="shared" si="10"/>
        <v>0</v>
      </c>
      <c r="F87" s="18">
        <f t="shared" si="11"/>
        <v>0</v>
      </c>
      <c r="G87" s="19">
        <f>SUMIFS('Data Additive'!$D:$D,'Data Additive'!$P:$P,'Painel Additive'!#REF!,'Data Additive'!$Q:$Q,"&gt;0",'Data Additive'!$Q:$Q,"&lt;=30")</f>
        <v>0</v>
      </c>
      <c r="H87" s="19">
        <f>SUMIFS('Data Additive'!$D:$D,'Data Additive'!$P:$P,'Painel Additive'!#REF!,'Data Additive'!$Q:$Q,"&gt;30",'Data Additive'!$Q:$Q,"&lt;=60")</f>
        <v>0</v>
      </c>
      <c r="I87" s="19">
        <f>SUMIFS('Data Additive'!$D:$D,'Data Additive'!$P:$P,'Painel Additive'!#REF!,'Data Additive'!$Q:$Q,"&gt;60",'Data Additive'!$Q:$Q,"&lt;=90")</f>
        <v>0</v>
      </c>
      <c r="J87" s="19">
        <f>SUMIFS('Data Additive'!$D:$D,'Data Additive'!$P:$P,'Painel Additive'!#REF!,'Data Additive'!$Q:$Q,"&gt;90",'Data Additive'!$Q:$Q,"&lt;=120")</f>
        <v>0</v>
      </c>
      <c r="K87" s="19">
        <f>SUMIFS('Data Additive'!$D:$D,'Data Additive'!$P:$P,'Painel Additive'!#REF!,'Data Additive'!$Q:$Q,"&gt;120",'Data Additive'!$Q:$Q,"&lt;=180")</f>
        <v>0</v>
      </c>
      <c r="L87" s="19">
        <f>SUMIFS('Data Additive'!$D:$D,'Data Additive'!$P:$P,'Painel Additive'!#REF!,'Data Additive'!$Q:$Q,"&gt;180",'Data Additive'!$Q:$Q,"&lt;=360")</f>
        <v>0</v>
      </c>
      <c r="M87" s="23">
        <f>SUMIFS('Data Additive'!$D:$D,'Data Additive'!$P:$P,'Painel Additive'!#REF!,'Data Additive'!$Q:$Q,"&gt;360")</f>
        <v>0</v>
      </c>
      <c r="N87" s="19">
        <f>SUMIFS('Data Additive'!$D:$D,'Data Additive'!$P:$P,'Painel Additive'!#REF!,'Data Additive'!$Q:$Q,"&gt;0")</f>
        <v>0</v>
      </c>
      <c r="O87" s="19">
        <f t="shared" si="12"/>
        <v>0</v>
      </c>
      <c r="P87" s="19">
        <f>SUMIFS('Data Additive'!$D:$D,'Data Additive'!$P:$P,'Painel Additive'!#REF!,'Data Additive'!$Q:$Q,"&lt;=0",'Data Additive'!$Q:$Q,"&gt;=-30")</f>
        <v>0</v>
      </c>
      <c r="Q87" s="19">
        <f>SUMIFS('Data Additive'!$D:$D,'Data Additive'!$P:$P,'Painel Additive'!#REF!,'Data Additive'!$Q:$Q,"&lt;=-31",'Data Additive'!$Q:$Q,"&gt;=-60")</f>
        <v>0</v>
      </c>
      <c r="R87" s="19">
        <f>SUMIFS('Data Additive'!$D:$D,'Data Additive'!$P:$P,'Painel Additive'!#REF!,'Data Additive'!$Q:$Q,"&lt;=-61",'Data Additive'!$Q:$Q,"&gt;=-90")</f>
        <v>0</v>
      </c>
      <c r="S87" s="19">
        <f>SUMIFS('Data Additive'!$D:$D,'Data Additive'!$P:$P,'Painel Additive'!#REF!,'Data Additive'!$Q:$Q,"&lt;=-91",'Data Additive'!$Q:$Q,"&gt;=-120")</f>
        <v>0</v>
      </c>
      <c r="T87" s="19">
        <f>SUMIFS('Data Additive'!$D:$D,'Data Additive'!$P:$P,'Painel Additive'!#REF!,'Data Additive'!$Q:$Q,"&lt;=-121",'Data Additive'!$Q:$Q,"&gt;=-180")</f>
        <v>0</v>
      </c>
      <c r="U87" s="19">
        <f>SUMIFS('Data Additive'!$D:$D,'Data Additive'!$P:$P,'Painel Additive'!#REF!,'Data Additive'!$Q:$Q,"&lt;=-181",'Data Additive'!$Q:$Q,"&gt;=-360")</f>
        <v>0</v>
      </c>
      <c r="V87" s="23">
        <f>SUMIFS('Data Additive'!$D:$D,'Data Additive'!$P:$P,'Painel Additive'!#REF!,'Data Additive'!$Q:$Q,"&lt;-360")</f>
        <v>0</v>
      </c>
      <c r="W87" s="19" t="e">
        <f>SUMIFS('Bad Debt Provision'!#REF!,'Bad Debt Provision'!#REF!,'Painel Additive'!#REF!)</f>
        <v>#REF!</v>
      </c>
      <c r="X87" s="5"/>
      <c r="Y87" s="20"/>
      <c r="Z87" s="20"/>
      <c r="AA87" s="21"/>
      <c r="AB87" s="5"/>
      <c r="AC87" s="19"/>
      <c r="AD87" s="20"/>
      <c r="AE87" s="22"/>
      <c r="AF87" s="22"/>
      <c r="AG87" s="5"/>
      <c r="AH87" s="28">
        <f t="shared" si="13"/>
        <v>0</v>
      </c>
      <c r="AI87" s="5"/>
    </row>
    <row r="88" spans="2:35" x14ac:dyDescent="0.25">
      <c r="B88" s="17" t="s">
        <v>170</v>
      </c>
      <c r="C88" s="93" t="str" cm="1">
        <f t="array" ref="C88">IFERROR(INDEX('Limite de crédito'!$D:$D, MATCH(MAX(IF('Limite de crédito'!$C:$C=$B88, 'Limite de crédito'!$A:$A)), 'Limite de crédito'!$A:$A, 0)),"")</f>
        <v/>
      </c>
      <c r="D88" s="18" cm="1">
        <f t="array" ref="D88">IFERROR(INDEX('Limite de crédito'!$F:$F, MATCH(MAX(IF('Limite de crédito'!$C:$C=$B88, 'Limite de crédito'!$A:$A)), 'Limite de crédito'!$A:$A, 0)),0)</f>
        <v>0</v>
      </c>
      <c r="E88" s="18">
        <f t="shared" si="10"/>
        <v>0</v>
      </c>
      <c r="F88" s="18">
        <f t="shared" si="11"/>
        <v>0</v>
      </c>
      <c r="G88" s="19">
        <f>SUMIFS('Data Additive'!$D:$D,'Data Additive'!$P:$P,'Painel Additive'!$B25,'Data Additive'!$Q:$Q,"&gt;0",'Data Additive'!$Q:$Q,"&lt;=30")</f>
        <v>0</v>
      </c>
      <c r="H88" s="19">
        <f>SUMIFS('Data Additive'!$D:$D,'Data Additive'!$P:$P,'Painel Additive'!$B25,'Data Additive'!$Q:$Q,"&gt;30",'Data Additive'!$Q:$Q,"&lt;=60")</f>
        <v>0</v>
      </c>
      <c r="I88" s="19">
        <f>SUMIFS('Data Additive'!$D:$D,'Data Additive'!$P:$P,'Painel Additive'!$B25,'Data Additive'!$Q:$Q,"&gt;60",'Data Additive'!$Q:$Q,"&lt;=90")</f>
        <v>0</v>
      </c>
      <c r="J88" s="19">
        <f>SUMIFS('Data Additive'!$D:$D,'Data Additive'!$P:$P,'Painel Additive'!$B25,'Data Additive'!$Q:$Q,"&gt;90",'Data Additive'!$Q:$Q,"&lt;=120")</f>
        <v>0</v>
      </c>
      <c r="K88" s="19">
        <f>SUMIFS('Data Additive'!$D:$D,'Data Additive'!$P:$P,'Painel Additive'!$B25,'Data Additive'!$Q:$Q,"&gt;120",'Data Additive'!$Q:$Q,"&lt;=180")</f>
        <v>0</v>
      </c>
      <c r="L88" s="19">
        <f>SUMIFS('Data Additive'!$D:$D,'Data Additive'!$P:$P,'Painel Additive'!$B25,'Data Additive'!$Q:$Q,"&gt;180",'Data Additive'!$Q:$Q,"&lt;=360")</f>
        <v>0</v>
      </c>
      <c r="M88" s="23">
        <f>SUMIFS('Data Additive'!$D:$D,'Data Additive'!$P:$P,'Painel Additive'!$B25,'Data Additive'!$Q:$Q,"&gt;360")</f>
        <v>0</v>
      </c>
      <c r="N88" s="19">
        <f>SUMIFS('Data Additive'!$D:$D,'Data Additive'!$P:$P,'Painel Additive'!$B25,'Data Additive'!$Q:$Q,"&gt;0")</f>
        <v>0</v>
      </c>
      <c r="O88" s="19">
        <f t="shared" si="12"/>
        <v>0</v>
      </c>
      <c r="P88" s="19">
        <f>SUMIFS('Data Additive'!$D:$D,'Data Additive'!$P:$P,'Painel Additive'!$B25,'Data Additive'!$Q:$Q,"&lt;=0",'Data Additive'!$Q:$Q,"&gt;=-30")</f>
        <v>0</v>
      </c>
      <c r="Q88" s="19">
        <f>SUMIFS('Data Additive'!$D:$D,'Data Additive'!$P:$P,'Painel Additive'!$B25,'Data Additive'!$Q:$Q,"&lt;=-31",'Data Additive'!$Q:$Q,"&gt;=-60")</f>
        <v>0</v>
      </c>
      <c r="R88" s="19">
        <f>SUMIFS('Data Additive'!$D:$D,'Data Additive'!$P:$P,'Painel Additive'!$B25,'Data Additive'!$Q:$Q,"&lt;=-61",'Data Additive'!$Q:$Q,"&gt;=-90")</f>
        <v>0</v>
      </c>
      <c r="S88" s="19">
        <f>SUMIFS('Data Additive'!$D:$D,'Data Additive'!$P:$P,'Painel Additive'!$B25,'Data Additive'!$Q:$Q,"&lt;=-91",'Data Additive'!$Q:$Q,"&gt;=-120")</f>
        <v>0</v>
      </c>
      <c r="T88" s="19">
        <f>SUMIFS('Data Additive'!$D:$D,'Data Additive'!$P:$P,'Painel Additive'!$B25,'Data Additive'!$Q:$Q,"&lt;=-121",'Data Additive'!$Q:$Q,"&gt;=-180")</f>
        <v>0</v>
      </c>
      <c r="U88" s="19">
        <f>SUMIFS('Data Additive'!$D:$D,'Data Additive'!$P:$P,'Painel Additive'!$B25,'Data Additive'!$Q:$Q,"&lt;=-181",'Data Additive'!$Q:$Q,"&gt;=-360")</f>
        <v>0</v>
      </c>
      <c r="V88" s="23">
        <f>SUMIFS('Data Additive'!$D:$D,'Data Additive'!$P:$P,'Painel Additive'!$B25,'Data Additive'!$Q:$Q,"&lt;-360")</f>
        <v>0</v>
      </c>
      <c r="W88" s="19" t="e">
        <f>SUMIFS('Bad Debt Provision'!#REF!,'Bad Debt Provision'!#REF!,'Painel Additive'!$B25)</f>
        <v>#REF!</v>
      </c>
      <c r="X88" s="5"/>
      <c r="Y88" s="20"/>
      <c r="Z88" s="20"/>
      <c r="AA88" s="21"/>
      <c r="AB88" s="5"/>
      <c r="AC88" s="19"/>
      <c r="AD88" s="20"/>
      <c r="AE88" s="22"/>
      <c r="AF88" s="22"/>
      <c r="AG88" s="5"/>
      <c r="AH88" s="28">
        <f t="shared" si="13"/>
        <v>0</v>
      </c>
      <c r="AI88" s="5"/>
    </row>
    <row r="89" spans="2:35" x14ac:dyDescent="0.25">
      <c r="B89" s="17" t="s">
        <v>84</v>
      </c>
      <c r="C89" s="93" t="str" cm="1">
        <f t="array" ref="C89">IFERROR(INDEX('Limite de crédito'!$D:$D, MATCH(MAX(IF('Limite de crédito'!$C:$C=$B89, 'Limite de crédito'!$A:$A)), 'Limite de crédito'!$A:$A, 0)),"")</f>
        <v/>
      </c>
      <c r="D89" s="18" cm="1">
        <f t="array" ref="D89">IFERROR(INDEX('Limite de crédito'!$F:$F, MATCH(MAX(IF('Limite de crédito'!$C:$C=$B89, 'Limite de crédito'!$A:$A)), 'Limite de crédito'!$A:$A, 0)),0)</f>
        <v>0</v>
      </c>
      <c r="E89" s="18">
        <f t="shared" si="10"/>
        <v>0</v>
      </c>
      <c r="F89" s="18">
        <f t="shared" si="11"/>
        <v>0</v>
      </c>
      <c r="G89" s="19">
        <f>SUMIFS('Data Additive'!$D:$D,'Data Additive'!$P:$P,'Painel Additive'!#REF!,'Data Additive'!$Q:$Q,"&gt;0",'Data Additive'!$Q:$Q,"&lt;=30")</f>
        <v>0</v>
      </c>
      <c r="H89" s="19">
        <f>SUMIFS('Data Additive'!$D:$D,'Data Additive'!$P:$P,'Painel Additive'!#REF!,'Data Additive'!$Q:$Q,"&gt;30",'Data Additive'!$Q:$Q,"&lt;=60")</f>
        <v>0</v>
      </c>
      <c r="I89" s="19">
        <f>SUMIFS('Data Additive'!$D:$D,'Data Additive'!$P:$P,'Painel Additive'!#REF!,'Data Additive'!$Q:$Q,"&gt;60",'Data Additive'!$Q:$Q,"&lt;=90")</f>
        <v>0</v>
      </c>
      <c r="J89" s="19">
        <f>SUMIFS('Data Additive'!$D:$D,'Data Additive'!$P:$P,'Painel Additive'!#REF!,'Data Additive'!$Q:$Q,"&gt;90",'Data Additive'!$Q:$Q,"&lt;=120")</f>
        <v>0</v>
      </c>
      <c r="K89" s="19">
        <f>SUMIFS('Data Additive'!$D:$D,'Data Additive'!$P:$P,'Painel Additive'!#REF!,'Data Additive'!$Q:$Q,"&gt;120",'Data Additive'!$Q:$Q,"&lt;=180")</f>
        <v>0</v>
      </c>
      <c r="L89" s="19">
        <f>SUMIFS('Data Additive'!$D:$D,'Data Additive'!$P:$P,'Painel Additive'!#REF!,'Data Additive'!$Q:$Q,"&gt;180",'Data Additive'!$Q:$Q,"&lt;=360")</f>
        <v>0</v>
      </c>
      <c r="M89" s="23">
        <f>SUMIFS('Data Additive'!$D:$D,'Data Additive'!$P:$P,'Painel Additive'!#REF!,'Data Additive'!$Q:$Q,"&gt;360")</f>
        <v>0</v>
      </c>
      <c r="N89" s="19">
        <f>SUMIFS('Data Additive'!$D:$D,'Data Additive'!$P:$P,'Painel Additive'!#REF!,'Data Additive'!$Q:$Q,"&gt;0")</f>
        <v>0</v>
      </c>
      <c r="O89" s="19">
        <f t="shared" si="12"/>
        <v>0</v>
      </c>
      <c r="P89" s="19">
        <f>SUMIFS('Data Additive'!$D:$D,'Data Additive'!$P:$P,'Painel Additive'!#REF!,'Data Additive'!$Q:$Q,"&lt;=0",'Data Additive'!$Q:$Q,"&gt;=-30")</f>
        <v>0</v>
      </c>
      <c r="Q89" s="19">
        <f>SUMIFS('Data Additive'!$D:$D,'Data Additive'!$P:$P,'Painel Additive'!#REF!,'Data Additive'!$Q:$Q,"&lt;=-31",'Data Additive'!$Q:$Q,"&gt;=-60")</f>
        <v>0</v>
      </c>
      <c r="R89" s="19">
        <f>SUMIFS('Data Additive'!$D:$D,'Data Additive'!$P:$P,'Painel Additive'!#REF!,'Data Additive'!$Q:$Q,"&lt;=-61",'Data Additive'!$Q:$Q,"&gt;=-90")</f>
        <v>0</v>
      </c>
      <c r="S89" s="19">
        <f>SUMIFS('Data Additive'!$D:$D,'Data Additive'!$P:$P,'Painel Additive'!#REF!,'Data Additive'!$Q:$Q,"&lt;=-91",'Data Additive'!$Q:$Q,"&gt;=-120")</f>
        <v>0</v>
      </c>
      <c r="T89" s="19">
        <f>SUMIFS('Data Additive'!$D:$D,'Data Additive'!$P:$P,'Painel Additive'!#REF!,'Data Additive'!$Q:$Q,"&lt;=-121",'Data Additive'!$Q:$Q,"&gt;=-180")</f>
        <v>0</v>
      </c>
      <c r="U89" s="19">
        <f>SUMIFS('Data Additive'!$D:$D,'Data Additive'!$P:$P,'Painel Additive'!#REF!,'Data Additive'!$Q:$Q,"&lt;=-181",'Data Additive'!$Q:$Q,"&gt;=-360")</f>
        <v>0</v>
      </c>
      <c r="V89" s="23">
        <f>SUMIFS('Data Additive'!$D:$D,'Data Additive'!$P:$P,'Painel Additive'!#REF!,'Data Additive'!$Q:$Q,"&lt;-360")</f>
        <v>0</v>
      </c>
      <c r="W89" s="19" t="e">
        <f>SUMIFS('Bad Debt Provision'!#REF!,'Bad Debt Provision'!#REF!,'Painel Additive'!#REF!)</f>
        <v>#REF!</v>
      </c>
      <c r="X89" s="5"/>
      <c r="Y89" s="20"/>
      <c r="Z89" s="20"/>
      <c r="AA89" s="21"/>
      <c r="AB89" s="5"/>
      <c r="AC89" s="19"/>
      <c r="AD89" s="20"/>
      <c r="AE89" s="22"/>
      <c r="AF89" s="22"/>
      <c r="AG89" s="5"/>
      <c r="AH89" s="28">
        <f t="shared" si="13"/>
        <v>0</v>
      </c>
      <c r="AI89" s="5"/>
    </row>
    <row r="90" spans="2:35" x14ac:dyDescent="0.25">
      <c r="B90" s="17" t="s">
        <v>87</v>
      </c>
      <c r="C90" s="93" t="str" cm="1">
        <f t="array" ref="C90">IFERROR(INDEX('Limite de crédito'!$D:$D, MATCH(MAX(IF('Limite de crédito'!$C:$C=$B90, 'Limite de crédito'!$A:$A)), 'Limite de crédito'!$A:$A, 0)),"")</f>
        <v/>
      </c>
      <c r="D90" s="18" cm="1">
        <f t="array" ref="D90">IFERROR(INDEX('Limite de crédito'!$F:$F, MATCH(MAX(IF('Limite de crédito'!$C:$C=$B90, 'Limite de crédito'!$A:$A)), 'Limite de crédito'!$A:$A, 0)),0)</f>
        <v>0</v>
      </c>
      <c r="E90" s="18">
        <f t="shared" si="10"/>
        <v>0</v>
      </c>
      <c r="F90" s="18">
        <f t="shared" si="11"/>
        <v>0</v>
      </c>
      <c r="G90" s="19">
        <f>SUMIFS('Data Additive'!$D:$D,'Data Additive'!$P:$P,'Painel Additive'!$B27,'Data Additive'!$Q:$Q,"&gt;0",'Data Additive'!$Q:$Q,"&lt;=30")</f>
        <v>0</v>
      </c>
      <c r="H90" s="19">
        <f>SUMIFS('Data Additive'!$D:$D,'Data Additive'!$P:$P,'Painel Additive'!$B27,'Data Additive'!$Q:$Q,"&gt;30",'Data Additive'!$Q:$Q,"&lt;=60")</f>
        <v>0</v>
      </c>
      <c r="I90" s="19">
        <f>SUMIFS('Data Additive'!$D:$D,'Data Additive'!$P:$P,'Painel Additive'!$B27,'Data Additive'!$Q:$Q,"&gt;60",'Data Additive'!$Q:$Q,"&lt;=90")</f>
        <v>0</v>
      </c>
      <c r="J90" s="19">
        <f>SUMIFS('Data Additive'!$D:$D,'Data Additive'!$P:$P,'Painel Additive'!$B27,'Data Additive'!$Q:$Q,"&gt;90",'Data Additive'!$Q:$Q,"&lt;=120")</f>
        <v>0</v>
      </c>
      <c r="K90" s="19">
        <f>SUMIFS('Data Additive'!$D:$D,'Data Additive'!$P:$P,'Painel Additive'!$B27,'Data Additive'!$Q:$Q,"&gt;120",'Data Additive'!$Q:$Q,"&lt;=180")</f>
        <v>0</v>
      </c>
      <c r="L90" s="19">
        <f>SUMIFS('Data Additive'!$D:$D,'Data Additive'!$P:$P,'Painel Additive'!$B27,'Data Additive'!$Q:$Q,"&gt;180",'Data Additive'!$Q:$Q,"&lt;=360")</f>
        <v>0</v>
      </c>
      <c r="M90" s="23">
        <f>SUMIFS('Data Additive'!$D:$D,'Data Additive'!$P:$P,'Painel Additive'!$B27,'Data Additive'!$Q:$Q,"&gt;360")</f>
        <v>0</v>
      </c>
      <c r="N90" s="19">
        <f>SUMIFS('Data Additive'!$D:$D,'Data Additive'!$P:$P,'Painel Additive'!$B27,'Data Additive'!$Q:$Q,"&gt;0")</f>
        <v>0</v>
      </c>
      <c r="O90" s="19">
        <f t="shared" si="12"/>
        <v>0</v>
      </c>
      <c r="P90" s="19">
        <f>SUMIFS('Data Additive'!$D:$D,'Data Additive'!$P:$P,'Painel Additive'!$B27,'Data Additive'!$Q:$Q,"&lt;=0",'Data Additive'!$Q:$Q,"&gt;=-30")</f>
        <v>0</v>
      </c>
      <c r="Q90" s="19">
        <f>SUMIFS('Data Additive'!$D:$D,'Data Additive'!$P:$P,'Painel Additive'!$B27,'Data Additive'!$Q:$Q,"&lt;=-31",'Data Additive'!$Q:$Q,"&gt;=-60")</f>
        <v>0</v>
      </c>
      <c r="R90" s="19">
        <f>SUMIFS('Data Additive'!$D:$D,'Data Additive'!$P:$P,'Painel Additive'!$B27,'Data Additive'!$Q:$Q,"&lt;=-61",'Data Additive'!$Q:$Q,"&gt;=-90")</f>
        <v>0</v>
      </c>
      <c r="S90" s="19">
        <f>SUMIFS('Data Additive'!$D:$D,'Data Additive'!$P:$P,'Painel Additive'!$B27,'Data Additive'!$Q:$Q,"&lt;=-91",'Data Additive'!$Q:$Q,"&gt;=-120")</f>
        <v>0</v>
      </c>
      <c r="T90" s="19">
        <f>SUMIFS('Data Additive'!$D:$D,'Data Additive'!$P:$P,'Painel Additive'!$B27,'Data Additive'!$Q:$Q,"&lt;=-121",'Data Additive'!$Q:$Q,"&gt;=-180")</f>
        <v>0</v>
      </c>
      <c r="U90" s="19">
        <f>SUMIFS('Data Additive'!$D:$D,'Data Additive'!$P:$P,'Painel Additive'!$B27,'Data Additive'!$Q:$Q,"&lt;=-181",'Data Additive'!$Q:$Q,"&gt;=-360")</f>
        <v>0</v>
      </c>
      <c r="V90" s="23">
        <f>SUMIFS('Data Additive'!$D:$D,'Data Additive'!$P:$P,'Painel Additive'!$B27,'Data Additive'!$Q:$Q,"&lt;-360")</f>
        <v>0</v>
      </c>
      <c r="W90" s="19" t="e">
        <f>SUMIFS('Bad Debt Provision'!#REF!,'Bad Debt Provision'!#REF!,'Painel Additive'!$B27)</f>
        <v>#REF!</v>
      </c>
      <c r="X90" s="5"/>
      <c r="Y90" s="20"/>
      <c r="Z90" s="20"/>
      <c r="AA90" s="21"/>
      <c r="AB90" s="5"/>
      <c r="AC90" s="19"/>
      <c r="AD90" s="20"/>
      <c r="AE90" s="22"/>
      <c r="AF90" s="22"/>
      <c r="AG90" s="5"/>
      <c r="AH90" s="28">
        <f t="shared" si="13"/>
        <v>0</v>
      </c>
      <c r="AI90" s="5"/>
    </row>
    <row r="91" spans="2:35" x14ac:dyDescent="0.25">
      <c r="B91" s="17" t="s">
        <v>33</v>
      </c>
      <c r="C91" s="93" t="str" cm="1">
        <f t="array" ref="C91">IFERROR(INDEX('Limite de crédito'!$D:$D, MATCH(MAX(IF('Limite de crédito'!$C:$C=$B91, 'Limite de crédito'!$A:$A)), 'Limite de crédito'!$A:$A, 0)),"")</f>
        <v/>
      </c>
      <c r="D91" s="18" cm="1">
        <f t="array" ref="D91">IFERROR(INDEX('Limite de crédito'!$F:$F, MATCH(MAX(IF('Limite de crédito'!$C:$C=$B91, 'Limite de crédito'!$A:$A)), 'Limite de crédito'!$A:$A, 0)),0)</f>
        <v>0</v>
      </c>
      <c r="E91" s="18">
        <f t="shared" si="10"/>
        <v>0</v>
      </c>
      <c r="F91" s="18">
        <f t="shared" si="11"/>
        <v>0</v>
      </c>
      <c r="G91" s="19">
        <f>SUMIFS('Data Additive'!$D:$D,'Data Additive'!$P:$P,'Painel Additive'!$B30,'Data Additive'!$Q:$Q,"&gt;0",'Data Additive'!$Q:$Q,"&lt;=30")</f>
        <v>0</v>
      </c>
      <c r="H91" s="19">
        <f>SUMIFS('Data Additive'!$D:$D,'Data Additive'!$P:$P,'Painel Additive'!$B30,'Data Additive'!$Q:$Q,"&gt;30",'Data Additive'!$Q:$Q,"&lt;=60")</f>
        <v>0</v>
      </c>
      <c r="I91" s="19">
        <f>SUMIFS('Data Additive'!$D:$D,'Data Additive'!$P:$P,'Painel Additive'!$B30,'Data Additive'!$Q:$Q,"&gt;60",'Data Additive'!$Q:$Q,"&lt;=90")</f>
        <v>0</v>
      </c>
      <c r="J91" s="19">
        <f>SUMIFS('Data Additive'!$D:$D,'Data Additive'!$P:$P,'Painel Additive'!$B30,'Data Additive'!$Q:$Q,"&gt;90",'Data Additive'!$Q:$Q,"&lt;=120")</f>
        <v>0</v>
      </c>
      <c r="K91" s="19">
        <f>SUMIFS('Data Additive'!$D:$D,'Data Additive'!$P:$P,'Painel Additive'!$B30,'Data Additive'!$Q:$Q,"&gt;120",'Data Additive'!$Q:$Q,"&lt;=180")</f>
        <v>0</v>
      </c>
      <c r="L91" s="19">
        <f>SUMIFS('Data Additive'!$D:$D,'Data Additive'!$P:$P,'Painel Additive'!$B30,'Data Additive'!$Q:$Q,"&gt;180",'Data Additive'!$Q:$Q,"&lt;=360")</f>
        <v>0</v>
      </c>
      <c r="M91" s="23">
        <f>SUMIFS('Data Additive'!$D:$D,'Data Additive'!$P:$P,'Painel Additive'!$B30,'Data Additive'!$Q:$Q,"&gt;360")</f>
        <v>0</v>
      </c>
      <c r="N91" s="19">
        <f>SUMIFS('Data Additive'!$D:$D,'Data Additive'!$P:$P,'Painel Additive'!$B30,'Data Additive'!$Q:$Q,"&gt;0")</f>
        <v>0</v>
      </c>
      <c r="O91" s="19">
        <f t="shared" si="12"/>
        <v>0</v>
      </c>
      <c r="P91" s="19">
        <f>SUMIFS('Data Additive'!$D:$D,'Data Additive'!$P:$P,'Painel Additive'!$B30,'Data Additive'!$Q:$Q,"&lt;=0",'Data Additive'!$Q:$Q,"&gt;=-30")</f>
        <v>0</v>
      </c>
      <c r="Q91" s="19">
        <f>SUMIFS('Data Additive'!$D:$D,'Data Additive'!$P:$P,'Painel Additive'!$B30,'Data Additive'!$Q:$Q,"&lt;=-31",'Data Additive'!$Q:$Q,"&gt;=-60")</f>
        <v>0</v>
      </c>
      <c r="R91" s="19">
        <f>SUMIFS('Data Additive'!$D:$D,'Data Additive'!$P:$P,'Painel Additive'!$B30,'Data Additive'!$Q:$Q,"&lt;=-61",'Data Additive'!$Q:$Q,"&gt;=-90")</f>
        <v>0</v>
      </c>
      <c r="S91" s="19">
        <f>SUMIFS('Data Additive'!$D:$D,'Data Additive'!$P:$P,'Painel Additive'!$B30,'Data Additive'!$Q:$Q,"&lt;=-91",'Data Additive'!$Q:$Q,"&gt;=-120")</f>
        <v>0</v>
      </c>
      <c r="T91" s="19">
        <f>SUMIFS('Data Additive'!$D:$D,'Data Additive'!$P:$P,'Painel Additive'!$B30,'Data Additive'!$Q:$Q,"&lt;=-121",'Data Additive'!$Q:$Q,"&gt;=-180")</f>
        <v>0</v>
      </c>
      <c r="U91" s="19">
        <f>SUMIFS('Data Additive'!$D:$D,'Data Additive'!$P:$P,'Painel Additive'!$B30,'Data Additive'!$Q:$Q,"&lt;=-181",'Data Additive'!$Q:$Q,"&gt;=-360")</f>
        <v>0</v>
      </c>
      <c r="V91" s="23">
        <f>SUMIFS('Data Additive'!$D:$D,'Data Additive'!$P:$P,'Painel Additive'!$B30,'Data Additive'!$Q:$Q,"&lt;-360")</f>
        <v>0</v>
      </c>
      <c r="W91" s="19" t="e">
        <f>SUMIFS('Bad Debt Provision'!#REF!,'Bad Debt Provision'!#REF!,'Painel Additive'!$B30)</f>
        <v>#REF!</v>
      </c>
      <c r="X91" s="5"/>
      <c r="Y91" s="20"/>
      <c r="Z91" s="20"/>
      <c r="AA91" s="21"/>
      <c r="AB91" s="5"/>
      <c r="AC91" s="19"/>
      <c r="AD91" s="20"/>
      <c r="AE91" s="22"/>
      <c r="AF91" s="22"/>
      <c r="AG91" s="5"/>
      <c r="AH91" s="28">
        <f t="shared" si="13"/>
        <v>0</v>
      </c>
      <c r="AI91" s="5"/>
    </row>
    <row r="92" spans="2:35" x14ac:dyDescent="0.25">
      <c r="B92" s="17" t="s">
        <v>45</v>
      </c>
      <c r="C92" s="93" t="str" cm="1">
        <f t="array" ref="C92">IFERROR(INDEX('Limite de crédito'!$D:$D, MATCH(MAX(IF('Limite de crédito'!$C:$C=$B92, 'Limite de crédito'!$A:$A)), 'Limite de crédito'!$A:$A, 0)),"")</f>
        <v/>
      </c>
      <c r="D92" s="18" cm="1">
        <f t="array" ref="D92">IFERROR(INDEX('Limite de crédito'!$F:$F, MATCH(MAX(IF('Limite de crédito'!$C:$C=$B92, 'Limite de crédito'!$A:$A)), 'Limite de crédito'!$A:$A, 0)),0)</f>
        <v>0</v>
      </c>
      <c r="E92" s="18">
        <f t="shared" si="10"/>
        <v>-26290</v>
      </c>
      <c r="F92" s="18">
        <f t="shared" si="11"/>
        <v>26290</v>
      </c>
      <c r="G92" s="19">
        <f>SUMIFS('Data Additive'!$D:$D,'Data Additive'!$P:$P,'Painel Additive'!$B31,'Data Additive'!$Q:$Q,"&gt;0",'Data Additive'!$Q:$Q,"&lt;=30")</f>
        <v>0</v>
      </c>
      <c r="H92" s="19">
        <f>SUMIFS('Data Additive'!$D:$D,'Data Additive'!$P:$P,'Painel Additive'!$B31,'Data Additive'!$Q:$Q,"&gt;30",'Data Additive'!$Q:$Q,"&lt;=60")</f>
        <v>0</v>
      </c>
      <c r="I92" s="19">
        <f>SUMIFS('Data Additive'!$D:$D,'Data Additive'!$P:$P,'Painel Additive'!$B31,'Data Additive'!$Q:$Q,"&gt;60",'Data Additive'!$Q:$Q,"&lt;=90")</f>
        <v>0</v>
      </c>
      <c r="J92" s="19">
        <f>SUMIFS('Data Additive'!$D:$D,'Data Additive'!$P:$P,'Painel Additive'!$B31,'Data Additive'!$Q:$Q,"&gt;90",'Data Additive'!$Q:$Q,"&lt;=120")</f>
        <v>0</v>
      </c>
      <c r="K92" s="19">
        <f>SUMIFS('Data Additive'!$D:$D,'Data Additive'!$P:$P,'Painel Additive'!$B31,'Data Additive'!$Q:$Q,"&gt;120",'Data Additive'!$Q:$Q,"&lt;=180")</f>
        <v>0</v>
      </c>
      <c r="L92" s="19">
        <f>SUMIFS('Data Additive'!$D:$D,'Data Additive'!$P:$P,'Painel Additive'!$B31,'Data Additive'!$Q:$Q,"&gt;180",'Data Additive'!$Q:$Q,"&lt;=360")</f>
        <v>0</v>
      </c>
      <c r="M92" s="23">
        <f>SUMIFS('Data Additive'!$D:$D,'Data Additive'!$P:$P,'Painel Additive'!$B31,'Data Additive'!$Q:$Q,"&gt;360")</f>
        <v>0</v>
      </c>
      <c r="N92" s="19">
        <f>SUMIFS('Data Additive'!$D:$D,'Data Additive'!$P:$P,'Painel Additive'!$B31,'Data Additive'!$Q:$Q,"&gt;0")</f>
        <v>0</v>
      </c>
      <c r="O92" s="19">
        <f t="shared" si="12"/>
        <v>26290</v>
      </c>
      <c r="P92" s="19">
        <f>SUMIFS('Data Additive'!$D:$D,'Data Additive'!$P:$P,'Painel Additive'!$B31,'Data Additive'!$Q:$Q,"&lt;=0",'Data Additive'!$Q:$Q,"&gt;=-30")</f>
        <v>956</v>
      </c>
      <c r="Q92" s="19">
        <f>SUMIFS('Data Additive'!$D:$D,'Data Additive'!$P:$P,'Painel Additive'!$B31,'Data Additive'!$Q:$Q,"&lt;=-31",'Data Additive'!$Q:$Q,"&gt;=-60")</f>
        <v>25334</v>
      </c>
      <c r="R92" s="19">
        <f>SUMIFS('Data Additive'!$D:$D,'Data Additive'!$P:$P,'Painel Additive'!$B31,'Data Additive'!$Q:$Q,"&lt;=-61",'Data Additive'!$Q:$Q,"&gt;=-90")</f>
        <v>0</v>
      </c>
      <c r="S92" s="19">
        <f>SUMIFS('Data Additive'!$D:$D,'Data Additive'!$P:$P,'Painel Additive'!$B31,'Data Additive'!$Q:$Q,"&lt;=-91",'Data Additive'!$Q:$Q,"&gt;=-120")</f>
        <v>0</v>
      </c>
      <c r="T92" s="19">
        <f>SUMIFS('Data Additive'!$D:$D,'Data Additive'!$P:$P,'Painel Additive'!$B31,'Data Additive'!$Q:$Q,"&lt;=-121",'Data Additive'!$Q:$Q,"&gt;=-180")</f>
        <v>0</v>
      </c>
      <c r="U92" s="19">
        <f>SUMIFS('Data Additive'!$D:$D,'Data Additive'!$P:$P,'Painel Additive'!$B31,'Data Additive'!$Q:$Q,"&lt;=-181",'Data Additive'!$Q:$Q,"&gt;=-360")</f>
        <v>0</v>
      </c>
      <c r="V92" s="23">
        <f>SUMIFS('Data Additive'!$D:$D,'Data Additive'!$P:$P,'Painel Additive'!$B31,'Data Additive'!$Q:$Q,"&lt;-360")</f>
        <v>0</v>
      </c>
      <c r="W92" s="19" t="e">
        <f>SUMIFS('Bad Debt Provision'!#REF!,'Bad Debt Provision'!#REF!,'Painel Additive'!$B31)</f>
        <v>#REF!</v>
      </c>
      <c r="X92" s="5"/>
      <c r="Y92" s="20"/>
      <c r="Z92" s="20"/>
      <c r="AA92" s="21"/>
      <c r="AB92" s="5"/>
      <c r="AC92" s="19"/>
      <c r="AD92" s="20"/>
      <c r="AE92" s="22"/>
      <c r="AF92" s="22"/>
      <c r="AG92" s="5"/>
      <c r="AH92" s="28">
        <f t="shared" si="13"/>
        <v>-26290</v>
      </c>
      <c r="AI92" s="5"/>
    </row>
    <row r="93" spans="2:35" x14ac:dyDescent="0.25">
      <c r="B93" s="17" t="s">
        <v>80</v>
      </c>
      <c r="C93" s="93" t="str" cm="1">
        <f t="array" ref="C93">IFERROR(INDEX('Limite de crédito'!$D:$D, MATCH(MAX(IF('Limite de crédito'!$C:$C=$B93, 'Limite de crédito'!$A:$A)), 'Limite de crédito'!$A:$A, 0)),"")</f>
        <v/>
      </c>
      <c r="D93" s="18" cm="1">
        <f t="array" ref="D93">IFERROR(INDEX('Limite de crédito'!$F:$F, MATCH(MAX(IF('Limite de crédito'!$C:$C=$B93, 'Limite de crédito'!$A:$A)), 'Limite de crédito'!$A:$A, 0)),0)</f>
        <v>0</v>
      </c>
      <c r="E93" s="18">
        <f t="shared" si="10"/>
        <v>0</v>
      </c>
      <c r="F93" s="18">
        <f t="shared" si="11"/>
        <v>0</v>
      </c>
      <c r="G93" s="19">
        <f>SUMIFS('Data Additive'!$D:$D,'Data Additive'!$P:$P,'Painel Additive'!#REF!,'Data Additive'!$Q:$Q,"&gt;0",'Data Additive'!$Q:$Q,"&lt;=30")</f>
        <v>0</v>
      </c>
      <c r="H93" s="19">
        <f>SUMIFS('Data Additive'!$D:$D,'Data Additive'!$P:$P,'Painel Additive'!#REF!,'Data Additive'!$Q:$Q,"&gt;30",'Data Additive'!$Q:$Q,"&lt;=60")</f>
        <v>0</v>
      </c>
      <c r="I93" s="19">
        <f>SUMIFS('Data Additive'!$D:$D,'Data Additive'!$P:$P,'Painel Additive'!#REF!,'Data Additive'!$Q:$Q,"&gt;60",'Data Additive'!$Q:$Q,"&lt;=90")</f>
        <v>0</v>
      </c>
      <c r="J93" s="19">
        <f>SUMIFS('Data Additive'!$D:$D,'Data Additive'!$P:$P,'Painel Additive'!#REF!,'Data Additive'!$Q:$Q,"&gt;90",'Data Additive'!$Q:$Q,"&lt;=120")</f>
        <v>0</v>
      </c>
      <c r="K93" s="19">
        <f>SUMIFS('Data Additive'!$D:$D,'Data Additive'!$P:$P,'Painel Additive'!#REF!,'Data Additive'!$Q:$Q,"&gt;120",'Data Additive'!$Q:$Q,"&lt;=180")</f>
        <v>0</v>
      </c>
      <c r="L93" s="19">
        <f>SUMIFS('Data Additive'!$D:$D,'Data Additive'!$P:$P,'Painel Additive'!#REF!,'Data Additive'!$Q:$Q,"&gt;180",'Data Additive'!$Q:$Q,"&lt;=360")</f>
        <v>0</v>
      </c>
      <c r="M93" s="23">
        <f>SUMIFS('Data Additive'!$D:$D,'Data Additive'!$P:$P,'Painel Additive'!#REF!,'Data Additive'!$Q:$Q,"&gt;360")</f>
        <v>0</v>
      </c>
      <c r="N93" s="19">
        <f>SUMIFS('Data Additive'!$D:$D,'Data Additive'!$P:$P,'Painel Additive'!#REF!,'Data Additive'!$Q:$Q,"&gt;0")</f>
        <v>0</v>
      </c>
      <c r="O93" s="19">
        <f t="shared" si="12"/>
        <v>0</v>
      </c>
      <c r="P93" s="19">
        <f>SUMIFS('Data Additive'!$D:$D,'Data Additive'!$P:$P,'Painel Additive'!#REF!,'Data Additive'!$Q:$Q,"&lt;=0",'Data Additive'!$Q:$Q,"&gt;=-30")</f>
        <v>0</v>
      </c>
      <c r="Q93" s="19">
        <f>SUMIFS('Data Additive'!$D:$D,'Data Additive'!$P:$P,'Painel Additive'!#REF!,'Data Additive'!$Q:$Q,"&lt;=-31",'Data Additive'!$Q:$Q,"&gt;=-60")</f>
        <v>0</v>
      </c>
      <c r="R93" s="19">
        <f>SUMIFS('Data Additive'!$D:$D,'Data Additive'!$P:$P,'Painel Additive'!#REF!,'Data Additive'!$Q:$Q,"&lt;=-61",'Data Additive'!$Q:$Q,"&gt;=-90")</f>
        <v>0</v>
      </c>
      <c r="S93" s="19">
        <f>SUMIFS('Data Additive'!$D:$D,'Data Additive'!$P:$P,'Painel Additive'!#REF!,'Data Additive'!$Q:$Q,"&lt;=-91",'Data Additive'!$Q:$Q,"&gt;=-120")</f>
        <v>0</v>
      </c>
      <c r="T93" s="19">
        <f>SUMIFS('Data Additive'!$D:$D,'Data Additive'!$P:$P,'Painel Additive'!#REF!,'Data Additive'!$Q:$Q,"&lt;=-121",'Data Additive'!$Q:$Q,"&gt;=-180")</f>
        <v>0</v>
      </c>
      <c r="U93" s="19">
        <f>SUMIFS('Data Additive'!$D:$D,'Data Additive'!$P:$P,'Painel Additive'!#REF!,'Data Additive'!$Q:$Q,"&lt;=-181",'Data Additive'!$Q:$Q,"&gt;=-360")</f>
        <v>0</v>
      </c>
      <c r="V93" s="23">
        <f>SUMIFS('Data Additive'!$D:$D,'Data Additive'!$P:$P,'Painel Additive'!#REF!,'Data Additive'!$Q:$Q,"&lt;-360")</f>
        <v>0</v>
      </c>
      <c r="W93" s="19" t="e">
        <f>SUMIFS('Bad Debt Provision'!#REF!,'Bad Debt Provision'!#REF!,'Painel Additive'!#REF!)</f>
        <v>#REF!</v>
      </c>
      <c r="X93" s="5"/>
      <c r="Y93" s="20"/>
      <c r="Z93" s="20"/>
      <c r="AA93" s="21"/>
      <c r="AB93" s="5"/>
      <c r="AC93" s="19"/>
      <c r="AD93" s="20"/>
      <c r="AE93" s="22"/>
      <c r="AF93" s="22"/>
      <c r="AG93" s="5"/>
      <c r="AH93" s="28">
        <f t="shared" si="13"/>
        <v>0</v>
      </c>
      <c r="AI93" s="5"/>
    </row>
    <row r="94" spans="2:35" x14ac:dyDescent="0.25">
      <c r="B94" s="17" t="s">
        <v>176</v>
      </c>
      <c r="C94" s="93" cm="1">
        <f t="array" ref="C94">IFERROR(INDEX('Limite de crédito'!$D:$D, MATCH(MAX(IF('Limite de crédito'!$C:$C=$B94, 'Limite de crédito'!$A:$A)), 'Limite de crédito'!$A:$A, 0)),"")</f>
        <v>45803</v>
      </c>
      <c r="D94" s="18" t="str" cm="1">
        <f t="array" ref="D94">IFERROR(INDEX('Limite de crédito'!$F:$F, MATCH(MAX(IF('Limite de crédito'!$C:$C=$B94, 'Limite de crédito'!$A:$A)), 'Limite de crédito'!$A:$A, 0)),0)</f>
        <v>Sim</v>
      </c>
      <c r="E94" s="18" t="e">
        <f t="shared" si="10"/>
        <v>#VALUE!</v>
      </c>
      <c r="F94" s="18">
        <f t="shared" si="11"/>
        <v>0</v>
      </c>
      <c r="G94" s="19">
        <f>SUMIFS('Data Additive'!$D:$D,'Data Additive'!$P:$P,'Painel Additive'!$B35,'Data Additive'!$Q:$Q,"&gt;0",'Data Additive'!$Q:$Q,"&lt;=30")</f>
        <v>0</v>
      </c>
      <c r="H94" s="19">
        <f>SUMIFS('Data Additive'!$D:$D,'Data Additive'!$P:$P,'Painel Additive'!$B35,'Data Additive'!$Q:$Q,"&gt;30",'Data Additive'!$Q:$Q,"&lt;=60")</f>
        <v>0</v>
      </c>
      <c r="I94" s="19">
        <f>SUMIFS('Data Additive'!$D:$D,'Data Additive'!$P:$P,'Painel Additive'!$B35,'Data Additive'!$Q:$Q,"&gt;60",'Data Additive'!$Q:$Q,"&lt;=90")</f>
        <v>0</v>
      </c>
      <c r="J94" s="19">
        <f>SUMIFS('Data Additive'!$D:$D,'Data Additive'!$P:$P,'Painel Additive'!$B35,'Data Additive'!$Q:$Q,"&gt;90",'Data Additive'!$Q:$Q,"&lt;=120")</f>
        <v>0</v>
      </c>
      <c r="K94" s="19">
        <f>SUMIFS('Data Additive'!$D:$D,'Data Additive'!$P:$P,'Painel Additive'!$B35,'Data Additive'!$Q:$Q,"&gt;120",'Data Additive'!$Q:$Q,"&lt;=180")</f>
        <v>0</v>
      </c>
      <c r="L94" s="19">
        <f>SUMIFS('Data Additive'!$D:$D,'Data Additive'!$P:$P,'Painel Additive'!$B35,'Data Additive'!$Q:$Q,"&gt;180",'Data Additive'!$Q:$Q,"&lt;=360")</f>
        <v>0</v>
      </c>
      <c r="M94" s="23">
        <f>SUMIFS('Data Additive'!$D:$D,'Data Additive'!$P:$P,'Painel Additive'!$B35,'Data Additive'!$Q:$Q,"&gt;360")</f>
        <v>0</v>
      </c>
      <c r="N94" s="19">
        <f>SUMIFS('Data Additive'!$D:$D,'Data Additive'!$P:$P,'Painel Additive'!$B35,'Data Additive'!$Q:$Q,"&gt;0")</f>
        <v>0</v>
      </c>
      <c r="O94" s="19">
        <f t="shared" si="12"/>
        <v>0</v>
      </c>
      <c r="P94" s="19">
        <f>SUMIFS('Data Additive'!$D:$D,'Data Additive'!$P:$P,'Painel Additive'!$B35,'Data Additive'!$Q:$Q,"&lt;=0",'Data Additive'!$Q:$Q,"&gt;=-30")</f>
        <v>0</v>
      </c>
      <c r="Q94" s="19">
        <f>SUMIFS('Data Additive'!$D:$D,'Data Additive'!$P:$P,'Painel Additive'!$B35,'Data Additive'!$Q:$Q,"&lt;=-31",'Data Additive'!$Q:$Q,"&gt;=-60")</f>
        <v>0</v>
      </c>
      <c r="R94" s="19">
        <f>SUMIFS('Data Additive'!$D:$D,'Data Additive'!$P:$P,'Painel Additive'!$B35,'Data Additive'!$Q:$Q,"&lt;=-61",'Data Additive'!$Q:$Q,"&gt;=-90")</f>
        <v>0</v>
      </c>
      <c r="S94" s="19">
        <f>SUMIFS('Data Additive'!$D:$D,'Data Additive'!$P:$P,'Painel Additive'!$B35,'Data Additive'!$Q:$Q,"&lt;=-91",'Data Additive'!$Q:$Q,"&gt;=-120")</f>
        <v>0</v>
      </c>
      <c r="T94" s="19">
        <f>SUMIFS('Data Additive'!$D:$D,'Data Additive'!$P:$P,'Painel Additive'!$B35,'Data Additive'!$Q:$Q,"&lt;=-121",'Data Additive'!$Q:$Q,"&gt;=-180")</f>
        <v>0</v>
      </c>
      <c r="U94" s="19">
        <f>SUMIFS('Data Additive'!$D:$D,'Data Additive'!$P:$P,'Painel Additive'!$B35,'Data Additive'!$Q:$Q,"&lt;=-181",'Data Additive'!$Q:$Q,"&gt;=-360")</f>
        <v>0</v>
      </c>
      <c r="V94" s="23">
        <f>SUMIFS('Data Additive'!$D:$D,'Data Additive'!$P:$P,'Painel Additive'!$B35,'Data Additive'!$Q:$Q,"&lt;-360")</f>
        <v>0</v>
      </c>
      <c r="W94" s="19" t="e">
        <f>SUMIFS('Bad Debt Provision'!#REF!,'Bad Debt Provision'!#REF!,'Painel Additive'!$B35)</f>
        <v>#REF!</v>
      </c>
      <c r="X94" s="5"/>
      <c r="Y94" s="20"/>
      <c r="Z94" s="20"/>
      <c r="AA94" s="21"/>
      <c r="AB94" s="5"/>
      <c r="AC94" s="19"/>
      <c r="AD94" s="20"/>
      <c r="AE94" s="22"/>
      <c r="AF94" s="22"/>
      <c r="AG94" s="5"/>
      <c r="AH94" s="28">
        <f t="shared" si="13"/>
        <v>0</v>
      </c>
      <c r="AI94" s="5"/>
    </row>
    <row r="95" spans="2:35" x14ac:dyDescent="0.25">
      <c r="B95" s="17" t="s">
        <v>93</v>
      </c>
      <c r="C95" s="93" t="str" cm="1">
        <f t="array" ref="C95">IFERROR(INDEX('Limite de crédito'!$D:$D, MATCH(MAX(IF('Limite de crédito'!$C:$C=$B95, 'Limite de crédito'!$A:$A)), 'Limite de crédito'!$A:$A, 0)),"")</f>
        <v/>
      </c>
      <c r="D95" s="18" cm="1">
        <f t="array" ref="D95">IFERROR(INDEX('Limite de crédito'!$F:$F, MATCH(MAX(IF('Limite de crédito'!$C:$C=$B95, 'Limite de crédito'!$A:$A)), 'Limite de crédito'!$A:$A, 0)),0)</f>
        <v>0</v>
      </c>
      <c r="E95" s="18">
        <f t="shared" si="10"/>
        <v>0</v>
      </c>
      <c r="F95" s="18">
        <f t="shared" si="11"/>
        <v>0</v>
      </c>
      <c r="G95" s="19">
        <f>SUMIFS('Data Additive'!$D:$D,'Data Additive'!$P:$P,'Painel Additive'!#REF!,'Data Additive'!$Q:$Q,"&gt;0",'Data Additive'!$Q:$Q,"&lt;=30")</f>
        <v>0</v>
      </c>
      <c r="H95" s="19">
        <f>SUMIFS('Data Additive'!$D:$D,'Data Additive'!$P:$P,'Painel Additive'!#REF!,'Data Additive'!$Q:$Q,"&gt;30",'Data Additive'!$Q:$Q,"&lt;=60")</f>
        <v>0</v>
      </c>
      <c r="I95" s="19">
        <f>SUMIFS('Data Additive'!$D:$D,'Data Additive'!$P:$P,'Painel Additive'!#REF!,'Data Additive'!$Q:$Q,"&gt;60",'Data Additive'!$Q:$Q,"&lt;=90")</f>
        <v>0</v>
      </c>
      <c r="J95" s="19">
        <f>SUMIFS('Data Additive'!$D:$D,'Data Additive'!$P:$P,'Painel Additive'!#REF!,'Data Additive'!$Q:$Q,"&gt;90",'Data Additive'!$Q:$Q,"&lt;=120")</f>
        <v>0</v>
      </c>
      <c r="K95" s="19">
        <f>SUMIFS('Data Additive'!$D:$D,'Data Additive'!$P:$P,'Painel Additive'!#REF!,'Data Additive'!$Q:$Q,"&gt;120",'Data Additive'!$Q:$Q,"&lt;=180")</f>
        <v>0</v>
      </c>
      <c r="L95" s="19">
        <f>SUMIFS('Data Additive'!$D:$D,'Data Additive'!$P:$P,'Painel Additive'!#REF!,'Data Additive'!$Q:$Q,"&gt;180",'Data Additive'!$Q:$Q,"&lt;=360")</f>
        <v>0</v>
      </c>
      <c r="M95" s="23">
        <f>SUMIFS('Data Additive'!$D:$D,'Data Additive'!$P:$P,'Painel Additive'!#REF!,'Data Additive'!$Q:$Q,"&gt;360")</f>
        <v>0</v>
      </c>
      <c r="N95" s="19">
        <f>SUMIFS('Data Additive'!$D:$D,'Data Additive'!$P:$P,'Painel Additive'!#REF!,'Data Additive'!$Q:$Q,"&gt;0")</f>
        <v>0</v>
      </c>
      <c r="O95" s="19">
        <f t="shared" si="12"/>
        <v>0</v>
      </c>
      <c r="P95" s="19">
        <f>SUMIFS('Data Additive'!$D:$D,'Data Additive'!$P:$P,'Painel Additive'!#REF!,'Data Additive'!$Q:$Q,"&lt;=0",'Data Additive'!$Q:$Q,"&gt;=-30")</f>
        <v>0</v>
      </c>
      <c r="Q95" s="19">
        <f>SUMIFS('Data Additive'!$D:$D,'Data Additive'!$P:$P,'Painel Additive'!#REF!,'Data Additive'!$Q:$Q,"&lt;=-31",'Data Additive'!$Q:$Q,"&gt;=-60")</f>
        <v>0</v>
      </c>
      <c r="R95" s="19">
        <f>SUMIFS('Data Additive'!$D:$D,'Data Additive'!$P:$P,'Painel Additive'!#REF!,'Data Additive'!$Q:$Q,"&lt;=-61",'Data Additive'!$Q:$Q,"&gt;=-90")</f>
        <v>0</v>
      </c>
      <c r="S95" s="19">
        <f>SUMIFS('Data Additive'!$D:$D,'Data Additive'!$P:$P,'Painel Additive'!#REF!,'Data Additive'!$Q:$Q,"&lt;=-91",'Data Additive'!$Q:$Q,"&gt;=-120")</f>
        <v>0</v>
      </c>
      <c r="T95" s="19">
        <f>SUMIFS('Data Additive'!$D:$D,'Data Additive'!$P:$P,'Painel Additive'!#REF!,'Data Additive'!$Q:$Q,"&lt;=-121",'Data Additive'!$Q:$Q,"&gt;=-180")</f>
        <v>0</v>
      </c>
      <c r="U95" s="19">
        <f>SUMIFS('Data Additive'!$D:$D,'Data Additive'!$P:$P,'Painel Additive'!#REF!,'Data Additive'!$Q:$Q,"&lt;=-181",'Data Additive'!$Q:$Q,"&gt;=-360")</f>
        <v>0</v>
      </c>
      <c r="V95" s="23">
        <f>SUMIFS('Data Additive'!$D:$D,'Data Additive'!$P:$P,'Painel Additive'!#REF!,'Data Additive'!$Q:$Q,"&lt;-360")</f>
        <v>0</v>
      </c>
      <c r="W95" s="19" t="e">
        <f>SUMIFS('Bad Debt Provision'!#REF!,'Bad Debt Provision'!#REF!,'Painel Additive'!#REF!)</f>
        <v>#REF!</v>
      </c>
      <c r="X95" s="5"/>
      <c r="Y95" s="20"/>
      <c r="Z95" s="20"/>
      <c r="AA95" s="21"/>
      <c r="AB95" s="5"/>
      <c r="AC95" s="19"/>
      <c r="AD95" s="20"/>
      <c r="AE95" s="22"/>
      <c r="AF95" s="22"/>
      <c r="AG95" s="5"/>
      <c r="AH95" s="28">
        <f t="shared" si="13"/>
        <v>0</v>
      </c>
      <c r="AI95" s="5"/>
    </row>
    <row r="96" spans="2:35" x14ac:dyDescent="0.25">
      <c r="B96" s="17" t="s">
        <v>147</v>
      </c>
      <c r="C96" s="93" t="str" cm="1">
        <f t="array" ref="C96">IFERROR(INDEX('Limite de crédito'!$D:$D, MATCH(MAX(IF('Limite de crédito'!$C:$C=$B96, 'Limite de crédito'!$A:$A)), 'Limite de crédito'!$A:$A, 0)),"")</f>
        <v/>
      </c>
      <c r="D96" s="18" cm="1">
        <f t="array" ref="D96">IFERROR(INDEX('Limite de crédito'!$F:$F, MATCH(MAX(IF('Limite de crédito'!$C:$C=$B96, 'Limite de crédito'!$A:$A)), 'Limite de crédito'!$A:$A, 0)),0)</f>
        <v>0</v>
      </c>
      <c r="E96" s="18">
        <f t="shared" si="10"/>
        <v>0</v>
      </c>
      <c r="F96" s="18">
        <f t="shared" si="11"/>
        <v>0</v>
      </c>
      <c r="G96" s="19">
        <f>SUMIFS('Data Additive'!$D:$D,'Data Additive'!$P:$P,'Painel Additive'!#REF!,'Data Additive'!$Q:$Q,"&gt;0",'Data Additive'!$Q:$Q,"&lt;=30")</f>
        <v>0</v>
      </c>
      <c r="H96" s="19">
        <f>SUMIFS('Data Additive'!$D:$D,'Data Additive'!$P:$P,'Painel Additive'!#REF!,'Data Additive'!$Q:$Q,"&gt;30",'Data Additive'!$Q:$Q,"&lt;=60")</f>
        <v>0</v>
      </c>
      <c r="I96" s="19">
        <f>SUMIFS('Data Additive'!$D:$D,'Data Additive'!$P:$P,'Painel Additive'!#REF!,'Data Additive'!$Q:$Q,"&gt;60",'Data Additive'!$Q:$Q,"&lt;=90")</f>
        <v>0</v>
      </c>
      <c r="J96" s="19">
        <f>SUMIFS('Data Additive'!$D:$D,'Data Additive'!$P:$P,'Painel Additive'!#REF!,'Data Additive'!$Q:$Q,"&gt;90",'Data Additive'!$Q:$Q,"&lt;=120")</f>
        <v>0</v>
      </c>
      <c r="K96" s="19">
        <f>SUMIFS('Data Additive'!$D:$D,'Data Additive'!$P:$P,'Painel Additive'!#REF!,'Data Additive'!$Q:$Q,"&gt;120",'Data Additive'!$Q:$Q,"&lt;=180")</f>
        <v>0</v>
      </c>
      <c r="L96" s="19">
        <f>SUMIFS('Data Additive'!$D:$D,'Data Additive'!$P:$P,'Painel Additive'!#REF!,'Data Additive'!$Q:$Q,"&gt;180",'Data Additive'!$Q:$Q,"&lt;=360")</f>
        <v>0</v>
      </c>
      <c r="M96" s="23">
        <f>SUMIFS('Data Additive'!$D:$D,'Data Additive'!$P:$P,'Painel Additive'!#REF!,'Data Additive'!$Q:$Q,"&gt;360")</f>
        <v>0</v>
      </c>
      <c r="N96" s="19">
        <f>SUMIFS('Data Additive'!$D:$D,'Data Additive'!$P:$P,'Painel Additive'!#REF!,'Data Additive'!$Q:$Q,"&gt;0")</f>
        <v>0</v>
      </c>
      <c r="O96" s="19">
        <f t="shared" si="12"/>
        <v>0</v>
      </c>
      <c r="P96" s="19">
        <f>SUMIFS('Data Additive'!$D:$D,'Data Additive'!$P:$P,'Painel Additive'!#REF!,'Data Additive'!$Q:$Q,"&lt;=0",'Data Additive'!$Q:$Q,"&gt;=-30")</f>
        <v>0</v>
      </c>
      <c r="Q96" s="19">
        <f>SUMIFS('Data Additive'!$D:$D,'Data Additive'!$P:$P,'Painel Additive'!#REF!,'Data Additive'!$Q:$Q,"&lt;=-31",'Data Additive'!$Q:$Q,"&gt;=-60")</f>
        <v>0</v>
      </c>
      <c r="R96" s="19">
        <f>SUMIFS('Data Additive'!$D:$D,'Data Additive'!$P:$P,'Painel Additive'!#REF!,'Data Additive'!$Q:$Q,"&lt;=-61",'Data Additive'!$Q:$Q,"&gt;=-90")</f>
        <v>0</v>
      </c>
      <c r="S96" s="19">
        <f>SUMIFS('Data Additive'!$D:$D,'Data Additive'!$P:$P,'Painel Additive'!#REF!,'Data Additive'!$Q:$Q,"&lt;=-91",'Data Additive'!$Q:$Q,"&gt;=-120")</f>
        <v>0</v>
      </c>
      <c r="T96" s="19">
        <f>SUMIFS('Data Additive'!$D:$D,'Data Additive'!$P:$P,'Painel Additive'!#REF!,'Data Additive'!$Q:$Q,"&lt;=-121",'Data Additive'!$Q:$Q,"&gt;=-180")</f>
        <v>0</v>
      </c>
      <c r="U96" s="19">
        <f>SUMIFS('Data Additive'!$D:$D,'Data Additive'!$P:$P,'Painel Additive'!#REF!,'Data Additive'!$Q:$Q,"&lt;=-181",'Data Additive'!$Q:$Q,"&gt;=-360")</f>
        <v>0</v>
      </c>
      <c r="V96" s="23">
        <f>SUMIFS('Data Additive'!$D:$D,'Data Additive'!$P:$P,'Painel Additive'!#REF!,'Data Additive'!$Q:$Q,"&lt;-360")</f>
        <v>0</v>
      </c>
      <c r="W96" s="19" t="e">
        <f>SUMIFS('Bad Debt Provision'!#REF!,'Bad Debt Provision'!#REF!,'Painel Additive'!#REF!)</f>
        <v>#REF!</v>
      </c>
      <c r="X96" s="5"/>
      <c r="Y96" s="20"/>
      <c r="Z96" s="20"/>
      <c r="AA96" s="21"/>
      <c r="AB96" s="5"/>
      <c r="AC96" s="19"/>
      <c r="AD96" s="20"/>
      <c r="AE96" s="22"/>
      <c r="AF96" s="22"/>
      <c r="AG96" s="5"/>
      <c r="AH96" s="28">
        <f t="shared" si="13"/>
        <v>0</v>
      </c>
      <c r="AI96" s="5"/>
    </row>
    <row r="97" spans="2:35" x14ac:dyDescent="0.25">
      <c r="B97" s="17" t="s">
        <v>97</v>
      </c>
      <c r="C97" s="93" cm="1">
        <f t="array" ref="C97">IFERROR(INDEX('Limite de crédito'!$D:$D, MATCH(MAX(IF('Limite de crédito'!$C:$C=$B97, 'Limite de crédito'!$A:$A)), 'Limite de crédito'!$A:$A, 0)),"")</f>
        <v>45980</v>
      </c>
      <c r="D97" s="18" t="str" cm="1">
        <f t="array" ref="D97">IFERROR(INDEX('Limite de crédito'!$F:$F, MATCH(MAX(IF('Limite de crédito'!$C:$C=$B97, 'Limite de crédito'!$A:$A)), 'Limite de crédito'!$A:$A, 0)),0)</f>
        <v>Sim</v>
      </c>
      <c r="E97" s="18" t="e">
        <f t="shared" si="10"/>
        <v>#VALUE!</v>
      </c>
      <c r="F97" s="18">
        <f t="shared" si="11"/>
        <v>0</v>
      </c>
      <c r="G97" s="19">
        <f>SUMIFS('Data Additive'!$D:$D,'Data Additive'!$P:$P,'Painel Additive'!#REF!,'Data Additive'!$Q:$Q,"&gt;0",'Data Additive'!$Q:$Q,"&lt;=30")</f>
        <v>0</v>
      </c>
      <c r="H97" s="19">
        <f>SUMIFS('Data Additive'!$D:$D,'Data Additive'!$P:$P,'Painel Additive'!#REF!,'Data Additive'!$Q:$Q,"&gt;30",'Data Additive'!$Q:$Q,"&lt;=60")</f>
        <v>0</v>
      </c>
      <c r="I97" s="19">
        <f>SUMIFS('Data Additive'!$D:$D,'Data Additive'!$P:$P,'Painel Additive'!#REF!,'Data Additive'!$Q:$Q,"&gt;60",'Data Additive'!$Q:$Q,"&lt;=90")</f>
        <v>0</v>
      </c>
      <c r="J97" s="19">
        <f>SUMIFS('Data Additive'!$D:$D,'Data Additive'!$P:$P,'Painel Additive'!#REF!,'Data Additive'!$Q:$Q,"&gt;90",'Data Additive'!$Q:$Q,"&lt;=120")</f>
        <v>0</v>
      </c>
      <c r="K97" s="19">
        <f>SUMIFS('Data Additive'!$D:$D,'Data Additive'!$P:$P,'Painel Additive'!#REF!,'Data Additive'!$Q:$Q,"&gt;120",'Data Additive'!$Q:$Q,"&lt;=180")</f>
        <v>0</v>
      </c>
      <c r="L97" s="19">
        <f>SUMIFS('Data Additive'!$D:$D,'Data Additive'!$P:$P,'Painel Additive'!#REF!,'Data Additive'!$Q:$Q,"&gt;180",'Data Additive'!$Q:$Q,"&lt;=360")</f>
        <v>0</v>
      </c>
      <c r="M97" s="23">
        <f>SUMIFS('Data Additive'!$D:$D,'Data Additive'!$P:$P,'Painel Additive'!#REF!,'Data Additive'!$Q:$Q,"&gt;360")</f>
        <v>0</v>
      </c>
      <c r="N97" s="19">
        <f>SUMIFS('Data Additive'!$D:$D,'Data Additive'!$P:$P,'Painel Additive'!#REF!,'Data Additive'!$Q:$Q,"&gt;0")</f>
        <v>0</v>
      </c>
      <c r="O97" s="19">
        <f t="shared" si="12"/>
        <v>0</v>
      </c>
      <c r="P97" s="19">
        <f>SUMIFS('Data Additive'!$D:$D,'Data Additive'!$P:$P,'Painel Additive'!#REF!,'Data Additive'!$Q:$Q,"&lt;=0",'Data Additive'!$Q:$Q,"&gt;=-30")</f>
        <v>0</v>
      </c>
      <c r="Q97" s="19">
        <f>SUMIFS('Data Additive'!$D:$D,'Data Additive'!$P:$P,'Painel Additive'!#REF!,'Data Additive'!$Q:$Q,"&lt;=-31",'Data Additive'!$Q:$Q,"&gt;=-60")</f>
        <v>0</v>
      </c>
      <c r="R97" s="19">
        <f>SUMIFS('Data Additive'!$D:$D,'Data Additive'!$P:$P,'Painel Additive'!#REF!,'Data Additive'!$Q:$Q,"&lt;=-61",'Data Additive'!$Q:$Q,"&gt;=-90")</f>
        <v>0</v>
      </c>
      <c r="S97" s="19">
        <f>SUMIFS('Data Additive'!$D:$D,'Data Additive'!$P:$P,'Painel Additive'!#REF!,'Data Additive'!$Q:$Q,"&lt;=-91",'Data Additive'!$Q:$Q,"&gt;=-120")</f>
        <v>0</v>
      </c>
      <c r="T97" s="19">
        <f>SUMIFS('Data Additive'!$D:$D,'Data Additive'!$P:$P,'Painel Additive'!#REF!,'Data Additive'!$Q:$Q,"&lt;=-121",'Data Additive'!$Q:$Q,"&gt;=-180")</f>
        <v>0</v>
      </c>
      <c r="U97" s="19">
        <f>SUMIFS('Data Additive'!$D:$D,'Data Additive'!$P:$P,'Painel Additive'!#REF!,'Data Additive'!$Q:$Q,"&lt;=-181",'Data Additive'!$Q:$Q,"&gt;=-360")</f>
        <v>0</v>
      </c>
      <c r="V97" s="23">
        <f>SUMIFS('Data Additive'!$D:$D,'Data Additive'!$P:$P,'Painel Additive'!#REF!,'Data Additive'!$Q:$Q,"&lt;-360")</f>
        <v>0</v>
      </c>
      <c r="W97" s="19" t="e">
        <f>SUMIFS('Bad Debt Provision'!#REF!,'Bad Debt Provision'!#REF!,'Painel Additive'!#REF!)</f>
        <v>#REF!</v>
      </c>
      <c r="X97" s="5"/>
      <c r="Y97" s="20"/>
      <c r="Z97" s="20"/>
      <c r="AA97" s="21"/>
      <c r="AB97" s="5"/>
      <c r="AC97" s="19"/>
      <c r="AD97" s="20"/>
      <c r="AE97" s="22"/>
      <c r="AF97" s="22"/>
      <c r="AG97" s="5"/>
      <c r="AH97" s="28">
        <f t="shared" si="13"/>
        <v>0</v>
      </c>
      <c r="AI97" s="5"/>
    </row>
    <row r="98" spans="2:35" x14ac:dyDescent="0.25">
      <c r="B98" s="17" t="s">
        <v>107</v>
      </c>
      <c r="C98" s="93" t="str" cm="1">
        <f t="array" ref="C98">IFERROR(INDEX('Limite de crédito'!$D:$D, MATCH(MAX(IF('Limite de crédito'!$C:$C=$B98, 'Limite de crédito'!$A:$A)), 'Limite de crédito'!$A:$A, 0)),"")</f>
        <v/>
      </c>
      <c r="D98" s="18" cm="1">
        <f t="array" ref="D98">IFERROR(INDEX('Limite de crédito'!$F:$F, MATCH(MAX(IF('Limite de crédito'!$C:$C=$B98, 'Limite de crédito'!$A:$A)), 'Limite de crédito'!$A:$A, 0)),0)</f>
        <v>0</v>
      </c>
      <c r="E98" s="18">
        <f t="shared" si="10"/>
        <v>0</v>
      </c>
      <c r="F98" s="18">
        <f t="shared" si="11"/>
        <v>0</v>
      </c>
      <c r="G98" s="19">
        <f>SUMIFS('Data Additive'!$D:$D,'Data Additive'!$P:$P,'Painel Additive'!#REF!,'Data Additive'!$Q:$Q,"&gt;0",'Data Additive'!$Q:$Q,"&lt;=30")</f>
        <v>0</v>
      </c>
      <c r="H98" s="19">
        <f>SUMIFS('Data Additive'!$D:$D,'Data Additive'!$P:$P,'Painel Additive'!#REF!,'Data Additive'!$Q:$Q,"&gt;30",'Data Additive'!$Q:$Q,"&lt;=60")</f>
        <v>0</v>
      </c>
      <c r="I98" s="19">
        <f>SUMIFS('Data Additive'!$D:$D,'Data Additive'!$P:$P,'Painel Additive'!#REF!,'Data Additive'!$Q:$Q,"&gt;60",'Data Additive'!$Q:$Q,"&lt;=90")</f>
        <v>0</v>
      </c>
      <c r="J98" s="19">
        <f>SUMIFS('Data Additive'!$D:$D,'Data Additive'!$P:$P,'Painel Additive'!#REF!,'Data Additive'!$Q:$Q,"&gt;90",'Data Additive'!$Q:$Q,"&lt;=120")</f>
        <v>0</v>
      </c>
      <c r="K98" s="19">
        <f>SUMIFS('Data Additive'!$D:$D,'Data Additive'!$P:$P,'Painel Additive'!#REF!,'Data Additive'!$Q:$Q,"&gt;120",'Data Additive'!$Q:$Q,"&lt;=180")</f>
        <v>0</v>
      </c>
      <c r="L98" s="19">
        <f>SUMIFS('Data Additive'!$D:$D,'Data Additive'!$P:$P,'Painel Additive'!#REF!,'Data Additive'!$Q:$Q,"&gt;180",'Data Additive'!$Q:$Q,"&lt;=360")</f>
        <v>0</v>
      </c>
      <c r="M98" s="23">
        <f>SUMIFS('Data Additive'!$D:$D,'Data Additive'!$P:$P,'Painel Additive'!#REF!,'Data Additive'!$Q:$Q,"&gt;360")</f>
        <v>0</v>
      </c>
      <c r="N98" s="19">
        <f>SUMIFS('Data Additive'!$D:$D,'Data Additive'!$P:$P,'Painel Additive'!#REF!,'Data Additive'!$Q:$Q,"&gt;0")</f>
        <v>0</v>
      </c>
      <c r="O98" s="19">
        <f t="shared" si="12"/>
        <v>0</v>
      </c>
      <c r="P98" s="19">
        <f>SUMIFS('Data Additive'!$D:$D,'Data Additive'!$P:$P,'Painel Additive'!#REF!,'Data Additive'!$Q:$Q,"&lt;=0",'Data Additive'!$Q:$Q,"&gt;=-30")</f>
        <v>0</v>
      </c>
      <c r="Q98" s="19">
        <f>SUMIFS('Data Additive'!$D:$D,'Data Additive'!$P:$P,'Painel Additive'!#REF!,'Data Additive'!$Q:$Q,"&lt;=-31",'Data Additive'!$Q:$Q,"&gt;=-60")</f>
        <v>0</v>
      </c>
      <c r="R98" s="19">
        <f>SUMIFS('Data Additive'!$D:$D,'Data Additive'!$P:$P,'Painel Additive'!#REF!,'Data Additive'!$Q:$Q,"&lt;=-61",'Data Additive'!$Q:$Q,"&gt;=-90")</f>
        <v>0</v>
      </c>
      <c r="S98" s="19">
        <f>SUMIFS('Data Additive'!$D:$D,'Data Additive'!$P:$P,'Painel Additive'!#REF!,'Data Additive'!$Q:$Q,"&lt;=-91",'Data Additive'!$Q:$Q,"&gt;=-120")</f>
        <v>0</v>
      </c>
      <c r="T98" s="19">
        <f>SUMIFS('Data Additive'!$D:$D,'Data Additive'!$P:$P,'Painel Additive'!#REF!,'Data Additive'!$Q:$Q,"&lt;=-121",'Data Additive'!$Q:$Q,"&gt;=-180")</f>
        <v>0</v>
      </c>
      <c r="U98" s="19">
        <f>SUMIFS('Data Additive'!$D:$D,'Data Additive'!$P:$P,'Painel Additive'!#REF!,'Data Additive'!$Q:$Q,"&lt;=-181",'Data Additive'!$Q:$Q,"&gt;=-360")</f>
        <v>0</v>
      </c>
      <c r="V98" s="23">
        <f>SUMIFS('Data Additive'!$D:$D,'Data Additive'!$P:$P,'Painel Additive'!#REF!,'Data Additive'!$Q:$Q,"&lt;-360")</f>
        <v>0</v>
      </c>
      <c r="W98" s="19" t="e">
        <f>SUMIFS('Bad Debt Provision'!#REF!,'Bad Debt Provision'!#REF!,'Painel Additive'!#REF!)</f>
        <v>#REF!</v>
      </c>
      <c r="X98" s="5"/>
      <c r="Y98" s="20"/>
      <c r="Z98" s="20"/>
      <c r="AA98" s="21"/>
      <c r="AB98" s="5"/>
      <c r="AC98" s="19"/>
      <c r="AD98" s="20"/>
      <c r="AE98" s="22"/>
      <c r="AF98" s="22"/>
      <c r="AG98" s="5"/>
      <c r="AH98" s="28">
        <f t="shared" si="13"/>
        <v>0</v>
      </c>
      <c r="AI98" s="5"/>
    </row>
    <row r="99" spans="2:35" x14ac:dyDescent="0.25">
      <c r="B99" s="17" t="s">
        <v>108</v>
      </c>
      <c r="C99" s="93" t="str" cm="1">
        <f t="array" ref="C99">IFERROR(INDEX('Limite de crédito'!$D:$D, MATCH(MAX(IF('Limite de crédito'!$C:$C=$B99, 'Limite de crédito'!$A:$A)), 'Limite de crédito'!$A:$A, 0)),"")</f>
        <v/>
      </c>
      <c r="D99" s="18" cm="1">
        <f t="array" ref="D99">IFERROR(INDEX('Limite de crédito'!$F:$F, MATCH(MAX(IF('Limite de crédito'!$C:$C=$B99, 'Limite de crédito'!$A:$A)), 'Limite de crédito'!$A:$A, 0)),0)</f>
        <v>0</v>
      </c>
      <c r="E99" s="18">
        <f t="shared" si="10"/>
        <v>0</v>
      </c>
      <c r="F99" s="18">
        <f t="shared" si="11"/>
        <v>0</v>
      </c>
      <c r="G99" s="19">
        <f>SUMIFS('Data Additive'!$D:$D,'Data Additive'!$P:$P,'Painel Additive'!#REF!,'Data Additive'!$Q:$Q,"&gt;0",'Data Additive'!$Q:$Q,"&lt;=30")</f>
        <v>0</v>
      </c>
      <c r="H99" s="19">
        <f>SUMIFS('Data Additive'!$D:$D,'Data Additive'!$P:$P,'Painel Additive'!#REF!,'Data Additive'!$Q:$Q,"&gt;30",'Data Additive'!$Q:$Q,"&lt;=60")</f>
        <v>0</v>
      </c>
      <c r="I99" s="19">
        <f>SUMIFS('Data Additive'!$D:$D,'Data Additive'!$P:$P,'Painel Additive'!#REF!,'Data Additive'!$Q:$Q,"&gt;60",'Data Additive'!$Q:$Q,"&lt;=90")</f>
        <v>0</v>
      </c>
      <c r="J99" s="19">
        <f>SUMIFS('Data Additive'!$D:$D,'Data Additive'!$P:$P,'Painel Additive'!#REF!,'Data Additive'!$Q:$Q,"&gt;90",'Data Additive'!$Q:$Q,"&lt;=120")</f>
        <v>0</v>
      </c>
      <c r="K99" s="19">
        <f>SUMIFS('Data Additive'!$D:$D,'Data Additive'!$P:$P,'Painel Additive'!#REF!,'Data Additive'!$Q:$Q,"&gt;120",'Data Additive'!$Q:$Q,"&lt;=180")</f>
        <v>0</v>
      </c>
      <c r="L99" s="19">
        <f>SUMIFS('Data Additive'!$D:$D,'Data Additive'!$P:$P,'Painel Additive'!#REF!,'Data Additive'!$Q:$Q,"&gt;180",'Data Additive'!$Q:$Q,"&lt;=360")</f>
        <v>0</v>
      </c>
      <c r="M99" s="23">
        <f>SUMIFS('Data Additive'!$D:$D,'Data Additive'!$P:$P,'Painel Additive'!#REF!,'Data Additive'!$Q:$Q,"&gt;360")</f>
        <v>0</v>
      </c>
      <c r="N99" s="19">
        <f>SUMIFS('Data Additive'!$D:$D,'Data Additive'!$P:$P,'Painel Additive'!#REF!,'Data Additive'!$Q:$Q,"&gt;0")</f>
        <v>0</v>
      </c>
      <c r="O99" s="19">
        <f t="shared" si="12"/>
        <v>0</v>
      </c>
      <c r="P99" s="19">
        <f>SUMIFS('Data Additive'!$D:$D,'Data Additive'!$P:$P,'Painel Additive'!#REF!,'Data Additive'!$Q:$Q,"&lt;=0",'Data Additive'!$Q:$Q,"&gt;=-30")</f>
        <v>0</v>
      </c>
      <c r="Q99" s="19">
        <f>SUMIFS('Data Additive'!$D:$D,'Data Additive'!$P:$P,'Painel Additive'!#REF!,'Data Additive'!$Q:$Q,"&lt;=-31",'Data Additive'!$Q:$Q,"&gt;=-60")</f>
        <v>0</v>
      </c>
      <c r="R99" s="19">
        <f>SUMIFS('Data Additive'!$D:$D,'Data Additive'!$P:$P,'Painel Additive'!#REF!,'Data Additive'!$Q:$Q,"&lt;=-61",'Data Additive'!$Q:$Q,"&gt;=-90")</f>
        <v>0</v>
      </c>
      <c r="S99" s="19">
        <f>SUMIFS('Data Additive'!$D:$D,'Data Additive'!$P:$P,'Painel Additive'!#REF!,'Data Additive'!$Q:$Q,"&lt;=-91",'Data Additive'!$Q:$Q,"&gt;=-120")</f>
        <v>0</v>
      </c>
      <c r="T99" s="19">
        <f>SUMIFS('Data Additive'!$D:$D,'Data Additive'!$P:$P,'Painel Additive'!#REF!,'Data Additive'!$Q:$Q,"&lt;=-121",'Data Additive'!$Q:$Q,"&gt;=-180")</f>
        <v>0</v>
      </c>
      <c r="U99" s="19">
        <f>SUMIFS('Data Additive'!$D:$D,'Data Additive'!$P:$P,'Painel Additive'!#REF!,'Data Additive'!$Q:$Q,"&lt;=-181",'Data Additive'!$Q:$Q,"&gt;=-360")</f>
        <v>0</v>
      </c>
      <c r="V99" s="23">
        <f>SUMIFS('Data Additive'!$D:$D,'Data Additive'!$P:$P,'Painel Additive'!#REF!,'Data Additive'!$Q:$Q,"&lt;-360")</f>
        <v>0</v>
      </c>
      <c r="W99" s="19" t="e">
        <f>SUMIFS('Bad Debt Provision'!#REF!,'Bad Debt Provision'!#REF!,'Painel Additive'!#REF!)</f>
        <v>#REF!</v>
      </c>
      <c r="X99" s="5"/>
      <c r="Y99" s="20"/>
      <c r="Z99" s="20"/>
      <c r="AA99" s="21"/>
      <c r="AB99" s="5"/>
      <c r="AC99" s="19"/>
      <c r="AD99" s="20"/>
      <c r="AE99" s="22"/>
      <c r="AF99" s="22"/>
      <c r="AG99" s="5"/>
      <c r="AH99" s="28">
        <f t="shared" si="13"/>
        <v>0</v>
      </c>
      <c r="AI99" s="5"/>
    </row>
    <row r="100" spans="2:35" x14ac:dyDescent="0.25">
      <c r="B100" s="17" t="s">
        <v>109</v>
      </c>
      <c r="C100" s="93" t="str" cm="1">
        <f t="array" ref="C100">IFERROR(INDEX('Limite de crédito'!$D:$D, MATCH(MAX(IF('Limite de crédito'!$C:$C=$B100, 'Limite de crédito'!$A:$A)), 'Limite de crédito'!$A:$A, 0)),"")</f>
        <v/>
      </c>
      <c r="D100" s="18" cm="1">
        <f t="array" ref="D100">IFERROR(INDEX('Limite de crédito'!$F:$F, MATCH(MAX(IF('Limite de crédito'!$C:$C=$B100, 'Limite de crédito'!$A:$A)), 'Limite de crédito'!$A:$A, 0)),0)</f>
        <v>0</v>
      </c>
      <c r="E100" s="18">
        <f t="shared" ref="E100:E131" si="14">D100-F100</f>
        <v>0</v>
      </c>
      <c r="F100" s="18">
        <f t="shared" ref="F100:F131" si="15">O100+N100</f>
        <v>0</v>
      </c>
      <c r="G100" s="19">
        <f>SUMIFS('Data Additive'!$D:$D,'Data Additive'!$P:$P,'Painel Additive'!#REF!,'Data Additive'!$Q:$Q,"&gt;0",'Data Additive'!$Q:$Q,"&lt;=30")</f>
        <v>0</v>
      </c>
      <c r="H100" s="19">
        <f>SUMIFS('Data Additive'!$D:$D,'Data Additive'!$P:$P,'Painel Additive'!#REF!,'Data Additive'!$Q:$Q,"&gt;30",'Data Additive'!$Q:$Q,"&lt;=60")</f>
        <v>0</v>
      </c>
      <c r="I100" s="19">
        <f>SUMIFS('Data Additive'!$D:$D,'Data Additive'!$P:$P,'Painel Additive'!#REF!,'Data Additive'!$Q:$Q,"&gt;60",'Data Additive'!$Q:$Q,"&lt;=90")</f>
        <v>0</v>
      </c>
      <c r="J100" s="19">
        <f>SUMIFS('Data Additive'!$D:$D,'Data Additive'!$P:$P,'Painel Additive'!#REF!,'Data Additive'!$Q:$Q,"&gt;90",'Data Additive'!$Q:$Q,"&lt;=120")</f>
        <v>0</v>
      </c>
      <c r="K100" s="19">
        <f>SUMIFS('Data Additive'!$D:$D,'Data Additive'!$P:$P,'Painel Additive'!#REF!,'Data Additive'!$Q:$Q,"&gt;120",'Data Additive'!$Q:$Q,"&lt;=180")</f>
        <v>0</v>
      </c>
      <c r="L100" s="19">
        <f>SUMIFS('Data Additive'!$D:$D,'Data Additive'!$P:$P,'Painel Additive'!#REF!,'Data Additive'!$Q:$Q,"&gt;180",'Data Additive'!$Q:$Q,"&lt;=360")</f>
        <v>0</v>
      </c>
      <c r="M100" s="23">
        <f>SUMIFS('Data Additive'!$D:$D,'Data Additive'!$P:$P,'Painel Additive'!#REF!,'Data Additive'!$Q:$Q,"&gt;360")</f>
        <v>0</v>
      </c>
      <c r="N100" s="19">
        <f>SUMIFS('Data Additive'!$D:$D,'Data Additive'!$P:$P,'Painel Additive'!#REF!,'Data Additive'!$Q:$Q,"&gt;0")</f>
        <v>0</v>
      </c>
      <c r="O100" s="19">
        <f t="shared" ref="O100:O131" si="16">SUBTOTAL(9,P100:V100)</f>
        <v>0</v>
      </c>
      <c r="P100" s="19">
        <f>SUMIFS('Data Additive'!$D:$D,'Data Additive'!$P:$P,'Painel Additive'!#REF!,'Data Additive'!$Q:$Q,"&lt;=0",'Data Additive'!$Q:$Q,"&gt;=-30")</f>
        <v>0</v>
      </c>
      <c r="Q100" s="19">
        <f>SUMIFS('Data Additive'!$D:$D,'Data Additive'!$P:$P,'Painel Additive'!#REF!,'Data Additive'!$Q:$Q,"&lt;=-31",'Data Additive'!$Q:$Q,"&gt;=-60")</f>
        <v>0</v>
      </c>
      <c r="R100" s="19">
        <f>SUMIFS('Data Additive'!$D:$D,'Data Additive'!$P:$P,'Painel Additive'!#REF!,'Data Additive'!$Q:$Q,"&lt;=-61",'Data Additive'!$Q:$Q,"&gt;=-90")</f>
        <v>0</v>
      </c>
      <c r="S100" s="19">
        <f>SUMIFS('Data Additive'!$D:$D,'Data Additive'!$P:$P,'Painel Additive'!#REF!,'Data Additive'!$Q:$Q,"&lt;=-91",'Data Additive'!$Q:$Q,"&gt;=-120")</f>
        <v>0</v>
      </c>
      <c r="T100" s="19">
        <f>SUMIFS('Data Additive'!$D:$D,'Data Additive'!$P:$P,'Painel Additive'!#REF!,'Data Additive'!$Q:$Q,"&lt;=-121",'Data Additive'!$Q:$Q,"&gt;=-180")</f>
        <v>0</v>
      </c>
      <c r="U100" s="19">
        <f>SUMIFS('Data Additive'!$D:$D,'Data Additive'!$P:$P,'Painel Additive'!#REF!,'Data Additive'!$Q:$Q,"&lt;=-181",'Data Additive'!$Q:$Q,"&gt;=-360")</f>
        <v>0</v>
      </c>
      <c r="V100" s="23">
        <f>SUMIFS('Data Additive'!$D:$D,'Data Additive'!$P:$P,'Painel Additive'!#REF!,'Data Additive'!$Q:$Q,"&lt;-360")</f>
        <v>0</v>
      </c>
      <c r="W100" s="19" t="e">
        <f>SUMIFS('Bad Debt Provision'!#REF!,'Bad Debt Provision'!#REF!,'Painel Additive'!#REF!)</f>
        <v>#REF!</v>
      </c>
      <c r="X100" s="5"/>
      <c r="Y100" s="20"/>
      <c r="Z100" s="20"/>
      <c r="AA100" s="21"/>
      <c r="AB100" s="5"/>
      <c r="AC100" s="19"/>
      <c r="AD100" s="20"/>
      <c r="AE100" s="22"/>
      <c r="AF100" s="22"/>
      <c r="AG100" s="5"/>
      <c r="AH100" s="28">
        <f t="shared" ref="AH100:AH131" si="17">AC100-F100</f>
        <v>0</v>
      </c>
      <c r="AI100" s="5"/>
    </row>
    <row r="101" spans="2:35" x14ac:dyDescent="0.25">
      <c r="B101" s="17" t="s">
        <v>132</v>
      </c>
      <c r="C101" s="93" t="str" cm="1">
        <f t="array" ref="C101">IFERROR(INDEX('Limite de crédito'!$D:$D, MATCH(MAX(IF('Limite de crédito'!$C:$C=$B101, 'Limite de crédito'!$A:$A)), 'Limite de crédito'!$A:$A, 0)),"")</f>
        <v/>
      </c>
      <c r="D101" s="18" cm="1">
        <f t="array" ref="D101">IFERROR(INDEX('Limite de crédito'!$F:$F, MATCH(MAX(IF('Limite de crédito'!$C:$C=$B101, 'Limite de crédito'!$A:$A)), 'Limite de crédito'!$A:$A, 0)),0)</f>
        <v>0</v>
      </c>
      <c r="E101" s="18">
        <f t="shared" si="14"/>
        <v>0</v>
      </c>
      <c r="F101" s="18">
        <f t="shared" si="15"/>
        <v>0</v>
      </c>
      <c r="G101" s="19">
        <f>SUMIFS('Data Additive'!$D:$D,'Data Additive'!$P:$P,'Painel Additive'!#REF!,'Data Additive'!$Q:$Q,"&gt;0",'Data Additive'!$Q:$Q,"&lt;=30")</f>
        <v>0</v>
      </c>
      <c r="H101" s="19">
        <f>SUMIFS('Data Additive'!$D:$D,'Data Additive'!$P:$P,'Painel Additive'!#REF!,'Data Additive'!$Q:$Q,"&gt;30",'Data Additive'!$Q:$Q,"&lt;=60")</f>
        <v>0</v>
      </c>
      <c r="I101" s="19">
        <f>SUMIFS('Data Additive'!$D:$D,'Data Additive'!$P:$P,'Painel Additive'!#REF!,'Data Additive'!$Q:$Q,"&gt;60",'Data Additive'!$Q:$Q,"&lt;=90")</f>
        <v>0</v>
      </c>
      <c r="J101" s="19">
        <f>SUMIFS('Data Additive'!$D:$D,'Data Additive'!$P:$P,'Painel Additive'!#REF!,'Data Additive'!$Q:$Q,"&gt;90",'Data Additive'!$Q:$Q,"&lt;=120")</f>
        <v>0</v>
      </c>
      <c r="K101" s="19">
        <f>SUMIFS('Data Additive'!$D:$D,'Data Additive'!$P:$P,'Painel Additive'!#REF!,'Data Additive'!$Q:$Q,"&gt;120",'Data Additive'!$Q:$Q,"&lt;=180")</f>
        <v>0</v>
      </c>
      <c r="L101" s="19">
        <f>SUMIFS('Data Additive'!$D:$D,'Data Additive'!$P:$P,'Painel Additive'!#REF!,'Data Additive'!$Q:$Q,"&gt;180",'Data Additive'!$Q:$Q,"&lt;=360")</f>
        <v>0</v>
      </c>
      <c r="M101" s="23">
        <f>SUMIFS('Data Additive'!$D:$D,'Data Additive'!$P:$P,'Painel Additive'!#REF!,'Data Additive'!$Q:$Q,"&gt;360")</f>
        <v>0</v>
      </c>
      <c r="N101" s="19">
        <f>SUMIFS('Data Additive'!$D:$D,'Data Additive'!$P:$P,'Painel Additive'!#REF!,'Data Additive'!$Q:$Q,"&gt;0")</f>
        <v>0</v>
      </c>
      <c r="O101" s="19">
        <f t="shared" si="16"/>
        <v>0</v>
      </c>
      <c r="P101" s="19">
        <f>SUMIFS('Data Additive'!$D:$D,'Data Additive'!$P:$P,'Painel Additive'!#REF!,'Data Additive'!$Q:$Q,"&lt;=0",'Data Additive'!$Q:$Q,"&gt;=-30")</f>
        <v>0</v>
      </c>
      <c r="Q101" s="19">
        <f>SUMIFS('Data Additive'!$D:$D,'Data Additive'!$P:$P,'Painel Additive'!#REF!,'Data Additive'!$Q:$Q,"&lt;=-31",'Data Additive'!$Q:$Q,"&gt;=-60")</f>
        <v>0</v>
      </c>
      <c r="R101" s="19">
        <f>SUMIFS('Data Additive'!$D:$D,'Data Additive'!$P:$P,'Painel Additive'!#REF!,'Data Additive'!$Q:$Q,"&lt;=-61",'Data Additive'!$Q:$Q,"&gt;=-90")</f>
        <v>0</v>
      </c>
      <c r="S101" s="19">
        <f>SUMIFS('Data Additive'!$D:$D,'Data Additive'!$P:$P,'Painel Additive'!#REF!,'Data Additive'!$Q:$Q,"&lt;=-91",'Data Additive'!$Q:$Q,"&gt;=-120")</f>
        <v>0</v>
      </c>
      <c r="T101" s="19">
        <f>SUMIFS('Data Additive'!$D:$D,'Data Additive'!$P:$P,'Painel Additive'!#REF!,'Data Additive'!$Q:$Q,"&lt;=-121",'Data Additive'!$Q:$Q,"&gt;=-180")</f>
        <v>0</v>
      </c>
      <c r="U101" s="19">
        <f>SUMIFS('Data Additive'!$D:$D,'Data Additive'!$P:$P,'Painel Additive'!#REF!,'Data Additive'!$Q:$Q,"&lt;=-181",'Data Additive'!$Q:$Q,"&gt;=-360")</f>
        <v>0</v>
      </c>
      <c r="V101" s="23">
        <f>SUMIFS('Data Additive'!$D:$D,'Data Additive'!$P:$P,'Painel Additive'!#REF!,'Data Additive'!$Q:$Q,"&lt;-360")</f>
        <v>0</v>
      </c>
      <c r="W101" s="19" t="e">
        <f>SUMIFS('Bad Debt Provision'!#REF!,'Bad Debt Provision'!#REF!,'Painel Additive'!#REF!)</f>
        <v>#REF!</v>
      </c>
      <c r="X101" s="5"/>
      <c r="Y101" s="20"/>
      <c r="Z101" s="20"/>
      <c r="AA101" s="21"/>
      <c r="AB101" s="5"/>
      <c r="AC101" s="19"/>
      <c r="AD101" s="20"/>
      <c r="AE101" s="22"/>
      <c r="AF101" s="22"/>
      <c r="AG101" s="5"/>
      <c r="AH101" s="28">
        <f t="shared" si="17"/>
        <v>0</v>
      </c>
      <c r="AI101" s="5"/>
    </row>
    <row r="102" spans="2:35" x14ac:dyDescent="0.25">
      <c r="B102" s="17" t="s">
        <v>189</v>
      </c>
      <c r="C102" s="93" t="str" cm="1">
        <f t="array" ref="C102">IFERROR(INDEX('Limite de crédito'!$D:$D, MATCH(MAX(IF('Limite de crédito'!$C:$C=$B102, 'Limite de crédito'!$A:$A)), 'Limite de crédito'!$A:$A, 0)),"")</f>
        <v/>
      </c>
      <c r="D102" s="18" cm="1">
        <f t="array" ref="D102">IFERROR(INDEX('Limite de crédito'!$F:$F, MATCH(MAX(IF('Limite de crédito'!$C:$C=$B102, 'Limite de crédito'!$A:$A)), 'Limite de crédito'!$A:$A, 0)),0)</f>
        <v>0</v>
      </c>
      <c r="E102" s="18">
        <f t="shared" si="14"/>
        <v>0</v>
      </c>
      <c r="F102" s="18">
        <f t="shared" si="15"/>
        <v>0</v>
      </c>
      <c r="G102" s="19">
        <f>SUMIFS('Data Additive'!$D:$D,'Data Additive'!$P:$P,'Painel Additive'!#REF!,'Data Additive'!$Q:$Q,"&gt;0",'Data Additive'!$Q:$Q,"&lt;=30")</f>
        <v>0</v>
      </c>
      <c r="H102" s="19">
        <f>SUMIFS('Data Additive'!$D:$D,'Data Additive'!$P:$P,'Painel Additive'!#REF!,'Data Additive'!$Q:$Q,"&gt;30",'Data Additive'!$Q:$Q,"&lt;=60")</f>
        <v>0</v>
      </c>
      <c r="I102" s="19">
        <f>SUMIFS('Data Additive'!$D:$D,'Data Additive'!$P:$P,'Painel Additive'!#REF!,'Data Additive'!$Q:$Q,"&gt;60",'Data Additive'!$Q:$Q,"&lt;=90")</f>
        <v>0</v>
      </c>
      <c r="J102" s="19">
        <f>SUMIFS('Data Additive'!$D:$D,'Data Additive'!$P:$P,'Painel Additive'!#REF!,'Data Additive'!$Q:$Q,"&gt;90",'Data Additive'!$Q:$Q,"&lt;=120")</f>
        <v>0</v>
      </c>
      <c r="K102" s="19">
        <f>SUMIFS('Data Additive'!$D:$D,'Data Additive'!$P:$P,'Painel Additive'!#REF!,'Data Additive'!$Q:$Q,"&gt;120",'Data Additive'!$Q:$Q,"&lt;=180")</f>
        <v>0</v>
      </c>
      <c r="L102" s="19">
        <f>SUMIFS('Data Additive'!$D:$D,'Data Additive'!$P:$P,'Painel Additive'!#REF!,'Data Additive'!$Q:$Q,"&gt;180",'Data Additive'!$Q:$Q,"&lt;=360")</f>
        <v>0</v>
      </c>
      <c r="M102" s="23">
        <f>SUMIFS('Data Additive'!$D:$D,'Data Additive'!$P:$P,'Painel Additive'!#REF!,'Data Additive'!$Q:$Q,"&gt;360")</f>
        <v>0</v>
      </c>
      <c r="N102" s="19">
        <f>SUMIFS('Data Additive'!$D:$D,'Data Additive'!$P:$P,'Painel Additive'!#REF!,'Data Additive'!$Q:$Q,"&gt;0")</f>
        <v>0</v>
      </c>
      <c r="O102" s="19">
        <f t="shared" si="16"/>
        <v>0</v>
      </c>
      <c r="P102" s="19">
        <f>SUMIFS('Data Additive'!$D:$D,'Data Additive'!$P:$P,'Painel Additive'!#REF!,'Data Additive'!$Q:$Q,"&lt;=0",'Data Additive'!$Q:$Q,"&gt;=-30")</f>
        <v>0</v>
      </c>
      <c r="Q102" s="19">
        <f>SUMIFS('Data Additive'!$D:$D,'Data Additive'!$P:$P,'Painel Additive'!#REF!,'Data Additive'!$Q:$Q,"&lt;=-31",'Data Additive'!$Q:$Q,"&gt;=-60")</f>
        <v>0</v>
      </c>
      <c r="R102" s="19">
        <f>SUMIFS('Data Additive'!$D:$D,'Data Additive'!$P:$P,'Painel Additive'!#REF!,'Data Additive'!$Q:$Q,"&lt;=-61",'Data Additive'!$Q:$Q,"&gt;=-90")</f>
        <v>0</v>
      </c>
      <c r="S102" s="19">
        <f>SUMIFS('Data Additive'!$D:$D,'Data Additive'!$P:$P,'Painel Additive'!#REF!,'Data Additive'!$Q:$Q,"&lt;=-91",'Data Additive'!$Q:$Q,"&gt;=-120")</f>
        <v>0</v>
      </c>
      <c r="T102" s="19">
        <f>SUMIFS('Data Additive'!$D:$D,'Data Additive'!$P:$P,'Painel Additive'!#REF!,'Data Additive'!$Q:$Q,"&lt;=-121",'Data Additive'!$Q:$Q,"&gt;=-180")</f>
        <v>0</v>
      </c>
      <c r="U102" s="19">
        <f>SUMIFS('Data Additive'!$D:$D,'Data Additive'!$P:$P,'Painel Additive'!#REF!,'Data Additive'!$Q:$Q,"&lt;=-181",'Data Additive'!$Q:$Q,"&gt;=-360")</f>
        <v>0</v>
      </c>
      <c r="V102" s="23">
        <f>SUMIFS('Data Additive'!$D:$D,'Data Additive'!$P:$P,'Painel Additive'!#REF!,'Data Additive'!$Q:$Q,"&lt;-360")</f>
        <v>0</v>
      </c>
      <c r="W102" s="19" t="e">
        <f>SUMIFS('Bad Debt Provision'!#REF!,'Bad Debt Provision'!#REF!,'Painel Additive'!#REF!)</f>
        <v>#REF!</v>
      </c>
      <c r="X102" s="5"/>
      <c r="Y102" s="20"/>
      <c r="Z102" s="20"/>
      <c r="AA102" s="21"/>
      <c r="AB102" s="5"/>
      <c r="AC102" s="19"/>
      <c r="AD102" s="20"/>
      <c r="AE102" s="22"/>
      <c r="AF102" s="22"/>
      <c r="AG102" s="5"/>
      <c r="AH102" s="28">
        <f t="shared" si="17"/>
        <v>0</v>
      </c>
      <c r="AI102" s="5"/>
    </row>
    <row r="103" spans="2:35" x14ac:dyDescent="0.25">
      <c r="B103" s="17" t="s">
        <v>148</v>
      </c>
      <c r="C103" s="93" t="str" cm="1">
        <f t="array" ref="C103">IFERROR(INDEX('Limite de crédito'!$D:$D, MATCH(MAX(IF('Limite de crédito'!$C:$C=$B103, 'Limite de crédito'!$A:$A)), 'Limite de crédito'!$A:$A, 0)),"")</f>
        <v/>
      </c>
      <c r="D103" s="18" cm="1">
        <f t="array" ref="D103">IFERROR(INDEX('Limite de crédito'!$F:$F, MATCH(MAX(IF('Limite de crédito'!$C:$C=$B103, 'Limite de crédito'!$A:$A)), 'Limite de crédito'!$A:$A, 0)),0)</f>
        <v>0</v>
      </c>
      <c r="E103" s="18">
        <f t="shared" si="14"/>
        <v>0</v>
      </c>
      <c r="F103" s="18">
        <f t="shared" si="15"/>
        <v>0</v>
      </c>
      <c r="G103" s="19">
        <f>SUMIFS('Data Additive'!$D:$D,'Data Additive'!$P:$P,'Painel Additive'!#REF!,'Data Additive'!$Q:$Q,"&gt;0",'Data Additive'!$Q:$Q,"&lt;=30")</f>
        <v>0</v>
      </c>
      <c r="H103" s="19">
        <f>SUMIFS('Data Additive'!$D:$D,'Data Additive'!$P:$P,'Painel Additive'!#REF!,'Data Additive'!$Q:$Q,"&gt;30",'Data Additive'!$Q:$Q,"&lt;=60")</f>
        <v>0</v>
      </c>
      <c r="I103" s="19">
        <f>SUMIFS('Data Additive'!$D:$D,'Data Additive'!$P:$P,'Painel Additive'!#REF!,'Data Additive'!$Q:$Q,"&gt;60",'Data Additive'!$Q:$Q,"&lt;=90")</f>
        <v>0</v>
      </c>
      <c r="J103" s="19">
        <f>SUMIFS('Data Additive'!$D:$D,'Data Additive'!$P:$P,'Painel Additive'!#REF!,'Data Additive'!$Q:$Q,"&gt;90",'Data Additive'!$Q:$Q,"&lt;=120")</f>
        <v>0</v>
      </c>
      <c r="K103" s="19">
        <f>SUMIFS('Data Additive'!$D:$D,'Data Additive'!$P:$P,'Painel Additive'!#REF!,'Data Additive'!$Q:$Q,"&gt;120",'Data Additive'!$Q:$Q,"&lt;=180")</f>
        <v>0</v>
      </c>
      <c r="L103" s="19">
        <f>SUMIFS('Data Additive'!$D:$D,'Data Additive'!$P:$P,'Painel Additive'!#REF!,'Data Additive'!$Q:$Q,"&gt;180",'Data Additive'!$Q:$Q,"&lt;=360")</f>
        <v>0</v>
      </c>
      <c r="M103" s="23">
        <f>SUMIFS('Data Additive'!$D:$D,'Data Additive'!$P:$P,'Painel Additive'!#REF!,'Data Additive'!$Q:$Q,"&gt;360")</f>
        <v>0</v>
      </c>
      <c r="N103" s="19">
        <f>SUMIFS('Data Additive'!$D:$D,'Data Additive'!$P:$P,'Painel Additive'!#REF!,'Data Additive'!$Q:$Q,"&gt;0")</f>
        <v>0</v>
      </c>
      <c r="O103" s="19">
        <f t="shared" si="16"/>
        <v>0</v>
      </c>
      <c r="P103" s="19">
        <f>SUMIFS('Data Additive'!$D:$D,'Data Additive'!$P:$P,'Painel Additive'!#REF!,'Data Additive'!$Q:$Q,"&lt;=0",'Data Additive'!$Q:$Q,"&gt;=-30")</f>
        <v>0</v>
      </c>
      <c r="Q103" s="19">
        <f>SUMIFS('Data Additive'!$D:$D,'Data Additive'!$P:$P,'Painel Additive'!#REF!,'Data Additive'!$Q:$Q,"&lt;=-31",'Data Additive'!$Q:$Q,"&gt;=-60")</f>
        <v>0</v>
      </c>
      <c r="R103" s="19">
        <f>SUMIFS('Data Additive'!$D:$D,'Data Additive'!$P:$P,'Painel Additive'!#REF!,'Data Additive'!$Q:$Q,"&lt;=-61",'Data Additive'!$Q:$Q,"&gt;=-90")</f>
        <v>0</v>
      </c>
      <c r="S103" s="19">
        <f>SUMIFS('Data Additive'!$D:$D,'Data Additive'!$P:$P,'Painel Additive'!#REF!,'Data Additive'!$Q:$Q,"&lt;=-91",'Data Additive'!$Q:$Q,"&gt;=-120")</f>
        <v>0</v>
      </c>
      <c r="T103" s="19">
        <f>SUMIFS('Data Additive'!$D:$D,'Data Additive'!$P:$P,'Painel Additive'!#REF!,'Data Additive'!$Q:$Q,"&lt;=-121",'Data Additive'!$Q:$Q,"&gt;=-180")</f>
        <v>0</v>
      </c>
      <c r="U103" s="19">
        <f>SUMIFS('Data Additive'!$D:$D,'Data Additive'!$P:$P,'Painel Additive'!#REF!,'Data Additive'!$Q:$Q,"&lt;=-181",'Data Additive'!$Q:$Q,"&gt;=-360")</f>
        <v>0</v>
      </c>
      <c r="V103" s="23">
        <f>SUMIFS('Data Additive'!$D:$D,'Data Additive'!$P:$P,'Painel Additive'!#REF!,'Data Additive'!$Q:$Q,"&lt;-360")</f>
        <v>0</v>
      </c>
      <c r="W103" s="19" t="e">
        <f>SUMIFS('Bad Debt Provision'!#REF!,'Bad Debt Provision'!#REF!,'Painel Additive'!#REF!)</f>
        <v>#REF!</v>
      </c>
      <c r="X103" s="5"/>
      <c r="Y103" s="20"/>
      <c r="Z103" s="20"/>
      <c r="AA103" s="21"/>
      <c r="AB103" s="5"/>
      <c r="AC103" s="19"/>
      <c r="AD103" s="20"/>
      <c r="AE103" s="22"/>
      <c r="AF103" s="22"/>
      <c r="AG103" s="5"/>
      <c r="AH103" s="28">
        <f t="shared" si="17"/>
        <v>0</v>
      </c>
      <c r="AI103" s="5"/>
    </row>
    <row r="104" spans="2:35" x14ac:dyDescent="0.25">
      <c r="B104" s="17" t="s">
        <v>116</v>
      </c>
      <c r="C104" s="93" t="str" cm="1">
        <f t="array" ref="C104">IFERROR(INDEX('Limite de crédito'!$D:$D, MATCH(MAX(IF('Limite de crédito'!$C:$C=$B104, 'Limite de crédito'!$A:$A)), 'Limite de crédito'!$A:$A, 0)),"")</f>
        <v/>
      </c>
      <c r="D104" s="18" cm="1">
        <f t="array" ref="D104">IFERROR(INDEX('Limite de crédito'!$F:$F, MATCH(MAX(IF('Limite de crédito'!$C:$C=$B104, 'Limite de crédito'!$A:$A)), 'Limite de crédito'!$A:$A, 0)),0)</f>
        <v>0</v>
      </c>
      <c r="E104" s="18">
        <f t="shared" si="14"/>
        <v>0</v>
      </c>
      <c r="F104" s="18">
        <f t="shared" si="15"/>
        <v>0</v>
      </c>
      <c r="G104" s="19">
        <f>SUMIFS('Data Additive'!$D:$D,'Data Additive'!$P:$P,'Painel Additive'!#REF!,'Data Additive'!$Q:$Q,"&gt;0",'Data Additive'!$Q:$Q,"&lt;=30")</f>
        <v>0</v>
      </c>
      <c r="H104" s="19">
        <f>SUMIFS('Data Additive'!$D:$D,'Data Additive'!$P:$P,'Painel Additive'!#REF!,'Data Additive'!$Q:$Q,"&gt;30",'Data Additive'!$Q:$Q,"&lt;=60")</f>
        <v>0</v>
      </c>
      <c r="I104" s="19">
        <f>SUMIFS('Data Additive'!$D:$D,'Data Additive'!$P:$P,'Painel Additive'!#REF!,'Data Additive'!$Q:$Q,"&gt;60",'Data Additive'!$Q:$Q,"&lt;=90")</f>
        <v>0</v>
      </c>
      <c r="J104" s="19">
        <f>SUMIFS('Data Additive'!$D:$D,'Data Additive'!$P:$P,'Painel Additive'!#REF!,'Data Additive'!$Q:$Q,"&gt;90",'Data Additive'!$Q:$Q,"&lt;=120")</f>
        <v>0</v>
      </c>
      <c r="K104" s="19">
        <f>SUMIFS('Data Additive'!$D:$D,'Data Additive'!$P:$P,'Painel Additive'!#REF!,'Data Additive'!$Q:$Q,"&gt;120",'Data Additive'!$Q:$Q,"&lt;=180")</f>
        <v>0</v>
      </c>
      <c r="L104" s="19">
        <f>SUMIFS('Data Additive'!$D:$D,'Data Additive'!$P:$P,'Painel Additive'!#REF!,'Data Additive'!$Q:$Q,"&gt;180",'Data Additive'!$Q:$Q,"&lt;=360")</f>
        <v>0</v>
      </c>
      <c r="M104" s="23">
        <f>SUMIFS('Data Additive'!$D:$D,'Data Additive'!$P:$P,'Painel Additive'!#REF!,'Data Additive'!$Q:$Q,"&gt;360")</f>
        <v>0</v>
      </c>
      <c r="N104" s="19">
        <f>SUMIFS('Data Additive'!$D:$D,'Data Additive'!$P:$P,'Painel Additive'!#REF!,'Data Additive'!$Q:$Q,"&gt;0")</f>
        <v>0</v>
      </c>
      <c r="O104" s="19">
        <f t="shared" si="16"/>
        <v>0</v>
      </c>
      <c r="P104" s="19">
        <f>SUMIFS('Data Additive'!$D:$D,'Data Additive'!$P:$P,'Painel Additive'!#REF!,'Data Additive'!$Q:$Q,"&lt;=0",'Data Additive'!$Q:$Q,"&gt;=-30")</f>
        <v>0</v>
      </c>
      <c r="Q104" s="19">
        <f>SUMIFS('Data Additive'!$D:$D,'Data Additive'!$P:$P,'Painel Additive'!#REF!,'Data Additive'!$Q:$Q,"&lt;=-31",'Data Additive'!$Q:$Q,"&gt;=-60")</f>
        <v>0</v>
      </c>
      <c r="R104" s="19">
        <f>SUMIFS('Data Additive'!$D:$D,'Data Additive'!$P:$P,'Painel Additive'!#REF!,'Data Additive'!$Q:$Q,"&lt;=-61",'Data Additive'!$Q:$Q,"&gt;=-90")</f>
        <v>0</v>
      </c>
      <c r="S104" s="19">
        <f>SUMIFS('Data Additive'!$D:$D,'Data Additive'!$P:$P,'Painel Additive'!#REF!,'Data Additive'!$Q:$Q,"&lt;=-91",'Data Additive'!$Q:$Q,"&gt;=-120")</f>
        <v>0</v>
      </c>
      <c r="T104" s="19">
        <f>SUMIFS('Data Additive'!$D:$D,'Data Additive'!$P:$P,'Painel Additive'!#REF!,'Data Additive'!$Q:$Q,"&lt;=-121",'Data Additive'!$Q:$Q,"&gt;=-180")</f>
        <v>0</v>
      </c>
      <c r="U104" s="19">
        <f>SUMIFS('Data Additive'!$D:$D,'Data Additive'!$P:$P,'Painel Additive'!#REF!,'Data Additive'!$Q:$Q,"&lt;=-181",'Data Additive'!$Q:$Q,"&gt;=-360")</f>
        <v>0</v>
      </c>
      <c r="V104" s="23">
        <f>SUMIFS('Data Additive'!$D:$D,'Data Additive'!$P:$P,'Painel Additive'!#REF!,'Data Additive'!$Q:$Q,"&lt;-360")</f>
        <v>0</v>
      </c>
      <c r="W104" s="19" t="e">
        <f>SUMIFS('Bad Debt Provision'!#REF!,'Bad Debt Provision'!#REF!,'Painel Additive'!#REF!)</f>
        <v>#REF!</v>
      </c>
      <c r="X104" s="5"/>
      <c r="Y104" s="20"/>
      <c r="Z104" s="20"/>
      <c r="AA104" s="21"/>
      <c r="AB104" s="5"/>
      <c r="AC104" s="19"/>
      <c r="AD104" s="20"/>
      <c r="AE104" s="22"/>
      <c r="AF104" s="22"/>
      <c r="AG104" s="5"/>
      <c r="AH104" s="28">
        <f t="shared" si="17"/>
        <v>0</v>
      </c>
      <c r="AI104" s="5"/>
    </row>
    <row r="105" spans="2:35" x14ac:dyDescent="0.25">
      <c r="B105" s="17" t="s">
        <v>118</v>
      </c>
      <c r="C105" s="93" t="str" cm="1">
        <f t="array" ref="C105">IFERROR(INDEX('Limite de crédito'!$D:$D, MATCH(MAX(IF('Limite de crédito'!$C:$C=$B105, 'Limite de crédito'!$A:$A)), 'Limite de crédito'!$A:$A, 0)),"")</f>
        <v/>
      </c>
      <c r="D105" s="18" cm="1">
        <f t="array" ref="D105">IFERROR(INDEX('Limite de crédito'!$F:$F, MATCH(MAX(IF('Limite de crédito'!$C:$C=$B105, 'Limite de crédito'!$A:$A)), 'Limite de crédito'!$A:$A, 0)),0)</f>
        <v>0</v>
      </c>
      <c r="E105" s="18">
        <f t="shared" si="14"/>
        <v>0</v>
      </c>
      <c r="F105" s="18">
        <f t="shared" si="15"/>
        <v>0</v>
      </c>
      <c r="G105" s="19">
        <f>SUMIFS('Data Additive'!$D:$D,'Data Additive'!$P:$P,'Painel Additive'!#REF!,'Data Additive'!$Q:$Q,"&gt;0",'Data Additive'!$Q:$Q,"&lt;=30")</f>
        <v>0</v>
      </c>
      <c r="H105" s="19">
        <f>SUMIFS('Data Additive'!$D:$D,'Data Additive'!$P:$P,'Painel Additive'!#REF!,'Data Additive'!$Q:$Q,"&gt;30",'Data Additive'!$Q:$Q,"&lt;=60")</f>
        <v>0</v>
      </c>
      <c r="I105" s="19">
        <f>SUMIFS('Data Additive'!$D:$D,'Data Additive'!$P:$P,'Painel Additive'!#REF!,'Data Additive'!$Q:$Q,"&gt;60",'Data Additive'!$Q:$Q,"&lt;=90")</f>
        <v>0</v>
      </c>
      <c r="J105" s="19">
        <f>SUMIFS('Data Additive'!$D:$D,'Data Additive'!$P:$P,'Painel Additive'!#REF!,'Data Additive'!$Q:$Q,"&gt;90",'Data Additive'!$Q:$Q,"&lt;=120")</f>
        <v>0</v>
      </c>
      <c r="K105" s="19">
        <f>SUMIFS('Data Additive'!$D:$D,'Data Additive'!$P:$P,'Painel Additive'!#REF!,'Data Additive'!$Q:$Q,"&gt;120",'Data Additive'!$Q:$Q,"&lt;=180")</f>
        <v>0</v>
      </c>
      <c r="L105" s="19">
        <f>SUMIFS('Data Additive'!$D:$D,'Data Additive'!$P:$P,'Painel Additive'!#REF!,'Data Additive'!$Q:$Q,"&gt;180",'Data Additive'!$Q:$Q,"&lt;=360")</f>
        <v>0</v>
      </c>
      <c r="M105" s="23">
        <f>SUMIFS('Data Additive'!$D:$D,'Data Additive'!$P:$P,'Painel Additive'!#REF!,'Data Additive'!$Q:$Q,"&gt;360")</f>
        <v>0</v>
      </c>
      <c r="N105" s="19">
        <f>SUMIFS('Data Additive'!$D:$D,'Data Additive'!$P:$P,'Painel Additive'!#REF!,'Data Additive'!$Q:$Q,"&gt;0")</f>
        <v>0</v>
      </c>
      <c r="O105" s="19">
        <f t="shared" si="16"/>
        <v>0</v>
      </c>
      <c r="P105" s="19">
        <f>SUMIFS('Data Additive'!$D:$D,'Data Additive'!$P:$P,'Painel Additive'!#REF!,'Data Additive'!$Q:$Q,"&lt;=0",'Data Additive'!$Q:$Q,"&gt;=-30")</f>
        <v>0</v>
      </c>
      <c r="Q105" s="19">
        <f>SUMIFS('Data Additive'!$D:$D,'Data Additive'!$P:$P,'Painel Additive'!#REF!,'Data Additive'!$Q:$Q,"&lt;=-31",'Data Additive'!$Q:$Q,"&gt;=-60")</f>
        <v>0</v>
      </c>
      <c r="R105" s="19">
        <f>SUMIFS('Data Additive'!$D:$D,'Data Additive'!$P:$P,'Painel Additive'!#REF!,'Data Additive'!$Q:$Q,"&lt;=-61",'Data Additive'!$Q:$Q,"&gt;=-90")</f>
        <v>0</v>
      </c>
      <c r="S105" s="19">
        <f>SUMIFS('Data Additive'!$D:$D,'Data Additive'!$P:$P,'Painel Additive'!#REF!,'Data Additive'!$Q:$Q,"&lt;=-91",'Data Additive'!$Q:$Q,"&gt;=-120")</f>
        <v>0</v>
      </c>
      <c r="T105" s="19">
        <f>SUMIFS('Data Additive'!$D:$D,'Data Additive'!$P:$P,'Painel Additive'!#REF!,'Data Additive'!$Q:$Q,"&lt;=-121",'Data Additive'!$Q:$Q,"&gt;=-180")</f>
        <v>0</v>
      </c>
      <c r="U105" s="19">
        <f>SUMIFS('Data Additive'!$D:$D,'Data Additive'!$P:$P,'Painel Additive'!#REF!,'Data Additive'!$Q:$Q,"&lt;=-181",'Data Additive'!$Q:$Q,"&gt;=-360")</f>
        <v>0</v>
      </c>
      <c r="V105" s="23">
        <f>SUMIFS('Data Additive'!$D:$D,'Data Additive'!$P:$P,'Painel Additive'!#REF!,'Data Additive'!$Q:$Q,"&lt;-360")</f>
        <v>0</v>
      </c>
      <c r="W105" s="19" t="e">
        <f>SUMIFS('Bad Debt Provision'!#REF!,'Bad Debt Provision'!#REF!,'Painel Additive'!#REF!)</f>
        <v>#REF!</v>
      </c>
      <c r="X105" s="5"/>
      <c r="Y105" s="20"/>
      <c r="Z105" s="20"/>
      <c r="AA105" s="21"/>
      <c r="AB105" s="5"/>
      <c r="AC105" s="19"/>
      <c r="AD105" s="20"/>
      <c r="AE105" s="22"/>
      <c r="AF105" s="22"/>
      <c r="AG105" s="5"/>
      <c r="AH105" s="28">
        <f t="shared" si="17"/>
        <v>0</v>
      </c>
      <c r="AI105" s="5"/>
    </row>
    <row r="106" spans="2:35" x14ac:dyDescent="0.25">
      <c r="B106" s="17" t="s">
        <v>115</v>
      </c>
      <c r="C106" s="93" t="str" cm="1">
        <f t="array" ref="C106">IFERROR(INDEX('Limite de crédito'!$D:$D, MATCH(MAX(IF('Limite de crédito'!$C:$C=$B106, 'Limite de crédito'!$A:$A)), 'Limite de crédito'!$A:$A, 0)),"")</f>
        <v/>
      </c>
      <c r="D106" s="18" cm="1">
        <f t="array" ref="D106">IFERROR(INDEX('Limite de crédito'!$F:$F, MATCH(MAX(IF('Limite de crédito'!$C:$C=$B106, 'Limite de crédito'!$A:$A)), 'Limite de crédito'!$A:$A, 0)),0)</f>
        <v>0</v>
      </c>
      <c r="E106" s="18">
        <f t="shared" si="14"/>
        <v>0</v>
      </c>
      <c r="F106" s="18">
        <f t="shared" si="15"/>
        <v>0</v>
      </c>
      <c r="G106" s="19">
        <f>SUMIFS('Data Additive'!$D:$D,'Data Additive'!$P:$P,'Painel Additive'!#REF!,'Data Additive'!$Q:$Q,"&gt;0",'Data Additive'!$Q:$Q,"&lt;=30")</f>
        <v>0</v>
      </c>
      <c r="H106" s="19">
        <f>SUMIFS('Data Additive'!$D:$D,'Data Additive'!$P:$P,'Painel Additive'!#REF!,'Data Additive'!$Q:$Q,"&gt;30",'Data Additive'!$Q:$Q,"&lt;=60")</f>
        <v>0</v>
      </c>
      <c r="I106" s="19">
        <f>SUMIFS('Data Additive'!$D:$D,'Data Additive'!$P:$P,'Painel Additive'!#REF!,'Data Additive'!$Q:$Q,"&gt;60",'Data Additive'!$Q:$Q,"&lt;=90")</f>
        <v>0</v>
      </c>
      <c r="J106" s="19">
        <f>SUMIFS('Data Additive'!$D:$D,'Data Additive'!$P:$P,'Painel Additive'!#REF!,'Data Additive'!$Q:$Q,"&gt;90",'Data Additive'!$Q:$Q,"&lt;=120")</f>
        <v>0</v>
      </c>
      <c r="K106" s="19">
        <f>SUMIFS('Data Additive'!$D:$D,'Data Additive'!$P:$P,'Painel Additive'!#REF!,'Data Additive'!$Q:$Q,"&gt;120",'Data Additive'!$Q:$Q,"&lt;=180")</f>
        <v>0</v>
      </c>
      <c r="L106" s="19">
        <f>SUMIFS('Data Additive'!$D:$D,'Data Additive'!$P:$P,'Painel Additive'!#REF!,'Data Additive'!$Q:$Q,"&gt;180",'Data Additive'!$Q:$Q,"&lt;=360")</f>
        <v>0</v>
      </c>
      <c r="M106" s="23">
        <f>SUMIFS('Data Additive'!$D:$D,'Data Additive'!$P:$P,'Painel Additive'!#REF!,'Data Additive'!$Q:$Q,"&gt;360")</f>
        <v>0</v>
      </c>
      <c r="N106" s="19">
        <f>SUMIFS('Data Additive'!$D:$D,'Data Additive'!$P:$P,'Painel Additive'!#REF!,'Data Additive'!$Q:$Q,"&gt;0")</f>
        <v>0</v>
      </c>
      <c r="O106" s="19">
        <f t="shared" si="16"/>
        <v>0</v>
      </c>
      <c r="P106" s="19">
        <f>SUMIFS('Data Additive'!$D:$D,'Data Additive'!$P:$P,'Painel Additive'!#REF!,'Data Additive'!$Q:$Q,"&lt;=0",'Data Additive'!$Q:$Q,"&gt;=-30")</f>
        <v>0</v>
      </c>
      <c r="Q106" s="19">
        <f>SUMIFS('Data Additive'!$D:$D,'Data Additive'!$P:$P,'Painel Additive'!#REF!,'Data Additive'!$Q:$Q,"&lt;=-31",'Data Additive'!$Q:$Q,"&gt;=-60")</f>
        <v>0</v>
      </c>
      <c r="R106" s="19">
        <f>SUMIFS('Data Additive'!$D:$D,'Data Additive'!$P:$P,'Painel Additive'!#REF!,'Data Additive'!$Q:$Q,"&lt;=-61",'Data Additive'!$Q:$Q,"&gt;=-90")</f>
        <v>0</v>
      </c>
      <c r="S106" s="19">
        <f>SUMIFS('Data Additive'!$D:$D,'Data Additive'!$P:$P,'Painel Additive'!#REF!,'Data Additive'!$Q:$Q,"&lt;=-91",'Data Additive'!$Q:$Q,"&gt;=-120")</f>
        <v>0</v>
      </c>
      <c r="T106" s="19">
        <f>SUMIFS('Data Additive'!$D:$D,'Data Additive'!$P:$P,'Painel Additive'!#REF!,'Data Additive'!$Q:$Q,"&lt;=-121",'Data Additive'!$Q:$Q,"&gt;=-180")</f>
        <v>0</v>
      </c>
      <c r="U106" s="19">
        <f>SUMIFS('Data Additive'!$D:$D,'Data Additive'!$P:$P,'Painel Additive'!#REF!,'Data Additive'!$Q:$Q,"&lt;=-181",'Data Additive'!$Q:$Q,"&gt;=-360")</f>
        <v>0</v>
      </c>
      <c r="V106" s="23">
        <f>SUMIFS('Data Additive'!$D:$D,'Data Additive'!$P:$P,'Painel Additive'!#REF!,'Data Additive'!$Q:$Q,"&lt;-360")</f>
        <v>0</v>
      </c>
      <c r="W106" s="19" t="e">
        <f>SUMIFS('Bad Debt Provision'!#REF!,'Bad Debt Provision'!#REF!,'Painel Additive'!#REF!)</f>
        <v>#REF!</v>
      </c>
      <c r="X106" s="5"/>
      <c r="Y106" s="20"/>
      <c r="Z106" s="20"/>
      <c r="AA106" s="21"/>
      <c r="AB106" s="5"/>
      <c r="AC106" s="19"/>
      <c r="AD106" s="20"/>
      <c r="AE106" s="22"/>
      <c r="AF106" s="22"/>
      <c r="AG106" s="5"/>
      <c r="AH106" s="28">
        <f t="shared" si="17"/>
        <v>0</v>
      </c>
      <c r="AI106" s="5"/>
    </row>
    <row r="107" spans="2:35" x14ac:dyDescent="0.25">
      <c r="B107" s="17" t="s">
        <v>113</v>
      </c>
      <c r="C107" s="93" t="str" cm="1">
        <f t="array" ref="C107">IFERROR(INDEX('Limite de crédito'!$D:$D, MATCH(MAX(IF('Limite de crédito'!$C:$C=$B107, 'Limite de crédito'!$A:$A)), 'Limite de crédito'!$A:$A, 0)),"")</f>
        <v/>
      </c>
      <c r="D107" s="18" cm="1">
        <f t="array" ref="D107">IFERROR(INDEX('Limite de crédito'!$F:$F, MATCH(MAX(IF('Limite de crédito'!$C:$C=$B107, 'Limite de crédito'!$A:$A)), 'Limite de crédito'!$A:$A, 0)),0)</f>
        <v>0</v>
      </c>
      <c r="E107" s="18">
        <f t="shared" si="14"/>
        <v>0</v>
      </c>
      <c r="F107" s="18">
        <f t="shared" si="15"/>
        <v>0</v>
      </c>
      <c r="G107" s="19">
        <f>SUMIFS('Data Additive'!$D:$D,'Data Additive'!$P:$P,'Painel Additive'!#REF!,'Data Additive'!$Q:$Q,"&gt;0",'Data Additive'!$Q:$Q,"&lt;=30")</f>
        <v>0</v>
      </c>
      <c r="H107" s="19">
        <f>SUMIFS('Data Additive'!$D:$D,'Data Additive'!$P:$P,'Painel Additive'!#REF!,'Data Additive'!$Q:$Q,"&gt;30",'Data Additive'!$Q:$Q,"&lt;=60")</f>
        <v>0</v>
      </c>
      <c r="I107" s="19">
        <f>SUMIFS('Data Additive'!$D:$D,'Data Additive'!$P:$P,'Painel Additive'!#REF!,'Data Additive'!$Q:$Q,"&gt;60",'Data Additive'!$Q:$Q,"&lt;=90")</f>
        <v>0</v>
      </c>
      <c r="J107" s="19">
        <f>SUMIFS('Data Additive'!$D:$D,'Data Additive'!$P:$P,'Painel Additive'!#REF!,'Data Additive'!$Q:$Q,"&gt;90",'Data Additive'!$Q:$Q,"&lt;=120")</f>
        <v>0</v>
      </c>
      <c r="K107" s="19">
        <f>SUMIFS('Data Additive'!$D:$D,'Data Additive'!$P:$P,'Painel Additive'!#REF!,'Data Additive'!$Q:$Q,"&gt;120",'Data Additive'!$Q:$Q,"&lt;=180")</f>
        <v>0</v>
      </c>
      <c r="L107" s="19">
        <f>SUMIFS('Data Additive'!$D:$D,'Data Additive'!$P:$P,'Painel Additive'!#REF!,'Data Additive'!$Q:$Q,"&gt;180",'Data Additive'!$Q:$Q,"&lt;=360")</f>
        <v>0</v>
      </c>
      <c r="M107" s="23">
        <f>SUMIFS('Data Additive'!$D:$D,'Data Additive'!$P:$P,'Painel Additive'!#REF!,'Data Additive'!$Q:$Q,"&gt;360")</f>
        <v>0</v>
      </c>
      <c r="N107" s="19">
        <f>SUMIFS('Data Additive'!$D:$D,'Data Additive'!$P:$P,'Painel Additive'!#REF!,'Data Additive'!$Q:$Q,"&gt;0")</f>
        <v>0</v>
      </c>
      <c r="O107" s="19">
        <f t="shared" si="16"/>
        <v>0</v>
      </c>
      <c r="P107" s="19">
        <f>SUMIFS('Data Additive'!$D:$D,'Data Additive'!$P:$P,'Painel Additive'!#REF!,'Data Additive'!$Q:$Q,"&lt;=0",'Data Additive'!$Q:$Q,"&gt;=-30")</f>
        <v>0</v>
      </c>
      <c r="Q107" s="19">
        <f>SUMIFS('Data Additive'!$D:$D,'Data Additive'!$P:$P,'Painel Additive'!#REF!,'Data Additive'!$Q:$Q,"&lt;=-31",'Data Additive'!$Q:$Q,"&gt;=-60")</f>
        <v>0</v>
      </c>
      <c r="R107" s="19">
        <f>SUMIFS('Data Additive'!$D:$D,'Data Additive'!$P:$P,'Painel Additive'!#REF!,'Data Additive'!$Q:$Q,"&lt;=-61",'Data Additive'!$Q:$Q,"&gt;=-90")</f>
        <v>0</v>
      </c>
      <c r="S107" s="19">
        <f>SUMIFS('Data Additive'!$D:$D,'Data Additive'!$P:$P,'Painel Additive'!#REF!,'Data Additive'!$Q:$Q,"&lt;=-91",'Data Additive'!$Q:$Q,"&gt;=-120")</f>
        <v>0</v>
      </c>
      <c r="T107" s="19">
        <f>SUMIFS('Data Additive'!$D:$D,'Data Additive'!$P:$P,'Painel Additive'!#REF!,'Data Additive'!$Q:$Q,"&lt;=-121",'Data Additive'!$Q:$Q,"&gt;=-180")</f>
        <v>0</v>
      </c>
      <c r="U107" s="19">
        <f>SUMIFS('Data Additive'!$D:$D,'Data Additive'!$P:$P,'Painel Additive'!#REF!,'Data Additive'!$Q:$Q,"&lt;=-181",'Data Additive'!$Q:$Q,"&gt;=-360")</f>
        <v>0</v>
      </c>
      <c r="V107" s="23">
        <f>SUMIFS('Data Additive'!$D:$D,'Data Additive'!$P:$P,'Painel Additive'!#REF!,'Data Additive'!$Q:$Q,"&lt;-360")</f>
        <v>0</v>
      </c>
      <c r="W107" s="19" t="e">
        <f>SUMIFS('Bad Debt Provision'!#REF!,'Bad Debt Provision'!#REF!,'Painel Additive'!#REF!)</f>
        <v>#REF!</v>
      </c>
      <c r="X107" s="5"/>
      <c r="Y107" s="20"/>
      <c r="Z107" s="20"/>
      <c r="AA107" s="21"/>
      <c r="AB107" s="5"/>
      <c r="AC107" s="19"/>
      <c r="AD107" s="20"/>
      <c r="AE107" s="22"/>
      <c r="AF107" s="22"/>
      <c r="AG107" s="5"/>
      <c r="AH107" s="28">
        <f t="shared" si="17"/>
        <v>0</v>
      </c>
      <c r="AI107" s="5"/>
    </row>
    <row r="108" spans="2:35" x14ac:dyDescent="0.25">
      <c r="B108" s="17" t="s">
        <v>192</v>
      </c>
      <c r="C108" s="93" t="str" cm="1">
        <f t="array" ref="C108">IFERROR(INDEX('Limite de crédito'!$D:$D, MATCH(MAX(IF('Limite de crédito'!$C:$C=$B108, 'Limite de crédito'!$A:$A)), 'Limite de crédito'!$A:$A, 0)),"")</f>
        <v/>
      </c>
      <c r="D108" s="18" cm="1">
        <f t="array" ref="D108">IFERROR(INDEX('Limite de crédito'!$F:$F, MATCH(MAX(IF('Limite de crédito'!$C:$C=$B108, 'Limite de crédito'!$A:$A)), 'Limite de crédito'!$A:$A, 0)),0)</f>
        <v>0</v>
      </c>
      <c r="E108" s="18">
        <f t="shared" si="14"/>
        <v>0</v>
      </c>
      <c r="F108" s="18">
        <f t="shared" si="15"/>
        <v>0</v>
      </c>
      <c r="G108" s="19">
        <f>SUMIFS('Data Additive'!$D:$D,'Data Additive'!$P:$P,'Painel Additive'!#REF!,'Data Additive'!$Q:$Q,"&gt;0",'Data Additive'!$Q:$Q,"&lt;=30")</f>
        <v>0</v>
      </c>
      <c r="H108" s="19">
        <f>SUMIFS('Data Additive'!$D:$D,'Data Additive'!$P:$P,'Painel Additive'!#REF!,'Data Additive'!$Q:$Q,"&gt;30",'Data Additive'!$Q:$Q,"&lt;=60")</f>
        <v>0</v>
      </c>
      <c r="I108" s="19">
        <f>SUMIFS('Data Additive'!$D:$D,'Data Additive'!$P:$P,'Painel Additive'!#REF!,'Data Additive'!$Q:$Q,"&gt;60",'Data Additive'!$Q:$Q,"&lt;=90")</f>
        <v>0</v>
      </c>
      <c r="J108" s="19">
        <f>SUMIFS('Data Additive'!$D:$D,'Data Additive'!$P:$P,'Painel Additive'!#REF!,'Data Additive'!$Q:$Q,"&gt;90",'Data Additive'!$Q:$Q,"&lt;=120")</f>
        <v>0</v>
      </c>
      <c r="K108" s="19">
        <f>SUMIFS('Data Additive'!$D:$D,'Data Additive'!$P:$P,'Painel Additive'!#REF!,'Data Additive'!$Q:$Q,"&gt;120",'Data Additive'!$Q:$Q,"&lt;=180")</f>
        <v>0</v>
      </c>
      <c r="L108" s="19">
        <f>SUMIFS('Data Additive'!$D:$D,'Data Additive'!$P:$P,'Painel Additive'!#REF!,'Data Additive'!$Q:$Q,"&gt;180",'Data Additive'!$Q:$Q,"&lt;=360")</f>
        <v>0</v>
      </c>
      <c r="M108" s="23">
        <f>SUMIFS('Data Additive'!$D:$D,'Data Additive'!$P:$P,'Painel Additive'!#REF!,'Data Additive'!$Q:$Q,"&gt;360")</f>
        <v>0</v>
      </c>
      <c r="N108" s="19">
        <f>SUMIFS('Data Additive'!$D:$D,'Data Additive'!$P:$P,'Painel Additive'!#REF!,'Data Additive'!$Q:$Q,"&gt;0")</f>
        <v>0</v>
      </c>
      <c r="O108" s="19">
        <f t="shared" si="16"/>
        <v>0</v>
      </c>
      <c r="P108" s="19">
        <f>SUMIFS('Data Additive'!$D:$D,'Data Additive'!$P:$P,'Painel Additive'!#REF!,'Data Additive'!$Q:$Q,"&lt;=0",'Data Additive'!$Q:$Q,"&gt;=-30")</f>
        <v>0</v>
      </c>
      <c r="Q108" s="19">
        <f>SUMIFS('Data Additive'!$D:$D,'Data Additive'!$P:$P,'Painel Additive'!#REF!,'Data Additive'!$Q:$Q,"&lt;=-31",'Data Additive'!$Q:$Q,"&gt;=-60")</f>
        <v>0</v>
      </c>
      <c r="R108" s="19">
        <f>SUMIFS('Data Additive'!$D:$D,'Data Additive'!$P:$P,'Painel Additive'!#REF!,'Data Additive'!$Q:$Q,"&lt;=-61",'Data Additive'!$Q:$Q,"&gt;=-90")</f>
        <v>0</v>
      </c>
      <c r="S108" s="19">
        <f>SUMIFS('Data Additive'!$D:$D,'Data Additive'!$P:$P,'Painel Additive'!#REF!,'Data Additive'!$Q:$Q,"&lt;=-91",'Data Additive'!$Q:$Q,"&gt;=-120")</f>
        <v>0</v>
      </c>
      <c r="T108" s="19">
        <f>SUMIFS('Data Additive'!$D:$D,'Data Additive'!$P:$P,'Painel Additive'!#REF!,'Data Additive'!$Q:$Q,"&lt;=-121",'Data Additive'!$Q:$Q,"&gt;=-180")</f>
        <v>0</v>
      </c>
      <c r="U108" s="19">
        <f>SUMIFS('Data Additive'!$D:$D,'Data Additive'!$P:$P,'Painel Additive'!#REF!,'Data Additive'!$Q:$Q,"&lt;=-181",'Data Additive'!$Q:$Q,"&gt;=-360")</f>
        <v>0</v>
      </c>
      <c r="V108" s="23">
        <f>SUMIFS('Data Additive'!$D:$D,'Data Additive'!$P:$P,'Painel Additive'!#REF!,'Data Additive'!$Q:$Q,"&lt;-360")</f>
        <v>0</v>
      </c>
      <c r="W108" s="19" t="e">
        <f>SUMIFS('Bad Debt Provision'!#REF!,'Bad Debt Provision'!#REF!,'Painel Additive'!#REF!)</f>
        <v>#REF!</v>
      </c>
      <c r="X108" s="5"/>
      <c r="Y108" s="20"/>
      <c r="Z108" s="20"/>
      <c r="AA108" s="21"/>
      <c r="AB108" s="5"/>
      <c r="AC108" s="19"/>
      <c r="AD108" s="20"/>
      <c r="AE108" s="22"/>
      <c r="AF108" s="22"/>
      <c r="AG108" s="5"/>
      <c r="AH108" s="28">
        <f t="shared" si="17"/>
        <v>0</v>
      </c>
      <c r="AI108" s="5"/>
    </row>
    <row r="109" spans="2:35" x14ac:dyDescent="0.25">
      <c r="B109" s="17" t="s">
        <v>110</v>
      </c>
      <c r="C109" s="93" t="str" cm="1">
        <f t="array" ref="C109">IFERROR(INDEX('Limite de crédito'!$D:$D, MATCH(MAX(IF('Limite de crédito'!$C:$C=$B109, 'Limite de crédito'!$A:$A)), 'Limite de crédito'!$A:$A, 0)),"")</f>
        <v/>
      </c>
      <c r="D109" s="18" cm="1">
        <f t="array" ref="D109">IFERROR(INDEX('Limite de crédito'!$F:$F, MATCH(MAX(IF('Limite de crédito'!$C:$C=$B109, 'Limite de crédito'!$A:$A)), 'Limite de crédito'!$A:$A, 0)),0)</f>
        <v>0</v>
      </c>
      <c r="E109" s="18">
        <f t="shared" si="14"/>
        <v>0</v>
      </c>
      <c r="F109" s="18">
        <f t="shared" si="15"/>
        <v>0</v>
      </c>
      <c r="G109" s="19">
        <f>SUMIFS('Data Additive'!$D:$D,'Data Additive'!$P:$P,'Painel Additive'!#REF!,'Data Additive'!$Q:$Q,"&gt;0",'Data Additive'!$Q:$Q,"&lt;=30")</f>
        <v>0</v>
      </c>
      <c r="H109" s="19">
        <f>SUMIFS('Data Additive'!$D:$D,'Data Additive'!$P:$P,'Painel Additive'!#REF!,'Data Additive'!$Q:$Q,"&gt;30",'Data Additive'!$Q:$Q,"&lt;=60")</f>
        <v>0</v>
      </c>
      <c r="I109" s="19">
        <f>SUMIFS('Data Additive'!$D:$D,'Data Additive'!$P:$P,'Painel Additive'!#REF!,'Data Additive'!$Q:$Q,"&gt;60",'Data Additive'!$Q:$Q,"&lt;=90")</f>
        <v>0</v>
      </c>
      <c r="J109" s="19">
        <f>SUMIFS('Data Additive'!$D:$D,'Data Additive'!$P:$P,'Painel Additive'!#REF!,'Data Additive'!$Q:$Q,"&gt;90",'Data Additive'!$Q:$Q,"&lt;=120")</f>
        <v>0</v>
      </c>
      <c r="K109" s="19">
        <f>SUMIFS('Data Additive'!$D:$D,'Data Additive'!$P:$P,'Painel Additive'!#REF!,'Data Additive'!$Q:$Q,"&gt;120",'Data Additive'!$Q:$Q,"&lt;=180")</f>
        <v>0</v>
      </c>
      <c r="L109" s="19">
        <f>SUMIFS('Data Additive'!$D:$D,'Data Additive'!$P:$P,'Painel Additive'!#REF!,'Data Additive'!$Q:$Q,"&gt;180",'Data Additive'!$Q:$Q,"&lt;=360")</f>
        <v>0</v>
      </c>
      <c r="M109" s="23">
        <f>SUMIFS('Data Additive'!$D:$D,'Data Additive'!$P:$P,'Painel Additive'!#REF!,'Data Additive'!$Q:$Q,"&gt;360")</f>
        <v>0</v>
      </c>
      <c r="N109" s="19">
        <f>SUMIFS('Data Additive'!$D:$D,'Data Additive'!$P:$P,'Painel Additive'!#REF!,'Data Additive'!$Q:$Q,"&gt;0")</f>
        <v>0</v>
      </c>
      <c r="O109" s="19">
        <f t="shared" si="16"/>
        <v>0</v>
      </c>
      <c r="P109" s="19">
        <f>SUMIFS('Data Additive'!$D:$D,'Data Additive'!$P:$P,'Painel Additive'!#REF!,'Data Additive'!$Q:$Q,"&lt;=0",'Data Additive'!$Q:$Q,"&gt;=-30")</f>
        <v>0</v>
      </c>
      <c r="Q109" s="19">
        <f>SUMIFS('Data Additive'!$D:$D,'Data Additive'!$P:$P,'Painel Additive'!#REF!,'Data Additive'!$Q:$Q,"&lt;=-31",'Data Additive'!$Q:$Q,"&gt;=-60")</f>
        <v>0</v>
      </c>
      <c r="R109" s="19">
        <f>SUMIFS('Data Additive'!$D:$D,'Data Additive'!$P:$P,'Painel Additive'!#REF!,'Data Additive'!$Q:$Q,"&lt;=-61",'Data Additive'!$Q:$Q,"&gt;=-90")</f>
        <v>0</v>
      </c>
      <c r="S109" s="19">
        <f>SUMIFS('Data Additive'!$D:$D,'Data Additive'!$P:$P,'Painel Additive'!#REF!,'Data Additive'!$Q:$Q,"&lt;=-91",'Data Additive'!$Q:$Q,"&gt;=-120")</f>
        <v>0</v>
      </c>
      <c r="T109" s="19">
        <f>SUMIFS('Data Additive'!$D:$D,'Data Additive'!$P:$P,'Painel Additive'!#REF!,'Data Additive'!$Q:$Q,"&lt;=-121",'Data Additive'!$Q:$Q,"&gt;=-180")</f>
        <v>0</v>
      </c>
      <c r="U109" s="19">
        <f>SUMIFS('Data Additive'!$D:$D,'Data Additive'!$P:$P,'Painel Additive'!#REF!,'Data Additive'!$Q:$Q,"&lt;=-181",'Data Additive'!$Q:$Q,"&gt;=-360")</f>
        <v>0</v>
      </c>
      <c r="V109" s="23">
        <f>SUMIFS('Data Additive'!$D:$D,'Data Additive'!$P:$P,'Painel Additive'!#REF!,'Data Additive'!$Q:$Q,"&lt;-360")</f>
        <v>0</v>
      </c>
      <c r="W109" s="19" t="e">
        <f>SUMIFS('Bad Debt Provision'!#REF!,'Bad Debt Provision'!#REF!,'Painel Additive'!#REF!)</f>
        <v>#REF!</v>
      </c>
      <c r="X109" s="5"/>
      <c r="Y109" s="20"/>
      <c r="Z109" s="20"/>
      <c r="AA109" s="21"/>
      <c r="AB109" s="5"/>
      <c r="AC109" s="19"/>
      <c r="AD109" s="20"/>
      <c r="AE109" s="22"/>
      <c r="AF109" s="22"/>
      <c r="AG109" s="5"/>
      <c r="AH109" s="28">
        <f t="shared" si="17"/>
        <v>0</v>
      </c>
      <c r="AI109" s="5"/>
    </row>
    <row r="110" spans="2:35" x14ac:dyDescent="0.25">
      <c r="B110" s="17" t="s">
        <v>117</v>
      </c>
      <c r="C110" s="93" t="str" cm="1">
        <f t="array" ref="C110">IFERROR(INDEX('Limite de crédito'!$D:$D, MATCH(MAX(IF('Limite de crédito'!$C:$C=$B110, 'Limite de crédito'!$A:$A)), 'Limite de crédito'!$A:$A, 0)),"")</f>
        <v/>
      </c>
      <c r="D110" s="18" cm="1">
        <f t="array" ref="D110">IFERROR(INDEX('Limite de crédito'!$F:$F, MATCH(MAX(IF('Limite de crédito'!$C:$C=$B110, 'Limite de crédito'!$A:$A)), 'Limite de crédito'!$A:$A, 0)),0)</f>
        <v>0</v>
      </c>
      <c r="E110" s="18">
        <f t="shared" si="14"/>
        <v>0</v>
      </c>
      <c r="F110" s="18">
        <f t="shared" si="15"/>
        <v>0</v>
      </c>
      <c r="G110" s="19">
        <f>SUMIFS('Data Additive'!$D:$D,'Data Additive'!$P:$P,'Painel Additive'!#REF!,'Data Additive'!$Q:$Q,"&gt;0",'Data Additive'!$Q:$Q,"&lt;=30")</f>
        <v>0</v>
      </c>
      <c r="H110" s="19">
        <f>SUMIFS('Data Additive'!$D:$D,'Data Additive'!$P:$P,'Painel Additive'!#REF!,'Data Additive'!$Q:$Q,"&gt;30",'Data Additive'!$Q:$Q,"&lt;=60")</f>
        <v>0</v>
      </c>
      <c r="I110" s="19">
        <f>SUMIFS('Data Additive'!$D:$D,'Data Additive'!$P:$P,'Painel Additive'!#REF!,'Data Additive'!$Q:$Q,"&gt;60",'Data Additive'!$Q:$Q,"&lt;=90")</f>
        <v>0</v>
      </c>
      <c r="J110" s="19">
        <f>SUMIFS('Data Additive'!$D:$D,'Data Additive'!$P:$P,'Painel Additive'!#REF!,'Data Additive'!$Q:$Q,"&gt;90",'Data Additive'!$Q:$Q,"&lt;=120")</f>
        <v>0</v>
      </c>
      <c r="K110" s="19">
        <f>SUMIFS('Data Additive'!$D:$D,'Data Additive'!$P:$P,'Painel Additive'!#REF!,'Data Additive'!$Q:$Q,"&gt;120",'Data Additive'!$Q:$Q,"&lt;=180")</f>
        <v>0</v>
      </c>
      <c r="L110" s="19">
        <f>SUMIFS('Data Additive'!$D:$D,'Data Additive'!$P:$P,'Painel Additive'!#REF!,'Data Additive'!$Q:$Q,"&gt;180",'Data Additive'!$Q:$Q,"&lt;=360")</f>
        <v>0</v>
      </c>
      <c r="M110" s="23">
        <f>SUMIFS('Data Additive'!$D:$D,'Data Additive'!$P:$P,'Painel Additive'!#REF!,'Data Additive'!$Q:$Q,"&gt;360")</f>
        <v>0</v>
      </c>
      <c r="N110" s="19">
        <f>SUMIFS('Data Additive'!$D:$D,'Data Additive'!$P:$P,'Painel Additive'!#REF!,'Data Additive'!$Q:$Q,"&gt;0")</f>
        <v>0</v>
      </c>
      <c r="O110" s="19">
        <f t="shared" si="16"/>
        <v>0</v>
      </c>
      <c r="P110" s="19">
        <f>SUMIFS('Data Additive'!$D:$D,'Data Additive'!$P:$P,'Painel Additive'!#REF!,'Data Additive'!$Q:$Q,"&lt;=0",'Data Additive'!$Q:$Q,"&gt;=-30")</f>
        <v>0</v>
      </c>
      <c r="Q110" s="19">
        <f>SUMIFS('Data Additive'!$D:$D,'Data Additive'!$P:$P,'Painel Additive'!#REF!,'Data Additive'!$Q:$Q,"&lt;=-31",'Data Additive'!$Q:$Q,"&gt;=-60")</f>
        <v>0</v>
      </c>
      <c r="R110" s="19">
        <f>SUMIFS('Data Additive'!$D:$D,'Data Additive'!$P:$P,'Painel Additive'!#REF!,'Data Additive'!$Q:$Q,"&lt;=-61",'Data Additive'!$Q:$Q,"&gt;=-90")</f>
        <v>0</v>
      </c>
      <c r="S110" s="19">
        <f>SUMIFS('Data Additive'!$D:$D,'Data Additive'!$P:$P,'Painel Additive'!#REF!,'Data Additive'!$Q:$Q,"&lt;=-91",'Data Additive'!$Q:$Q,"&gt;=-120")</f>
        <v>0</v>
      </c>
      <c r="T110" s="19">
        <f>SUMIFS('Data Additive'!$D:$D,'Data Additive'!$P:$P,'Painel Additive'!#REF!,'Data Additive'!$Q:$Q,"&lt;=-121",'Data Additive'!$Q:$Q,"&gt;=-180")</f>
        <v>0</v>
      </c>
      <c r="U110" s="19">
        <f>SUMIFS('Data Additive'!$D:$D,'Data Additive'!$P:$P,'Painel Additive'!#REF!,'Data Additive'!$Q:$Q,"&lt;=-181",'Data Additive'!$Q:$Q,"&gt;=-360")</f>
        <v>0</v>
      </c>
      <c r="V110" s="23">
        <f>SUMIFS('Data Additive'!$D:$D,'Data Additive'!$P:$P,'Painel Additive'!#REF!,'Data Additive'!$Q:$Q,"&lt;-360")</f>
        <v>0</v>
      </c>
      <c r="W110" s="19" t="e">
        <f>SUMIFS('Bad Debt Provision'!#REF!,'Bad Debt Provision'!#REF!,'Painel Additive'!#REF!)</f>
        <v>#REF!</v>
      </c>
      <c r="X110" s="5"/>
      <c r="Y110" s="20"/>
      <c r="Z110" s="20"/>
      <c r="AA110" s="21"/>
      <c r="AB110" s="5"/>
      <c r="AC110" s="19"/>
      <c r="AD110" s="20"/>
      <c r="AE110" s="22"/>
      <c r="AF110" s="22"/>
      <c r="AG110" s="5"/>
      <c r="AH110" s="28">
        <f t="shared" si="17"/>
        <v>0</v>
      </c>
      <c r="AI110" s="5"/>
    </row>
    <row r="111" spans="2:35" x14ac:dyDescent="0.25">
      <c r="B111" s="17" t="s">
        <v>112</v>
      </c>
      <c r="C111" s="93" t="str" cm="1">
        <f t="array" ref="C111">IFERROR(INDEX('Limite de crédito'!$D:$D, MATCH(MAX(IF('Limite de crédito'!$C:$C=$B111, 'Limite de crédito'!$A:$A)), 'Limite de crédito'!$A:$A, 0)),"")</f>
        <v/>
      </c>
      <c r="D111" s="18" cm="1">
        <f t="array" ref="D111">IFERROR(INDEX('Limite de crédito'!$F:$F, MATCH(MAX(IF('Limite de crédito'!$C:$C=$B111, 'Limite de crédito'!$A:$A)), 'Limite de crédito'!$A:$A, 0)),0)</f>
        <v>0</v>
      </c>
      <c r="E111" s="18">
        <f t="shared" si="14"/>
        <v>0</v>
      </c>
      <c r="F111" s="18">
        <f t="shared" si="15"/>
        <v>0</v>
      </c>
      <c r="G111" s="19">
        <f>SUMIFS('Data Additive'!$D:$D,'Data Additive'!$P:$P,'Painel Additive'!#REF!,'Data Additive'!$Q:$Q,"&gt;0",'Data Additive'!$Q:$Q,"&lt;=30")</f>
        <v>0</v>
      </c>
      <c r="H111" s="19">
        <f>SUMIFS('Data Additive'!$D:$D,'Data Additive'!$P:$P,'Painel Additive'!#REF!,'Data Additive'!$Q:$Q,"&gt;30",'Data Additive'!$Q:$Q,"&lt;=60")</f>
        <v>0</v>
      </c>
      <c r="I111" s="19">
        <f>SUMIFS('Data Additive'!$D:$D,'Data Additive'!$P:$P,'Painel Additive'!#REF!,'Data Additive'!$Q:$Q,"&gt;60",'Data Additive'!$Q:$Q,"&lt;=90")</f>
        <v>0</v>
      </c>
      <c r="J111" s="19">
        <f>SUMIFS('Data Additive'!$D:$D,'Data Additive'!$P:$P,'Painel Additive'!#REF!,'Data Additive'!$Q:$Q,"&gt;90",'Data Additive'!$Q:$Q,"&lt;=120")</f>
        <v>0</v>
      </c>
      <c r="K111" s="19">
        <f>SUMIFS('Data Additive'!$D:$D,'Data Additive'!$P:$P,'Painel Additive'!#REF!,'Data Additive'!$Q:$Q,"&gt;120",'Data Additive'!$Q:$Q,"&lt;=180")</f>
        <v>0</v>
      </c>
      <c r="L111" s="19">
        <f>SUMIFS('Data Additive'!$D:$D,'Data Additive'!$P:$P,'Painel Additive'!#REF!,'Data Additive'!$Q:$Q,"&gt;180",'Data Additive'!$Q:$Q,"&lt;=360")</f>
        <v>0</v>
      </c>
      <c r="M111" s="23">
        <f>SUMIFS('Data Additive'!$D:$D,'Data Additive'!$P:$P,'Painel Additive'!#REF!,'Data Additive'!$Q:$Q,"&gt;360")</f>
        <v>0</v>
      </c>
      <c r="N111" s="19">
        <f>SUMIFS('Data Additive'!$D:$D,'Data Additive'!$P:$P,'Painel Additive'!#REF!,'Data Additive'!$Q:$Q,"&gt;0")</f>
        <v>0</v>
      </c>
      <c r="O111" s="19">
        <f t="shared" si="16"/>
        <v>0</v>
      </c>
      <c r="P111" s="19">
        <f>SUMIFS('Data Additive'!$D:$D,'Data Additive'!$P:$P,'Painel Additive'!#REF!,'Data Additive'!$Q:$Q,"&lt;=0",'Data Additive'!$Q:$Q,"&gt;=-30")</f>
        <v>0</v>
      </c>
      <c r="Q111" s="19">
        <f>SUMIFS('Data Additive'!$D:$D,'Data Additive'!$P:$P,'Painel Additive'!#REF!,'Data Additive'!$Q:$Q,"&lt;=-31",'Data Additive'!$Q:$Q,"&gt;=-60")</f>
        <v>0</v>
      </c>
      <c r="R111" s="19">
        <f>SUMIFS('Data Additive'!$D:$D,'Data Additive'!$P:$P,'Painel Additive'!#REF!,'Data Additive'!$Q:$Q,"&lt;=-61",'Data Additive'!$Q:$Q,"&gt;=-90")</f>
        <v>0</v>
      </c>
      <c r="S111" s="19">
        <f>SUMIFS('Data Additive'!$D:$D,'Data Additive'!$P:$P,'Painel Additive'!#REF!,'Data Additive'!$Q:$Q,"&lt;=-91",'Data Additive'!$Q:$Q,"&gt;=-120")</f>
        <v>0</v>
      </c>
      <c r="T111" s="19">
        <f>SUMIFS('Data Additive'!$D:$D,'Data Additive'!$P:$P,'Painel Additive'!#REF!,'Data Additive'!$Q:$Q,"&lt;=-121",'Data Additive'!$Q:$Q,"&gt;=-180")</f>
        <v>0</v>
      </c>
      <c r="U111" s="19">
        <f>SUMIFS('Data Additive'!$D:$D,'Data Additive'!$P:$P,'Painel Additive'!#REF!,'Data Additive'!$Q:$Q,"&lt;=-181",'Data Additive'!$Q:$Q,"&gt;=-360")</f>
        <v>0</v>
      </c>
      <c r="V111" s="23">
        <f>SUMIFS('Data Additive'!$D:$D,'Data Additive'!$P:$P,'Painel Additive'!#REF!,'Data Additive'!$Q:$Q,"&lt;-360")</f>
        <v>0</v>
      </c>
      <c r="W111" s="19" t="e">
        <f>SUMIFS('Bad Debt Provision'!#REF!,'Bad Debt Provision'!#REF!,'Painel Additive'!#REF!)</f>
        <v>#REF!</v>
      </c>
      <c r="X111" s="5"/>
      <c r="Y111" s="20"/>
      <c r="Z111" s="20"/>
      <c r="AA111" s="21"/>
      <c r="AB111" s="5"/>
      <c r="AC111" s="19"/>
      <c r="AD111" s="20"/>
      <c r="AE111" s="22"/>
      <c r="AF111" s="22"/>
      <c r="AG111" s="5"/>
      <c r="AH111" s="28">
        <f t="shared" si="17"/>
        <v>0</v>
      </c>
      <c r="AI111" s="5"/>
    </row>
    <row r="112" spans="2:35" x14ac:dyDescent="0.25">
      <c r="B112" s="17" t="s">
        <v>120</v>
      </c>
      <c r="C112" s="93" cm="1">
        <f t="array" ref="C112">IFERROR(INDEX('Limite de crédito'!$D:$D, MATCH(MAX(IF('Limite de crédito'!$C:$C=$B112, 'Limite de crédito'!$A:$A)), 'Limite de crédito'!$A:$A, 0)),"")</f>
        <v>45870</v>
      </c>
      <c r="D112" s="18" t="str" cm="1">
        <f t="array" ref="D112">IFERROR(INDEX('Limite de crédito'!$F:$F, MATCH(MAX(IF('Limite de crédito'!$C:$C=$B112, 'Limite de crédito'!$A:$A)), 'Limite de crédito'!$A:$A, 0)),0)</f>
        <v>Sim</v>
      </c>
      <c r="E112" s="18" t="e">
        <f t="shared" si="14"/>
        <v>#VALUE!</v>
      </c>
      <c r="F112" s="18">
        <f t="shared" si="15"/>
        <v>0</v>
      </c>
      <c r="G112" s="19">
        <f>SUMIFS('Data Additive'!$D:$D,'Data Additive'!$P:$P,'Painel Additive'!#REF!,'Data Additive'!$Q:$Q,"&gt;0",'Data Additive'!$Q:$Q,"&lt;=30")</f>
        <v>0</v>
      </c>
      <c r="H112" s="19">
        <f>SUMIFS('Data Additive'!$D:$D,'Data Additive'!$P:$P,'Painel Additive'!#REF!,'Data Additive'!$Q:$Q,"&gt;30",'Data Additive'!$Q:$Q,"&lt;=60")</f>
        <v>0</v>
      </c>
      <c r="I112" s="19">
        <f>SUMIFS('Data Additive'!$D:$D,'Data Additive'!$P:$P,'Painel Additive'!#REF!,'Data Additive'!$Q:$Q,"&gt;60",'Data Additive'!$Q:$Q,"&lt;=90")</f>
        <v>0</v>
      </c>
      <c r="J112" s="19">
        <f>SUMIFS('Data Additive'!$D:$D,'Data Additive'!$P:$P,'Painel Additive'!#REF!,'Data Additive'!$Q:$Q,"&gt;90",'Data Additive'!$Q:$Q,"&lt;=120")</f>
        <v>0</v>
      </c>
      <c r="K112" s="19">
        <f>SUMIFS('Data Additive'!$D:$D,'Data Additive'!$P:$P,'Painel Additive'!#REF!,'Data Additive'!$Q:$Q,"&gt;120",'Data Additive'!$Q:$Q,"&lt;=180")</f>
        <v>0</v>
      </c>
      <c r="L112" s="19">
        <f>SUMIFS('Data Additive'!$D:$D,'Data Additive'!$P:$P,'Painel Additive'!#REF!,'Data Additive'!$Q:$Q,"&gt;180",'Data Additive'!$Q:$Q,"&lt;=360")</f>
        <v>0</v>
      </c>
      <c r="M112" s="23">
        <f>SUMIFS('Data Additive'!$D:$D,'Data Additive'!$P:$P,'Painel Additive'!#REF!,'Data Additive'!$Q:$Q,"&gt;360")</f>
        <v>0</v>
      </c>
      <c r="N112" s="19">
        <f>SUMIFS('Data Additive'!$D:$D,'Data Additive'!$P:$P,'Painel Additive'!#REF!,'Data Additive'!$Q:$Q,"&gt;0")</f>
        <v>0</v>
      </c>
      <c r="O112" s="19">
        <f t="shared" si="16"/>
        <v>0</v>
      </c>
      <c r="P112" s="19">
        <f>SUMIFS('Data Additive'!$D:$D,'Data Additive'!$P:$P,'Painel Additive'!#REF!,'Data Additive'!$Q:$Q,"&lt;=0",'Data Additive'!$Q:$Q,"&gt;=-30")</f>
        <v>0</v>
      </c>
      <c r="Q112" s="19">
        <f>SUMIFS('Data Additive'!$D:$D,'Data Additive'!$P:$P,'Painel Additive'!#REF!,'Data Additive'!$Q:$Q,"&lt;=-31",'Data Additive'!$Q:$Q,"&gt;=-60")</f>
        <v>0</v>
      </c>
      <c r="R112" s="19">
        <f>SUMIFS('Data Additive'!$D:$D,'Data Additive'!$P:$P,'Painel Additive'!#REF!,'Data Additive'!$Q:$Q,"&lt;=-61",'Data Additive'!$Q:$Q,"&gt;=-90")</f>
        <v>0</v>
      </c>
      <c r="S112" s="19">
        <f>SUMIFS('Data Additive'!$D:$D,'Data Additive'!$P:$P,'Painel Additive'!#REF!,'Data Additive'!$Q:$Q,"&lt;=-91",'Data Additive'!$Q:$Q,"&gt;=-120")</f>
        <v>0</v>
      </c>
      <c r="T112" s="19">
        <f>SUMIFS('Data Additive'!$D:$D,'Data Additive'!$P:$P,'Painel Additive'!#REF!,'Data Additive'!$Q:$Q,"&lt;=-121",'Data Additive'!$Q:$Q,"&gt;=-180")</f>
        <v>0</v>
      </c>
      <c r="U112" s="19">
        <f>SUMIFS('Data Additive'!$D:$D,'Data Additive'!$P:$P,'Painel Additive'!#REF!,'Data Additive'!$Q:$Q,"&lt;=-181",'Data Additive'!$Q:$Q,"&gt;=-360")</f>
        <v>0</v>
      </c>
      <c r="V112" s="23">
        <f>SUMIFS('Data Additive'!$D:$D,'Data Additive'!$P:$P,'Painel Additive'!#REF!,'Data Additive'!$Q:$Q,"&lt;-360")</f>
        <v>0</v>
      </c>
      <c r="W112" s="19" t="e">
        <f>SUMIFS('Bad Debt Provision'!#REF!,'Bad Debt Provision'!#REF!,'Painel Additive'!#REF!)</f>
        <v>#REF!</v>
      </c>
      <c r="X112" s="5"/>
      <c r="Y112" s="20"/>
      <c r="Z112" s="20"/>
      <c r="AA112" s="21"/>
      <c r="AB112" s="5"/>
      <c r="AC112" s="19"/>
      <c r="AD112" s="20"/>
      <c r="AE112" s="22"/>
      <c r="AF112" s="22"/>
      <c r="AG112" s="5"/>
      <c r="AH112" s="28">
        <f t="shared" si="17"/>
        <v>0</v>
      </c>
      <c r="AI112" s="5"/>
    </row>
    <row r="113" spans="2:35" x14ac:dyDescent="0.25">
      <c r="B113" s="17" t="s">
        <v>141</v>
      </c>
      <c r="C113" s="93" t="str" cm="1">
        <f t="array" ref="C113">IFERROR(INDEX('Limite de crédito'!$D:$D, MATCH(MAX(IF('Limite de crédito'!$C:$C=$B113, 'Limite de crédito'!$A:$A)), 'Limite de crédito'!$A:$A, 0)),"")</f>
        <v/>
      </c>
      <c r="D113" s="18" cm="1">
        <f t="array" ref="D113">IFERROR(INDEX('Limite de crédito'!$F:$F, MATCH(MAX(IF('Limite de crédito'!$C:$C=$B113, 'Limite de crédito'!$A:$A)), 'Limite de crédito'!$A:$A, 0)),0)</f>
        <v>0</v>
      </c>
      <c r="E113" s="18">
        <f t="shared" si="14"/>
        <v>0</v>
      </c>
      <c r="F113" s="18">
        <f t="shared" si="15"/>
        <v>0</v>
      </c>
      <c r="G113" s="19">
        <f>SUMIFS('Data Additive'!$D:$D,'Data Additive'!$P:$P,'Painel Additive'!#REF!,'Data Additive'!$Q:$Q,"&gt;0",'Data Additive'!$Q:$Q,"&lt;=30")</f>
        <v>0</v>
      </c>
      <c r="H113" s="19">
        <f>SUMIFS('Data Additive'!$D:$D,'Data Additive'!$P:$P,'Painel Additive'!#REF!,'Data Additive'!$Q:$Q,"&gt;30",'Data Additive'!$Q:$Q,"&lt;=60")</f>
        <v>0</v>
      </c>
      <c r="I113" s="19">
        <f>SUMIFS('Data Additive'!$D:$D,'Data Additive'!$P:$P,'Painel Additive'!#REF!,'Data Additive'!$Q:$Q,"&gt;60",'Data Additive'!$Q:$Q,"&lt;=90")</f>
        <v>0</v>
      </c>
      <c r="J113" s="19">
        <f>SUMIFS('Data Additive'!$D:$D,'Data Additive'!$P:$P,'Painel Additive'!#REF!,'Data Additive'!$Q:$Q,"&gt;90",'Data Additive'!$Q:$Q,"&lt;=120")</f>
        <v>0</v>
      </c>
      <c r="K113" s="19">
        <f>SUMIFS('Data Additive'!$D:$D,'Data Additive'!$P:$P,'Painel Additive'!#REF!,'Data Additive'!$Q:$Q,"&gt;120",'Data Additive'!$Q:$Q,"&lt;=180")</f>
        <v>0</v>
      </c>
      <c r="L113" s="19">
        <f>SUMIFS('Data Additive'!$D:$D,'Data Additive'!$P:$P,'Painel Additive'!#REF!,'Data Additive'!$Q:$Q,"&gt;180",'Data Additive'!$Q:$Q,"&lt;=360")</f>
        <v>0</v>
      </c>
      <c r="M113" s="23">
        <f>SUMIFS('Data Additive'!$D:$D,'Data Additive'!$P:$P,'Painel Additive'!#REF!,'Data Additive'!$Q:$Q,"&gt;360")</f>
        <v>0</v>
      </c>
      <c r="N113" s="19">
        <f>SUMIFS('Data Additive'!$D:$D,'Data Additive'!$P:$P,'Painel Additive'!#REF!,'Data Additive'!$Q:$Q,"&gt;0")</f>
        <v>0</v>
      </c>
      <c r="O113" s="19">
        <f t="shared" si="16"/>
        <v>0</v>
      </c>
      <c r="P113" s="19">
        <f>SUMIFS('Data Additive'!$D:$D,'Data Additive'!$P:$P,'Painel Additive'!#REF!,'Data Additive'!$Q:$Q,"&lt;=0",'Data Additive'!$Q:$Q,"&gt;=-30")</f>
        <v>0</v>
      </c>
      <c r="Q113" s="19">
        <f>SUMIFS('Data Additive'!$D:$D,'Data Additive'!$P:$P,'Painel Additive'!#REF!,'Data Additive'!$Q:$Q,"&lt;=-31",'Data Additive'!$Q:$Q,"&gt;=-60")</f>
        <v>0</v>
      </c>
      <c r="R113" s="19">
        <f>SUMIFS('Data Additive'!$D:$D,'Data Additive'!$P:$P,'Painel Additive'!#REF!,'Data Additive'!$Q:$Q,"&lt;=-61",'Data Additive'!$Q:$Q,"&gt;=-90")</f>
        <v>0</v>
      </c>
      <c r="S113" s="19">
        <f>SUMIFS('Data Additive'!$D:$D,'Data Additive'!$P:$P,'Painel Additive'!#REF!,'Data Additive'!$Q:$Q,"&lt;=-91",'Data Additive'!$Q:$Q,"&gt;=-120")</f>
        <v>0</v>
      </c>
      <c r="T113" s="19">
        <f>SUMIFS('Data Additive'!$D:$D,'Data Additive'!$P:$P,'Painel Additive'!#REF!,'Data Additive'!$Q:$Q,"&lt;=-121",'Data Additive'!$Q:$Q,"&gt;=-180")</f>
        <v>0</v>
      </c>
      <c r="U113" s="19">
        <f>SUMIFS('Data Additive'!$D:$D,'Data Additive'!$P:$P,'Painel Additive'!#REF!,'Data Additive'!$Q:$Q,"&lt;=-181",'Data Additive'!$Q:$Q,"&gt;=-360")</f>
        <v>0</v>
      </c>
      <c r="V113" s="23">
        <f>SUMIFS('Data Additive'!$D:$D,'Data Additive'!$P:$P,'Painel Additive'!#REF!,'Data Additive'!$Q:$Q,"&lt;-360")</f>
        <v>0</v>
      </c>
      <c r="W113" s="19" t="e">
        <f>SUMIFS('Bad Debt Provision'!#REF!,'Bad Debt Provision'!#REF!,'Painel Additive'!#REF!)</f>
        <v>#REF!</v>
      </c>
      <c r="X113" s="5"/>
      <c r="Y113" s="20"/>
      <c r="Z113" s="20"/>
      <c r="AA113" s="21"/>
      <c r="AB113" s="5"/>
      <c r="AC113" s="19"/>
      <c r="AD113" s="20"/>
      <c r="AE113" s="22"/>
      <c r="AF113" s="22"/>
      <c r="AG113" s="5"/>
      <c r="AH113" s="28">
        <f t="shared" si="17"/>
        <v>0</v>
      </c>
      <c r="AI113" s="5"/>
    </row>
    <row r="114" spans="2:35" x14ac:dyDescent="0.25">
      <c r="B114" s="17" t="s">
        <v>121</v>
      </c>
      <c r="C114" s="93" t="str" cm="1">
        <f t="array" ref="C114">IFERROR(INDEX('Limite de crédito'!$D:$D, MATCH(MAX(IF('Limite de crédito'!$C:$C=$B114, 'Limite de crédito'!$A:$A)), 'Limite de crédito'!$A:$A, 0)),"")</f>
        <v/>
      </c>
      <c r="D114" s="18" cm="1">
        <f t="array" ref="D114">IFERROR(INDEX('Limite de crédito'!$F:$F, MATCH(MAX(IF('Limite de crédito'!$C:$C=$B114, 'Limite de crédito'!$A:$A)), 'Limite de crédito'!$A:$A, 0)),0)</f>
        <v>0</v>
      </c>
      <c r="E114" s="18">
        <f t="shared" si="14"/>
        <v>0</v>
      </c>
      <c r="F114" s="18">
        <f t="shared" si="15"/>
        <v>0</v>
      </c>
      <c r="G114" s="19">
        <f>SUMIFS('Data Additive'!$D:$D,'Data Additive'!$P:$P,'Painel Additive'!#REF!,'Data Additive'!$Q:$Q,"&gt;0",'Data Additive'!$Q:$Q,"&lt;=30")</f>
        <v>0</v>
      </c>
      <c r="H114" s="19">
        <f>SUMIFS('Data Additive'!$D:$D,'Data Additive'!$P:$P,'Painel Additive'!#REF!,'Data Additive'!$Q:$Q,"&gt;30",'Data Additive'!$Q:$Q,"&lt;=60")</f>
        <v>0</v>
      </c>
      <c r="I114" s="19">
        <f>SUMIFS('Data Additive'!$D:$D,'Data Additive'!$P:$P,'Painel Additive'!#REF!,'Data Additive'!$Q:$Q,"&gt;60",'Data Additive'!$Q:$Q,"&lt;=90")</f>
        <v>0</v>
      </c>
      <c r="J114" s="19">
        <f>SUMIFS('Data Additive'!$D:$D,'Data Additive'!$P:$P,'Painel Additive'!#REF!,'Data Additive'!$Q:$Q,"&gt;90",'Data Additive'!$Q:$Q,"&lt;=120")</f>
        <v>0</v>
      </c>
      <c r="K114" s="19">
        <f>SUMIFS('Data Additive'!$D:$D,'Data Additive'!$P:$P,'Painel Additive'!#REF!,'Data Additive'!$Q:$Q,"&gt;120",'Data Additive'!$Q:$Q,"&lt;=180")</f>
        <v>0</v>
      </c>
      <c r="L114" s="19">
        <f>SUMIFS('Data Additive'!$D:$D,'Data Additive'!$P:$P,'Painel Additive'!#REF!,'Data Additive'!$Q:$Q,"&gt;180",'Data Additive'!$Q:$Q,"&lt;=360")</f>
        <v>0</v>
      </c>
      <c r="M114" s="23">
        <f>SUMIFS('Data Additive'!$D:$D,'Data Additive'!$P:$P,'Painel Additive'!#REF!,'Data Additive'!$Q:$Q,"&gt;360")</f>
        <v>0</v>
      </c>
      <c r="N114" s="19">
        <f>SUMIFS('Data Additive'!$D:$D,'Data Additive'!$P:$P,'Painel Additive'!#REF!,'Data Additive'!$Q:$Q,"&gt;0")</f>
        <v>0</v>
      </c>
      <c r="O114" s="19">
        <f t="shared" si="16"/>
        <v>0</v>
      </c>
      <c r="P114" s="19">
        <f>SUMIFS('Data Additive'!$D:$D,'Data Additive'!$P:$P,'Painel Additive'!#REF!,'Data Additive'!$Q:$Q,"&lt;=0",'Data Additive'!$Q:$Q,"&gt;=-30")</f>
        <v>0</v>
      </c>
      <c r="Q114" s="19">
        <f>SUMIFS('Data Additive'!$D:$D,'Data Additive'!$P:$P,'Painel Additive'!#REF!,'Data Additive'!$Q:$Q,"&lt;=-31",'Data Additive'!$Q:$Q,"&gt;=-60")</f>
        <v>0</v>
      </c>
      <c r="R114" s="19">
        <f>SUMIFS('Data Additive'!$D:$D,'Data Additive'!$P:$P,'Painel Additive'!#REF!,'Data Additive'!$Q:$Q,"&lt;=-61",'Data Additive'!$Q:$Q,"&gt;=-90")</f>
        <v>0</v>
      </c>
      <c r="S114" s="19">
        <f>SUMIFS('Data Additive'!$D:$D,'Data Additive'!$P:$P,'Painel Additive'!#REF!,'Data Additive'!$Q:$Q,"&lt;=-91",'Data Additive'!$Q:$Q,"&gt;=-120")</f>
        <v>0</v>
      </c>
      <c r="T114" s="19">
        <f>SUMIFS('Data Additive'!$D:$D,'Data Additive'!$P:$P,'Painel Additive'!#REF!,'Data Additive'!$Q:$Q,"&lt;=-121",'Data Additive'!$Q:$Q,"&gt;=-180")</f>
        <v>0</v>
      </c>
      <c r="U114" s="19">
        <f>SUMIFS('Data Additive'!$D:$D,'Data Additive'!$P:$P,'Painel Additive'!#REF!,'Data Additive'!$Q:$Q,"&lt;=-181",'Data Additive'!$Q:$Q,"&gt;=-360")</f>
        <v>0</v>
      </c>
      <c r="V114" s="23">
        <f>SUMIFS('Data Additive'!$D:$D,'Data Additive'!$P:$P,'Painel Additive'!#REF!,'Data Additive'!$Q:$Q,"&lt;-360")</f>
        <v>0</v>
      </c>
      <c r="W114" s="19" t="e">
        <f>SUMIFS('Bad Debt Provision'!#REF!,'Bad Debt Provision'!#REF!,'Painel Additive'!#REF!)</f>
        <v>#REF!</v>
      </c>
      <c r="X114" s="5"/>
      <c r="Y114" s="20"/>
      <c r="Z114" s="20"/>
      <c r="AA114" s="21"/>
      <c r="AB114" s="5"/>
      <c r="AC114" s="19"/>
      <c r="AD114" s="20"/>
      <c r="AE114" s="22"/>
      <c r="AF114" s="22"/>
      <c r="AG114" s="5"/>
      <c r="AH114" s="28">
        <f t="shared" si="17"/>
        <v>0</v>
      </c>
      <c r="AI114" s="5"/>
    </row>
    <row r="115" spans="2:35" x14ac:dyDescent="0.25">
      <c r="B115" s="17" t="s">
        <v>215</v>
      </c>
      <c r="C115" s="93" t="str" cm="1">
        <f t="array" ref="C115">IFERROR(INDEX('Limite de crédito'!$D:$D, MATCH(MAX(IF('Limite de crédito'!$C:$C=$B115, 'Limite de crédito'!$A:$A)), 'Limite de crédito'!$A:$A, 0)),"")</f>
        <v/>
      </c>
      <c r="D115" s="18" cm="1">
        <f t="array" ref="D115">IFERROR(INDEX('Limite de crédito'!$F:$F, MATCH(MAX(IF('Limite de crédito'!$C:$C=$B115, 'Limite de crédito'!$A:$A)), 'Limite de crédito'!$A:$A, 0)),0)</f>
        <v>0</v>
      </c>
      <c r="E115" s="18">
        <f t="shared" si="14"/>
        <v>0</v>
      </c>
      <c r="F115" s="18">
        <f t="shared" si="15"/>
        <v>0</v>
      </c>
      <c r="G115" s="19">
        <f>SUMIFS('Data Additive'!$D:$D,'Data Additive'!$P:$P,'Painel Additive'!#REF!,'Data Additive'!$Q:$Q,"&gt;0",'Data Additive'!$Q:$Q,"&lt;=30")</f>
        <v>0</v>
      </c>
      <c r="H115" s="19">
        <f>SUMIFS('Data Additive'!$D:$D,'Data Additive'!$P:$P,'Painel Additive'!#REF!,'Data Additive'!$Q:$Q,"&gt;30",'Data Additive'!$Q:$Q,"&lt;=60")</f>
        <v>0</v>
      </c>
      <c r="I115" s="19">
        <f>SUMIFS('Data Additive'!$D:$D,'Data Additive'!$P:$P,'Painel Additive'!#REF!,'Data Additive'!$Q:$Q,"&gt;60",'Data Additive'!$Q:$Q,"&lt;=90")</f>
        <v>0</v>
      </c>
      <c r="J115" s="19">
        <f>SUMIFS('Data Additive'!$D:$D,'Data Additive'!$P:$P,'Painel Additive'!#REF!,'Data Additive'!$Q:$Q,"&gt;90",'Data Additive'!$Q:$Q,"&lt;=120")</f>
        <v>0</v>
      </c>
      <c r="K115" s="19">
        <f>SUMIFS('Data Additive'!$D:$D,'Data Additive'!$P:$P,'Painel Additive'!#REF!,'Data Additive'!$Q:$Q,"&gt;120",'Data Additive'!$Q:$Q,"&lt;=180")</f>
        <v>0</v>
      </c>
      <c r="L115" s="19">
        <f>SUMIFS('Data Additive'!$D:$D,'Data Additive'!$P:$P,'Painel Additive'!#REF!,'Data Additive'!$Q:$Q,"&gt;180",'Data Additive'!$Q:$Q,"&lt;=360")</f>
        <v>0</v>
      </c>
      <c r="M115" s="23">
        <f>SUMIFS('Data Additive'!$D:$D,'Data Additive'!$P:$P,'Painel Additive'!#REF!,'Data Additive'!$Q:$Q,"&gt;360")</f>
        <v>0</v>
      </c>
      <c r="N115" s="19">
        <f>SUMIFS('Data Additive'!$D:$D,'Data Additive'!$P:$P,'Painel Additive'!#REF!,'Data Additive'!$Q:$Q,"&gt;0")</f>
        <v>0</v>
      </c>
      <c r="O115" s="19">
        <f t="shared" si="16"/>
        <v>0</v>
      </c>
      <c r="P115" s="19">
        <f>SUMIFS('Data Additive'!$D:$D,'Data Additive'!$P:$P,'Painel Additive'!#REF!,'Data Additive'!$Q:$Q,"&lt;=0",'Data Additive'!$Q:$Q,"&gt;=-30")</f>
        <v>0</v>
      </c>
      <c r="Q115" s="19">
        <f>SUMIFS('Data Additive'!$D:$D,'Data Additive'!$P:$P,'Painel Additive'!#REF!,'Data Additive'!$Q:$Q,"&lt;=-31",'Data Additive'!$Q:$Q,"&gt;=-60")</f>
        <v>0</v>
      </c>
      <c r="R115" s="19">
        <f>SUMIFS('Data Additive'!$D:$D,'Data Additive'!$P:$P,'Painel Additive'!#REF!,'Data Additive'!$Q:$Q,"&lt;=-61",'Data Additive'!$Q:$Q,"&gt;=-90")</f>
        <v>0</v>
      </c>
      <c r="S115" s="19">
        <f>SUMIFS('Data Additive'!$D:$D,'Data Additive'!$P:$P,'Painel Additive'!#REF!,'Data Additive'!$Q:$Q,"&lt;=-91",'Data Additive'!$Q:$Q,"&gt;=-120")</f>
        <v>0</v>
      </c>
      <c r="T115" s="19">
        <f>SUMIFS('Data Additive'!$D:$D,'Data Additive'!$P:$P,'Painel Additive'!#REF!,'Data Additive'!$Q:$Q,"&lt;=-121",'Data Additive'!$Q:$Q,"&gt;=-180")</f>
        <v>0</v>
      </c>
      <c r="U115" s="19">
        <f>SUMIFS('Data Additive'!$D:$D,'Data Additive'!$P:$P,'Painel Additive'!#REF!,'Data Additive'!$Q:$Q,"&lt;=-181",'Data Additive'!$Q:$Q,"&gt;=-360")</f>
        <v>0</v>
      </c>
      <c r="V115" s="23">
        <f>SUMIFS('Data Additive'!$D:$D,'Data Additive'!$P:$P,'Painel Additive'!#REF!,'Data Additive'!$Q:$Q,"&lt;-360")</f>
        <v>0</v>
      </c>
      <c r="W115" s="19" t="e">
        <f>SUMIFS('Bad Debt Provision'!#REF!,'Bad Debt Provision'!#REF!,'Painel Additive'!#REF!)</f>
        <v>#REF!</v>
      </c>
      <c r="X115" s="5"/>
      <c r="Y115" s="20"/>
      <c r="Z115" s="20"/>
      <c r="AA115" s="21"/>
      <c r="AB115" s="5"/>
      <c r="AC115" s="19"/>
      <c r="AD115" s="20"/>
      <c r="AE115" s="22"/>
      <c r="AF115" s="22"/>
      <c r="AG115" s="5"/>
      <c r="AH115" s="28">
        <f t="shared" si="17"/>
        <v>0</v>
      </c>
      <c r="AI115" s="5"/>
    </row>
    <row r="116" spans="2:35" x14ac:dyDescent="0.25">
      <c r="B116" s="17" t="s">
        <v>236</v>
      </c>
      <c r="C116" s="93" t="str" cm="1">
        <f t="array" ref="C116">IFERROR(INDEX('Limite de crédito'!$D:$D, MATCH(MAX(IF('Limite de crédito'!$C:$C=$B116, 'Limite de crédito'!$A:$A)), 'Limite de crédito'!$A:$A, 0)),"")</f>
        <v/>
      </c>
      <c r="D116" s="18" cm="1">
        <f t="array" ref="D116">IFERROR(INDEX('Limite de crédito'!$F:$F, MATCH(MAX(IF('Limite de crédito'!$C:$C=$B116, 'Limite de crédito'!$A:$A)), 'Limite de crédito'!$A:$A, 0)),0)</f>
        <v>0</v>
      </c>
      <c r="E116" s="18">
        <f t="shared" si="14"/>
        <v>0</v>
      </c>
      <c r="F116" s="18">
        <f t="shared" si="15"/>
        <v>0</v>
      </c>
      <c r="G116" s="19">
        <f>SUMIFS('Data Additive'!$D:$D,'Data Additive'!$P:$P,'Painel Additive'!#REF!,'Data Additive'!$Q:$Q,"&gt;0",'Data Additive'!$Q:$Q,"&lt;=30")</f>
        <v>0</v>
      </c>
      <c r="H116" s="19">
        <f>SUMIFS('Data Additive'!$D:$D,'Data Additive'!$P:$P,'Painel Additive'!#REF!,'Data Additive'!$Q:$Q,"&gt;30",'Data Additive'!$Q:$Q,"&lt;=60")</f>
        <v>0</v>
      </c>
      <c r="I116" s="19">
        <f>SUMIFS('Data Additive'!$D:$D,'Data Additive'!$P:$P,'Painel Additive'!#REF!,'Data Additive'!$Q:$Q,"&gt;60",'Data Additive'!$Q:$Q,"&lt;=90")</f>
        <v>0</v>
      </c>
      <c r="J116" s="19">
        <f>SUMIFS('Data Additive'!$D:$D,'Data Additive'!$P:$P,'Painel Additive'!#REF!,'Data Additive'!$Q:$Q,"&gt;90",'Data Additive'!$Q:$Q,"&lt;=120")</f>
        <v>0</v>
      </c>
      <c r="K116" s="19">
        <f>SUMIFS('Data Additive'!$D:$D,'Data Additive'!$P:$P,'Painel Additive'!#REF!,'Data Additive'!$Q:$Q,"&gt;120",'Data Additive'!$Q:$Q,"&lt;=180")</f>
        <v>0</v>
      </c>
      <c r="L116" s="19">
        <f>SUMIFS('Data Additive'!$D:$D,'Data Additive'!$P:$P,'Painel Additive'!#REF!,'Data Additive'!$Q:$Q,"&gt;180",'Data Additive'!$Q:$Q,"&lt;=360")</f>
        <v>0</v>
      </c>
      <c r="M116" s="23">
        <f>SUMIFS('Data Additive'!$D:$D,'Data Additive'!$P:$P,'Painel Additive'!#REF!,'Data Additive'!$Q:$Q,"&gt;360")</f>
        <v>0</v>
      </c>
      <c r="N116" s="19">
        <f>SUMIFS('Data Additive'!$D:$D,'Data Additive'!$P:$P,'Painel Additive'!#REF!,'Data Additive'!$Q:$Q,"&gt;0")</f>
        <v>0</v>
      </c>
      <c r="O116" s="19">
        <f t="shared" si="16"/>
        <v>0</v>
      </c>
      <c r="P116" s="19">
        <f>SUMIFS('Data Additive'!$D:$D,'Data Additive'!$P:$P,'Painel Additive'!#REF!,'Data Additive'!$Q:$Q,"&lt;=0",'Data Additive'!$Q:$Q,"&gt;=-30")</f>
        <v>0</v>
      </c>
      <c r="Q116" s="19">
        <f>SUMIFS('Data Additive'!$D:$D,'Data Additive'!$P:$P,'Painel Additive'!#REF!,'Data Additive'!$Q:$Q,"&lt;=-31",'Data Additive'!$Q:$Q,"&gt;=-60")</f>
        <v>0</v>
      </c>
      <c r="R116" s="19">
        <f>SUMIFS('Data Additive'!$D:$D,'Data Additive'!$P:$P,'Painel Additive'!#REF!,'Data Additive'!$Q:$Q,"&lt;=-61",'Data Additive'!$Q:$Q,"&gt;=-90")</f>
        <v>0</v>
      </c>
      <c r="S116" s="19">
        <f>SUMIFS('Data Additive'!$D:$D,'Data Additive'!$P:$P,'Painel Additive'!#REF!,'Data Additive'!$Q:$Q,"&lt;=-91",'Data Additive'!$Q:$Q,"&gt;=-120")</f>
        <v>0</v>
      </c>
      <c r="T116" s="19">
        <f>SUMIFS('Data Additive'!$D:$D,'Data Additive'!$P:$P,'Painel Additive'!#REF!,'Data Additive'!$Q:$Q,"&lt;=-121",'Data Additive'!$Q:$Q,"&gt;=-180")</f>
        <v>0</v>
      </c>
      <c r="U116" s="19">
        <f>SUMIFS('Data Additive'!$D:$D,'Data Additive'!$P:$P,'Painel Additive'!#REF!,'Data Additive'!$Q:$Q,"&lt;=-181",'Data Additive'!$Q:$Q,"&gt;=-360")</f>
        <v>0</v>
      </c>
      <c r="V116" s="23">
        <f>SUMIFS('Data Additive'!$D:$D,'Data Additive'!$P:$P,'Painel Additive'!#REF!,'Data Additive'!$Q:$Q,"&lt;-360")</f>
        <v>0</v>
      </c>
      <c r="W116" s="19" t="e">
        <f>SUMIFS('Bad Debt Provision'!#REF!,'Bad Debt Provision'!#REF!,'Painel Additive'!#REF!)</f>
        <v>#REF!</v>
      </c>
      <c r="X116" s="5"/>
      <c r="Y116" s="20"/>
      <c r="Z116" s="20"/>
      <c r="AA116" s="21"/>
      <c r="AB116" s="5"/>
      <c r="AC116" s="19"/>
      <c r="AD116" s="20"/>
      <c r="AE116" s="22"/>
      <c r="AF116" s="22"/>
      <c r="AG116" s="5"/>
      <c r="AH116" s="28">
        <f t="shared" si="17"/>
        <v>0</v>
      </c>
    </row>
    <row r="117" spans="2:35" x14ac:dyDescent="0.25">
      <c r="B117" s="17" t="s">
        <v>237</v>
      </c>
      <c r="C117" s="93" t="str" cm="1">
        <f t="array" ref="C117">IFERROR(INDEX('Limite de crédito'!$D:$D, MATCH(MAX(IF('Limite de crédito'!$C:$C=$B117, 'Limite de crédito'!$A:$A)), 'Limite de crédito'!$A:$A, 0)),"")</f>
        <v/>
      </c>
      <c r="D117" s="18" cm="1">
        <f t="array" ref="D117">IFERROR(INDEX('Limite de crédito'!$F:$F, MATCH(MAX(IF('Limite de crédito'!$C:$C=$B117, 'Limite de crédito'!$A:$A)), 'Limite de crédito'!$A:$A, 0)),0)</f>
        <v>0</v>
      </c>
      <c r="E117" s="18">
        <f t="shared" si="14"/>
        <v>0</v>
      </c>
      <c r="F117" s="18">
        <f t="shared" si="15"/>
        <v>0</v>
      </c>
      <c r="G117" s="19">
        <f>SUMIFS('Data Additive'!$D:$D,'Data Additive'!$P:$P,'Painel Additive'!#REF!,'Data Additive'!$Q:$Q,"&gt;0",'Data Additive'!$Q:$Q,"&lt;=30")</f>
        <v>0</v>
      </c>
      <c r="H117" s="19">
        <f>SUMIFS('Data Additive'!$D:$D,'Data Additive'!$P:$P,'Painel Additive'!#REF!,'Data Additive'!$Q:$Q,"&gt;30",'Data Additive'!$Q:$Q,"&lt;=60")</f>
        <v>0</v>
      </c>
      <c r="I117" s="19">
        <f>SUMIFS('Data Additive'!$D:$D,'Data Additive'!$P:$P,'Painel Additive'!#REF!,'Data Additive'!$Q:$Q,"&gt;60",'Data Additive'!$Q:$Q,"&lt;=90")</f>
        <v>0</v>
      </c>
      <c r="J117" s="19">
        <f>SUMIFS('Data Additive'!$D:$D,'Data Additive'!$P:$P,'Painel Additive'!#REF!,'Data Additive'!$Q:$Q,"&gt;90",'Data Additive'!$Q:$Q,"&lt;=120")</f>
        <v>0</v>
      </c>
      <c r="K117" s="19">
        <f>SUMIFS('Data Additive'!$D:$D,'Data Additive'!$P:$P,'Painel Additive'!#REF!,'Data Additive'!$Q:$Q,"&gt;120",'Data Additive'!$Q:$Q,"&lt;=180")</f>
        <v>0</v>
      </c>
      <c r="L117" s="19">
        <f>SUMIFS('Data Additive'!$D:$D,'Data Additive'!$P:$P,'Painel Additive'!#REF!,'Data Additive'!$Q:$Q,"&gt;180",'Data Additive'!$Q:$Q,"&lt;=360")</f>
        <v>0</v>
      </c>
      <c r="M117" s="23">
        <f>SUMIFS('Data Additive'!$D:$D,'Data Additive'!$P:$P,'Painel Additive'!#REF!,'Data Additive'!$Q:$Q,"&gt;360")</f>
        <v>0</v>
      </c>
      <c r="N117" s="19">
        <f>SUMIFS('Data Additive'!$D:$D,'Data Additive'!$P:$P,'Painel Additive'!#REF!,'Data Additive'!$Q:$Q,"&gt;0")</f>
        <v>0</v>
      </c>
      <c r="O117" s="19">
        <f t="shared" si="16"/>
        <v>0</v>
      </c>
      <c r="P117" s="19">
        <f>SUMIFS('Data Additive'!$D:$D,'Data Additive'!$P:$P,'Painel Additive'!#REF!,'Data Additive'!$Q:$Q,"&lt;=0",'Data Additive'!$Q:$Q,"&gt;=-30")</f>
        <v>0</v>
      </c>
      <c r="Q117" s="19">
        <f>SUMIFS('Data Additive'!$D:$D,'Data Additive'!$P:$P,'Painel Additive'!#REF!,'Data Additive'!$Q:$Q,"&lt;=-31",'Data Additive'!$Q:$Q,"&gt;=-60")</f>
        <v>0</v>
      </c>
      <c r="R117" s="19">
        <f>SUMIFS('Data Additive'!$D:$D,'Data Additive'!$P:$P,'Painel Additive'!#REF!,'Data Additive'!$Q:$Q,"&lt;=-61",'Data Additive'!$Q:$Q,"&gt;=-90")</f>
        <v>0</v>
      </c>
      <c r="S117" s="19">
        <f>SUMIFS('Data Additive'!$D:$D,'Data Additive'!$P:$P,'Painel Additive'!#REF!,'Data Additive'!$Q:$Q,"&lt;=-91",'Data Additive'!$Q:$Q,"&gt;=-120")</f>
        <v>0</v>
      </c>
      <c r="T117" s="19">
        <f>SUMIFS('Data Additive'!$D:$D,'Data Additive'!$P:$P,'Painel Additive'!#REF!,'Data Additive'!$Q:$Q,"&lt;=-121",'Data Additive'!$Q:$Q,"&gt;=-180")</f>
        <v>0</v>
      </c>
      <c r="U117" s="19">
        <f>SUMIFS('Data Additive'!$D:$D,'Data Additive'!$P:$P,'Painel Additive'!#REF!,'Data Additive'!$Q:$Q,"&lt;=-181",'Data Additive'!$Q:$Q,"&gt;=-360")</f>
        <v>0</v>
      </c>
      <c r="V117" s="23">
        <f>SUMIFS('Data Additive'!$D:$D,'Data Additive'!$P:$P,'Painel Additive'!#REF!,'Data Additive'!$Q:$Q,"&lt;-360")</f>
        <v>0</v>
      </c>
      <c r="W117" s="19" t="e">
        <f>SUMIFS('Bad Debt Provision'!#REF!,'Bad Debt Provision'!#REF!,'Painel Additive'!#REF!)</f>
        <v>#REF!</v>
      </c>
      <c r="X117" s="5"/>
      <c r="Y117" s="20"/>
      <c r="Z117" s="20"/>
      <c r="AA117" s="21"/>
      <c r="AB117" s="5"/>
      <c r="AC117" s="19"/>
      <c r="AD117" s="20"/>
      <c r="AE117" s="22"/>
      <c r="AF117" s="22"/>
      <c r="AG117" s="5"/>
      <c r="AH117" s="28">
        <f t="shared" si="17"/>
        <v>0</v>
      </c>
    </row>
    <row r="118" spans="2:35" x14ac:dyDescent="0.25">
      <c r="B118" s="17" t="s">
        <v>238</v>
      </c>
      <c r="C118" s="93" t="str" cm="1">
        <f t="array" ref="C118">IFERROR(INDEX('Limite de crédito'!$D:$D, MATCH(MAX(IF('Limite de crédito'!$C:$C=$B118, 'Limite de crédito'!$A:$A)), 'Limite de crédito'!$A:$A, 0)),"")</f>
        <v/>
      </c>
      <c r="D118" s="18" cm="1">
        <f t="array" ref="D118">IFERROR(INDEX('Limite de crédito'!$F:$F, MATCH(MAX(IF('Limite de crédito'!$C:$C=$B118, 'Limite de crédito'!$A:$A)), 'Limite de crédito'!$A:$A, 0)),0)</f>
        <v>0</v>
      </c>
      <c r="E118" s="18">
        <f t="shared" si="14"/>
        <v>0</v>
      </c>
      <c r="F118" s="18">
        <f t="shared" si="15"/>
        <v>0</v>
      </c>
      <c r="G118" s="19">
        <f>SUMIFS('Data Additive'!$D:$D,'Data Additive'!$P:$P,'Painel Additive'!#REF!,'Data Additive'!$Q:$Q,"&gt;0",'Data Additive'!$Q:$Q,"&lt;=30")</f>
        <v>0</v>
      </c>
      <c r="H118" s="19">
        <f>SUMIFS('Data Additive'!$D:$D,'Data Additive'!$P:$P,'Painel Additive'!#REF!,'Data Additive'!$Q:$Q,"&gt;30",'Data Additive'!$Q:$Q,"&lt;=60")</f>
        <v>0</v>
      </c>
      <c r="I118" s="19">
        <f>SUMIFS('Data Additive'!$D:$D,'Data Additive'!$P:$P,'Painel Additive'!#REF!,'Data Additive'!$Q:$Q,"&gt;60",'Data Additive'!$Q:$Q,"&lt;=90")</f>
        <v>0</v>
      </c>
      <c r="J118" s="19">
        <f>SUMIFS('Data Additive'!$D:$D,'Data Additive'!$P:$P,'Painel Additive'!#REF!,'Data Additive'!$Q:$Q,"&gt;90",'Data Additive'!$Q:$Q,"&lt;=120")</f>
        <v>0</v>
      </c>
      <c r="K118" s="19">
        <f>SUMIFS('Data Additive'!$D:$D,'Data Additive'!$P:$P,'Painel Additive'!#REF!,'Data Additive'!$Q:$Q,"&gt;120",'Data Additive'!$Q:$Q,"&lt;=180")</f>
        <v>0</v>
      </c>
      <c r="L118" s="19">
        <f>SUMIFS('Data Additive'!$D:$D,'Data Additive'!$P:$P,'Painel Additive'!#REF!,'Data Additive'!$Q:$Q,"&gt;180",'Data Additive'!$Q:$Q,"&lt;=360")</f>
        <v>0</v>
      </c>
      <c r="M118" s="23">
        <f>SUMIFS('Data Additive'!$D:$D,'Data Additive'!$P:$P,'Painel Additive'!#REF!,'Data Additive'!$Q:$Q,"&gt;360")</f>
        <v>0</v>
      </c>
      <c r="N118" s="19">
        <f>SUMIFS('Data Additive'!$D:$D,'Data Additive'!$P:$P,'Painel Additive'!#REF!,'Data Additive'!$Q:$Q,"&gt;0")</f>
        <v>0</v>
      </c>
      <c r="O118" s="19">
        <f t="shared" si="16"/>
        <v>0</v>
      </c>
      <c r="P118" s="19">
        <f>SUMIFS('Data Additive'!$D:$D,'Data Additive'!$P:$P,'Painel Additive'!#REF!,'Data Additive'!$Q:$Q,"&lt;=0",'Data Additive'!$Q:$Q,"&gt;=-30")</f>
        <v>0</v>
      </c>
      <c r="Q118" s="19">
        <f>SUMIFS('Data Additive'!$D:$D,'Data Additive'!$P:$P,'Painel Additive'!#REF!,'Data Additive'!$Q:$Q,"&lt;=-31",'Data Additive'!$Q:$Q,"&gt;=-60")</f>
        <v>0</v>
      </c>
      <c r="R118" s="19">
        <f>SUMIFS('Data Additive'!$D:$D,'Data Additive'!$P:$P,'Painel Additive'!#REF!,'Data Additive'!$Q:$Q,"&lt;=-61",'Data Additive'!$Q:$Q,"&gt;=-90")</f>
        <v>0</v>
      </c>
      <c r="S118" s="19">
        <f>SUMIFS('Data Additive'!$D:$D,'Data Additive'!$P:$P,'Painel Additive'!#REF!,'Data Additive'!$Q:$Q,"&lt;=-91",'Data Additive'!$Q:$Q,"&gt;=-120")</f>
        <v>0</v>
      </c>
      <c r="T118" s="19">
        <f>SUMIFS('Data Additive'!$D:$D,'Data Additive'!$P:$P,'Painel Additive'!#REF!,'Data Additive'!$Q:$Q,"&lt;=-121",'Data Additive'!$Q:$Q,"&gt;=-180")</f>
        <v>0</v>
      </c>
      <c r="U118" s="19">
        <f>SUMIFS('Data Additive'!$D:$D,'Data Additive'!$P:$P,'Painel Additive'!#REF!,'Data Additive'!$Q:$Q,"&lt;=-181",'Data Additive'!$Q:$Q,"&gt;=-360")</f>
        <v>0</v>
      </c>
      <c r="V118" s="23">
        <f>SUMIFS('Data Additive'!$D:$D,'Data Additive'!$P:$P,'Painel Additive'!#REF!,'Data Additive'!$Q:$Q,"&lt;-360")</f>
        <v>0</v>
      </c>
      <c r="W118" s="19" t="e">
        <f>SUMIFS('Bad Debt Provision'!#REF!,'Bad Debt Provision'!#REF!,'Painel Additive'!#REF!)</f>
        <v>#REF!</v>
      </c>
      <c r="X118" s="5"/>
      <c r="Y118" s="20"/>
      <c r="Z118" s="20"/>
      <c r="AA118" s="21"/>
      <c r="AB118" s="5"/>
      <c r="AC118" s="19"/>
      <c r="AD118" s="20"/>
      <c r="AE118" s="22"/>
      <c r="AF118" s="22"/>
      <c r="AG118" s="5"/>
      <c r="AH118" s="28">
        <f t="shared" si="17"/>
        <v>0</v>
      </c>
    </row>
    <row r="119" spans="2:35" x14ac:dyDescent="0.25">
      <c r="B119" s="17" t="s">
        <v>239</v>
      </c>
      <c r="C119" s="93" t="str" cm="1">
        <f t="array" ref="C119">IFERROR(INDEX('Limite de crédito'!$D:$D, MATCH(MAX(IF('Limite de crédito'!$C:$C=$B119, 'Limite de crédito'!$A:$A)), 'Limite de crédito'!$A:$A, 0)),"")</f>
        <v/>
      </c>
      <c r="D119" s="18" cm="1">
        <f t="array" ref="D119">IFERROR(INDEX('Limite de crédito'!$F:$F, MATCH(MAX(IF('Limite de crédito'!$C:$C=$B119, 'Limite de crédito'!$A:$A)), 'Limite de crédito'!$A:$A, 0)),0)</f>
        <v>0</v>
      </c>
      <c r="E119" s="18">
        <f t="shared" si="14"/>
        <v>0</v>
      </c>
      <c r="F119" s="18">
        <f t="shared" si="15"/>
        <v>0</v>
      </c>
      <c r="G119" s="19">
        <f>SUMIFS('Data Additive'!$D:$D,'Data Additive'!$P:$P,'Painel Additive'!#REF!,'Data Additive'!$Q:$Q,"&gt;0",'Data Additive'!$Q:$Q,"&lt;=30")</f>
        <v>0</v>
      </c>
      <c r="H119" s="19">
        <f>SUMIFS('Data Additive'!$D:$D,'Data Additive'!$P:$P,'Painel Additive'!#REF!,'Data Additive'!$Q:$Q,"&gt;30",'Data Additive'!$Q:$Q,"&lt;=60")</f>
        <v>0</v>
      </c>
      <c r="I119" s="19">
        <f>SUMIFS('Data Additive'!$D:$D,'Data Additive'!$P:$P,'Painel Additive'!#REF!,'Data Additive'!$Q:$Q,"&gt;60",'Data Additive'!$Q:$Q,"&lt;=90")</f>
        <v>0</v>
      </c>
      <c r="J119" s="19">
        <f>SUMIFS('Data Additive'!$D:$D,'Data Additive'!$P:$P,'Painel Additive'!#REF!,'Data Additive'!$Q:$Q,"&gt;90",'Data Additive'!$Q:$Q,"&lt;=120")</f>
        <v>0</v>
      </c>
      <c r="K119" s="19">
        <f>SUMIFS('Data Additive'!$D:$D,'Data Additive'!$P:$P,'Painel Additive'!#REF!,'Data Additive'!$Q:$Q,"&gt;120",'Data Additive'!$Q:$Q,"&lt;=180")</f>
        <v>0</v>
      </c>
      <c r="L119" s="19">
        <f>SUMIFS('Data Additive'!$D:$D,'Data Additive'!$P:$P,'Painel Additive'!#REF!,'Data Additive'!$Q:$Q,"&gt;180",'Data Additive'!$Q:$Q,"&lt;=360")</f>
        <v>0</v>
      </c>
      <c r="M119" s="23">
        <f>SUMIFS('Data Additive'!$D:$D,'Data Additive'!$P:$P,'Painel Additive'!#REF!,'Data Additive'!$Q:$Q,"&gt;360")</f>
        <v>0</v>
      </c>
      <c r="N119" s="19">
        <f>SUMIFS('Data Additive'!$D:$D,'Data Additive'!$P:$P,'Painel Additive'!#REF!,'Data Additive'!$Q:$Q,"&gt;0")</f>
        <v>0</v>
      </c>
      <c r="O119" s="19">
        <f t="shared" si="16"/>
        <v>0</v>
      </c>
      <c r="P119" s="19">
        <f>SUMIFS('Data Additive'!$D:$D,'Data Additive'!$P:$P,'Painel Additive'!#REF!,'Data Additive'!$Q:$Q,"&lt;=0",'Data Additive'!$Q:$Q,"&gt;=-30")</f>
        <v>0</v>
      </c>
      <c r="Q119" s="19">
        <f>SUMIFS('Data Additive'!$D:$D,'Data Additive'!$P:$P,'Painel Additive'!#REF!,'Data Additive'!$Q:$Q,"&lt;=-31",'Data Additive'!$Q:$Q,"&gt;=-60")</f>
        <v>0</v>
      </c>
      <c r="R119" s="19">
        <f>SUMIFS('Data Additive'!$D:$D,'Data Additive'!$P:$P,'Painel Additive'!#REF!,'Data Additive'!$Q:$Q,"&lt;=-61",'Data Additive'!$Q:$Q,"&gt;=-90")</f>
        <v>0</v>
      </c>
      <c r="S119" s="19">
        <f>SUMIFS('Data Additive'!$D:$D,'Data Additive'!$P:$P,'Painel Additive'!#REF!,'Data Additive'!$Q:$Q,"&lt;=-91",'Data Additive'!$Q:$Q,"&gt;=-120")</f>
        <v>0</v>
      </c>
      <c r="T119" s="19">
        <f>SUMIFS('Data Additive'!$D:$D,'Data Additive'!$P:$P,'Painel Additive'!#REF!,'Data Additive'!$Q:$Q,"&lt;=-121",'Data Additive'!$Q:$Q,"&gt;=-180")</f>
        <v>0</v>
      </c>
      <c r="U119" s="19">
        <f>SUMIFS('Data Additive'!$D:$D,'Data Additive'!$P:$P,'Painel Additive'!#REF!,'Data Additive'!$Q:$Q,"&lt;=-181",'Data Additive'!$Q:$Q,"&gt;=-360")</f>
        <v>0</v>
      </c>
      <c r="V119" s="23">
        <f>SUMIFS('Data Additive'!$D:$D,'Data Additive'!$P:$P,'Painel Additive'!#REF!,'Data Additive'!$Q:$Q,"&lt;-360")</f>
        <v>0</v>
      </c>
      <c r="W119" s="19" t="e">
        <f>SUMIFS('Bad Debt Provision'!#REF!,'Bad Debt Provision'!#REF!,'Painel Additive'!#REF!)</f>
        <v>#REF!</v>
      </c>
      <c r="X119" s="5"/>
      <c r="Y119" s="20"/>
      <c r="Z119" s="20"/>
      <c r="AA119" s="21"/>
      <c r="AB119" s="5"/>
      <c r="AC119" s="19"/>
      <c r="AD119" s="20"/>
      <c r="AE119" s="22"/>
      <c r="AF119" s="22"/>
      <c r="AG119" s="5"/>
      <c r="AH119" s="28">
        <f t="shared" si="17"/>
        <v>0</v>
      </c>
    </row>
    <row r="120" spans="2:35" x14ac:dyDescent="0.25">
      <c r="B120" s="17" t="s">
        <v>240</v>
      </c>
      <c r="C120" s="93" t="str" cm="1">
        <f t="array" ref="C120">IFERROR(INDEX('Limite de crédito'!$D:$D, MATCH(MAX(IF('Limite de crédito'!$C:$C=$B120, 'Limite de crédito'!$A:$A)), 'Limite de crédito'!$A:$A, 0)),"")</f>
        <v/>
      </c>
      <c r="D120" s="18" cm="1">
        <f t="array" ref="D120">IFERROR(INDEX('Limite de crédito'!$F:$F, MATCH(MAX(IF('Limite de crédito'!$C:$C=$B120, 'Limite de crédito'!$A:$A)), 'Limite de crédito'!$A:$A, 0)),0)</f>
        <v>0</v>
      </c>
      <c r="E120" s="18">
        <f t="shared" si="14"/>
        <v>0</v>
      </c>
      <c r="F120" s="18">
        <f t="shared" si="15"/>
        <v>0</v>
      </c>
      <c r="G120" s="19">
        <f>SUMIFS('Data Additive'!$D:$D,'Data Additive'!$P:$P,'Painel Additive'!#REF!,'Data Additive'!$Q:$Q,"&gt;0",'Data Additive'!$Q:$Q,"&lt;=30")</f>
        <v>0</v>
      </c>
      <c r="H120" s="19">
        <f>SUMIFS('Data Additive'!$D:$D,'Data Additive'!$P:$P,'Painel Additive'!#REF!,'Data Additive'!$Q:$Q,"&gt;30",'Data Additive'!$Q:$Q,"&lt;=60")</f>
        <v>0</v>
      </c>
      <c r="I120" s="19">
        <f>SUMIFS('Data Additive'!$D:$D,'Data Additive'!$P:$P,'Painel Additive'!#REF!,'Data Additive'!$Q:$Q,"&gt;60",'Data Additive'!$Q:$Q,"&lt;=90")</f>
        <v>0</v>
      </c>
      <c r="J120" s="19">
        <f>SUMIFS('Data Additive'!$D:$D,'Data Additive'!$P:$P,'Painel Additive'!#REF!,'Data Additive'!$Q:$Q,"&gt;90",'Data Additive'!$Q:$Q,"&lt;=120")</f>
        <v>0</v>
      </c>
      <c r="K120" s="19">
        <f>SUMIFS('Data Additive'!$D:$D,'Data Additive'!$P:$P,'Painel Additive'!#REF!,'Data Additive'!$Q:$Q,"&gt;120",'Data Additive'!$Q:$Q,"&lt;=180")</f>
        <v>0</v>
      </c>
      <c r="L120" s="19">
        <f>SUMIFS('Data Additive'!$D:$D,'Data Additive'!$P:$P,'Painel Additive'!#REF!,'Data Additive'!$Q:$Q,"&gt;180",'Data Additive'!$Q:$Q,"&lt;=360")</f>
        <v>0</v>
      </c>
      <c r="M120" s="23">
        <f>SUMIFS('Data Additive'!$D:$D,'Data Additive'!$P:$P,'Painel Additive'!#REF!,'Data Additive'!$Q:$Q,"&gt;360")</f>
        <v>0</v>
      </c>
      <c r="N120" s="19">
        <f>SUMIFS('Data Additive'!$D:$D,'Data Additive'!$P:$P,'Painel Additive'!#REF!,'Data Additive'!$Q:$Q,"&gt;0")</f>
        <v>0</v>
      </c>
      <c r="O120" s="19">
        <f t="shared" si="16"/>
        <v>0</v>
      </c>
      <c r="P120" s="19">
        <f>SUMIFS('Data Additive'!$D:$D,'Data Additive'!$P:$P,'Painel Additive'!#REF!,'Data Additive'!$Q:$Q,"&lt;=0",'Data Additive'!$Q:$Q,"&gt;=-30")</f>
        <v>0</v>
      </c>
      <c r="Q120" s="19">
        <f>SUMIFS('Data Additive'!$D:$D,'Data Additive'!$P:$P,'Painel Additive'!#REF!,'Data Additive'!$Q:$Q,"&lt;=-31",'Data Additive'!$Q:$Q,"&gt;=-60")</f>
        <v>0</v>
      </c>
      <c r="R120" s="19">
        <f>SUMIFS('Data Additive'!$D:$D,'Data Additive'!$P:$P,'Painel Additive'!#REF!,'Data Additive'!$Q:$Q,"&lt;=-61",'Data Additive'!$Q:$Q,"&gt;=-90")</f>
        <v>0</v>
      </c>
      <c r="S120" s="19">
        <f>SUMIFS('Data Additive'!$D:$D,'Data Additive'!$P:$P,'Painel Additive'!#REF!,'Data Additive'!$Q:$Q,"&lt;=-91",'Data Additive'!$Q:$Q,"&gt;=-120")</f>
        <v>0</v>
      </c>
      <c r="T120" s="19">
        <f>SUMIFS('Data Additive'!$D:$D,'Data Additive'!$P:$P,'Painel Additive'!#REF!,'Data Additive'!$Q:$Q,"&lt;=-121",'Data Additive'!$Q:$Q,"&gt;=-180")</f>
        <v>0</v>
      </c>
      <c r="U120" s="19">
        <f>SUMIFS('Data Additive'!$D:$D,'Data Additive'!$P:$P,'Painel Additive'!#REF!,'Data Additive'!$Q:$Q,"&lt;=-181",'Data Additive'!$Q:$Q,"&gt;=-360")</f>
        <v>0</v>
      </c>
      <c r="V120" s="23">
        <f>SUMIFS('Data Additive'!$D:$D,'Data Additive'!$P:$P,'Painel Additive'!#REF!,'Data Additive'!$Q:$Q,"&lt;-360")</f>
        <v>0</v>
      </c>
      <c r="W120" s="19" t="e">
        <f>SUMIFS('Bad Debt Provision'!#REF!,'Bad Debt Provision'!#REF!,'Painel Additive'!#REF!)</f>
        <v>#REF!</v>
      </c>
      <c r="X120" s="5"/>
      <c r="Y120" s="20"/>
      <c r="Z120" s="20"/>
      <c r="AA120" s="21"/>
      <c r="AB120" s="5"/>
      <c r="AC120" s="19"/>
      <c r="AD120" s="20"/>
      <c r="AE120" s="22"/>
      <c r="AF120" s="22"/>
      <c r="AG120" s="5"/>
      <c r="AH120" s="28">
        <f t="shared" si="17"/>
        <v>0</v>
      </c>
    </row>
    <row r="121" spans="2:35" x14ac:dyDescent="0.25">
      <c r="B121" s="17" t="s">
        <v>241</v>
      </c>
      <c r="C121" s="93" cm="1">
        <f t="array" ref="C121">IFERROR(INDEX('Limite de crédito'!$D:$D, MATCH(MAX(IF('Limite de crédito'!$C:$C=$B121, 'Limite de crédito'!$A:$A)), 'Limite de crédito'!$A:$A, 0)),"")</f>
        <v>45980</v>
      </c>
      <c r="D121" s="18" t="str" cm="1">
        <f t="array" ref="D121">IFERROR(INDEX('Limite de crédito'!$F:$F, MATCH(MAX(IF('Limite de crédito'!$C:$C=$B121, 'Limite de crédito'!$A:$A)), 'Limite de crédito'!$A:$A, 0)),0)</f>
        <v>Sim</v>
      </c>
      <c r="E121" s="18" t="e">
        <f t="shared" si="14"/>
        <v>#VALUE!</v>
      </c>
      <c r="F121" s="18">
        <f t="shared" si="15"/>
        <v>0</v>
      </c>
      <c r="G121" s="19">
        <f>SUMIFS('Data Additive'!$D:$D,'Data Additive'!$P:$P,'Painel Additive'!#REF!,'Data Additive'!$Q:$Q,"&gt;0",'Data Additive'!$Q:$Q,"&lt;=30")</f>
        <v>0</v>
      </c>
      <c r="H121" s="19">
        <f>SUMIFS('Data Additive'!$D:$D,'Data Additive'!$P:$P,'Painel Additive'!#REF!,'Data Additive'!$Q:$Q,"&gt;30",'Data Additive'!$Q:$Q,"&lt;=60")</f>
        <v>0</v>
      </c>
      <c r="I121" s="19">
        <f>SUMIFS('Data Additive'!$D:$D,'Data Additive'!$P:$P,'Painel Additive'!#REF!,'Data Additive'!$Q:$Q,"&gt;60",'Data Additive'!$Q:$Q,"&lt;=90")</f>
        <v>0</v>
      </c>
      <c r="J121" s="19">
        <f>SUMIFS('Data Additive'!$D:$D,'Data Additive'!$P:$P,'Painel Additive'!#REF!,'Data Additive'!$Q:$Q,"&gt;90",'Data Additive'!$Q:$Q,"&lt;=120")</f>
        <v>0</v>
      </c>
      <c r="K121" s="19">
        <f>SUMIFS('Data Additive'!$D:$D,'Data Additive'!$P:$P,'Painel Additive'!#REF!,'Data Additive'!$Q:$Q,"&gt;120",'Data Additive'!$Q:$Q,"&lt;=180")</f>
        <v>0</v>
      </c>
      <c r="L121" s="19">
        <f>SUMIFS('Data Additive'!$D:$D,'Data Additive'!$P:$P,'Painel Additive'!#REF!,'Data Additive'!$Q:$Q,"&gt;180",'Data Additive'!$Q:$Q,"&lt;=360")</f>
        <v>0</v>
      </c>
      <c r="M121" s="23">
        <f>SUMIFS('Data Additive'!$D:$D,'Data Additive'!$P:$P,'Painel Additive'!#REF!,'Data Additive'!$Q:$Q,"&gt;360")</f>
        <v>0</v>
      </c>
      <c r="N121" s="19">
        <f>SUMIFS('Data Additive'!$D:$D,'Data Additive'!$P:$P,'Painel Additive'!#REF!,'Data Additive'!$Q:$Q,"&gt;0")</f>
        <v>0</v>
      </c>
      <c r="O121" s="19">
        <f t="shared" si="16"/>
        <v>0</v>
      </c>
      <c r="P121" s="19">
        <f>SUMIFS('Data Additive'!$D:$D,'Data Additive'!$P:$P,'Painel Additive'!#REF!,'Data Additive'!$Q:$Q,"&lt;=0",'Data Additive'!$Q:$Q,"&gt;=-30")</f>
        <v>0</v>
      </c>
      <c r="Q121" s="19">
        <f>SUMIFS('Data Additive'!$D:$D,'Data Additive'!$P:$P,'Painel Additive'!#REF!,'Data Additive'!$Q:$Q,"&lt;=-31",'Data Additive'!$Q:$Q,"&gt;=-60")</f>
        <v>0</v>
      </c>
      <c r="R121" s="19">
        <f>SUMIFS('Data Additive'!$D:$D,'Data Additive'!$P:$P,'Painel Additive'!#REF!,'Data Additive'!$Q:$Q,"&lt;=-61",'Data Additive'!$Q:$Q,"&gt;=-90")</f>
        <v>0</v>
      </c>
      <c r="S121" s="19">
        <f>SUMIFS('Data Additive'!$D:$D,'Data Additive'!$P:$P,'Painel Additive'!#REF!,'Data Additive'!$Q:$Q,"&lt;=-91",'Data Additive'!$Q:$Q,"&gt;=-120")</f>
        <v>0</v>
      </c>
      <c r="T121" s="19">
        <f>SUMIFS('Data Additive'!$D:$D,'Data Additive'!$P:$P,'Painel Additive'!#REF!,'Data Additive'!$Q:$Q,"&lt;=-121",'Data Additive'!$Q:$Q,"&gt;=-180")</f>
        <v>0</v>
      </c>
      <c r="U121" s="19">
        <f>SUMIFS('Data Additive'!$D:$D,'Data Additive'!$P:$P,'Painel Additive'!#REF!,'Data Additive'!$Q:$Q,"&lt;=-181",'Data Additive'!$Q:$Q,"&gt;=-360")</f>
        <v>0</v>
      </c>
      <c r="V121" s="23">
        <f>SUMIFS('Data Additive'!$D:$D,'Data Additive'!$P:$P,'Painel Additive'!#REF!,'Data Additive'!$Q:$Q,"&lt;-360")</f>
        <v>0</v>
      </c>
      <c r="W121" s="19" t="e">
        <f>SUMIFS('Bad Debt Provision'!#REF!,'Bad Debt Provision'!#REF!,'Painel Additive'!#REF!)</f>
        <v>#REF!</v>
      </c>
      <c r="X121" s="5"/>
      <c r="Y121" s="20"/>
      <c r="Z121" s="20"/>
      <c r="AA121" s="21"/>
      <c r="AB121" s="5"/>
      <c r="AC121" s="19"/>
      <c r="AD121" s="20"/>
      <c r="AE121" s="22"/>
      <c r="AF121" s="22"/>
      <c r="AG121" s="5"/>
      <c r="AH121" s="28">
        <f t="shared" si="17"/>
        <v>0</v>
      </c>
    </row>
    <row r="122" spans="2:35" x14ac:dyDescent="0.25">
      <c r="B122" s="17" t="s">
        <v>242</v>
      </c>
      <c r="C122" s="93" t="str" cm="1">
        <f t="array" ref="C122">IFERROR(INDEX('Limite de crédito'!$D:$D, MATCH(MAX(IF('Limite de crédito'!$C:$C=$B122, 'Limite de crédito'!$A:$A)), 'Limite de crédito'!$A:$A, 0)),"")</f>
        <v/>
      </c>
      <c r="D122" s="18" cm="1">
        <f t="array" ref="D122">IFERROR(INDEX('Limite de crédito'!$F:$F, MATCH(MAX(IF('Limite de crédito'!$C:$C=$B122, 'Limite de crédito'!$A:$A)), 'Limite de crédito'!$A:$A, 0)),0)</f>
        <v>0</v>
      </c>
      <c r="E122" s="18">
        <f t="shared" si="14"/>
        <v>0</v>
      </c>
      <c r="F122" s="18">
        <f t="shared" si="15"/>
        <v>0</v>
      </c>
      <c r="G122" s="19">
        <f>SUMIFS('Data Additive'!$D:$D,'Data Additive'!$P:$P,'Painel Additive'!#REF!,'Data Additive'!$Q:$Q,"&gt;0",'Data Additive'!$Q:$Q,"&lt;=30")</f>
        <v>0</v>
      </c>
      <c r="H122" s="19">
        <f>SUMIFS('Data Additive'!$D:$D,'Data Additive'!$P:$P,'Painel Additive'!#REF!,'Data Additive'!$Q:$Q,"&gt;30",'Data Additive'!$Q:$Q,"&lt;=60")</f>
        <v>0</v>
      </c>
      <c r="I122" s="19">
        <f>SUMIFS('Data Additive'!$D:$D,'Data Additive'!$P:$P,'Painel Additive'!#REF!,'Data Additive'!$Q:$Q,"&gt;60",'Data Additive'!$Q:$Q,"&lt;=90")</f>
        <v>0</v>
      </c>
      <c r="J122" s="19">
        <f>SUMIFS('Data Additive'!$D:$D,'Data Additive'!$P:$P,'Painel Additive'!#REF!,'Data Additive'!$Q:$Q,"&gt;90",'Data Additive'!$Q:$Q,"&lt;=120")</f>
        <v>0</v>
      </c>
      <c r="K122" s="19">
        <f>SUMIFS('Data Additive'!$D:$D,'Data Additive'!$P:$P,'Painel Additive'!#REF!,'Data Additive'!$Q:$Q,"&gt;120",'Data Additive'!$Q:$Q,"&lt;=180")</f>
        <v>0</v>
      </c>
      <c r="L122" s="19">
        <f>SUMIFS('Data Additive'!$D:$D,'Data Additive'!$P:$P,'Painel Additive'!#REF!,'Data Additive'!$Q:$Q,"&gt;180",'Data Additive'!$Q:$Q,"&lt;=360")</f>
        <v>0</v>
      </c>
      <c r="M122" s="23">
        <f>SUMIFS('Data Additive'!$D:$D,'Data Additive'!$P:$P,'Painel Additive'!#REF!,'Data Additive'!$Q:$Q,"&gt;360")</f>
        <v>0</v>
      </c>
      <c r="N122" s="19">
        <f>SUMIFS('Data Additive'!$D:$D,'Data Additive'!$P:$P,'Painel Additive'!#REF!,'Data Additive'!$Q:$Q,"&gt;0")</f>
        <v>0</v>
      </c>
      <c r="O122" s="19">
        <f t="shared" si="16"/>
        <v>0</v>
      </c>
      <c r="P122" s="19">
        <f>SUMIFS('Data Additive'!$D:$D,'Data Additive'!$P:$P,'Painel Additive'!#REF!,'Data Additive'!$Q:$Q,"&lt;=0",'Data Additive'!$Q:$Q,"&gt;=-30")</f>
        <v>0</v>
      </c>
      <c r="Q122" s="19">
        <f>SUMIFS('Data Additive'!$D:$D,'Data Additive'!$P:$P,'Painel Additive'!#REF!,'Data Additive'!$Q:$Q,"&lt;=-31",'Data Additive'!$Q:$Q,"&gt;=-60")</f>
        <v>0</v>
      </c>
      <c r="R122" s="19">
        <f>SUMIFS('Data Additive'!$D:$D,'Data Additive'!$P:$P,'Painel Additive'!#REF!,'Data Additive'!$Q:$Q,"&lt;=-61",'Data Additive'!$Q:$Q,"&gt;=-90")</f>
        <v>0</v>
      </c>
      <c r="S122" s="19">
        <f>SUMIFS('Data Additive'!$D:$D,'Data Additive'!$P:$P,'Painel Additive'!#REF!,'Data Additive'!$Q:$Q,"&lt;=-91",'Data Additive'!$Q:$Q,"&gt;=-120")</f>
        <v>0</v>
      </c>
      <c r="T122" s="19">
        <f>SUMIFS('Data Additive'!$D:$D,'Data Additive'!$P:$P,'Painel Additive'!#REF!,'Data Additive'!$Q:$Q,"&lt;=-121",'Data Additive'!$Q:$Q,"&gt;=-180")</f>
        <v>0</v>
      </c>
      <c r="U122" s="19">
        <f>SUMIFS('Data Additive'!$D:$D,'Data Additive'!$P:$P,'Painel Additive'!#REF!,'Data Additive'!$Q:$Q,"&lt;=-181",'Data Additive'!$Q:$Q,"&gt;=-360")</f>
        <v>0</v>
      </c>
      <c r="V122" s="23">
        <f>SUMIFS('Data Additive'!$D:$D,'Data Additive'!$P:$P,'Painel Additive'!#REF!,'Data Additive'!$Q:$Q,"&lt;-360")</f>
        <v>0</v>
      </c>
      <c r="W122" s="19" t="e">
        <f>SUMIFS('Bad Debt Provision'!#REF!,'Bad Debt Provision'!#REF!,'Painel Additive'!#REF!)</f>
        <v>#REF!</v>
      </c>
      <c r="X122" s="5"/>
      <c r="Y122" s="20"/>
      <c r="Z122" s="20"/>
      <c r="AA122" s="21"/>
      <c r="AB122" s="5"/>
      <c r="AC122" s="19"/>
      <c r="AD122" s="20"/>
      <c r="AE122" s="22"/>
      <c r="AF122" s="22"/>
      <c r="AG122" s="5"/>
      <c r="AH122" s="28">
        <f t="shared" si="17"/>
        <v>0</v>
      </c>
    </row>
    <row r="123" spans="2:35" x14ac:dyDescent="0.25">
      <c r="B123" s="17" t="s">
        <v>243</v>
      </c>
      <c r="C123" s="93" t="str" cm="1">
        <f t="array" ref="C123">IFERROR(INDEX('Limite de crédito'!$D:$D, MATCH(MAX(IF('Limite de crédito'!$C:$C=$B123, 'Limite de crédito'!$A:$A)), 'Limite de crédito'!$A:$A, 0)),"")</f>
        <v/>
      </c>
      <c r="D123" s="18" cm="1">
        <f t="array" ref="D123">IFERROR(INDEX('Limite de crédito'!$F:$F, MATCH(MAX(IF('Limite de crédito'!$C:$C=$B123, 'Limite de crédito'!$A:$A)), 'Limite de crédito'!$A:$A, 0)),0)</f>
        <v>0</v>
      </c>
      <c r="E123" s="18">
        <f t="shared" si="14"/>
        <v>0</v>
      </c>
      <c r="F123" s="18">
        <f t="shared" si="15"/>
        <v>0</v>
      </c>
      <c r="G123" s="19">
        <f>SUMIFS('Data Additive'!$D:$D,'Data Additive'!$P:$P,'Painel Additive'!#REF!,'Data Additive'!$Q:$Q,"&gt;0",'Data Additive'!$Q:$Q,"&lt;=30")</f>
        <v>0</v>
      </c>
      <c r="H123" s="19">
        <f>SUMIFS('Data Additive'!$D:$D,'Data Additive'!$P:$P,'Painel Additive'!#REF!,'Data Additive'!$Q:$Q,"&gt;30",'Data Additive'!$Q:$Q,"&lt;=60")</f>
        <v>0</v>
      </c>
      <c r="I123" s="19">
        <f>SUMIFS('Data Additive'!$D:$D,'Data Additive'!$P:$P,'Painel Additive'!#REF!,'Data Additive'!$Q:$Q,"&gt;60",'Data Additive'!$Q:$Q,"&lt;=90")</f>
        <v>0</v>
      </c>
      <c r="J123" s="19">
        <f>SUMIFS('Data Additive'!$D:$D,'Data Additive'!$P:$P,'Painel Additive'!#REF!,'Data Additive'!$Q:$Q,"&gt;90",'Data Additive'!$Q:$Q,"&lt;=120")</f>
        <v>0</v>
      </c>
      <c r="K123" s="19">
        <f>SUMIFS('Data Additive'!$D:$D,'Data Additive'!$P:$P,'Painel Additive'!#REF!,'Data Additive'!$Q:$Q,"&gt;120",'Data Additive'!$Q:$Q,"&lt;=180")</f>
        <v>0</v>
      </c>
      <c r="L123" s="19">
        <f>SUMIFS('Data Additive'!$D:$D,'Data Additive'!$P:$P,'Painel Additive'!#REF!,'Data Additive'!$Q:$Q,"&gt;180",'Data Additive'!$Q:$Q,"&lt;=360")</f>
        <v>0</v>
      </c>
      <c r="M123" s="23">
        <f>SUMIFS('Data Additive'!$D:$D,'Data Additive'!$P:$P,'Painel Additive'!#REF!,'Data Additive'!$Q:$Q,"&gt;360")</f>
        <v>0</v>
      </c>
      <c r="N123" s="19">
        <f>SUMIFS('Data Additive'!$D:$D,'Data Additive'!$P:$P,'Painel Additive'!#REF!,'Data Additive'!$Q:$Q,"&gt;0")</f>
        <v>0</v>
      </c>
      <c r="O123" s="19">
        <f t="shared" si="16"/>
        <v>0</v>
      </c>
      <c r="P123" s="19">
        <f>SUMIFS('Data Additive'!$D:$D,'Data Additive'!$P:$P,'Painel Additive'!#REF!,'Data Additive'!$Q:$Q,"&lt;=0",'Data Additive'!$Q:$Q,"&gt;=-30")</f>
        <v>0</v>
      </c>
      <c r="Q123" s="19">
        <f>SUMIFS('Data Additive'!$D:$D,'Data Additive'!$P:$P,'Painel Additive'!#REF!,'Data Additive'!$Q:$Q,"&lt;=-31",'Data Additive'!$Q:$Q,"&gt;=-60")</f>
        <v>0</v>
      </c>
      <c r="R123" s="19">
        <f>SUMIFS('Data Additive'!$D:$D,'Data Additive'!$P:$P,'Painel Additive'!#REF!,'Data Additive'!$Q:$Q,"&lt;=-61",'Data Additive'!$Q:$Q,"&gt;=-90")</f>
        <v>0</v>
      </c>
      <c r="S123" s="19">
        <f>SUMIFS('Data Additive'!$D:$D,'Data Additive'!$P:$P,'Painel Additive'!#REF!,'Data Additive'!$Q:$Q,"&lt;=-91",'Data Additive'!$Q:$Q,"&gt;=-120")</f>
        <v>0</v>
      </c>
      <c r="T123" s="19">
        <f>SUMIFS('Data Additive'!$D:$D,'Data Additive'!$P:$P,'Painel Additive'!#REF!,'Data Additive'!$Q:$Q,"&lt;=-121",'Data Additive'!$Q:$Q,"&gt;=-180")</f>
        <v>0</v>
      </c>
      <c r="U123" s="19">
        <f>SUMIFS('Data Additive'!$D:$D,'Data Additive'!$P:$P,'Painel Additive'!#REF!,'Data Additive'!$Q:$Q,"&lt;=-181",'Data Additive'!$Q:$Q,"&gt;=-360")</f>
        <v>0</v>
      </c>
      <c r="V123" s="23">
        <f>SUMIFS('Data Additive'!$D:$D,'Data Additive'!$P:$P,'Painel Additive'!#REF!,'Data Additive'!$Q:$Q,"&lt;-360")</f>
        <v>0</v>
      </c>
      <c r="W123" s="19" t="e">
        <f>SUMIFS('Bad Debt Provision'!#REF!,'Bad Debt Provision'!#REF!,'Painel Additive'!#REF!)</f>
        <v>#REF!</v>
      </c>
      <c r="X123" s="5"/>
      <c r="Y123" s="20"/>
      <c r="Z123" s="20"/>
      <c r="AA123" s="21"/>
      <c r="AB123" s="5"/>
      <c r="AC123" s="19"/>
      <c r="AD123" s="20"/>
      <c r="AE123" s="22"/>
      <c r="AF123" s="22"/>
      <c r="AG123" s="5"/>
      <c r="AH123" s="28">
        <f t="shared" si="17"/>
        <v>0</v>
      </c>
    </row>
    <row r="124" spans="2:35" x14ac:dyDescent="0.25">
      <c r="B124" s="17" t="s">
        <v>244</v>
      </c>
      <c r="C124" s="93" t="str" cm="1">
        <f t="array" ref="C124">IFERROR(INDEX('Limite de crédito'!$D:$D, MATCH(MAX(IF('Limite de crédito'!$C:$C=$B124, 'Limite de crédito'!$A:$A)), 'Limite de crédito'!$A:$A, 0)),"")</f>
        <v/>
      </c>
      <c r="D124" s="18" cm="1">
        <f t="array" ref="D124">IFERROR(INDEX('Limite de crédito'!$F:$F, MATCH(MAX(IF('Limite de crédito'!$C:$C=$B124, 'Limite de crédito'!$A:$A)), 'Limite de crédito'!$A:$A, 0)),0)</f>
        <v>0</v>
      </c>
      <c r="E124" s="18">
        <f t="shared" si="14"/>
        <v>0</v>
      </c>
      <c r="F124" s="18">
        <f t="shared" si="15"/>
        <v>0</v>
      </c>
      <c r="G124" s="19">
        <f>SUMIFS('Data Additive'!$D:$D,'Data Additive'!$P:$P,'Painel Additive'!#REF!,'Data Additive'!$Q:$Q,"&gt;0",'Data Additive'!$Q:$Q,"&lt;=30")</f>
        <v>0</v>
      </c>
      <c r="H124" s="19">
        <f>SUMIFS('Data Additive'!$D:$D,'Data Additive'!$P:$P,'Painel Additive'!#REF!,'Data Additive'!$Q:$Q,"&gt;30",'Data Additive'!$Q:$Q,"&lt;=60")</f>
        <v>0</v>
      </c>
      <c r="I124" s="19">
        <f>SUMIFS('Data Additive'!$D:$D,'Data Additive'!$P:$P,'Painel Additive'!#REF!,'Data Additive'!$Q:$Q,"&gt;60",'Data Additive'!$Q:$Q,"&lt;=90")</f>
        <v>0</v>
      </c>
      <c r="J124" s="19">
        <f>SUMIFS('Data Additive'!$D:$D,'Data Additive'!$P:$P,'Painel Additive'!#REF!,'Data Additive'!$Q:$Q,"&gt;90",'Data Additive'!$Q:$Q,"&lt;=120")</f>
        <v>0</v>
      </c>
      <c r="K124" s="19">
        <f>SUMIFS('Data Additive'!$D:$D,'Data Additive'!$P:$P,'Painel Additive'!#REF!,'Data Additive'!$Q:$Q,"&gt;120",'Data Additive'!$Q:$Q,"&lt;=180")</f>
        <v>0</v>
      </c>
      <c r="L124" s="19">
        <f>SUMIFS('Data Additive'!$D:$D,'Data Additive'!$P:$P,'Painel Additive'!#REF!,'Data Additive'!$Q:$Q,"&gt;180",'Data Additive'!$Q:$Q,"&lt;=360")</f>
        <v>0</v>
      </c>
      <c r="M124" s="23">
        <f>SUMIFS('Data Additive'!$D:$D,'Data Additive'!$P:$P,'Painel Additive'!#REF!,'Data Additive'!$Q:$Q,"&gt;360")</f>
        <v>0</v>
      </c>
      <c r="N124" s="19">
        <f>SUMIFS('Data Additive'!$D:$D,'Data Additive'!$P:$P,'Painel Additive'!#REF!,'Data Additive'!$Q:$Q,"&gt;0")</f>
        <v>0</v>
      </c>
      <c r="O124" s="19">
        <f t="shared" si="16"/>
        <v>0</v>
      </c>
      <c r="P124" s="19">
        <f>SUMIFS('Data Additive'!$D:$D,'Data Additive'!$P:$P,'Painel Additive'!#REF!,'Data Additive'!$Q:$Q,"&lt;=0",'Data Additive'!$Q:$Q,"&gt;=-30")</f>
        <v>0</v>
      </c>
      <c r="Q124" s="19">
        <f>SUMIFS('Data Additive'!$D:$D,'Data Additive'!$P:$P,'Painel Additive'!#REF!,'Data Additive'!$Q:$Q,"&lt;=-31",'Data Additive'!$Q:$Q,"&gt;=-60")</f>
        <v>0</v>
      </c>
      <c r="R124" s="19">
        <f>SUMIFS('Data Additive'!$D:$D,'Data Additive'!$P:$P,'Painel Additive'!#REF!,'Data Additive'!$Q:$Q,"&lt;=-61",'Data Additive'!$Q:$Q,"&gt;=-90")</f>
        <v>0</v>
      </c>
      <c r="S124" s="19">
        <f>SUMIFS('Data Additive'!$D:$D,'Data Additive'!$P:$P,'Painel Additive'!#REF!,'Data Additive'!$Q:$Q,"&lt;=-91",'Data Additive'!$Q:$Q,"&gt;=-120")</f>
        <v>0</v>
      </c>
      <c r="T124" s="19">
        <f>SUMIFS('Data Additive'!$D:$D,'Data Additive'!$P:$P,'Painel Additive'!#REF!,'Data Additive'!$Q:$Q,"&lt;=-121",'Data Additive'!$Q:$Q,"&gt;=-180")</f>
        <v>0</v>
      </c>
      <c r="U124" s="19">
        <f>SUMIFS('Data Additive'!$D:$D,'Data Additive'!$P:$P,'Painel Additive'!#REF!,'Data Additive'!$Q:$Q,"&lt;=-181",'Data Additive'!$Q:$Q,"&gt;=-360")</f>
        <v>0</v>
      </c>
      <c r="V124" s="23">
        <f>SUMIFS('Data Additive'!$D:$D,'Data Additive'!$P:$P,'Painel Additive'!#REF!,'Data Additive'!$Q:$Q,"&lt;-360")</f>
        <v>0</v>
      </c>
      <c r="W124" s="19" t="e">
        <f>SUMIFS('Bad Debt Provision'!#REF!,'Bad Debt Provision'!#REF!,'Painel Additive'!#REF!)</f>
        <v>#REF!</v>
      </c>
      <c r="X124" s="5"/>
      <c r="Y124" s="20"/>
      <c r="Z124" s="20"/>
      <c r="AA124" s="21"/>
      <c r="AB124" s="5"/>
      <c r="AC124" s="19"/>
      <c r="AD124" s="20"/>
      <c r="AE124" s="22"/>
      <c r="AF124" s="22"/>
      <c r="AG124" s="5"/>
      <c r="AH124" s="28">
        <f t="shared" si="17"/>
        <v>0</v>
      </c>
    </row>
    <row r="125" spans="2:35" x14ac:dyDescent="0.25">
      <c r="B125" s="17" t="s">
        <v>245</v>
      </c>
      <c r="C125" s="93" t="str" cm="1">
        <f t="array" ref="C125">IFERROR(INDEX('Limite de crédito'!$D:$D, MATCH(MAX(IF('Limite de crédito'!$C:$C=$B125, 'Limite de crédito'!$A:$A)), 'Limite de crédito'!$A:$A, 0)),"")</f>
        <v/>
      </c>
      <c r="D125" s="18" cm="1">
        <f t="array" ref="D125">IFERROR(INDEX('Limite de crédito'!$F:$F, MATCH(MAX(IF('Limite de crédito'!$C:$C=$B125, 'Limite de crédito'!$A:$A)), 'Limite de crédito'!$A:$A, 0)),0)</f>
        <v>0</v>
      </c>
      <c r="E125" s="18">
        <f t="shared" si="14"/>
        <v>0</v>
      </c>
      <c r="F125" s="18">
        <f t="shared" si="15"/>
        <v>0</v>
      </c>
      <c r="G125" s="19">
        <f>SUMIFS('Data Additive'!$D:$D,'Data Additive'!$P:$P,'Painel Additive'!#REF!,'Data Additive'!$Q:$Q,"&gt;0",'Data Additive'!$Q:$Q,"&lt;=30")</f>
        <v>0</v>
      </c>
      <c r="H125" s="19">
        <f>SUMIFS('Data Additive'!$D:$D,'Data Additive'!$P:$P,'Painel Additive'!#REF!,'Data Additive'!$Q:$Q,"&gt;30",'Data Additive'!$Q:$Q,"&lt;=60")</f>
        <v>0</v>
      </c>
      <c r="I125" s="19">
        <f>SUMIFS('Data Additive'!$D:$D,'Data Additive'!$P:$P,'Painel Additive'!#REF!,'Data Additive'!$Q:$Q,"&gt;60",'Data Additive'!$Q:$Q,"&lt;=90")</f>
        <v>0</v>
      </c>
      <c r="J125" s="19">
        <f>SUMIFS('Data Additive'!$D:$D,'Data Additive'!$P:$P,'Painel Additive'!#REF!,'Data Additive'!$Q:$Q,"&gt;90",'Data Additive'!$Q:$Q,"&lt;=120")</f>
        <v>0</v>
      </c>
      <c r="K125" s="19">
        <f>SUMIFS('Data Additive'!$D:$D,'Data Additive'!$P:$P,'Painel Additive'!#REF!,'Data Additive'!$Q:$Q,"&gt;120",'Data Additive'!$Q:$Q,"&lt;=180")</f>
        <v>0</v>
      </c>
      <c r="L125" s="19">
        <f>SUMIFS('Data Additive'!$D:$D,'Data Additive'!$P:$P,'Painel Additive'!#REF!,'Data Additive'!$Q:$Q,"&gt;180",'Data Additive'!$Q:$Q,"&lt;=360")</f>
        <v>0</v>
      </c>
      <c r="M125" s="23">
        <f>SUMIFS('Data Additive'!$D:$D,'Data Additive'!$P:$P,'Painel Additive'!#REF!,'Data Additive'!$Q:$Q,"&gt;360")</f>
        <v>0</v>
      </c>
      <c r="N125" s="19">
        <f>SUMIFS('Data Additive'!$D:$D,'Data Additive'!$P:$P,'Painel Additive'!#REF!,'Data Additive'!$Q:$Q,"&gt;0")</f>
        <v>0</v>
      </c>
      <c r="O125" s="19">
        <f t="shared" si="16"/>
        <v>0</v>
      </c>
      <c r="P125" s="19">
        <f>SUMIFS('Data Additive'!$D:$D,'Data Additive'!$P:$P,'Painel Additive'!#REF!,'Data Additive'!$Q:$Q,"&lt;=0",'Data Additive'!$Q:$Q,"&gt;=-30")</f>
        <v>0</v>
      </c>
      <c r="Q125" s="19">
        <f>SUMIFS('Data Additive'!$D:$D,'Data Additive'!$P:$P,'Painel Additive'!#REF!,'Data Additive'!$Q:$Q,"&lt;=-31",'Data Additive'!$Q:$Q,"&gt;=-60")</f>
        <v>0</v>
      </c>
      <c r="R125" s="19">
        <f>SUMIFS('Data Additive'!$D:$D,'Data Additive'!$P:$P,'Painel Additive'!#REF!,'Data Additive'!$Q:$Q,"&lt;=-61",'Data Additive'!$Q:$Q,"&gt;=-90")</f>
        <v>0</v>
      </c>
      <c r="S125" s="19">
        <f>SUMIFS('Data Additive'!$D:$D,'Data Additive'!$P:$P,'Painel Additive'!#REF!,'Data Additive'!$Q:$Q,"&lt;=-91",'Data Additive'!$Q:$Q,"&gt;=-120")</f>
        <v>0</v>
      </c>
      <c r="T125" s="19">
        <f>SUMIFS('Data Additive'!$D:$D,'Data Additive'!$P:$P,'Painel Additive'!#REF!,'Data Additive'!$Q:$Q,"&lt;=-121",'Data Additive'!$Q:$Q,"&gt;=-180")</f>
        <v>0</v>
      </c>
      <c r="U125" s="19">
        <f>SUMIFS('Data Additive'!$D:$D,'Data Additive'!$P:$P,'Painel Additive'!#REF!,'Data Additive'!$Q:$Q,"&lt;=-181",'Data Additive'!$Q:$Q,"&gt;=-360")</f>
        <v>0</v>
      </c>
      <c r="V125" s="23">
        <f>SUMIFS('Data Additive'!$D:$D,'Data Additive'!$P:$P,'Painel Additive'!#REF!,'Data Additive'!$Q:$Q,"&lt;-360")</f>
        <v>0</v>
      </c>
      <c r="W125" s="19" t="e">
        <f>SUMIFS('Bad Debt Provision'!#REF!,'Bad Debt Provision'!#REF!,'Painel Additive'!#REF!)</f>
        <v>#REF!</v>
      </c>
      <c r="X125" s="5"/>
      <c r="Y125" s="20"/>
      <c r="Z125" s="20"/>
      <c r="AA125" s="21"/>
      <c r="AB125" s="5"/>
      <c r="AC125" s="19"/>
      <c r="AD125" s="20"/>
      <c r="AE125" s="22"/>
      <c r="AF125" s="22"/>
      <c r="AG125" s="5"/>
      <c r="AH125" s="28">
        <f t="shared" si="17"/>
        <v>0</v>
      </c>
    </row>
    <row r="126" spans="2:35" x14ac:dyDescent="0.25">
      <c r="B126" s="17" t="s">
        <v>246</v>
      </c>
      <c r="C126" s="93" t="str" cm="1">
        <f t="array" ref="C126">IFERROR(INDEX('Limite de crédito'!$D:$D, MATCH(MAX(IF('Limite de crédito'!$C:$C=$B126, 'Limite de crédito'!$A:$A)), 'Limite de crédito'!$A:$A, 0)),"")</f>
        <v/>
      </c>
      <c r="D126" s="18" cm="1">
        <f t="array" ref="D126">IFERROR(INDEX('Limite de crédito'!$F:$F, MATCH(MAX(IF('Limite de crédito'!$C:$C=$B126, 'Limite de crédito'!$A:$A)), 'Limite de crédito'!$A:$A, 0)),0)</f>
        <v>0</v>
      </c>
      <c r="E126" s="18">
        <f t="shared" si="14"/>
        <v>0</v>
      </c>
      <c r="F126" s="18">
        <f t="shared" si="15"/>
        <v>0</v>
      </c>
      <c r="G126" s="19">
        <f>SUMIFS('Data Additive'!$D:$D,'Data Additive'!$P:$P,'Painel Additive'!#REF!,'Data Additive'!$Q:$Q,"&gt;0",'Data Additive'!$Q:$Q,"&lt;=30")</f>
        <v>0</v>
      </c>
      <c r="H126" s="19">
        <f>SUMIFS('Data Additive'!$D:$D,'Data Additive'!$P:$P,'Painel Additive'!#REF!,'Data Additive'!$Q:$Q,"&gt;30",'Data Additive'!$Q:$Q,"&lt;=60")</f>
        <v>0</v>
      </c>
      <c r="I126" s="19">
        <f>SUMIFS('Data Additive'!$D:$D,'Data Additive'!$P:$P,'Painel Additive'!#REF!,'Data Additive'!$Q:$Q,"&gt;60",'Data Additive'!$Q:$Q,"&lt;=90")</f>
        <v>0</v>
      </c>
      <c r="J126" s="19">
        <f>SUMIFS('Data Additive'!$D:$D,'Data Additive'!$P:$P,'Painel Additive'!#REF!,'Data Additive'!$Q:$Q,"&gt;90",'Data Additive'!$Q:$Q,"&lt;=120")</f>
        <v>0</v>
      </c>
      <c r="K126" s="19">
        <f>SUMIFS('Data Additive'!$D:$D,'Data Additive'!$P:$P,'Painel Additive'!#REF!,'Data Additive'!$Q:$Q,"&gt;120",'Data Additive'!$Q:$Q,"&lt;=180")</f>
        <v>0</v>
      </c>
      <c r="L126" s="19">
        <f>SUMIFS('Data Additive'!$D:$D,'Data Additive'!$P:$P,'Painel Additive'!#REF!,'Data Additive'!$Q:$Q,"&gt;180",'Data Additive'!$Q:$Q,"&lt;=360")</f>
        <v>0</v>
      </c>
      <c r="M126" s="23">
        <f>SUMIFS('Data Additive'!$D:$D,'Data Additive'!$P:$P,'Painel Additive'!#REF!,'Data Additive'!$Q:$Q,"&gt;360")</f>
        <v>0</v>
      </c>
      <c r="N126" s="19">
        <f>SUMIFS('Data Additive'!$D:$D,'Data Additive'!$P:$P,'Painel Additive'!#REF!,'Data Additive'!$Q:$Q,"&gt;0")</f>
        <v>0</v>
      </c>
      <c r="O126" s="19">
        <f t="shared" si="16"/>
        <v>0</v>
      </c>
      <c r="P126" s="19">
        <f>SUMIFS('Data Additive'!$D:$D,'Data Additive'!$P:$P,'Painel Additive'!#REF!,'Data Additive'!$Q:$Q,"&lt;=0",'Data Additive'!$Q:$Q,"&gt;=-30")</f>
        <v>0</v>
      </c>
      <c r="Q126" s="19">
        <f>SUMIFS('Data Additive'!$D:$D,'Data Additive'!$P:$P,'Painel Additive'!#REF!,'Data Additive'!$Q:$Q,"&lt;=-31",'Data Additive'!$Q:$Q,"&gt;=-60")</f>
        <v>0</v>
      </c>
      <c r="R126" s="19">
        <f>SUMIFS('Data Additive'!$D:$D,'Data Additive'!$P:$P,'Painel Additive'!#REF!,'Data Additive'!$Q:$Q,"&lt;=-61",'Data Additive'!$Q:$Q,"&gt;=-90")</f>
        <v>0</v>
      </c>
      <c r="S126" s="19">
        <f>SUMIFS('Data Additive'!$D:$D,'Data Additive'!$P:$P,'Painel Additive'!#REF!,'Data Additive'!$Q:$Q,"&lt;=-91",'Data Additive'!$Q:$Q,"&gt;=-120")</f>
        <v>0</v>
      </c>
      <c r="T126" s="19">
        <f>SUMIFS('Data Additive'!$D:$D,'Data Additive'!$P:$P,'Painel Additive'!#REF!,'Data Additive'!$Q:$Q,"&lt;=-121",'Data Additive'!$Q:$Q,"&gt;=-180")</f>
        <v>0</v>
      </c>
      <c r="U126" s="19">
        <f>SUMIFS('Data Additive'!$D:$D,'Data Additive'!$P:$P,'Painel Additive'!#REF!,'Data Additive'!$Q:$Q,"&lt;=-181",'Data Additive'!$Q:$Q,"&gt;=-360")</f>
        <v>0</v>
      </c>
      <c r="V126" s="23">
        <f>SUMIFS('Data Additive'!$D:$D,'Data Additive'!$P:$P,'Painel Additive'!#REF!,'Data Additive'!$Q:$Q,"&lt;-360")</f>
        <v>0</v>
      </c>
      <c r="W126" s="19" t="e">
        <f>SUMIFS('Bad Debt Provision'!#REF!,'Bad Debt Provision'!#REF!,'Painel Additive'!#REF!)</f>
        <v>#REF!</v>
      </c>
      <c r="X126" s="5"/>
      <c r="Y126" s="20"/>
      <c r="Z126" s="20"/>
      <c r="AA126" s="21"/>
      <c r="AB126" s="5"/>
      <c r="AC126" s="19"/>
      <c r="AD126" s="20"/>
      <c r="AE126" s="22"/>
      <c r="AF126" s="22"/>
      <c r="AG126" s="5"/>
      <c r="AH126" s="28">
        <f t="shared" si="17"/>
        <v>0</v>
      </c>
    </row>
    <row r="127" spans="2:35" x14ac:dyDescent="0.25">
      <c r="B127" s="17" t="s">
        <v>247</v>
      </c>
      <c r="C127" s="93" t="str" cm="1">
        <f t="array" ref="C127">IFERROR(INDEX('Limite de crédito'!$D:$D, MATCH(MAX(IF('Limite de crédito'!$C:$C=$B127, 'Limite de crédito'!$A:$A)), 'Limite de crédito'!$A:$A, 0)),"")</f>
        <v/>
      </c>
      <c r="D127" s="18" cm="1">
        <f t="array" ref="D127">IFERROR(INDEX('Limite de crédito'!$F:$F, MATCH(MAX(IF('Limite de crédito'!$C:$C=$B127, 'Limite de crédito'!$A:$A)), 'Limite de crédito'!$A:$A, 0)),0)</f>
        <v>0</v>
      </c>
      <c r="E127" s="18">
        <f t="shared" si="14"/>
        <v>0</v>
      </c>
      <c r="F127" s="18">
        <f t="shared" si="15"/>
        <v>0</v>
      </c>
      <c r="G127" s="19">
        <f>SUMIFS('Data Additive'!$D:$D,'Data Additive'!$P:$P,'Painel Additive'!#REF!,'Data Additive'!$Q:$Q,"&gt;0",'Data Additive'!$Q:$Q,"&lt;=30")</f>
        <v>0</v>
      </c>
      <c r="H127" s="19">
        <f>SUMIFS('Data Additive'!$D:$D,'Data Additive'!$P:$P,'Painel Additive'!#REF!,'Data Additive'!$Q:$Q,"&gt;30",'Data Additive'!$Q:$Q,"&lt;=60")</f>
        <v>0</v>
      </c>
      <c r="I127" s="19">
        <f>SUMIFS('Data Additive'!$D:$D,'Data Additive'!$P:$P,'Painel Additive'!#REF!,'Data Additive'!$Q:$Q,"&gt;60",'Data Additive'!$Q:$Q,"&lt;=90")</f>
        <v>0</v>
      </c>
      <c r="J127" s="19">
        <f>SUMIFS('Data Additive'!$D:$D,'Data Additive'!$P:$P,'Painel Additive'!#REF!,'Data Additive'!$Q:$Q,"&gt;90",'Data Additive'!$Q:$Q,"&lt;=120")</f>
        <v>0</v>
      </c>
      <c r="K127" s="19">
        <f>SUMIFS('Data Additive'!$D:$D,'Data Additive'!$P:$P,'Painel Additive'!#REF!,'Data Additive'!$Q:$Q,"&gt;120",'Data Additive'!$Q:$Q,"&lt;=180")</f>
        <v>0</v>
      </c>
      <c r="L127" s="19">
        <f>SUMIFS('Data Additive'!$D:$D,'Data Additive'!$P:$P,'Painel Additive'!#REF!,'Data Additive'!$Q:$Q,"&gt;180",'Data Additive'!$Q:$Q,"&lt;=360")</f>
        <v>0</v>
      </c>
      <c r="M127" s="23">
        <f>SUMIFS('Data Additive'!$D:$D,'Data Additive'!$P:$P,'Painel Additive'!#REF!,'Data Additive'!$Q:$Q,"&gt;360")</f>
        <v>0</v>
      </c>
      <c r="N127" s="19">
        <f>SUMIFS('Data Additive'!$D:$D,'Data Additive'!$P:$P,'Painel Additive'!#REF!,'Data Additive'!$Q:$Q,"&gt;0")</f>
        <v>0</v>
      </c>
      <c r="O127" s="19">
        <f t="shared" si="16"/>
        <v>0</v>
      </c>
      <c r="P127" s="19">
        <f>SUMIFS('Data Additive'!$D:$D,'Data Additive'!$P:$P,'Painel Additive'!#REF!,'Data Additive'!$Q:$Q,"&lt;=0",'Data Additive'!$Q:$Q,"&gt;=-30")</f>
        <v>0</v>
      </c>
      <c r="Q127" s="19">
        <f>SUMIFS('Data Additive'!$D:$D,'Data Additive'!$P:$P,'Painel Additive'!#REF!,'Data Additive'!$Q:$Q,"&lt;=-31",'Data Additive'!$Q:$Q,"&gt;=-60")</f>
        <v>0</v>
      </c>
      <c r="R127" s="19">
        <f>SUMIFS('Data Additive'!$D:$D,'Data Additive'!$P:$P,'Painel Additive'!#REF!,'Data Additive'!$Q:$Q,"&lt;=-61",'Data Additive'!$Q:$Q,"&gt;=-90")</f>
        <v>0</v>
      </c>
      <c r="S127" s="19">
        <f>SUMIFS('Data Additive'!$D:$D,'Data Additive'!$P:$P,'Painel Additive'!#REF!,'Data Additive'!$Q:$Q,"&lt;=-91",'Data Additive'!$Q:$Q,"&gt;=-120")</f>
        <v>0</v>
      </c>
      <c r="T127" s="19">
        <f>SUMIFS('Data Additive'!$D:$D,'Data Additive'!$P:$P,'Painel Additive'!#REF!,'Data Additive'!$Q:$Q,"&lt;=-121",'Data Additive'!$Q:$Q,"&gt;=-180")</f>
        <v>0</v>
      </c>
      <c r="U127" s="19">
        <f>SUMIFS('Data Additive'!$D:$D,'Data Additive'!$P:$P,'Painel Additive'!#REF!,'Data Additive'!$Q:$Q,"&lt;=-181",'Data Additive'!$Q:$Q,"&gt;=-360")</f>
        <v>0</v>
      </c>
      <c r="V127" s="23">
        <f>SUMIFS('Data Additive'!$D:$D,'Data Additive'!$P:$P,'Painel Additive'!#REF!,'Data Additive'!$Q:$Q,"&lt;-360")</f>
        <v>0</v>
      </c>
      <c r="W127" s="19" t="e">
        <f>SUMIFS('Bad Debt Provision'!#REF!,'Bad Debt Provision'!#REF!,'Painel Additive'!#REF!)</f>
        <v>#REF!</v>
      </c>
      <c r="X127" s="5"/>
      <c r="Y127" s="20"/>
      <c r="Z127" s="20"/>
      <c r="AA127" s="21"/>
      <c r="AB127" s="5"/>
      <c r="AC127" s="19"/>
      <c r="AD127" s="20"/>
      <c r="AE127" s="22"/>
      <c r="AF127" s="22"/>
      <c r="AG127" s="5"/>
      <c r="AH127" s="28">
        <f t="shared" si="17"/>
        <v>0</v>
      </c>
    </row>
    <row r="128" spans="2:35" x14ac:dyDescent="0.25">
      <c r="B128" s="17" t="s">
        <v>249</v>
      </c>
      <c r="C128" s="93" t="str" cm="1">
        <f t="array" ref="C128">IFERROR(INDEX('Limite de crédito'!$D:$D, MATCH(MAX(IF('Limite de crédito'!$C:$C=$B128, 'Limite de crédito'!$A:$A)), 'Limite de crédito'!$A:$A, 0)),"")</f>
        <v/>
      </c>
      <c r="D128" s="18" cm="1">
        <f t="array" ref="D128">IFERROR(INDEX('Limite de crédito'!$F:$F, MATCH(MAX(IF('Limite de crédito'!$C:$C=$B128, 'Limite de crédito'!$A:$A)), 'Limite de crédito'!$A:$A, 0)),0)</f>
        <v>0</v>
      </c>
      <c r="E128" s="18">
        <f t="shared" si="14"/>
        <v>0</v>
      </c>
      <c r="F128" s="18">
        <f t="shared" si="15"/>
        <v>0</v>
      </c>
      <c r="G128" s="19">
        <f>SUMIFS('Data Additive'!$D:$D,'Data Additive'!$P:$P,'Painel Additive'!#REF!,'Data Additive'!$Q:$Q,"&gt;0",'Data Additive'!$Q:$Q,"&lt;=30")</f>
        <v>0</v>
      </c>
      <c r="H128" s="19">
        <f>SUMIFS('Data Additive'!$D:$D,'Data Additive'!$P:$P,'Painel Additive'!#REF!,'Data Additive'!$Q:$Q,"&gt;30",'Data Additive'!$Q:$Q,"&lt;=60")</f>
        <v>0</v>
      </c>
      <c r="I128" s="19">
        <f>SUMIFS('Data Additive'!$D:$D,'Data Additive'!$P:$P,'Painel Additive'!#REF!,'Data Additive'!$Q:$Q,"&gt;60",'Data Additive'!$Q:$Q,"&lt;=90")</f>
        <v>0</v>
      </c>
      <c r="J128" s="19">
        <f>SUMIFS('Data Additive'!$D:$D,'Data Additive'!$P:$P,'Painel Additive'!#REF!,'Data Additive'!$Q:$Q,"&gt;90",'Data Additive'!$Q:$Q,"&lt;=120")</f>
        <v>0</v>
      </c>
      <c r="K128" s="19">
        <f>SUMIFS('Data Additive'!$D:$D,'Data Additive'!$P:$P,'Painel Additive'!#REF!,'Data Additive'!$Q:$Q,"&gt;120",'Data Additive'!$Q:$Q,"&lt;=180")</f>
        <v>0</v>
      </c>
      <c r="L128" s="19">
        <f>SUMIFS('Data Additive'!$D:$D,'Data Additive'!$P:$P,'Painel Additive'!#REF!,'Data Additive'!$Q:$Q,"&gt;180",'Data Additive'!$Q:$Q,"&lt;=360")</f>
        <v>0</v>
      </c>
      <c r="M128" s="23">
        <f>SUMIFS('Data Additive'!$D:$D,'Data Additive'!$P:$P,'Painel Additive'!#REF!,'Data Additive'!$Q:$Q,"&gt;360")</f>
        <v>0</v>
      </c>
      <c r="N128" s="19">
        <f>SUMIFS('Data Additive'!$D:$D,'Data Additive'!$P:$P,'Painel Additive'!#REF!,'Data Additive'!$Q:$Q,"&gt;0")</f>
        <v>0</v>
      </c>
      <c r="O128" s="19">
        <f t="shared" si="16"/>
        <v>0</v>
      </c>
      <c r="P128" s="19">
        <f>SUMIFS('Data Additive'!$D:$D,'Data Additive'!$P:$P,'Painel Additive'!#REF!,'Data Additive'!$Q:$Q,"&lt;=0",'Data Additive'!$Q:$Q,"&gt;=-30")</f>
        <v>0</v>
      </c>
      <c r="Q128" s="19">
        <f>SUMIFS('Data Additive'!$D:$D,'Data Additive'!$P:$P,'Painel Additive'!#REF!,'Data Additive'!$Q:$Q,"&lt;=-31",'Data Additive'!$Q:$Q,"&gt;=-60")</f>
        <v>0</v>
      </c>
      <c r="R128" s="19">
        <f>SUMIFS('Data Additive'!$D:$D,'Data Additive'!$P:$P,'Painel Additive'!#REF!,'Data Additive'!$Q:$Q,"&lt;=-61",'Data Additive'!$Q:$Q,"&gt;=-90")</f>
        <v>0</v>
      </c>
      <c r="S128" s="19">
        <f>SUMIFS('Data Additive'!$D:$D,'Data Additive'!$P:$P,'Painel Additive'!#REF!,'Data Additive'!$Q:$Q,"&lt;=-91",'Data Additive'!$Q:$Q,"&gt;=-120")</f>
        <v>0</v>
      </c>
      <c r="T128" s="19">
        <f>SUMIFS('Data Additive'!$D:$D,'Data Additive'!$P:$P,'Painel Additive'!#REF!,'Data Additive'!$Q:$Q,"&lt;=-121",'Data Additive'!$Q:$Q,"&gt;=-180")</f>
        <v>0</v>
      </c>
      <c r="U128" s="19">
        <f>SUMIFS('Data Additive'!$D:$D,'Data Additive'!$P:$P,'Painel Additive'!#REF!,'Data Additive'!$Q:$Q,"&lt;=-181",'Data Additive'!$Q:$Q,"&gt;=-360")</f>
        <v>0</v>
      </c>
      <c r="V128" s="23">
        <f>SUMIFS('Data Additive'!$D:$D,'Data Additive'!$P:$P,'Painel Additive'!#REF!,'Data Additive'!$Q:$Q,"&lt;-360")</f>
        <v>0</v>
      </c>
      <c r="W128" s="19" t="e">
        <f>SUMIFS('Bad Debt Provision'!#REF!,'Bad Debt Provision'!#REF!,'Painel Additive'!#REF!)</f>
        <v>#REF!</v>
      </c>
      <c r="X128" s="5"/>
      <c r="Y128" s="20"/>
      <c r="Z128" s="20"/>
      <c r="AA128" s="21"/>
      <c r="AB128" s="5"/>
      <c r="AC128" s="19"/>
      <c r="AD128" s="20"/>
      <c r="AE128" s="22"/>
      <c r="AF128" s="22"/>
      <c r="AG128" s="5"/>
      <c r="AH128" s="28">
        <f t="shared" si="17"/>
        <v>0</v>
      </c>
    </row>
    <row r="129" spans="2:34" x14ac:dyDescent="0.25">
      <c r="B129" s="17" t="s">
        <v>250</v>
      </c>
      <c r="C129" s="93" t="str" cm="1">
        <f t="array" ref="C129">IFERROR(INDEX('Limite de crédito'!$D:$D, MATCH(MAX(IF('Limite de crédito'!$C:$C=$B129, 'Limite de crédito'!$A:$A)), 'Limite de crédito'!$A:$A, 0)),"")</f>
        <v/>
      </c>
      <c r="D129" s="18" cm="1">
        <f t="array" ref="D129">IFERROR(INDEX('Limite de crédito'!$F:$F, MATCH(MAX(IF('Limite de crédito'!$C:$C=$B129, 'Limite de crédito'!$A:$A)), 'Limite de crédito'!$A:$A, 0)),0)</f>
        <v>0</v>
      </c>
      <c r="E129" s="18">
        <f t="shared" si="14"/>
        <v>0</v>
      </c>
      <c r="F129" s="18">
        <f t="shared" si="15"/>
        <v>0</v>
      </c>
      <c r="G129" s="19">
        <f>SUMIFS('Data Additive'!$D:$D,'Data Additive'!$P:$P,'Painel Additive'!#REF!,'Data Additive'!$Q:$Q,"&gt;0",'Data Additive'!$Q:$Q,"&lt;=30")</f>
        <v>0</v>
      </c>
      <c r="H129" s="19">
        <f>SUMIFS('Data Additive'!$D:$D,'Data Additive'!$P:$P,'Painel Additive'!#REF!,'Data Additive'!$Q:$Q,"&gt;30",'Data Additive'!$Q:$Q,"&lt;=60")</f>
        <v>0</v>
      </c>
      <c r="I129" s="19">
        <f>SUMIFS('Data Additive'!$D:$D,'Data Additive'!$P:$P,'Painel Additive'!#REF!,'Data Additive'!$Q:$Q,"&gt;60",'Data Additive'!$Q:$Q,"&lt;=90")</f>
        <v>0</v>
      </c>
      <c r="J129" s="19">
        <f>SUMIFS('Data Additive'!$D:$D,'Data Additive'!$P:$P,'Painel Additive'!#REF!,'Data Additive'!$Q:$Q,"&gt;90",'Data Additive'!$Q:$Q,"&lt;=120")</f>
        <v>0</v>
      </c>
      <c r="K129" s="19">
        <f>SUMIFS('Data Additive'!$D:$D,'Data Additive'!$P:$P,'Painel Additive'!#REF!,'Data Additive'!$Q:$Q,"&gt;120",'Data Additive'!$Q:$Q,"&lt;=180")</f>
        <v>0</v>
      </c>
      <c r="L129" s="19">
        <f>SUMIFS('Data Additive'!$D:$D,'Data Additive'!$P:$P,'Painel Additive'!#REF!,'Data Additive'!$Q:$Q,"&gt;180",'Data Additive'!$Q:$Q,"&lt;=360")</f>
        <v>0</v>
      </c>
      <c r="M129" s="23">
        <f>SUMIFS('Data Additive'!$D:$D,'Data Additive'!$P:$P,'Painel Additive'!#REF!,'Data Additive'!$Q:$Q,"&gt;360")</f>
        <v>0</v>
      </c>
      <c r="N129" s="19">
        <f>SUMIFS('Data Additive'!$D:$D,'Data Additive'!$P:$P,'Painel Additive'!#REF!,'Data Additive'!$Q:$Q,"&gt;0")</f>
        <v>0</v>
      </c>
      <c r="O129" s="19">
        <f t="shared" si="16"/>
        <v>0</v>
      </c>
      <c r="P129" s="19">
        <f>SUMIFS('Data Additive'!$D:$D,'Data Additive'!$P:$P,'Painel Additive'!#REF!,'Data Additive'!$Q:$Q,"&lt;=0",'Data Additive'!$Q:$Q,"&gt;=-30")</f>
        <v>0</v>
      </c>
      <c r="Q129" s="19">
        <f>SUMIFS('Data Additive'!$D:$D,'Data Additive'!$P:$P,'Painel Additive'!#REF!,'Data Additive'!$Q:$Q,"&lt;=-31",'Data Additive'!$Q:$Q,"&gt;=-60")</f>
        <v>0</v>
      </c>
      <c r="R129" s="19">
        <f>SUMIFS('Data Additive'!$D:$D,'Data Additive'!$P:$P,'Painel Additive'!#REF!,'Data Additive'!$Q:$Q,"&lt;=-61",'Data Additive'!$Q:$Q,"&gt;=-90")</f>
        <v>0</v>
      </c>
      <c r="S129" s="19">
        <f>SUMIFS('Data Additive'!$D:$D,'Data Additive'!$P:$P,'Painel Additive'!#REF!,'Data Additive'!$Q:$Q,"&lt;=-91",'Data Additive'!$Q:$Q,"&gt;=-120")</f>
        <v>0</v>
      </c>
      <c r="T129" s="19">
        <f>SUMIFS('Data Additive'!$D:$D,'Data Additive'!$P:$P,'Painel Additive'!#REF!,'Data Additive'!$Q:$Q,"&lt;=-121",'Data Additive'!$Q:$Q,"&gt;=-180")</f>
        <v>0</v>
      </c>
      <c r="U129" s="19">
        <f>SUMIFS('Data Additive'!$D:$D,'Data Additive'!$P:$P,'Painel Additive'!#REF!,'Data Additive'!$Q:$Q,"&lt;=-181",'Data Additive'!$Q:$Q,"&gt;=-360")</f>
        <v>0</v>
      </c>
      <c r="V129" s="23">
        <f>SUMIFS('Data Additive'!$D:$D,'Data Additive'!$P:$P,'Painel Additive'!#REF!,'Data Additive'!$Q:$Q,"&lt;-360")</f>
        <v>0</v>
      </c>
      <c r="W129" s="19" t="e">
        <f>SUMIFS('Bad Debt Provision'!#REF!,'Bad Debt Provision'!#REF!,'Painel Additive'!#REF!)</f>
        <v>#REF!</v>
      </c>
      <c r="X129" s="5"/>
      <c r="Y129" s="20"/>
      <c r="Z129" s="20"/>
      <c r="AA129" s="21"/>
      <c r="AB129" s="5"/>
      <c r="AC129" s="19"/>
      <c r="AD129" s="20"/>
      <c r="AE129" s="22"/>
      <c r="AF129" s="22"/>
      <c r="AG129" s="5"/>
      <c r="AH129" s="28">
        <f t="shared" si="17"/>
        <v>0</v>
      </c>
    </row>
    <row r="130" spans="2:34" x14ac:dyDescent="0.25">
      <c r="B130" s="17" t="s">
        <v>251</v>
      </c>
      <c r="C130" s="93" t="str" cm="1">
        <f t="array" ref="C130">IFERROR(INDEX('Limite de crédito'!$D:$D, MATCH(MAX(IF('Limite de crédito'!$C:$C=$B130, 'Limite de crédito'!$A:$A)), 'Limite de crédito'!$A:$A, 0)),"")</f>
        <v/>
      </c>
      <c r="D130" s="18" cm="1">
        <f t="array" ref="D130">IFERROR(INDEX('Limite de crédito'!$F:$F, MATCH(MAX(IF('Limite de crédito'!$C:$C=$B130, 'Limite de crédito'!$A:$A)), 'Limite de crédito'!$A:$A, 0)),0)</f>
        <v>0</v>
      </c>
      <c r="E130" s="18">
        <f t="shared" si="14"/>
        <v>0</v>
      </c>
      <c r="F130" s="18">
        <f t="shared" si="15"/>
        <v>0</v>
      </c>
      <c r="G130" s="19">
        <f>SUMIFS('Data Additive'!$D:$D,'Data Additive'!$P:$P,'Painel Additive'!#REF!,'Data Additive'!$Q:$Q,"&gt;0",'Data Additive'!$Q:$Q,"&lt;=30")</f>
        <v>0</v>
      </c>
      <c r="H130" s="19">
        <f>SUMIFS('Data Additive'!$D:$D,'Data Additive'!$P:$P,'Painel Additive'!#REF!,'Data Additive'!$Q:$Q,"&gt;30",'Data Additive'!$Q:$Q,"&lt;=60")</f>
        <v>0</v>
      </c>
      <c r="I130" s="19">
        <f>SUMIFS('Data Additive'!$D:$D,'Data Additive'!$P:$P,'Painel Additive'!#REF!,'Data Additive'!$Q:$Q,"&gt;60",'Data Additive'!$Q:$Q,"&lt;=90")</f>
        <v>0</v>
      </c>
      <c r="J130" s="19">
        <f>SUMIFS('Data Additive'!$D:$D,'Data Additive'!$P:$P,'Painel Additive'!#REF!,'Data Additive'!$Q:$Q,"&gt;90",'Data Additive'!$Q:$Q,"&lt;=120")</f>
        <v>0</v>
      </c>
      <c r="K130" s="19">
        <f>SUMIFS('Data Additive'!$D:$D,'Data Additive'!$P:$P,'Painel Additive'!#REF!,'Data Additive'!$Q:$Q,"&gt;120",'Data Additive'!$Q:$Q,"&lt;=180")</f>
        <v>0</v>
      </c>
      <c r="L130" s="19">
        <f>SUMIFS('Data Additive'!$D:$D,'Data Additive'!$P:$P,'Painel Additive'!#REF!,'Data Additive'!$Q:$Q,"&gt;180",'Data Additive'!$Q:$Q,"&lt;=360")</f>
        <v>0</v>
      </c>
      <c r="M130" s="23">
        <f>SUMIFS('Data Additive'!$D:$D,'Data Additive'!$P:$P,'Painel Additive'!#REF!,'Data Additive'!$Q:$Q,"&gt;360")</f>
        <v>0</v>
      </c>
      <c r="N130" s="19">
        <f>SUMIFS('Data Additive'!$D:$D,'Data Additive'!$P:$P,'Painel Additive'!#REF!,'Data Additive'!$Q:$Q,"&gt;0")</f>
        <v>0</v>
      </c>
      <c r="O130" s="19">
        <f t="shared" si="16"/>
        <v>0</v>
      </c>
      <c r="P130" s="19">
        <f>SUMIFS('Data Additive'!$D:$D,'Data Additive'!$P:$P,'Painel Additive'!#REF!,'Data Additive'!$Q:$Q,"&lt;=0",'Data Additive'!$Q:$Q,"&gt;=-30")</f>
        <v>0</v>
      </c>
      <c r="Q130" s="19">
        <f>SUMIFS('Data Additive'!$D:$D,'Data Additive'!$P:$P,'Painel Additive'!#REF!,'Data Additive'!$Q:$Q,"&lt;=-31",'Data Additive'!$Q:$Q,"&gt;=-60")</f>
        <v>0</v>
      </c>
      <c r="R130" s="19">
        <f>SUMIFS('Data Additive'!$D:$D,'Data Additive'!$P:$P,'Painel Additive'!#REF!,'Data Additive'!$Q:$Q,"&lt;=-61",'Data Additive'!$Q:$Q,"&gt;=-90")</f>
        <v>0</v>
      </c>
      <c r="S130" s="19">
        <f>SUMIFS('Data Additive'!$D:$D,'Data Additive'!$P:$P,'Painel Additive'!#REF!,'Data Additive'!$Q:$Q,"&lt;=-91",'Data Additive'!$Q:$Q,"&gt;=-120")</f>
        <v>0</v>
      </c>
      <c r="T130" s="19">
        <f>SUMIFS('Data Additive'!$D:$D,'Data Additive'!$P:$P,'Painel Additive'!#REF!,'Data Additive'!$Q:$Q,"&lt;=-121",'Data Additive'!$Q:$Q,"&gt;=-180")</f>
        <v>0</v>
      </c>
      <c r="U130" s="19">
        <f>SUMIFS('Data Additive'!$D:$D,'Data Additive'!$P:$P,'Painel Additive'!#REF!,'Data Additive'!$Q:$Q,"&lt;=-181",'Data Additive'!$Q:$Q,"&gt;=-360")</f>
        <v>0</v>
      </c>
      <c r="V130" s="23">
        <f>SUMIFS('Data Additive'!$D:$D,'Data Additive'!$P:$P,'Painel Additive'!#REF!,'Data Additive'!$Q:$Q,"&lt;-360")</f>
        <v>0</v>
      </c>
      <c r="W130" s="19" t="e">
        <f>SUMIFS('Bad Debt Provision'!#REF!,'Bad Debt Provision'!#REF!,'Painel Additive'!#REF!)</f>
        <v>#REF!</v>
      </c>
      <c r="X130" s="5"/>
      <c r="Y130" s="20"/>
      <c r="Z130" s="20"/>
      <c r="AA130" s="21"/>
      <c r="AB130" s="5"/>
      <c r="AC130" s="19"/>
      <c r="AD130" s="20"/>
      <c r="AE130" s="22"/>
      <c r="AF130" s="22"/>
      <c r="AG130" s="5"/>
      <c r="AH130" s="28">
        <f t="shared" si="17"/>
        <v>0</v>
      </c>
    </row>
    <row r="131" spans="2:34" x14ac:dyDescent="0.25">
      <c r="B131" s="17" t="s">
        <v>252</v>
      </c>
      <c r="C131" s="93" t="str" cm="1">
        <f t="array" ref="C131">IFERROR(INDEX('Limite de crédito'!$D:$D, MATCH(MAX(IF('Limite de crédito'!$C:$C=$B131, 'Limite de crédito'!$A:$A)), 'Limite de crédito'!$A:$A, 0)),"")</f>
        <v/>
      </c>
      <c r="D131" s="18" cm="1">
        <f t="array" ref="D131">IFERROR(INDEX('Limite de crédito'!$F:$F, MATCH(MAX(IF('Limite de crédito'!$C:$C=$B131, 'Limite de crédito'!$A:$A)), 'Limite de crédito'!$A:$A, 0)),0)</f>
        <v>0</v>
      </c>
      <c r="E131" s="18">
        <f t="shared" si="14"/>
        <v>0</v>
      </c>
      <c r="F131" s="18">
        <f t="shared" si="15"/>
        <v>0</v>
      </c>
      <c r="G131" s="19">
        <f>SUMIFS('Data Additive'!$D:$D,'Data Additive'!$P:$P,'Painel Additive'!#REF!,'Data Additive'!$Q:$Q,"&gt;0",'Data Additive'!$Q:$Q,"&lt;=30")</f>
        <v>0</v>
      </c>
      <c r="H131" s="19">
        <f>SUMIFS('Data Additive'!$D:$D,'Data Additive'!$P:$P,'Painel Additive'!#REF!,'Data Additive'!$Q:$Q,"&gt;30",'Data Additive'!$Q:$Q,"&lt;=60")</f>
        <v>0</v>
      </c>
      <c r="I131" s="19">
        <f>SUMIFS('Data Additive'!$D:$D,'Data Additive'!$P:$P,'Painel Additive'!#REF!,'Data Additive'!$Q:$Q,"&gt;60",'Data Additive'!$Q:$Q,"&lt;=90")</f>
        <v>0</v>
      </c>
      <c r="J131" s="19">
        <f>SUMIFS('Data Additive'!$D:$D,'Data Additive'!$P:$P,'Painel Additive'!#REF!,'Data Additive'!$Q:$Q,"&gt;90",'Data Additive'!$Q:$Q,"&lt;=120")</f>
        <v>0</v>
      </c>
      <c r="K131" s="19">
        <f>SUMIFS('Data Additive'!$D:$D,'Data Additive'!$P:$P,'Painel Additive'!#REF!,'Data Additive'!$Q:$Q,"&gt;120",'Data Additive'!$Q:$Q,"&lt;=180")</f>
        <v>0</v>
      </c>
      <c r="L131" s="19">
        <f>SUMIFS('Data Additive'!$D:$D,'Data Additive'!$P:$P,'Painel Additive'!#REF!,'Data Additive'!$Q:$Q,"&gt;180",'Data Additive'!$Q:$Q,"&lt;=360")</f>
        <v>0</v>
      </c>
      <c r="M131" s="23">
        <f>SUMIFS('Data Additive'!$D:$D,'Data Additive'!$P:$P,'Painel Additive'!#REF!,'Data Additive'!$Q:$Q,"&gt;360")</f>
        <v>0</v>
      </c>
      <c r="N131" s="19">
        <f>SUMIFS('Data Additive'!$D:$D,'Data Additive'!$P:$P,'Painel Additive'!#REF!,'Data Additive'!$Q:$Q,"&gt;0")</f>
        <v>0</v>
      </c>
      <c r="O131" s="19">
        <f t="shared" si="16"/>
        <v>0</v>
      </c>
      <c r="P131" s="19">
        <f>SUMIFS('Data Additive'!$D:$D,'Data Additive'!$P:$P,'Painel Additive'!#REF!,'Data Additive'!$Q:$Q,"&lt;=0",'Data Additive'!$Q:$Q,"&gt;=-30")</f>
        <v>0</v>
      </c>
      <c r="Q131" s="19">
        <f>SUMIFS('Data Additive'!$D:$D,'Data Additive'!$P:$P,'Painel Additive'!#REF!,'Data Additive'!$Q:$Q,"&lt;=-31",'Data Additive'!$Q:$Q,"&gt;=-60")</f>
        <v>0</v>
      </c>
      <c r="R131" s="19">
        <f>SUMIFS('Data Additive'!$D:$D,'Data Additive'!$P:$P,'Painel Additive'!#REF!,'Data Additive'!$Q:$Q,"&lt;=-61",'Data Additive'!$Q:$Q,"&gt;=-90")</f>
        <v>0</v>
      </c>
      <c r="S131" s="19">
        <f>SUMIFS('Data Additive'!$D:$D,'Data Additive'!$P:$P,'Painel Additive'!#REF!,'Data Additive'!$Q:$Q,"&lt;=-91",'Data Additive'!$Q:$Q,"&gt;=-120")</f>
        <v>0</v>
      </c>
      <c r="T131" s="19">
        <f>SUMIFS('Data Additive'!$D:$D,'Data Additive'!$P:$P,'Painel Additive'!#REF!,'Data Additive'!$Q:$Q,"&lt;=-121",'Data Additive'!$Q:$Q,"&gt;=-180")</f>
        <v>0</v>
      </c>
      <c r="U131" s="19">
        <f>SUMIFS('Data Additive'!$D:$D,'Data Additive'!$P:$P,'Painel Additive'!#REF!,'Data Additive'!$Q:$Q,"&lt;=-181",'Data Additive'!$Q:$Q,"&gt;=-360")</f>
        <v>0</v>
      </c>
      <c r="V131" s="23">
        <f>SUMIFS('Data Additive'!$D:$D,'Data Additive'!$P:$P,'Painel Additive'!#REF!,'Data Additive'!$Q:$Q,"&lt;-360")</f>
        <v>0</v>
      </c>
      <c r="W131" s="19" t="e">
        <f>SUMIFS('Bad Debt Provision'!#REF!,'Bad Debt Provision'!#REF!,'Painel Additive'!#REF!)</f>
        <v>#REF!</v>
      </c>
      <c r="X131" s="5"/>
      <c r="Y131" s="20"/>
      <c r="Z131" s="20"/>
      <c r="AA131" s="21"/>
      <c r="AB131" s="5"/>
      <c r="AC131" s="19"/>
      <c r="AD131" s="20"/>
      <c r="AE131" s="22"/>
      <c r="AF131" s="22"/>
      <c r="AG131" s="5"/>
      <c r="AH131" s="28">
        <f t="shared" si="17"/>
        <v>0</v>
      </c>
    </row>
    <row r="132" spans="2:34" x14ac:dyDescent="0.25">
      <c r="B132" s="17" t="s">
        <v>254</v>
      </c>
      <c r="C132" s="93" t="str" cm="1">
        <f t="array" ref="C132">IFERROR(INDEX('Limite de crédito'!$D:$D, MATCH(MAX(IF('Limite de crédito'!$C:$C=$B132, 'Limite de crédito'!$A:$A)), 'Limite de crédito'!$A:$A, 0)),"")</f>
        <v/>
      </c>
      <c r="D132" s="18" cm="1">
        <f t="array" ref="D132">IFERROR(INDEX('Limite de crédito'!$F:$F, MATCH(MAX(IF('Limite de crédito'!$C:$C=$B132, 'Limite de crédito'!$A:$A)), 'Limite de crédito'!$A:$A, 0)),0)</f>
        <v>0</v>
      </c>
      <c r="E132" s="18">
        <f t="shared" ref="E132:E163" si="18">D132-F132</f>
        <v>0</v>
      </c>
      <c r="F132" s="18">
        <f t="shared" ref="F132:F163" si="19">O132+N132</f>
        <v>0</v>
      </c>
      <c r="G132" s="19">
        <f>SUMIFS('Data Additive'!$D:$D,'Data Additive'!$P:$P,'Painel Additive'!#REF!,'Data Additive'!$Q:$Q,"&gt;0",'Data Additive'!$Q:$Q,"&lt;=30")</f>
        <v>0</v>
      </c>
      <c r="H132" s="19">
        <f>SUMIFS('Data Additive'!$D:$D,'Data Additive'!$P:$P,'Painel Additive'!#REF!,'Data Additive'!$Q:$Q,"&gt;30",'Data Additive'!$Q:$Q,"&lt;=60")</f>
        <v>0</v>
      </c>
      <c r="I132" s="19">
        <f>SUMIFS('Data Additive'!$D:$D,'Data Additive'!$P:$P,'Painel Additive'!#REF!,'Data Additive'!$Q:$Q,"&gt;60",'Data Additive'!$Q:$Q,"&lt;=90")</f>
        <v>0</v>
      </c>
      <c r="J132" s="19">
        <f>SUMIFS('Data Additive'!$D:$D,'Data Additive'!$P:$P,'Painel Additive'!#REF!,'Data Additive'!$Q:$Q,"&gt;90",'Data Additive'!$Q:$Q,"&lt;=120")</f>
        <v>0</v>
      </c>
      <c r="K132" s="19">
        <f>SUMIFS('Data Additive'!$D:$D,'Data Additive'!$P:$P,'Painel Additive'!#REF!,'Data Additive'!$Q:$Q,"&gt;120",'Data Additive'!$Q:$Q,"&lt;=180")</f>
        <v>0</v>
      </c>
      <c r="L132" s="19">
        <f>SUMIFS('Data Additive'!$D:$D,'Data Additive'!$P:$P,'Painel Additive'!#REF!,'Data Additive'!$Q:$Q,"&gt;180",'Data Additive'!$Q:$Q,"&lt;=360")</f>
        <v>0</v>
      </c>
      <c r="M132" s="23">
        <f>SUMIFS('Data Additive'!$D:$D,'Data Additive'!$P:$P,'Painel Additive'!#REF!,'Data Additive'!$Q:$Q,"&gt;360")</f>
        <v>0</v>
      </c>
      <c r="N132" s="19">
        <f>SUMIFS('Data Additive'!$D:$D,'Data Additive'!$P:$P,'Painel Additive'!#REF!,'Data Additive'!$Q:$Q,"&gt;0")</f>
        <v>0</v>
      </c>
      <c r="O132" s="19">
        <f t="shared" ref="O132:O163" si="20">SUBTOTAL(9,P132:V132)</f>
        <v>0</v>
      </c>
      <c r="P132" s="19">
        <f>SUMIFS('Data Additive'!$D:$D,'Data Additive'!$P:$P,'Painel Additive'!#REF!,'Data Additive'!$Q:$Q,"&lt;=0",'Data Additive'!$Q:$Q,"&gt;=-30")</f>
        <v>0</v>
      </c>
      <c r="Q132" s="19">
        <f>SUMIFS('Data Additive'!$D:$D,'Data Additive'!$P:$P,'Painel Additive'!#REF!,'Data Additive'!$Q:$Q,"&lt;=-31",'Data Additive'!$Q:$Q,"&gt;=-60")</f>
        <v>0</v>
      </c>
      <c r="R132" s="19">
        <f>SUMIFS('Data Additive'!$D:$D,'Data Additive'!$P:$P,'Painel Additive'!#REF!,'Data Additive'!$Q:$Q,"&lt;=-61",'Data Additive'!$Q:$Q,"&gt;=-90")</f>
        <v>0</v>
      </c>
      <c r="S132" s="19">
        <f>SUMIFS('Data Additive'!$D:$D,'Data Additive'!$P:$P,'Painel Additive'!#REF!,'Data Additive'!$Q:$Q,"&lt;=-91",'Data Additive'!$Q:$Q,"&gt;=-120")</f>
        <v>0</v>
      </c>
      <c r="T132" s="19">
        <f>SUMIFS('Data Additive'!$D:$D,'Data Additive'!$P:$P,'Painel Additive'!#REF!,'Data Additive'!$Q:$Q,"&lt;=-121",'Data Additive'!$Q:$Q,"&gt;=-180")</f>
        <v>0</v>
      </c>
      <c r="U132" s="19">
        <f>SUMIFS('Data Additive'!$D:$D,'Data Additive'!$P:$P,'Painel Additive'!#REF!,'Data Additive'!$Q:$Q,"&lt;=-181",'Data Additive'!$Q:$Q,"&gt;=-360")</f>
        <v>0</v>
      </c>
      <c r="V132" s="23">
        <f>SUMIFS('Data Additive'!$D:$D,'Data Additive'!$P:$P,'Painel Additive'!#REF!,'Data Additive'!$Q:$Q,"&lt;-360")</f>
        <v>0</v>
      </c>
      <c r="W132" s="19" t="e">
        <f>SUMIFS('Bad Debt Provision'!#REF!,'Bad Debt Provision'!#REF!,'Painel Additive'!#REF!)</f>
        <v>#REF!</v>
      </c>
      <c r="X132" s="5"/>
      <c r="Y132" s="20"/>
      <c r="Z132" s="20"/>
      <c r="AA132" s="21"/>
      <c r="AB132" s="5"/>
      <c r="AC132" s="19"/>
      <c r="AD132" s="20"/>
      <c r="AE132" s="22"/>
      <c r="AF132" s="22"/>
      <c r="AG132" s="5"/>
      <c r="AH132" s="28">
        <f t="shared" ref="AH132:AH163" si="21">AC132-F132</f>
        <v>0</v>
      </c>
    </row>
    <row r="133" spans="2:34" x14ac:dyDescent="0.25">
      <c r="B133" s="17" t="s">
        <v>257</v>
      </c>
      <c r="C133" s="93" t="str" cm="1">
        <f t="array" ref="C133">IFERROR(INDEX('Limite de crédito'!$D:$D, MATCH(MAX(IF('Limite de crédito'!$C:$C=$B133, 'Limite de crédito'!$A:$A)), 'Limite de crédito'!$A:$A, 0)),"")</f>
        <v/>
      </c>
      <c r="D133" s="18" cm="1">
        <f t="array" ref="D133">IFERROR(INDEX('Limite de crédito'!$F:$F, MATCH(MAX(IF('Limite de crédito'!$C:$C=$B133, 'Limite de crédito'!$A:$A)), 'Limite de crédito'!$A:$A, 0)),0)</f>
        <v>0</v>
      </c>
      <c r="E133" s="18">
        <f t="shared" si="18"/>
        <v>0</v>
      </c>
      <c r="F133" s="18">
        <f t="shared" si="19"/>
        <v>0</v>
      </c>
      <c r="G133" s="19">
        <f>SUMIFS('Data Additive'!$D:$D,'Data Additive'!$P:$P,'Painel Additive'!#REF!,'Data Additive'!$Q:$Q,"&gt;0",'Data Additive'!$Q:$Q,"&lt;=30")</f>
        <v>0</v>
      </c>
      <c r="H133" s="19">
        <f>SUMIFS('Data Additive'!$D:$D,'Data Additive'!$P:$P,'Painel Additive'!#REF!,'Data Additive'!$Q:$Q,"&gt;30",'Data Additive'!$Q:$Q,"&lt;=60")</f>
        <v>0</v>
      </c>
      <c r="I133" s="19">
        <f>SUMIFS('Data Additive'!$D:$D,'Data Additive'!$P:$P,'Painel Additive'!#REF!,'Data Additive'!$Q:$Q,"&gt;60",'Data Additive'!$Q:$Q,"&lt;=90")</f>
        <v>0</v>
      </c>
      <c r="J133" s="19">
        <f>SUMIFS('Data Additive'!$D:$D,'Data Additive'!$P:$P,'Painel Additive'!#REF!,'Data Additive'!$Q:$Q,"&gt;90",'Data Additive'!$Q:$Q,"&lt;=120")</f>
        <v>0</v>
      </c>
      <c r="K133" s="19">
        <f>SUMIFS('Data Additive'!$D:$D,'Data Additive'!$P:$P,'Painel Additive'!#REF!,'Data Additive'!$Q:$Q,"&gt;120",'Data Additive'!$Q:$Q,"&lt;=180")</f>
        <v>0</v>
      </c>
      <c r="L133" s="19">
        <f>SUMIFS('Data Additive'!$D:$D,'Data Additive'!$P:$P,'Painel Additive'!#REF!,'Data Additive'!$Q:$Q,"&gt;180",'Data Additive'!$Q:$Q,"&lt;=360")</f>
        <v>0</v>
      </c>
      <c r="M133" s="23">
        <f>SUMIFS('Data Additive'!$D:$D,'Data Additive'!$P:$P,'Painel Additive'!#REF!,'Data Additive'!$Q:$Q,"&gt;360")</f>
        <v>0</v>
      </c>
      <c r="N133" s="19">
        <f>SUMIFS('Data Additive'!$D:$D,'Data Additive'!$P:$P,'Painel Additive'!#REF!,'Data Additive'!$Q:$Q,"&gt;0")</f>
        <v>0</v>
      </c>
      <c r="O133" s="19">
        <f t="shared" si="20"/>
        <v>0</v>
      </c>
      <c r="P133" s="19">
        <f>SUMIFS('Data Additive'!$D:$D,'Data Additive'!$P:$P,'Painel Additive'!#REF!,'Data Additive'!$Q:$Q,"&lt;=0",'Data Additive'!$Q:$Q,"&gt;=-30")</f>
        <v>0</v>
      </c>
      <c r="Q133" s="19">
        <f>SUMIFS('Data Additive'!$D:$D,'Data Additive'!$P:$P,'Painel Additive'!#REF!,'Data Additive'!$Q:$Q,"&lt;=-31",'Data Additive'!$Q:$Q,"&gt;=-60")</f>
        <v>0</v>
      </c>
      <c r="R133" s="19">
        <f>SUMIFS('Data Additive'!$D:$D,'Data Additive'!$P:$P,'Painel Additive'!#REF!,'Data Additive'!$Q:$Q,"&lt;=-61",'Data Additive'!$Q:$Q,"&gt;=-90")</f>
        <v>0</v>
      </c>
      <c r="S133" s="19">
        <f>SUMIFS('Data Additive'!$D:$D,'Data Additive'!$P:$P,'Painel Additive'!#REF!,'Data Additive'!$Q:$Q,"&lt;=-91",'Data Additive'!$Q:$Q,"&gt;=-120")</f>
        <v>0</v>
      </c>
      <c r="T133" s="19">
        <f>SUMIFS('Data Additive'!$D:$D,'Data Additive'!$P:$P,'Painel Additive'!#REF!,'Data Additive'!$Q:$Q,"&lt;=-121",'Data Additive'!$Q:$Q,"&gt;=-180")</f>
        <v>0</v>
      </c>
      <c r="U133" s="19">
        <f>SUMIFS('Data Additive'!$D:$D,'Data Additive'!$P:$P,'Painel Additive'!#REF!,'Data Additive'!$Q:$Q,"&lt;=-181",'Data Additive'!$Q:$Q,"&gt;=-360")</f>
        <v>0</v>
      </c>
      <c r="V133" s="23">
        <f>SUMIFS('Data Additive'!$D:$D,'Data Additive'!$P:$P,'Painel Additive'!#REF!,'Data Additive'!$Q:$Q,"&lt;-360")</f>
        <v>0</v>
      </c>
      <c r="W133" s="19" t="e">
        <f>SUMIFS('Bad Debt Provision'!#REF!,'Bad Debt Provision'!#REF!,'Painel Additive'!#REF!)</f>
        <v>#REF!</v>
      </c>
      <c r="X133" s="5"/>
      <c r="Y133" s="20"/>
      <c r="Z133" s="20"/>
      <c r="AA133" s="21"/>
      <c r="AB133" s="5"/>
      <c r="AC133" s="19"/>
      <c r="AD133" s="20"/>
      <c r="AE133" s="22"/>
      <c r="AF133" s="22"/>
      <c r="AG133" s="5"/>
      <c r="AH133" s="28">
        <f t="shared" si="21"/>
        <v>0</v>
      </c>
    </row>
    <row r="134" spans="2:34" x14ac:dyDescent="0.25">
      <c r="B134" s="17" t="s">
        <v>261</v>
      </c>
      <c r="C134" s="93" t="str" cm="1">
        <f t="array" ref="C134">IFERROR(INDEX('Limite de crédito'!$D:$D, MATCH(MAX(IF('Limite de crédito'!$C:$C=$B134, 'Limite de crédito'!$A:$A)), 'Limite de crédito'!$A:$A, 0)),"")</f>
        <v/>
      </c>
      <c r="D134" s="18" cm="1">
        <f t="array" ref="D134">IFERROR(INDEX('Limite de crédito'!$F:$F, MATCH(MAX(IF('Limite de crédito'!$C:$C=$B134, 'Limite de crédito'!$A:$A)), 'Limite de crédito'!$A:$A, 0)),0)</f>
        <v>0</v>
      </c>
      <c r="E134" s="18">
        <f t="shared" si="18"/>
        <v>0</v>
      </c>
      <c r="F134" s="18">
        <f t="shared" si="19"/>
        <v>0</v>
      </c>
      <c r="G134" s="19">
        <f>SUMIFS('Data Additive'!$D:$D,'Data Additive'!$P:$P,'Painel Additive'!#REF!,'Data Additive'!$Q:$Q,"&gt;0",'Data Additive'!$Q:$Q,"&lt;=30")</f>
        <v>0</v>
      </c>
      <c r="H134" s="19">
        <f>SUMIFS('Data Additive'!$D:$D,'Data Additive'!$P:$P,'Painel Additive'!#REF!,'Data Additive'!$Q:$Q,"&gt;30",'Data Additive'!$Q:$Q,"&lt;=60")</f>
        <v>0</v>
      </c>
      <c r="I134" s="19">
        <f>SUMIFS('Data Additive'!$D:$D,'Data Additive'!$P:$P,'Painel Additive'!#REF!,'Data Additive'!$Q:$Q,"&gt;60",'Data Additive'!$Q:$Q,"&lt;=90")</f>
        <v>0</v>
      </c>
      <c r="J134" s="19">
        <f>SUMIFS('Data Additive'!$D:$D,'Data Additive'!$P:$P,'Painel Additive'!#REF!,'Data Additive'!$Q:$Q,"&gt;90",'Data Additive'!$Q:$Q,"&lt;=120")</f>
        <v>0</v>
      </c>
      <c r="K134" s="19">
        <f>SUMIFS('Data Additive'!$D:$D,'Data Additive'!$P:$P,'Painel Additive'!#REF!,'Data Additive'!$Q:$Q,"&gt;120",'Data Additive'!$Q:$Q,"&lt;=180")</f>
        <v>0</v>
      </c>
      <c r="L134" s="19">
        <f>SUMIFS('Data Additive'!$D:$D,'Data Additive'!$P:$P,'Painel Additive'!#REF!,'Data Additive'!$Q:$Q,"&gt;180",'Data Additive'!$Q:$Q,"&lt;=360")</f>
        <v>0</v>
      </c>
      <c r="M134" s="23">
        <f>SUMIFS('Data Additive'!$D:$D,'Data Additive'!$P:$P,'Painel Additive'!#REF!,'Data Additive'!$Q:$Q,"&gt;360")</f>
        <v>0</v>
      </c>
      <c r="N134" s="19">
        <f>SUMIFS('Data Additive'!$D:$D,'Data Additive'!$P:$P,'Painel Additive'!#REF!,'Data Additive'!$Q:$Q,"&gt;0")</f>
        <v>0</v>
      </c>
      <c r="O134" s="19">
        <f t="shared" si="20"/>
        <v>0</v>
      </c>
      <c r="P134" s="19">
        <f>SUMIFS('Data Additive'!$D:$D,'Data Additive'!$P:$P,'Painel Additive'!#REF!,'Data Additive'!$Q:$Q,"&lt;=0",'Data Additive'!$Q:$Q,"&gt;=-30")</f>
        <v>0</v>
      </c>
      <c r="Q134" s="19">
        <f>SUMIFS('Data Additive'!$D:$D,'Data Additive'!$P:$P,'Painel Additive'!#REF!,'Data Additive'!$Q:$Q,"&lt;=-31",'Data Additive'!$Q:$Q,"&gt;=-60")</f>
        <v>0</v>
      </c>
      <c r="R134" s="19">
        <f>SUMIFS('Data Additive'!$D:$D,'Data Additive'!$P:$P,'Painel Additive'!#REF!,'Data Additive'!$Q:$Q,"&lt;=-61",'Data Additive'!$Q:$Q,"&gt;=-90")</f>
        <v>0</v>
      </c>
      <c r="S134" s="19">
        <f>SUMIFS('Data Additive'!$D:$D,'Data Additive'!$P:$P,'Painel Additive'!#REF!,'Data Additive'!$Q:$Q,"&lt;=-91",'Data Additive'!$Q:$Q,"&gt;=-120")</f>
        <v>0</v>
      </c>
      <c r="T134" s="19">
        <f>SUMIFS('Data Additive'!$D:$D,'Data Additive'!$P:$P,'Painel Additive'!#REF!,'Data Additive'!$Q:$Q,"&lt;=-121",'Data Additive'!$Q:$Q,"&gt;=-180")</f>
        <v>0</v>
      </c>
      <c r="U134" s="19">
        <f>SUMIFS('Data Additive'!$D:$D,'Data Additive'!$P:$P,'Painel Additive'!#REF!,'Data Additive'!$Q:$Q,"&lt;=-181",'Data Additive'!$Q:$Q,"&gt;=-360")</f>
        <v>0</v>
      </c>
      <c r="V134" s="23">
        <f>SUMIFS('Data Additive'!$D:$D,'Data Additive'!$P:$P,'Painel Additive'!#REF!,'Data Additive'!$Q:$Q,"&lt;-360")</f>
        <v>0</v>
      </c>
      <c r="W134" s="19" t="e">
        <f>SUMIFS('Bad Debt Provision'!#REF!,'Bad Debt Provision'!#REF!,'Painel Additive'!#REF!)</f>
        <v>#REF!</v>
      </c>
      <c r="X134" s="5"/>
      <c r="Y134" s="20"/>
      <c r="Z134" s="20"/>
      <c r="AA134" s="21"/>
      <c r="AB134" s="5"/>
      <c r="AC134" s="19"/>
      <c r="AD134" s="20"/>
      <c r="AE134" s="22"/>
      <c r="AF134" s="22"/>
      <c r="AG134" s="5"/>
      <c r="AH134" s="28">
        <f t="shared" si="21"/>
        <v>0</v>
      </c>
    </row>
    <row r="135" spans="2:34" x14ac:dyDescent="0.25">
      <c r="B135" s="17" t="s">
        <v>264</v>
      </c>
      <c r="C135" s="93" t="str" cm="1">
        <f t="array" ref="C135">IFERROR(INDEX('Limite de crédito'!$D:$D, MATCH(MAX(IF('Limite de crédito'!$C:$C=$B135, 'Limite de crédito'!$A:$A)), 'Limite de crédito'!$A:$A, 0)),"")</f>
        <v/>
      </c>
      <c r="D135" s="18" cm="1">
        <f t="array" ref="D135">IFERROR(INDEX('Limite de crédito'!$F:$F, MATCH(MAX(IF('Limite de crédito'!$C:$C=$B135, 'Limite de crédito'!$A:$A)), 'Limite de crédito'!$A:$A, 0)),0)</f>
        <v>0</v>
      </c>
      <c r="E135" s="18">
        <f t="shared" si="18"/>
        <v>0</v>
      </c>
      <c r="F135" s="18">
        <f t="shared" si="19"/>
        <v>0</v>
      </c>
      <c r="G135" s="19">
        <f>SUMIFS('Data Additive'!$D:$D,'Data Additive'!$P:$P,'Painel Additive'!#REF!,'Data Additive'!$Q:$Q,"&gt;0",'Data Additive'!$Q:$Q,"&lt;=30")</f>
        <v>0</v>
      </c>
      <c r="H135" s="19">
        <f>SUMIFS('Data Additive'!$D:$D,'Data Additive'!$P:$P,'Painel Additive'!#REF!,'Data Additive'!$Q:$Q,"&gt;30",'Data Additive'!$Q:$Q,"&lt;=60")</f>
        <v>0</v>
      </c>
      <c r="I135" s="19">
        <f>SUMIFS('Data Additive'!$D:$D,'Data Additive'!$P:$P,'Painel Additive'!#REF!,'Data Additive'!$Q:$Q,"&gt;60",'Data Additive'!$Q:$Q,"&lt;=90")</f>
        <v>0</v>
      </c>
      <c r="J135" s="19">
        <f>SUMIFS('Data Additive'!$D:$D,'Data Additive'!$P:$P,'Painel Additive'!#REF!,'Data Additive'!$Q:$Q,"&gt;90",'Data Additive'!$Q:$Q,"&lt;=120")</f>
        <v>0</v>
      </c>
      <c r="K135" s="19">
        <f>SUMIFS('Data Additive'!$D:$D,'Data Additive'!$P:$P,'Painel Additive'!#REF!,'Data Additive'!$Q:$Q,"&gt;120",'Data Additive'!$Q:$Q,"&lt;=180")</f>
        <v>0</v>
      </c>
      <c r="L135" s="19">
        <f>SUMIFS('Data Additive'!$D:$D,'Data Additive'!$P:$P,'Painel Additive'!#REF!,'Data Additive'!$Q:$Q,"&gt;180",'Data Additive'!$Q:$Q,"&lt;=360")</f>
        <v>0</v>
      </c>
      <c r="M135" s="23">
        <f>SUMIFS('Data Additive'!$D:$D,'Data Additive'!$P:$P,'Painel Additive'!#REF!,'Data Additive'!$Q:$Q,"&gt;360")</f>
        <v>0</v>
      </c>
      <c r="N135" s="19">
        <f>SUMIFS('Data Additive'!$D:$D,'Data Additive'!$P:$P,'Painel Additive'!#REF!,'Data Additive'!$Q:$Q,"&gt;0")</f>
        <v>0</v>
      </c>
      <c r="O135" s="19">
        <f t="shared" si="20"/>
        <v>0</v>
      </c>
      <c r="P135" s="19">
        <f>SUMIFS('Data Additive'!$D:$D,'Data Additive'!$P:$P,'Painel Additive'!#REF!,'Data Additive'!$Q:$Q,"&lt;=0",'Data Additive'!$Q:$Q,"&gt;=-30")</f>
        <v>0</v>
      </c>
      <c r="Q135" s="19">
        <f>SUMIFS('Data Additive'!$D:$D,'Data Additive'!$P:$P,'Painel Additive'!#REF!,'Data Additive'!$Q:$Q,"&lt;=-31",'Data Additive'!$Q:$Q,"&gt;=-60")</f>
        <v>0</v>
      </c>
      <c r="R135" s="19">
        <f>SUMIFS('Data Additive'!$D:$D,'Data Additive'!$P:$P,'Painel Additive'!#REF!,'Data Additive'!$Q:$Q,"&lt;=-61",'Data Additive'!$Q:$Q,"&gt;=-90")</f>
        <v>0</v>
      </c>
      <c r="S135" s="19">
        <f>SUMIFS('Data Additive'!$D:$D,'Data Additive'!$P:$P,'Painel Additive'!#REF!,'Data Additive'!$Q:$Q,"&lt;=-91",'Data Additive'!$Q:$Q,"&gt;=-120")</f>
        <v>0</v>
      </c>
      <c r="T135" s="19">
        <f>SUMIFS('Data Additive'!$D:$D,'Data Additive'!$P:$P,'Painel Additive'!#REF!,'Data Additive'!$Q:$Q,"&lt;=-121",'Data Additive'!$Q:$Q,"&gt;=-180")</f>
        <v>0</v>
      </c>
      <c r="U135" s="19">
        <f>SUMIFS('Data Additive'!$D:$D,'Data Additive'!$P:$P,'Painel Additive'!#REF!,'Data Additive'!$Q:$Q,"&lt;=-181",'Data Additive'!$Q:$Q,"&gt;=-360")</f>
        <v>0</v>
      </c>
      <c r="V135" s="23">
        <f>SUMIFS('Data Additive'!$D:$D,'Data Additive'!$P:$P,'Painel Additive'!#REF!,'Data Additive'!$Q:$Q,"&lt;-360")</f>
        <v>0</v>
      </c>
      <c r="W135" s="19" t="e">
        <f>SUMIFS('Bad Debt Provision'!#REF!,'Bad Debt Provision'!#REF!,'Painel Additive'!#REF!)</f>
        <v>#REF!</v>
      </c>
      <c r="X135" s="5"/>
      <c r="Y135" s="20"/>
      <c r="Z135" s="20"/>
      <c r="AA135" s="21"/>
      <c r="AB135" s="5"/>
      <c r="AC135" s="19"/>
      <c r="AD135" s="20"/>
      <c r="AE135" s="22"/>
      <c r="AF135" s="22"/>
      <c r="AG135" s="5"/>
      <c r="AH135" s="28">
        <f t="shared" si="21"/>
        <v>0</v>
      </c>
    </row>
    <row r="136" spans="2:34" x14ac:dyDescent="0.25">
      <c r="B136" s="17" t="s">
        <v>267</v>
      </c>
      <c r="C136" s="93" t="str" cm="1">
        <f t="array" ref="C136">IFERROR(INDEX('Limite de crédito'!$D:$D, MATCH(MAX(IF('Limite de crédito'!$C:$C=$B136, 'Limite de crédito'!$A:$A)), 'Limite de crédito'!$A:$A, 0)),"")</f>
        <v/>
      </c>
      <c r="D136" s="18" cm="1">
        <f t="array" ref="D136">IFERROR(INDEX('Limite de crédito'!$F:$F, MATCH(MAX(IF('Limite de crédito'!$C:$C=$B136, 'Limite de crédito'!$A:$A)), 'Limite de crédito'!$A:$A, 0)),0)</f>
        <v>0</v>
      </c>
      <c r="E136" s="18">
        <f t="shared" si="18"/>
        <v>0</v>
      </c>
      <c r="F136" s="18">
        <f t="shared" si="19"/>
        <v>0</v>
      </c>
      <c r="G136" s="19">
        <f>SUMIFS('Data Additive'!$D:$D,'Data Additive'!$P:$P,'Painel Additive'!#REF!,'Data Additive'!$Q:$Q,"&gt;0",'Data Additive'!$Q:$Q,"&lt;=30")</f>
        <v>0</v>
      </c>
      <c r="H136" s="19">
        <f>SUMIFS('Data Additive'!$D:$D,'Data Additive'!$P:$P,'Painel Additive'!#REF!,'Data Additive'!$Q:$Q,"&gt;30",'Data Additive'!$Q:$Q,"&lt;=60")</f>
        <v>0</v>
      </c>
      <c r="I136" s="19">
        <f>SUMIFS('Data Additive'!$D:$D,'Data Additive'!$P:$P,'Painel Additive'!#REF!,'Data Additive'!$Q:$Q,"&gt;60",'Data Additive'!$Q:$Q,"&lt;=90")</f>
        <v>0</v>
      </c>
      <c r="J136" s="19">
        <f>SUMIFS('Data Additive'!$D:$D,'Data Additive'!$P:$P,'Painel Additive'!#REF!,'Data Additive'!$Q:$Q,"&gt;90",'Data Additive'!$Q:$Q,"&lt;=120")</f>
        <v>0</v>
      </c>
      <c r="K136" s="19">
        <f>SUMIFS('Data Additive'!$D:$D,'Data Additive'!$P:$P,'Painel Additive'!#REF!,'Data Additive'!$Q:$Q,"&gt;120",'Data Additive'!$Q:$Q,"&lt;=180")</f>
        <v>0</v>
      </c>
      <c r="L136" s="19">
        <f>SUMIFS('Data Additive'!$D:$D,'Data Additive'!$P:$P,'Painel Additive'!#REF!,'Data Additive'!$Q:$Q,"&gt;180",'Data Additive'!$Q:$Q,"&lt;=360")</f>
        <v>0</v>
      </c>
      <c r="M136" s="23">
        <f>SUMIFS('Data Additive'!$D:$D,'Data Additive'!$P:$P,'Painel Additive'!#REF!,'Data Additive'!$Q:$Q,"&gt;360")</f>
        <v>0</v>
      </c>
      <c r="N136" s="19">
        <f>SUMIFS('Data Additive'!$D:$D,'Data Additive'!$P:$P,'Painel Additive'!#REF!,'Data Additive'!$Q:$Q,"&gt;0")</f>
        <v>0</v>
      </c>
      <c r="O136" s="19">
        <f t="shared" si="20"/>
        <v>0</v>
      </c>
      <c r="P136" s="19">
        <f>SUMIFS('Data Additive'!$D:$D,'Data Additive'!$P:$P,'Painel Additive'!#REF!,'Data Additive'!$Q:$Q,"&lt;=0",'Data Additive'!$Q:$Q,"&gt;=-30")</f>
        <v>0</v>
      </c>
      <c r="Q136" s="19">
        <f>SUMIFS('Data Additive'!$D:$D,'Data Additive'!$P:$P,'Painel Additive'!#REF!,'Data Additive'!$Q:$Q,"&lt;=-31",'Data Additive'!$Q:$Q,"&gt;=-60")</f>
        <v>0</v>
      </c>
      <c r="R136" s="19">
        <f>SUMIFS('Data Additive'!$D:$D,'Data Additive'!$P:$P,'Painel Additive'!#REF!,'Data Additive'!$Q:$Q,"&lt;=-61",'Data Additive'!$Q:$Q,"&gt;=-90")</f>
        <v>0</v>
      </c>
      <c r="S136" s="19">
        <f>SUMIFS('Data Additive'!$D:$D,'Data Additive'!$P:$P,'Painel Additive'!#REF!,'Data Additive'!$Q:$Q,"&lt;=-91",'Data Additive'!$Q:$Q,"&gt;=-120")</f>
        <v>0</v>
      </c>
      <c r="T136" s="19">
        <f>SUMIFS('Data Additive'!$D:$D,'Data Additive'!$P:$P,'Painel Additive'!#REF!,'Data Additive'!$Q:$Q,"&lt;=-121",'Data Additive'!$Q:$Q,"&gt;=-180")</f>
        <v>0</v>
      </c>
      <c r="U136" s="19">
        <f>SUMIFS('Data Additive'!$D:$D,'Data Additive'!$P:$P,'Painel Additive'!#REF!,'Data Additive'!$Q:$Q,"&lt;=-181",'Data Additive'!$Q:$Q,"&gt;=-360")</f>
        <v>0</v>
      </c>
      <c r="V136" s="23">
        <f>SUMIFS('Data Additive'!$D:$D,'Data Additive'!$P:$P,'Painel Additive'!#REF!,'Data Additive'!$Q:$Q,"&lt;-360")</f>
        <v>0</v>
      </c>
      <c r="W136" s="19" t="e">
        <f>SUMIFS('Bad Debt Provision'!#REF!,'Bad Debt Provision'!#REF!,'Painel Additive'!#REF!)</f>
        <v>#REF!</v>
      </c>
      <c r="X136" s="5"/>
      <c r="Y136" s="20"/>
      <c r="Z136" s="20"/>
      <c r="AA136" s="21"/>
      <c r="AB136" s="5"/>
      <c r="AC136" s="19"/>
      <c r="AD136" s="20"/>
      <c r="AE136" s="22"/>
      <c r="AF136" s="22"/>
      <c r="AG136" s="5"/>
      <c r="AH136" s="28">
        <f t="shared" si="21"/>
        <v>0</v>
      </c>
    </row>
    <row r="137" spans="2:34" x14ac:dyDescent="0.25">
      <c r="B137" s="17" t="s">
        <v>288</v>
      </c>
      <c r="C137" s="93" t="str" cm="1">
        <f t="array" ref="C137">IFERROR(INDEX('Limite de crédito'!$D:$D, MATCH(MAX(IF('Limite de crédito'!$C:$C=$B137, 'Limite de crédito'!$A:$A)), 'Limite de crédito'!$A:$A, 0)),"")</f>
        <v/>
      </c>
      <c r="D137" s="18" cm="1">
        <f t="array" ref="D137">IFERROR(INDEX('Limite de crédito'!$F:$F, MATCH(MAX(IF('Limite de crédito'!$C:$C=$B137, 'Limite de crédito'!$A:$A)), 'Limite de crédito'!$A:$A, 0)),0)</f>
        <v>0</v>
      </c>
      <c r="E137" s="18">
        <f t="shared" si="18"/>
        <v>0</v>
      </c>
      <c r="F137" s="18">
        <f t="shared" si="19"/>
        <v>0</v>
      </c>
      <c r="G137" s="19">
        <f>SUMIFS('Data Additive'!$D:$D,'Data Additive'!$P:$P,'Painel Additive'!#REF!,'Data Additive'!$Q:$Q,"&gt;0",'Data Additive'!$Q:$Q,"&lt;=30")</f>
        <v>0</v>
      </c>
      <c r="H137" s="19">
        <f>SUMIFS('Data Additive'!$D:$D,'Data Additive'!$P:$P,'Painel Additive'!#REF!,'Data Additive'!$Q:$Q,"&gt;30",'Data Additive'!$Q:$Q,"&lt;=60")</f>
        <v>0</v>
      </c>
      <c r="I137" s="19">
        <f>SUMIFS('Data Additive'!$D:$D,'Data Additive'!$P:$P,'Painel Additive'!#REF!,'Data Additive'!$Q:$Q,"&gt;60",'Data Additive'!$Q:$Q,"&lt;=90")</f>
        <v>0</v>
      </c>
      <c r="J137" s="19">
        <f>SUMIFS('Data Additive'!$D:$D,'Data Additive'!$P:$P,'Painel Additive'!#REF!,'Data Additive'!$Q:$Q,"&gt;90",'Data Additive'!$Q:$Q,"&lt;=120")</f>
        <v>0</v>
      </c>
      <c r="K137" s="19">
        <f>SUMIFS('Data Additive'!$D:$D,'Data Additive'!$P:$P,'Painel Additive'!#REF!,'Data Additive'!$Q:$Q,"&gt;120",'Data Additive'!$Q:$Q,"&lt;=180")</f>
        <v>0</v>
      </c>
      <c r="L137" s="19">
        <f>SUMIFS('Data Additive'!$D:$D,'Data Additive'!$P:$P,'Painel Additive'!#REF!,'Data Additive'!$Q:$Q,"&gt;180",'Data Additive'!$Q:$Q,"&lt;=360")</f>
        <v>0</v>
      </c>
      <c r="M137" s="23">
        <f>SUMIFS('Data Additive'!$D:$D,'Data Additive'!$P:$P,'Painel Additive'!#REF!,'Data Additive'!$Q:$Q,"&gt;360")</f>
        <v>0</v>
      </c>
      <c r="N137" s="19">
        <f>SUMIFS('Data Additive'!$D:$D,'Data Additive'!$P:$P,'Painel Additive'!#REF!,'Data Additive'!$Q:$Q,"&gt;0")</f>
        <v>0</v>
      </c>
      <c r="O137" s="19">
        <f t="shared" si="20"/>
        <v>0</v>
      </c>
      <c r="P137" s="19">
        <f>SUMIFS('Data Additive'!$D:$D,'Data Additive'!$P:$P,'Painel Additive'!#REF!,'Data Additive'!$Q:$Q,"&lt;=0",'Data Additive'!$Q:$Q,"&gt;=-30")</f>
        <v>0</v>
      </c>
      <c r="Q137" s="19">
        <f>SUMIFS('Data Additive'!$D:$D,'Data Additive'!$P:$P,'Painel Additive'!#REF!,'Data Additive'!$Q:$Q,"&lt;=-31",'Data Additive'!$Q:$Q,"&gt;=-60")</f>
        <v>0</v>
      </c>
      <c r="R137" s="19">
        <f>SUMIFS('Data Additive'!$D:$D,'Data Additive'!$P:$P,'Painel Additive'!#REF!,'Data Additive'!$Q:$Q,"&lt;=-61",'Data Additive'!$Q:$Q,"&gt;=-90")</f>
        <v>0</v>
      </c>
      <c r="S137" s="19">
        <f>SUMIFS('Data Additive'!$D:$D,'Data Additive'!$P:$P,'Painel Additive'!#REF!,'Data Additive'!$Q:$Q,"&lt;=-91",'Data Additive'!$Q:$Q,"&gt;=-120")</f>
        <v>0</v>
      </c>
      <c r="T137" s="19">
        <f>SUMIFS('Data Additive'!$D:$D,'Data Additive'!$P:$P,'Painel Additive'!#REF!,'Data Additive'!$Q:$Q,"&lt;=-121",'Data Additive'!$Q:$Q,"&gt;=-180")</f>
        <v>0</v>
      </c>
      <c r="U137" s="19">
        <f>SUMIFS('Data Additive'!$D:$D,'Data Additive'!$P:$P,'Painel Additive'!#REF!,'Data Additive'!$Q:$Q,"&lt;=-181",'Data Additive'!$Q:$Q,"&gt;=-360")</f>
        <v>0</v>
      </c>
      <c r="V137" s="23">
        <f>SUMIFS('Data Additive'!$D:$D,'Data Additive'!$P:$P,'Painel Additive'!#REF!,'Data Additive'!$Q:$Q,"&lt;-360")</f>
        <v>0</v>
      </c>
      <c r="W137" s="19" t="e">
        <f>SUMIFS('Bad Debt Provision'!#REF!,'Bad Debt Provision'!#REF!,'Painel Additive'!#REF!)</f>
        <v>#REF!</v>
      </c>
      <c r="X137" s="5"/>
      <c r="Y137" s="20"/>
      <c r="Z137" s="20"/>
      <c r="AA137" s="21"/>
      <c r="AB137" s="5"/>
      <c r="AC137" s="19"/>
      <c r="AD137" s="20"/>
      <c r="AE137" s="22"/>
      <c r="AF137" s="22"/>
      <c r="AG137" s="5"/>
      <c r="AH137" s="28">
        <f t="shared" si="21"/>
        <v>0</v>
      </c>
    </row>
    <row r="138" spans="2:34" x14ac:dyDescent="0.25">
      <c r="B138" s="17" t="s">
        <v>289</v>
      </c>
      <c r="C138" s="93" t="str" cm="1">
        <f t="array" ref="C138">IFERROR(INDEX('Limite de crédito'!$D:$D, MATCH(MAX(IF('Limite de crédito'!$C:$C=$B138, 'Limite de crédito'!$A:$A)), 'Limite de crédito'!$A:$A, 0)),"")</f>
        <v/>
      </c>
      <c r="D138" s="18" cm="1">
        <f t="array" ref="D138">IFERROR(INDEX('Limite de crédito'!$F:$F, MATCH(MAX(IF('Limite de crédito'!$C:$C=$B138, 'Limite de crédito'!$A:$A)), 'Limite de crédito'!$A:$A, 0)),0)</f>
        <v>0</v>
      </c>
      <c r="E138" s="18">
        <f t="shared" si="18"/>
        <v>0</v>
      </c>
      <c r="F138" s="18">
        <f t="shared" si="19"/>
        <v>0</v>
      </c>
      <c r="G138" s="19">
        <f>SUMIFS('Data Additive'!$D:$D,'Data Additive'!$P:$P,'Painel Additive'!#REF!,'Data Additive'!$Q:$Q,"&gt;0",'Data Additive'!$Q:$Q,"&lt;=30")</f>
        <v>0</v>
      </c>
      <c r="H138" s="19">
        <f>SUMIFS('Data Additive'!$D:$D,'Data Additive'!$P:$P,'Painel Additive'!#REF!,'Data Additive'!$Q:$Q,"&gt;30",'Data Additive'!$Q:$Q,"&lt;=60")</f>
        <v>0</v>
      </c>
      <c r="I138" s="19">
        <f>SUMIFS('Data Additive'!$D:$D,'Data Additive'!$P:$P,'Painel Additive'!#REF!,'Data Additive'!$Q:$Q,"&gt;60",'Data Additive'!$Q:$Q,"&lt;=90")</f>
        <v>0</v>
      </c>
      <c r="J138" s="19">
        <f>SUMIFS('Data Additive'!$D:$D,'Data Additive'!$P:$P,'Painel Additive'!#REF!,'Data Additive'!$Q:$Q,"&gt;90",'Data Additive'!$Q:$Q,"&lt;=120")</f>
        <v>0</v>
      </c>
      <c r="K138" s="19">
        <f>SUMIFS('Data Additive'!$D:$D,'Data Additive'!$P:$P,'Painel Additive'!#REF!,'Data Additive'!$Q:$Q,"&gt;120",'Data Additive'!$Q:$Q,"&lt;=180")</f>
        <v>0</v>
      </c>
      <c r="L138" s="19">
        <f>SUMIFS('Data Additive'!$D:$D,'Data Additive'!$P:$P,'Painel Additive'!#REF!,'Data Additive'!$Q:$Q,"&gt;180",'Data Additive'!$Q:$Q,"&lt;=360")</f>
        <v>0</v>
      </c>
      <c r="M138" s="23">
        <f>SUMIFS('Data Additive'!$D:$D,'Data Additive'!$P:$P,'Painel Additive'!#REF!,'Data Additive'!$Q:$Q,"&gt;360")</f>
        <v>0</v>
      </c>
      <c r="N138" s="19">
        <f>SUMIFS('Data Additive'!$D:$D,'Data Additive'!$P:$P,'Painel Additive'!#REF!,'Data Additive'!$Q:$Q,"&gt;0")</f>
        <v>0</v>
      </c>
      <c r="O138" s="19">
        <f t="shared" si="20"/>
        <v>0</v>
      </c>
      <c r="P138" s="19">
        <f>SUMIFS('Data Additive'!$D:$D,'Data Additive'!$P:$P,'Painel Additive'!#REF!,'Data Additive'!$Q:$Q,"&lt;=0",'Data Additive'!$Q:$Q,"&gt;=-30")</f>
        <v>0</v>
      </c>
      <c r="Q138" s="19">
        <f>SUMIFS('Data Additive'!$D:$D,'Data Additive'!$P:$P,'Painel Additive'!#REF!,'Data Additive'!$Q:$Q,"&lt;=-31",'Data Additive'!$Q:$Q,"&gt;=-60")</f>
        <v>0</v>
      </c>
      <c r="R138" s="19">
        <f>SUMIFS('Data Additive'!$D:$D,'Data Additive'!$P:$P,'Painel Additive'!#REF!,'Data Additive'!$Q:$Q,"&lt;=-61",'Data Additive'!$Q:$Q,"&gt;=-90")</f>
        <v>0</v>
      </c>
      <c r="S138" s="19">
        <f>SUMIFS('Data Additive'!$D:$D,'Data Additive'!$P:$P,'Painel Additive'!#REF!,'Data Additive'!$Q:$Q,"&lt;=-91",'Data Additive'!$Q:$Q,"&gt;=-120")</f>
        <v>0</v>
      </c>
      <c r="T138" s="19">
        <f>SUMIFS('Data Additive'!$D:$D,'Data Additive'!$P:$P,'Painel Additive'!#REF!,'Data Additive'!$Q:$Q,"&lt;=-121",'Data Additive'!$Q:$Q,"&gt;=-180")</f>
        <v>0</v>
      </c>
      <c r="U138" s="19">
        <f>SUMIFS('Data Additive'!$D:$D,'Data Additive'!$P:$P,'Painel Additive'!#REF!,'Data Additive'!$Q:$Q,"&lt;=-181",'Data Additive'!$Q:$Q,"&gt;=-360")</f>
        <v>0</v>
      </c>
      <c r="V138" s="23">
        <f>SUMIFS('Data Additive'!$D:$D,'Data Additive'!$P:$P,'Painel Additive'!#REF!,'Data Additive'!$Q:$Q,"&lt;-360")</f>
        <v>0</v>
      </c>
      <c r="W138" s="19" t="e">
        <f>SUMIFS('Bad Debt Provision'!#REF!,'Bad Debt Provision'!#REF!,'Painel Additive'!#REF!)</f>
        <v>#REF!</v>
      </c>
      <c r="X138" s="5"/>
      <c r="Y138" s="20"/>
      <c r="Z138" s="20"/>
      <c r="AA138" s="21"/>
      <c r="AB138" s="5"/>
      <c r="AC138" s="19"/>
      <c r="AD138" s="20"/>
      <c r="AE138" s="22"/>
      <c r="AF138" s="22"/>
      <c r="AG138" s="5"/>
      <c r="AH138" s="28">
        <f t="shared" si="21"/>
        <v>0</v>
      </c>
    </row>
    <row r="139" spans="2:34" x14ac:dyDescent="0.25">
      <c r="B139" s="41" t="s">
        <v>383</v>
      </c>
      <c r="C139" s="94" t="str" cm="1">
        <f t="array" ref="C139">IFERROR(INDEX('Limite de crédito'!$D:$D, MATCH(MAX(IF('Limite de crédito'!$C:$C=$B139, 'Limite de crédito'!$A:$A)), 'Limite de crédito'!$A:$A, 0)),"")</f>
        <v/>
      </c>
      <c r="D139" s="18" cm="1">
        <f t="array" ref="D139">IFERROR(INDEX('Limite de crédito'!$F:$F, MATCH(MAX(IF('Limite de crédito'!$C:$C=$B139, 'Limite de crédito'!$A:$A)), 'Limite de crédito'!$A:$A, 0)),0)</f>
        <v>0</v>
      </c>
      <c r="E139" s="18">
        <f t="shared" si="18"/>
        <v>0</v>
      </c>
      <c r="F139" s="18">
        <f t="shared" si="19"/>
        <v>0</v>
      </c>
      <c r="G139" s="19">
        <f>SUMIFS('Data Additive'!$D:$D,'Data Additive'!$P:$P,'Painel Additive'!#REF!,'Data Additive'!$Q:$Q,"&gt;0",'Data Additive'!$Q:$Q,"&lt;=30")</f>
        <v>0</v>
      </c>
      <c r="H139" s="19">
        <f>SUMIFS('Data Additive'!$D:$D,'Data Additive'!$P:$P,'Painel Additive'!#REF!,'Data Additive'!$Q:$Q,"&gt;30",'Data Additive'!$Q:$Q,"&lt;=60")</f>
        <v>0</v>
      </c>
      <c r="I139" s="19">
        <f>SUMIFS('Data Additive'!$D:$D,'Data Additive'!$P:$P,'Painel Additive'!#REF!,'Data Additive'!$Q:$Q,"&gt;60",'Data Additive'!$Q:$Q,"&lt;=90")</f>
        <v>0</v>
      </c>
      <c r="J139" s="19">
        <f>SUMIFS('Data Additive'!$D:$D,'Data Additive'!$P:$P,'Painel Additive'!#REF!,'Data Additive'!$Q:$Q,"&gt;90",'Data Additive'!$Q:$Q,"&lt;=120")</f>
        <v>0</v>
      </c>
      <c r="K139" s="19">
        <f>SUMIFS('Data Additive'!$D:$D,'Data Additive'!$P:$P,'Painel Additive'!#REF!,'Data Additive'!$Q:$Q,"&gt;120",'Data Additive'!$Q:$Q,"&lt;=180")</f>
        <v>0</v>
      </c>
      <c r="L139" s="19">
        <f>SUMIFS('Data Additive'!$D:$D,'Data Additive'!$P:$P,'Painel Additive'!#REF!,'Data Additive'!$Q:$Q,"&gt;180",'Data Additive'!$Q:$Q,"&lt;=360")</f>
        <v>0</v>
      </c>
      <c r="M139" s="23">
        <f>SUMIFS('Data Additive'!$D:$D,'Data Additive'!$P:$P,'Painel Additive'!#REF!,'Data Additive'!$Q:$Q,"&gt;360")</f>
        <v>0</v>
      </c>
      <c r="N139" s="19">
        <f>SUMIFS('Data Additive'!$D:$D,'Data Additive'!$P:$P,'Painel Additive'!#REF!,'Data Additive'!$Q:$Q,"&gt;0")</f>
        <v>0</v>
      </c>
      <c r="O139" s="19">
        <f t="shared" si="20"/>
        <v>0</v>
      </c>
      <c r="P139" s="19">
        <f>SUMIFS('Data Additive'!$D:$D,'Data Additive'!$P:$P,'Painel Additive'!#REF!,'Data Additive'!$Q:$Q,"&lt;=0",'Data Additive'!$Q:$Q,"&gt;=-30")</f>
        <v>0</v>
      </c>
      <c r="Q139" s="19">
        <f>SUMIFS('Data Additive'!$D:$D,'Data Additive'!$P:$P,'Painel Additive'!#REF!,'Data Additive'!$Q:$Q,"&lt;=-31",'Data Additive'!$Q:$Q,"&gt;=-60")</f>
        <v>0</v>
      </c>
      <c r="R139" s="19">
        <f>SUMIFS('Data Additive'!$D:$D,'Data Additive'!$P:$P,'Painel Additive'!#REF!,'Data Additive'!$Q:$Q,"&lt;=-61",'Data Additive'!$Q:$Q,"&gt;=-90")</f>
        <v>0</v>
      </c>
      <c r="S139" s="19">
        <f>SUMIFS('Data Additive'!$D:$D,'Data Additive'!$P:$P,'Painel Additive'!#REF!,'Data Additive'!$Q:$Q,"&lt;=-91",'Data Additive'!$Q:$Q,"&gt;=-120")</f>
        <v>0</v>
      </c>
      <c r="T139" s="19">
        <f>SUMIFS('Data Additive'!$D:$D,'Data Additive'!$P:$P,'Painel Additive'!#REF!,'Data Additive'!$Q:$Q,"&lt;=-121",'Data Additive'!$Q:$Q,"&gt;=-180")</f>
        <v>0</v>
      </c>
      <c r="U139" s="19">
        <f>SUMIFS('Data Additive'!$D:$D,'Data Additive'!$P:$P,'Painel Additive'!#REF!,'Data Additive'!$Q:$Q,"&lt;=-181",'Data Additive'!$Q:$Q,"&gt;=-360")</f>
        <v>0</v>
      </c>
      <c r="V139" s="23">
        <f>SUMIFS('Data Additive'!$D:$D,'Data Additive'!$P:$P,'Painel Additive'!#REF!,'Data Additive'!$Q:$Q,"&lt;-360")</f>
        <v>0</v>
      </c>
      <c r="W139" s="19" t="e">
        <f>SUMIFS('Bad Debt Provision'!#REF!,'Bad Debt Provision'!#REF!,'Painel Additive'!#REF!)</f>
        <v>#REF!</v>
      </c>
      <c r="X139" s="5"/>
      <c r="Y139" s="20"/>
      <c r="Z139" s="20"/>
      <c r="AA139" s="21"/>
      <c r="AB139" s="5"/>
      <c r="AC139" s="19"/>
      <c r="AD139" s="20"/>
      <c r="AE139" s="22"/>
      <c r="AF139" s="22"/>
      <c r="AG139" s="5"/>
      <c r="AH139" s="28">
        <f t="shared" si="21"/>
        <v>0</v>
      </c>
    </row>
    <row r="140" spans="2:34" x14ac:dyDescent="0.25">
      <c r="B140" s="17" t="s">
        <v>301</v>
      </c>
      <c r="C140" s="93" t="str" cm="1">
        <f t="array" ref="C140">IFERROR(INDEX('Limite de crédito'!$D:$D, MATCH(MAX(IF('Limite de crédito'!$C:$C=$B140, 'Limite de crédito'!$A:$A)), 'Limite de crédito'!$A:$A, 0)),"")</f>
        <v/>
      </c>
      <c r="D140" s="18" cm="1">
        <f t="array" ref="D140">IFERROR(INDEX('Limite de crédito'!$F:$F, MATCH(MAX(IF('Limite de crédito'!$C:$C=$B140, 'Limite de crédito'!$A:$A)), 'Limite de crédito'!$A:$A, 0)),0)</f>
        <v>0</v>
      </c>
      <c r="E140" s="18">
        <f t="shared" si="18"/>
        <v>0</v>
      </c>
      <c r="F140" s="18">
        <f t="shared" si="19"/>
        <v>0</v>
      </c>
      <c r="G140" s="19">
        <f>SUMIFS('Data Additive'!$D:$D,'Data Additive'!$P:$P,'Painel Additive'!#REF!,'Data Additive'!$Q:$Q,"&gt;0",'Data Additive'!$Q:$Q,"&lt;=30")</f>
        <v>0</v>
      </c>
      <c r="H140" s="19">
        <f>SUMIFS('Data Additive'!$D:$D,'Data Additive'!$P:$P,'Painel Additive'!#REF!,'Data Additive'!$Q:$Q,"&gt;30",'Data Additive'!$Q:$Q,"&lt;=60")</f>
        <v>0</v>
      </c>
      <c r="I140" s="19">
        <f>SUMIFS('Data Additive'!$D:$D,'Data Additive'!$P:$P,'Painel Additive'!#REF!,'Data Additive'!$Q:$Q,"&gt;60",'Data Additive'!$Q:$Q,"&lt;=90")</f>
        <v>0</v>
      </c>
      <c r="J140" s="19">
        <f>SUMIFS('Data Additive'!$D:$D,'Data Additive'!$P:$P,'Painel Additive'!#REF!,'Data Additive'!$Q:$Q,"&gt;90",'Data Additive'!$Q:$Q,"&lt;=120")</f>
        <v>0</v>
      </c>
      <c r="K140" s="19">
        <f>SUMIFS('Data Additive'!$D:$D,'Data Additive'!$P:$P,'Painel Additive'!#REF!,'Data Additive'!$Q:$Q,"&gt;120",'Data Additive'!$Q:$Q,"&lt;=180")</f>
        <v>0</v>
      </c>
      <c r="L140" s="19">
        <f>SUMIFS('Data Additive'!$D:$D,'Data Additive'!$P:$P,'Painel Additive'!#REF!,'Data Additive'!$Q:$Q,"&gt;180",'Data Additive'!$Q:$Q,"&lt;=360")</f>
        <v>0</v>
      </c>
      <c r="M140" s="23">
        <f>SUMIFS('Data Additive'!$D:$D,'Data Additive'!$P:$P,'Painel Additive'!#REF!,'Data Additive'!$Q:$Q,"&gt;360")</f>
        <v>0</v>
      </c>
      <c r="N140" s="19">
        <f>SUMIFS('Data Additive'!$D:$D,'Data Additive'!$P:$P,'Painel Additive'!#REF!,'Data Additive'!$Q:$Q,"&gt;0")</f>
        <v>0</v>
      </c>
      <c r="O140" s="19">
        <f t="shared" si="20"/>
        <v>0</v>
      </c>
      <c r="P140" s="19">
        <f>SUMIFS('Data Additive'!$D:$D,'Data Additive'!$P:$P,'Painel Additive'!#REF!,'Data Additive'!$Q:$Q,"&lt;=0",'Data Additive'!$Q:$Q,"&gt;=-30")</f>
        <v>0</v>
      </c>
      <c r="Q140" s="19">
        <f>SUMIFS('Data Additive'!$D:$D,'Data Additive'!$P:$P,'Painel Additive'!#REF!,'Data Additive'!$Q:$Q,"&lt;=-31",'Data Additive'!$Q:$Q,"&gt;=-60")</f>
        <v>0</v>
      </c>
      <c r="R140" s="19">
        <f>SUMIFS('Data Additive'!$D:$D,'Data Additive'!$P:$P,'Painel Additive'!#REF!,'Data Additive'!$Q:$Q,"&lt;=-61",'Data Additive'!$Q:$Q,"&gt;=-90")</f>
        <v>0</v>
      </c>
      <c r="S140" s="19">
        <f>SUMIFS('Data Additive'!$D:$D,'Data Additive'!$P:$P,'Painel Additive'!#REF!,'Data Additive'!$Q:$Q,"&lt;=-91",'Data Additive'!$Q:$Q,"&gt;=-120")</f>
        <v>0</v>
      </c>
      <c r="T140" s="19">
        <f>SUMIFS('Data Additive'!$D:$D,'Data Additive'!$P:$P,'Painel Additive'!#REF!,'Data Additive'!$Q:$Q,"&lt;=-121",'Data Additive'!$Q:$Q,"&gt;=-180")</f>
        <v>0</v>
      </c>
      <c r="U140" s="19">
        <f>SUMIFS('Data Additive'!$D:$D,'Data Additive'!$P:$P,'Painel Additive'!#REF!,'Data Additive'!$Q:$Q,"&lt;=-181",'Data Additive'!$Q:$Q,"&gt;=-360")</f>
        <v>0</v>
      </c>
      <c r="V140" s="23">
        <f>SUMIFS('Data Additive'!$D:$D,'Data Additive'!$P:$P,'Painel Additive'!#REF!,'Data Additive'!$Q:$Q,"&lt;-360")</f>
        <v>0</v>
      </c>
      <c r="W140" s="19" t="e">
        <f>SUMIFS('Bad Debt Provision'!#REF!,'Bad Debt Provision'!#REF!,'Painel Additive'!#REF!)</f>
        <v>#REF!</v>
      </c>
      <c r="X140" s="5"/>
      <c r="Y140" s="20"/>
      <c r="Z140" s="20"/>
      <c r="AA140" s="21"/>
      <c r="AB140" s="5"/>
      <c r="AC140" s="19"/>
      <c r="AD140" s="20"/>
      <c r="AE140" s="22"/>
      <c r="AF140" s="22"/>
      <c r="AG140" s="5"/>
      <c r="AH140" s="28">
        <f t="shared" si="21"/>
        <v>0</v>
      </c>
    </row>
    <row r="141" spans="2:34" x14ac:dyDescent="0.25">
      <c r="B141" s="17" t="s">
        <v>302</v>
      </c>
      <c r="C141" s="93" t="str" cm="1">
        <f t="array" ref="C141">IFERROR(INDEX('Limite de crédito'!$D:$D, MATCH(MAX(IF('Limite de crédito'!$C:$C=$B141, 'Limite de crédito'!$A:$A)), 'Limite de crédito'!$A:$A, 0)),"")</f>
        <v/>
      </c>
      <c r="D141" s="18" cm="1">
        <f t="array" ref="D141">IFERROR(INDEX('Limite de crédito'!$F:$F, MATCH(MAX(IF('Limite de crédito'!$C:$C=$B141, 'Limite de crédito'!$A:$A)), 'Limite de crédito'!$A:$A, 0)),0)</f>
        <v>0</v>
      </c>
      <c r="E141" s="18">
        <f t="shared" si="18"/>
        <v>0</v>
      </c>
      <c r="F141" s="18">
        <f t="shared" si="19"/>
        <v>0</v>
      </c>
      <c r="G141" s="19">
        <f>SUMIFS('Data Additive'!$D:$D,'Data Additive'!$P:$P,'Painel Additive'!#REF!,'Data Additive'!$Q:$Q,"&gt;0",'Data Additive'!$Q:$Q,"&lt;=30")</f>
        <v>0</v>
      </c>
      <c r="H141" s="19">
        <f>SUMIFS('Data Additive'!$D:$D,'Data Additive'!$P:$P,'Painel Additive'!#REF!,'Data Additive'!$Q:$Q,"&gt;30",'Data Additive'!$Q:$Q,"&lt;=60")</f>
        <v>0</v>
      </c>
      <c r="I141" s="19">
        <f>SUMIFS('Data Additive'!$D:$D,'Data Additive'!$P:$P,'Painel Additive'!#REF!,'Data Additive'!$Q:$Q,"&gt;60",'Data Additive'!$Q:$Q,"&lt;=90")</f>
        <v>0</v>
      </c>
      <c r="J141" s="19">
        <f>SUMIFS('Data Additive'!$D:$D,'Data Additive'!$P:$P,'Painel Additive'!#REF!,'Data Additive'!$Q:$Q,"&gt;90",'Data Additive'!$Q:$Q,"&lt;=120")</f>
        <v>0</v>
      </c>
      <c r="K141" s="19">
        <f>SUMIFS('Data Additive'!$D:$D,'Data Additive'!$P:$P,'Painel Additive'!#REF!,'Data Additive'!$Q:$Q,"&gt;120",'Data Additive'!$Q:$Q,"&lt;=180")</f>
        <v>0</v>
      </c>
      <c r="L141" s="19">
        <f>SUMIFS('Data Additive'!$D:$D,'Data Additive'!$P:$P,'Painel Additive'!#REF!,'Data Additive'!$Q:$Q,"&gt;180",'Data Additive'!$Q:$Q,"&lt;=360")</f>
        <v>0</v>
      </c>
      <c r="M141" s="23">
        <f>SUMIFS('Data Additive'!$D:$D,'Data Additive'!$P:$P,'Painel Additive'!#REF!,'Data Additive'!$Q:$Q,"&gt;360")</f>
        <v>0</v>
      </c>
      <c r="N141" s="19">
        <f>SUMIFS('Data Additive'!$D:$D,'Data Additive'!$P:$P,'Painel Additive'!#REF!,'Data Additive'!$Q:$Q,"&gt;0")</f>
        <v>0</v>
      </c>
      <c r="O141" s="19">
        <f t="shared" si="20"/>
        <v>0</v>
      </c>
      <c r="P141" s="19">
        <f>SUMIFS('Data Additive'!$D:$D,'Data Additive'!$P:$P,'Painel Additive'!#REF!,'Data Additive'!$Q:$Q,"&lt;=0",'Data Additive'!$Q:$Q,"&gt;=-30")</f>
        <v>0</v>
      </c>
      <c r="Q141" s="19">
        <f>SUMIFS('Data Additive'!$D:$D,'Data Additive'!$P:$P,'Painel Additive'!#REF!,'Data Additive'!$Q:$Q,"&lt;=-31",'Data Additive'!$Q:$Q,"&gt;=-60")</f>
        <v>0</v>
      </c>
      <c r="R141" s="19">
        <f>SUMIFS('Data Additive'!$D:$D,'Data Additive'!$P:$P,'Painel Additive'!#REF!,'Data Additive'!$Q:$Q,"&lt;=-61",'Data Additive'!$Q:$Q,"&gt;=-90")</f>
        <v>0</v>
      </c>
      <c r="S141" s="19">
        <f>SUMIFS('Data Additive'!$D:$D,'Data Additive'!$P:$P,'Painel Additive'!#REF!,'Data Additive'!$Q:$Q,"&lt;=-91",'Data Additive'!$Q:$Q,"&gt;=-120")</f>
        <v>0</v>
      </c>
      <c r="T141" s="19">
        <f>SUMIFS('Data Additive'!$D:$D,'Data Additive'!$P:$P,'Painel Additive'!#REF!,'Data Additive'!$Q:$Q,"&lt;=-121",'Data Additive'!$Q:$Q,"&gt;=-180")</f>
        <v>0</v>
      </c>
      <c r="U141" s="19">
        <f>SUMIFS('Data Additive'!$D:$D,'Data Additive'!$P:$P,'Painel Additive'!#REF!,'Data Additive'!$Q:$Q,"&lt;=-181",'Data Additive'!$Q:$Q,"&gt;=-360")</f>
        <v>0</v>
      </c>
      <c r="V141" s="23">
        <f>SUMIFS('Data Additive'!$D:$D,'Data Additive'!$P:$P,'Painel Additive'!#REF!,'Data Additive'!$Q:$Q,"&lt;-360")</f>
        <v>0</v>
      </c>
      <c r="W141" s="19" t="e">
        <f>SUMIFS('Bad Debt Provision'!#REF!,'Bad Debt Provision'!#REF!,'Painel Additive'!#REF!)</f>
        <v>#REF!</v>
      </c>
      <c r="X141" s="5"/>
      <c r="Y141" s="20"/>
      <c r="Z141" s="20"/>
      <c r="AA141" s="21"/>
      <c r="AB141" s="5"/>
      <c r="AC141" s="19"/>
      <c r="AD141" s="20"/>
      <c r="AE141" s="22"/>
      <c r="AF141" s="22"/>
      <c r="AG141" s="5"/>
      <c r="AH141" s="28">
        <f t="shared" si="21"/>
        <v>0</v>
      </c>
    </row>
    <row r="142" spans="2:34" x14ac:dyDescent="0.25">
      <c r="B142" s="17" t="s">
        <v>303</v>
      </c>
      <c r="C142" s="93" cm="1">
        <f t="array" ref="C142">IFERROR(INDEX('Limite de crédito'!$D:$D, MATCH(MAX(IF('Limite de crédito'!$C:$C=$B142, 'Limite de crédito'!$A:$A)), 'Limite de crédito'!$A:$A, 0)),"")</f>
        <v>45837</v>
      </c>
      <c r="D142" s="18" t="str" cm="1">
        <f t="array" ref="D142">IFERROR(INDEX('Limite de crédito'!$F:$F, MATCH(MAX(IF('Limite de crédito'!$C:$C=$B142, 'Limite de crédito'!$A:$A)), 'Limite de crédito'!$A:$A, 0)),0)</f>
        <v>Sim</v>
      </c>
      <c r="E142" s="18" t="e">
        <f t="shared" si="18"/>
        <v>#VALUE!</v>
      </c>
      <c r="F142" s="18">
        <f t="shared" si="19"/>
        <v>0</v>
      </c>
      <c r="G142" s="19">
        <f>SUMIFS('Data Additive'!$D:$D,'Data Additive'!$P:$P,'Painel Additive'!#REF!,'Data Additive'!$Q:$Q,"&gt;0",'Data Additive'!$Q:$Q,"&lt;=30")</f>
        <v>0</v>
      </c>
      <c r="H142" s="19">
        <f>SUMIFS('Data Additive'!$D:$D,'Data Additive'!$P:$P,'Painel Additive'!#REF!,'Data Additive'!$Q:$Q,"&gt;30",'Data Additive'!$Q:$Q,"&lt;=60")</f>
        <v>0</v>
      </c>
      <c r="I142" s="19">
        <f>SUMIFS('Data Additive'!$D:$D,'Data Additive'!$P:$P,'Painel Additive'!#REF!,'Data Additive'!$Q:$Q,"&gt;60",'Data Additive'!$Q:$Q,"&lt;=90")</f>
        <v>0</v>
      </c>
      <c r="J142" s="19">
        <f>SUMIFS('Data Additive'!$D:$D,'Data Additive'!$P:$P,'Painel Additive'!#REF!,'Data Additive'!$Q:$Q,"&gt;90",'Data Additive'!$Q:$Q,"&lt;=120")</f>
        <v>0</v>
      </c>
      <c r="K142" s="19">
        <f>SUMIFS('Data Additive'!$D:$D,'Data Additive'!$P:$P,'Painel Additive'!#REF!,'Data Additive'!$Q:$Q,"&gt;120",'Data Additive'!$Q:$Q,"&lt;=180")</f>
        <v>0</v>
      </c>
      <c r="L142" s="19">
        <f>SUMIFS('Data Additive'!$D:$D,'Data Additive'!$P:$P,'Painel Additive'!#REF!,'Data Additive'!$Q:$Q,"&gt;180",'Data Additive'!$Q:$Q,"&lt;=360")</f>
        <v>0</v>
      </c>
      <c r="M142" s="23">
        <f>SUMIFS('Data Additive'!$D:$D,'Data Additive'!$P:$P,'Painel Additive'!#REF!,'Data Additive'!$Q:$Q,"&gt;360")</f>
        <v>0</v>
      </c>
      <c r="N142" s="19">
        <f>SUMIFS('Data Additive'!$D:$D,'Data Additive'!$P:$P,'Painel Additive'!#REF!,'Data Additive'!$Q:$Q,"&gt;0")</f>
        <v>0</v>
      </c>
      <c r="O142" s="19">
        <f t="shared" si="20"/>
        <v>0</v>
      </c>
      <c r="P142" s="19">
        <f>SUMIFS('Data Additive'!$D:$D,'Data Additive'!$P:$P,'Painel Additive'!#REF!,'Data Additive'!$Q:$Q,"&lt;=0",'Data Additive'!$Q:$Q,"&gt;=-30")</f>
        <v>0</v>
      </c>
      <c r="Q142" s="19">
        <f>SUMIFS('Data Additive'!$D:$D,'Data Additive'!$P:$P,'Painel Additive'!#REF!,'Data Additive'!$Q:$Q,"&lt;=-31",'Data Additive'!$Q:$Q,"&gt;=-60")</f>
        <v>0</v>
      </c>
      <c r="R142" s="19">
        <f>SUMIFS('Data Additive'!$D:$D,'Data Additive'!$P:$P,'Painel Additive'!#REF!,'Data Additive'!$Q:$Q,"&lt;=-61",'Data Additive'!$Q:$Q,"&gt;=-90")</f>
        <v>0</v>
      </c>
      <c r="S142" s="19">
        <f>SUMIFS('Data Additive'!$D:$D,'Data Additive'!$P:$P,'Painel Additive'!#REF!,'Data Additive'!$Q:$Q,"&lt;=-91",'Data Additive'!$Q:$Q,"&gt;=-120")</f>
        <v>0</v>
      </c>
      <c r="T142" s="19">
        <f>SUMIFS('Data Additive'!$D:$D,'Data Additive'!$P:$P,'Painel Additive'!#REF!,'Data Additive'!$Q:$Q,"&lt;=-121",'Data Additive'!$Q:$Q,"&gt;=-180")</f>
        <v>0</v>
      </c>
      <c r="U142" s="19">
        <f>SUMIFS('Data Additive'!$D:$D,'Data Additive'!$P:$P,'Painel Additive'!#REF!,'Data Additive'!$Q:$Q,"&lt;=-181",'Data Additive'!$Q:$Q,"&gt;=-360")</f>
        <v>0</v>
      </c>
      <c r="V142" s="23">
        <f>SUMIFS('Data Additive'!$D:$D,'Data Additive'!$P:$P,'Painel Additive'!#REF!,'Data Additive'!$Q:$Q,"&lt;-360")</f>
        <v>0</v>
      </c>
      <c r="W142" s="19" t="e">
        <f>SUMIFS('Bad Debt Provision'!#REF!,'Bad Debt Provision'!#REF!,'Painel Additive'!#REF!)</f>
        <v>#REF!</v>
      </c>
      <c r="X142" s="5"/>
      <c r="Y142" s="20"/>
      <c r="Z142" s="20"/>
      <c r="AA142" s="21"/>
      <c r="AB142" s="5"/>
      <c r="AC142" s="19"/>
      <c r="AD142" s="20"/>
      <c r="AE142" s="22"/>
      <c r="AF142" s="22"/>
      <c r="AG142" s="5"/>
      <c r="AH142" s="28">
        <f t="shared" si="21"/>
        <v>0</v>
      </c>
    </row>
    <row r="143" spans="2:34" x14ac:dyDescent="0.25">
      <c r="B143" s="17" t="s">
        <v>304</v>
      </c>
      <c r="C143" s="93" t="str" cm="1">
        <f t="array" ref="C143">IFERROR(INDEX('Limite de crédito'!$D:$D, MATCH(MAX(IF('Limite de crédito'!$C:$C=$B143, 'Limite de crédito'!$A:$A)), 'Limite de crédito'!$A:$A, 0)),"")</f>
        <v/>
      </c>
      <c r="D143" s="18" cm="1">
        <f t="array" ref="D143">IFERROR(INDEX('Limite de crédito'!$F:$F, MATCH(MAX(IF('Limite de crédito'!$C:$C=$B143, 'Limite de crédito'!$A:$A)), 'Limite de crédito'!$A:$A, 0)),0)</f>
        <v>0</v>
      </c>
      <c r="E143" s="18">
        <f t="shared" si="18"/>
        <v>0</v>
      </c>
      <c r="F143" s="18">
        <f t="shared" si="19"/>
        <v>0</v>
      </c>
      <c r="G143" s="19">
        <f>SUMIFS('Data Additive'!$D:$D,'Data Additive'!$P:$P,'Painel Additive'!#REF!,'Data Additive'!$Q:$Q,"&gt;0",'Data Additive'!$Q:$Q,"&lt;=30")</f>
        <v>0</v>
      </c>
      <c r="H143" s="19">
        <f>SUMIFS('Data Additive'!$D:$D,'Data Additive'!$P:$P,'Painel Additive'!#REF!,'Data Additive'!$Q:$Q,"&gt;30",'Data Additive'!$Q:$Q,"&lt;=60")</f>
        <v>0</v>
      </c>
      <c r="I143" s="19">
        <f>SUMIFS('Data Additive'!$D:$D,'Data Additive'!$P:$P,'Painel Additive'!#REF!,'Data Additive'!$Q:$Q,"&gt;60",'Data Additive'!$Q:$Q,"&lt;=90")</f>
        <v>0</v>
      </c>
      <c r="J143" s="19">
        <f>SUMIFS('Data Additive'!$D:$D,'Data Additive'!$P:$P,'Painel Additive'!#REF!,'Data Additive'!$Q:$Q,"&gt;90",'Data Additive'!$Q:$Q,"&lt;=120")</f>
        <v>0</v>
      </c>
      <c r="K143" s="19">
        <f>SUMIFS('Data Additive'!$D:$D,'Data Additive'!$P:$P,'Painel Additive'!#REF!,'Data Additive'!$Q:$Q,"&gt;120",'Data Additive'!$Q:$Q,"&lt;=180")</f>
        <v>0</v>
      </c>
      <c r="L143" s="19">
        <f>SUMIFS('Data Additive'!$D:$D,'Data Additive'!$P:$P,'Painel Additive'!#REF!,'Data Additive'!$Q:$Q,"&gt;180",'Data Additive'!$Q:$Q,"&lt;=360")</f>
        <v>0</v>
      </c>
      <c r="M143" s="23">
        <f>SUMIFS('Data Additive'!$D:$D,'Data Additive'!$P:$P,'Painel Additive'!#REF!,'Data Additive'!$Q:$Q,"&gt;360")</f>
        <v>0</v>
      </c>
      <c r="N143" s="19">
        <f>SUMIFS('Data Additive'!$D:$D,'Data Additive'!$P:$P,'Painel Additive'!#REF!,'Data Additive'!$Q:$Q,"&gt;0")</f>
        <v>0</v>
      </c>
      <c r="O143" s="19">
        <f t="shared" si="20"/>
        <v>0</v>
      </c>
      <c r="P143" s="19">
        <f>SUMIFS('Data Additive'!$D:$D,'Data Additive'!$P:$P,'Painel Additive'!#REF!,'Data Additive'!$Q:$Q,"&lt;=0",'Data Additive'!$Q:$Q,"&gt;=-30")</f>
        <v>0</v>
      </c>
      <c r="Q143" s="19">
        <f>SUMIFS('Data Additive'!$D:$D,'Data Additive'!$P:$P,'Painel Additive'!#REF!,'Data Additive'!$Q:$Q,"&lt;=-31",'Data Additive'!$Q:$Q,"&gt;=-60")</f>
        <v>0</v>
      </c>
      <c r="R143" s="19">
        <f>SUMIFS('Data Additive'!$D:$D,'Data Additive'!$P:$P,'Painel Additive'!#REF!,'Data Additive'!$Q:$Q,"&lt;=-61",'Data Additive'!$Q:$Q,"&gt;=-90")</f>
        <v>0</v>
      </c>
      <c r="S143" s="19">
        <f>SUMIFS('Data Additive'!$D:$D,'Data Additive'!$P:$P,'Painel Additive'!#REF!,'Data Additive'!$Q:$Q,"&lt;=-91",'Data Additive'!$Q:$Q,"&gt;=-120")</f>
        <v>0</v>
      </c>
      <c r="T143" s="19">
        <f>SUMIFS('Data Additive'!$D:$D,'Data Additive'!$P:$P,'Painel Additive'!#REF!,'Data Additive'!$Q:$Q,"&lt;=-121",'Data Additive'!$Q:$Q,"&gt;=-180")</f>
        <v>0</v>
      </c>
      <c r="U143" s="19">
        <f>SUMIFS('Data Additive'!$D:$D,'Data Additive'!$P:$P,'Painel Additive'!#REF!,'Data Additive'!$Q:$Q,"&lt;=-181",'Data Additive'!$Q:$Q,"&gt;=-360")</f>
        <v>0</v>
      </c>
      <c r="V143" s="23">
        <f>SUMIFS('Data Additive'!$D:$D,'Data Additive'!$P:$P,'Painel Additive'!#REF!,'Data Additive'!$Q:$Q,"&lt;-360")</f>
        <v>0</v>
      </c>
      <c r="W143" s="19" t="e">
        <f>SUMIFS('Bad Debt Provision'!#REF!,'Bad Debt Provision'!#REF!,'Painel Additive'!#REF!)</f>
        <v>#REF!</v>
      </c>
      <c r="X143" s="5"/>
      <c r="Y143" s="20"/>
      <c r="Z143" s="20"/>
      <c r="AA143" s="21"/>
      <c r="AB143" s="5"/>
      <c r="AC143" s="19"/>
      <c r="AD143" s="20"/>
      <c r="AE143" s="22"/>
      <c r="AF143" s="22"/>
      <c r="AG143" s="5"/>
      <c r="AH143" s="28">
        <f t="shared" si="21"/>
        <v>0</v>
      </c>
    </row>
    <row r="144" spans="2:34" x14ac:dyDescent="0.25">
      <c r="B144" s="17" t="s">
        <v>296</v>
      </c>
      <c r="C144" s="93" cm="1">
        <f t="array" ref="C144">IFERROR(INDEX('Limite de crédito'!$D:$D, MATCH(MAX(IF('Limite de crédito'!$C:$C=$B144, 'Limite de crédito'!$A:$A)), 'Limite de crédito'!$A:$A, 0)),"")</f>
        <v>45820</v>
      </c>
      <c r="D144" s="18" t="str" cm="1">
        <f t="array" ref="D144">IFERROR(INDEX('Limite de crédito'!$F:$F, MATCH(MAX(IF('Limite de crédito'!$C:$C=$B144, 'Limite de crédito'!$A:$A)), 'Limite de crédito'!$A:$A, 0)),0)</f>
        <v>Sim</v>
      </c>
      <c r="E144" s="18" t="e">
        <f t="shared" si="18"/>
        <v>#VALUE!</v>
      </c>
      <c r="F144" s="18">
        <f t="shared" si="19"/>
        <v>0</v>
      </c>
      <c r="G144" s="19">
        <f>SUMIFS('Data Additive'!$D:$D,'Data Additive'!$P:$P,'Painel Additive'!#REF!,'Data Additive'!$Q:$Q,"&gt;0",'Data Additive'!$Q:$Q,"&lt;=30")</f>
        <v>0</v>
      </c>
      <c r="H144" s="19">
        <f>SUMIFS('Data Additive'!$D:$D,'Data Additive'!$P:$P,'Painel Additive'!#REF!,'Data Additive'!$Q:$Q,"&gt;30",'Data Additive'!$Q:$Q,"&lt;=60")</f>
        <v>0</v>
      </c>
      <c r="I144" s="19">
        <f>SUMIFS('Data Additive'!$D:$D,'Data Additive'!$P:$P,'Painel Additive'!#REF!,'Data Additive'!$Q:$Q,"&gt;60",'Data Additive'!$Q:$Q,"&lt;=90")</f>
        <v>0</v>
      </c>
      <c r="J144" s="19">
        <f>SUMIFS('Data Additive'!$D:$D,'Data Additive'!$P:$P,'Painel Additive'!#REF!,'Data Additive'!$Q:$Q,"&gt;90",'Data Additive'!$Q:$Q,"&lt;=120")</f>
        <v>0</v>
      </c>
      <c r="K144" s="19">
        <f>SUMIFS('Data Additive'!$D:$D,'Data Additive'!$P:$P,'Painel Additive'!#REF!,'Data Additive'!$Q:$Q,"&gt;120",'Data Additive'!$Q:$Q,"&lt;=180")</f>
        <v>0</v>
      </c>
      <c r="L144" s="19">
        <f>SUMIFS('Data Additive'!$D:$D,'Data Additive'!$P:$P,'Painel Additive'!#REF!,'Data Additive'!$Q:$Q,"&gt;180",'Data Additive'!$Q:$Q,"&lt;=360")</f>
        <v>0</v>
      </c>
      <c r="M144" s="23">
        <f>SUMIFS('Data Additive'!$D:$D,'Data Additive'!$P:$P,'Painel Additive'!#REF!,'Data Additive'!$Q:$Q,"&gt;360")</f>
        <v>0</v>
      </c>
      <c r="N144" s="19">
        <f>SUMIFS('Data Additive'!$D:$D,'Data Additive'!$P:$P,'Painel Additive'!#REF!,'Data Additive'!$Q:$Q,"&gt;0")</f>
        <v>0</v>
      </c>
      <c r="O144" s="19">
        <f t="shared" si="20"/>
        <v>0</v>
      </c>
      <c r="P144" s="19">
        <f>SUMIFS('Data Additive'!$D:$D,'Data Additive'!$P:$P,'Painel Additive'!#REF!,'Data Additive'!$Q:$Q,"&lt;=0",'Data Additive'!$Q:$Q,"&gt;=-30")</f>
        <v>0</v>
      </c>
      <c r="Q144" s="19">
        <f>SUMIFS('Data Additive'!$D:$D,'Data Additive'!$P:$P,'Painel Additive'!#REF!,'Data Additive'!$Q:$Q,"&lt;=-31",'Data Additive'!$Q:$Q,"&gt;=-60")</f>
        <v>0</v>
      </c>
      <c r="R144" s="19">
        <f>SUMIFS('Data Additive'!$D:$D,'Data Additive'!$P:$P,'Painel Additive'!#REF!,'Data Additive'!$Q:$Q,"&lt;=-61",'Data Additive'!$Q:$Q,"&gt;=-90")</f>
        <v>0</v>
      </c>
      <c r="S144" s="19">
        <f>SUMIFS('Data Additive'!$D:$D,'Data Additive'!$P:$P,'Painel Additive'!#REF!,'Data Additive'!$Q:$Q,"&lt;=-91",'Data Additive'!$Q:$Q,"&gt;=-120")</f>
        <v>0</v>
      </c>
      <c r="T144" s="19">
        <f>SUMIFS('Data Additive'!$D:$D,'Data Additive'!$P:$P,'Painel Additive'!#REF!,'Data Additive'!$Q:$Q,"&lt;=-121",'Data Additive'!$Q:$Q,"&gt;=-180")</f>
        <v>0</v>
      </c>
      <c r="U144" s="19">
        <f>SUMIFS('Data Additive'!$D:$D,'Data Additive'!$P:$P,'Painel Additive'!#REF!,'Data Additive'!$Q:$Q,"&lt;=-181",'Data Additive'!$Q:$Q,"&gt;=-360")</f>
        <v>0</v>
      </c>
      <c r="V144" s="23">
        <f>SUMIFS('Data Additive'!$D:$D,'Data Additive'!$P:$P,'Painel Additive'!#REF!,'Data Additive'!$Q:$Q,"&lt;-360")</f>
        <v>0</v>
      </c>
      <c r="W144" s="19" t="e">
        <f>SUMIFS('Bad Debt Provision'!#REF!,'Bad Debt Provision'!#REF!,'Painel Additive'!#REF!)</f>
        <v>#REF!</v>
      </c>
      <c r="X144" s="5"/>
      <c r="Y144" s="20"/>
      <c r="Z144" s="20"/>
      <c r="AA144" s="21"/>
      <c r="AB144" s="5"/>
      <c r="AC144" s="19"/>
      <c r="AD144" s="20"/>
      <c r="AE144" s="22"/>
      <c r="AF144" s="22"/>
      <c r="AG144" s="5"/>
      <c r="AH144" s="28">
        <f t="shared" si="21"/>
        <v>0</v>
      </c>
    </row>
    <row r="145" spans="2:35" x14ac:dyDescent="0.25">
      <c r="B145" s="17" t="s">
        <v>306</v>
      </c>
      <c r="C145" s="93" t="str" cm="1">
        <f t="array" ref="C145">IFERROR(INDEX('Limite de crédito'!$D:$D, MATCH(MAX(IF('Limite de crédito'!$C:$C=$B145, 'Limite de crédito'!$A:$A)), 'Limite de crédito'!$A:$A, 0)),"")</f>
        <v/>
      </c>
      <c r="D145" s="18" cm="1">
        <f t="array" ref="D145">IFERROR(INDEX('Limite de crédito'!$F:$F, MATCH(MAX(IF('Limite de crédito'!$C:$C=$B145, 'Limite de crédito'!$A:$A)), 'Limite de crédito'!$A:$A, 0)),0)</f>
        <v>0</v>
      </c>
      <c r="E145" s="18">
        <f t="shared" si="18"/>
        <v>0</v>
      </c>
      <c r="F145" s="18">
        <f t="shared" si="19"/>
        <v>0</v>
      </c>
      <c r="G145" s="19">
        <f>SUMIFS('Data Additive'!$D:$D,'Data Additive'!$P:$P,'Painel Additive'!#REF!,'Data Additive'!$Q:$Q,"&gt;0",'Data Additive'!$Q:$Q,"&lt;=30")</f>
        <v>0</v>
      </c>
      <c r="H145" s="19">
        <f>SUMIFS('Data Additive'!$D:$D,'Data Additive'!$P:$P,'Painel Additive'!#REF!,'Data Additive'!$Q:$Q,"&gt;30",'Data Additive'!$Q:$Q,"&lt;=60")</f>
        <v>0</v>
      </c>
      <c r="I145" s="19">
        <f>SUMIFS('Data Additive'!$D:$D,'Data Additive'!$P:$P,'Painel Additive'!#REF!,'Data Additive'!$Q:$Q,"&gt;60",'Data Additive'!$Q:$Q,"&lt;=90")</f>
        <v>0</v>
      </c>
      <c r="J145" s="19">
        <f>SUMIFS('Data Additive'!$D:$D,'Data Additive'!$P:$P,'Painel Additive'!#REF!,'Data Additive'!$Q:$Q,"&gt;90",'Data Additive'!$Q:$Q,"&lt;=120")</f>
        <v>0</v>
      </c>
      <c r="K145" s="19">
        <f>SUMIFS('Data Additive'!$D:$D,'Data Additive'!$P:$P,'Painel Additive'!#REF!,'Data Additive'!$Q:$Q,"&gt;120",'Data Additive'!$Q:$Q,"&lt;=180")</f>
        <v>0</v>
      </c>
      <c r="L145" s="19">
        <f>SUMIFS('Data Additive'!$D:$D,'Data Additive'!$P:$P,'Painel Additive'!#REF!,'Data Additive'!$Q:$Q,"&gt;180",'Data Additive'!$Q:$Q,"&lt;=360")</f>
        <v>0</v>
      </c>
      <c r="M145" s="23">
        <f>SUMIFS('Data Additive'!$D:$D,'Data Additive'!$P:$P,'Painel Additive'!#REF!,'Data Additive'!$Q:$Q,"&gt;360")</f>
        <v>0</v>
      </c>
      <c r="N145" s="19">
        <f>SUMIFS('Data Additive'!$D:$D,'Data Additive'!$P:$P,'Painel Additive'!#REF!,'Data Additive'!$Q:$Q,"&gt;0")</f>
        <v>0</v>
      </c>
      <c r="O145" s="19">
        <f t="shared" si="20"/>
        <v>0</v>
      </c>
      <c r="P145" s="19">
        <f>SUMIFS('Data Additive'!$D:$D,'Data Additive'!$P:$P,'Painel Additive'!#REF!,'Data Additive'!$Q:$Q,"&lt;=0",'Data Additive'!$Q:$Q,"&gt;=-30")</f>
        <v>0</v>
      </c>
      <c r="Q145" s="19">
        <f>SUMIFS('Data Additive'!$D:$D,'Data Additive'!$P:$P,'Painel Additive'!#REF!,'Data Additive'!$Q:$Q,"&lt;=-31",'Data Additive'!$Q:$Q,"&gt;=-60")</f>
        <v>0</v>
      </c>
      <c r="R145" s="19">
        <f>SUMIFS('Data Additive'!$D:$D,'Data Additive'!$P:$P,'Painel Additive'!#REF!,'Data Additive'!$Q:$Q,"&lt;=-61",'Data Additive'!$Q:$Q,"&gt;=-90")</f>
        <v>0</v>
      </c>
      <c r="S145" s="19">
        <f>SUMIFS('Data Additive'!$D:$D,'Data Additive'!$P:$P,'Painel Additive'!#REF!,'Data Additive'!$Q:$Q,"&lt;=-91",'Data Additive'!$Q:$Q,"&gt;=-120")</f>
        <v>0</v>
      </c>
      <c r="T145" s="19">
        <f>SUMIFS('Data Additive'!$D:$D,'Data Additive'!$P:$P,'Painel Additive'!#REF!,'Data Additive'!$Q:$Q,"&lt;=-121",'Data Additive'!$Q:$Q,"&gt;=-180")</f>
        <v>0</v>
      </c>
      <c r="U145" s="19">
        <f>SUMIFS('Data Additive'!$D:$D,'Data Additive'!$P:$P,'Painel Additive'!#REF!,'Data Additive'!$Q:$Q,"&lt;=-181",'Data Additive'!$Q:$Q,"&gt;=-360")</f>
        <v>0</v>
      </c>
      <c r="V145" s="23">
        <f>SUMIFS('Data Additive'!$D:$D,'Data Additive'!$P:$P,'Painel Additive'!#REF!,'Data Additive'!$Q:$Q,"&lt;-360")</f>
        <v>0</v>
      </c>
      <c r="W145" s="19" t="e">
        <f>SUMIFS('Bad Debt Provision'!#REF!,'Bad Debt Provision'!#REF!,'Painel Additive'!#REF!)</f>
        <v>#REF!</v>
      </c>
      <c r="X145" s="5"/>
      <c r="Y145" s="20"/>
      <c r="Z145" s="20"/>
      <c r="AA145" s="21"/>
      <c r="AB145" s="5"/>
      <c r="AC145" s="19"/>
      <c r="AD145" s="20"/>
      <c r="AE145" s="22"/>
      <c r="AF145" s="22"/>
      <c r="AG145" s="5"/>
      <c r="AH145" s="28">
        <f t="shared" si="21"/>
        <v>0</v>
      </c>
    </row>
    <row r="146" spans="2:35" x14ac:dyDescent="0.25">
      <c r="B146" s="17" t="s">
        <v>307</v>
      </c>
      <c r="C146" s="93" t="str" cm="1">
        <f t="array" ref="C146">IFERROR(INDEX('Limite de crédito'!$D:$D, MATCH(MAX(IF('Limite de crédito'!$C:$C=$B146, 'Limite de crédito'!$A:$A)), 'Limite de crédito'!$A:$A, 0)),"")</f>
        <v/>
      </c>
      <c r="D146" s="18" cm="1">
        <f t="array" ref="D146">IFERROR(INDEX('Limite de crédito'!$F:$F, MATCH(MAX(IF('Limite de crédito'!$C:$C=$B146, 'Limite de crédito'!$A:$A)), 'Limite de crédito'!$A:$A, 0)),0)</f>
        <v>0</v>
      </c>
      <c r="E146" s="18">
        <f t="shared" si="18"/>
        <v>0</v>
      </c>
      <c r="F146" s="18">
        <f t="shared" si="19"/>
        <v>0</v>
      </c>
      <c r="G146" s="19">
        <f>SUMIFS('Data Additive'!$D:$D,'Data Additive'!$P:$P,'Painel Additive'!#REF!,'Data Additive'!$Q:$Q,"&gt;0",'Data Additive'!$Q:$Q,"&lt;=30")</f>
        <v>0</v>
      </c>
      <c r="H146" s="19">
        <f>SUMIFS('Data Additive'!$D:$D,'Data Additive'!$P:$P,'Painel Additive'!#REF!,'Data Additive'!$Q:$Q,"&gt;30",'Data Additive'!$Q:$Q,"&lt;=60")</f>
        <v>0</v>
      </c>
      <c r="I146" s="19">
        <f>SUMIFS('Data Additive'!$D:$D,'Data Additive'!$P:$P,'Painel Additive'!#REF!,'Data Additive'!$Q:$Q,"&gt;60",'Data Additive'!$Q:$Q,"&lt;=90")</f>
        <v>0</v>
      </c>
      <c r="J146" s="19">
        <f>SUMIFS('Data Additive'!$D:$D,'Data Additive'!$P:$P,'Painel Additive'!#REF!,'Data Additive'!$Q:$Q,"&gt;90",'Data Additive'!$Q:$Q,"&lt;=120")</f>
        <v>0</v>
      </c>
      <c r="K146" s="19">
        <f>SUMIFS('Data Additive'!$D:$D,'Data Additive'!$P:$P,'Painel Additive'!#REF!,'Data Additive'!$Q:$Q,"&gt;120",'Data Additive'!$Q:$Q,"&lt;=180")</f>
        <v>0</v>
      </c>
      <c r="L146" s="19">
        <f>SUMIFS('Data Additive'!$D:$D,'Data Additive'!$P:$P,'Painel Additive'!#REF!,'Data Additive'!$Q:$Q,"&gt;180",'Data Additive'!$Q:$Q,"&lt;=360")</f>
        <v>0</v>
      </c>
      <c r="M146" s="23">
        <f>SUMIFS('Data Additive'!$D:$D,'Data Additive'!$P:$P,'Painel Additive'!#REF!,'Data Additive'!$Q:$Q,"&gt;360")</f>
        <v>0</v>
      </c>
      <c r="N146" s="19">
        <f>SUMIFS('Data Additive'!$D:$D,'Data Additive'!$P:$P,'Painel Additive'!#REF!,'Data Additive'!$Q:$Q,"&gt;0")</f>
        <v>0</v>
      </c>
      <c r="O146" s="19">
        <f t="shared" si="20"/>
        <v>0</v>
      </c>
      <c r="P146" s="19">
        <f>SUMIFS('Data Additive'!$D:$D,'Data Additive'!$P:$P,'Painel Additive'!#REF!,'Data Additive'!$Q:$Q,"&lt;=0",'Data Additive'!$Q:$Q,"&gt;=-30")</f>
        <v>0</v>
      </c>
      <c r="Q146" s="19">
        <f>SUMIFS('Data Additive'!$D:$D,'Data Additive'!$P:$P,'Painel Additive'!#REF!,'Data Additive'!$Q:$Q,"&lt;=-31",'Data Additive'!$Q:$Q,"&gt;=-60")</f>
        <v>0</v>
      </c>
      <c r="R146" s="19">
        <f>SUMIFS('Data Additive'!$D:$D,'Data Additive'!$P:$P,'Painel Additive'!#REF!,'Data Additive'!$Q:$Q,"&lt;=-61",'Data Additive'!$Q:$Q,"&gt;=-90")</f>
        <v>0</v>
      </c>
      <c r="S146" s="19">
        <f>SUMIFS('Data Additive'!$D:$D,'Data Additive'!$P:$P,'Painel Additive'!#REF!,'Data Additive'!$Q:$Q,"&lt;=-91",'Data Additive'!$Q:$Q,"&gt;=-120")</f>
        <v>0</v>
      </c>
      <c r="T146" s="19">
        <f>SUMIFS('Data Additive'!$D:$D,'Data Additive'!$P:$P,'Painel Additive'!#REF!,'Data Additive'!$Q:$Q,"&lt;=-121",'Data Additive'!$Q:$Q,"&gt;=-180")</f>
        <v>0</v>
      </c>
      <c r="U146" s="19">
        <f>SUMIFS('Data Additive'!$D:$D,'Data Additive'!$P:$P,'Painel Additive'!#REF!,'Data Additive'!$Q:$Q,"&lt;=-181",'Data Additive'!$Q:$Q,"&gt;=-360")</f>
        <v>0</v>
      </c>
      <c r="V146" s="23">
        <f>SUMIFS('Data Additive'!$D:$D,'Data Additive'!$P:$P,'Painel Additive'!#REF!,'Data Additive'!$Q:$Q,"&lt;-360")</f>
        <v>0</v>
      </c>
      <c r="W146" s="19" t="e">
        <f>SUMIFS('Bad Debt Provision'!#REF!,'Bad Debt Provision'!#REF!,'Painel Additive'!#REF!)</f>
        <v>#REF!</v>
      </c>
      <c r="X146" s="5"/>
      <c r="Y146" s="20"/>
      <c r="Z146" s="20"/>
      <c r="AA146" s="21"/>
      <c r="AB146" s="5"/>
      <c r="AC146" s="19"/>
      <c r="AD146" s="20"/>
      <c r="AE146" s="22"/>
      <c r="AF146" s="22"/>
      <c r="AG146" s="5"/>
      <c r="AH146" s="28">
        <f t="shared" si="21"/>
        <v>0</v>
      </c>
    </row>
    <row r="147" spans="2:35" x14ac:dyDescent="0.25">
      <c r="B147" s="17" t="s">
        <v>312</v>
      </c>
      <c r="C147" s="93" t="str" cm="1">
        <f t="array" ref="C147">IFERROR(INDEX('Limite de crédito'!$D:$D, MATCH(MAX(IF('Limite de crédito'!$C:$C=$B147, 'Limite de crédito'!$A:$A)), 'Limite de crédito'!$A:$A, 0)),"")</f>
        <v/>
      </c>
      <c r="D147" s="18" cm="1">
        <f t="array" ref="D147">IFERROR(INDEX('Limite de crédito'!$F:$F, MATCH(MAX(IF('Limite de crédito'!$C:$C=$B147, 'Limite de crédito'!$A:$A)), 'Limite de crédito'!$A:$A, 0)),0)</f>
        <v>0</v>
      </c>
      <c r="E147" s="18">
        <f t="shared" si="18"/>
        <v>0</v>
      </c>
      <c r="F147" s="18">
        <f t="shared" si="19"/>
        <v>0</v>
      </c>
      <c r="G147" s="19">
        <f>SUMIFS('Data Additive'!$D:$D,'Data Additive'!$P:$P,'Painel Additive'!#REF!,'Data Additive'!$Q:$Q,"&gt;0",'Data Additive'!$Q:$Q,"&lt;=30")</f>
        <v>0</v>
      </c>
      <c r="H147" s="19">
        <f>SUMIFS('Data Additive'!$D:$D,'Data Additive'!$P:$P,'Painel Additive'!#REF!,'Data Additive'!$Q:$Q,"&gt;30",'Data Additive'!$Q:$Q,"&lt;=60")</f>
        <v>0</v>
      </c>
      <c r="I147" s="19">
        <f>SUMIFS('Data Additive'!$D:$D,'Data Additive'!$P:$P,'Painel Additive'!#REF!,'Data Additive'!$Q:$Q,"&gt;60",'Data Additive'!$Q:$Q,"&lt;=90")</f>
        <v>0</v>
      </c>
      <c r="J147" s="19">
        <f>SUMIFS('Data Additive'!$D:$D,'Data Additive'!$P:$P,'Painel Additive'!#REF!,'Data Additive'!$Q:$Q,"&gt;90",'Data Additive'!$Q:$Q,"&lt;=120")</f>
        <v>0</v>
      </c>
      <c r="K147" s="19">
        <f>SUMIFS('Data Additive'!$D:$D,'Data Additive'!$P:$P,'Painel Additive'!#REF!,'Data Additive'!$Q:$Q,"&gt;120",'Data Additive'!$Q:$Q,"&lt;=180")</f>
        <v>0</v>
      </c>
      <c r="L147" s="19">
        <f>SUMIFS('Data Additive'!$D:$D,'Data Additive'!$P:$P,'Painel Additive'!#REF!,'Data Additive'!$Q:$Q,"&gt;180",'Data Additive'!$Q:$Q,"&lt;=360")</f>
        <v>0</v>
      </c>
      <c r="M147" s="23">
        <f>SUMIFS('Data Additive'!$D:$D,'Data Additive'!$P:$P,'Painel Additive'!#REF!,'Data Additive'!$Q:$Q,"&gt;360")</f>
        <v>0</v>
      </c>
      <c r="N147" s="19">
        <f>SUMIFS('Data Additive'!$D:$D,'Data Additive'!$P:$P,'Painel Additive'!#REF!,'Data Additive'!$Q:$Q,"&gt;0")</f>
        <v>0</v>
      </c>
      <c r="O147" s="19">
        <f t="shared" si="20"/>
        <v>0</v>
      </c>
      <c r="P147" s="19">
        <f>SUMIFS('Data Additive'!$D:$D,'Data Additive'!$P:$P,'Painel Additive'!#REF!,'Data Additive'!$Q:$Q,"&lt;=0",'Data Additive'!$Q:$Q,"&gt;=-30")</f>
        <v>0</v>
      </c>
      <c r="Q147" s="19">
        <f>SUMIFS('Data Additive'!$D:$D,'Data Additive'!$P:$P,'Painel Additive'!#REF!,'Data Additive'!$Q:$Q,"&lt;=-31",'Data Additive'!$Q:$Q,"&gt;=-60")</f>
        <v>0</v>
      </c>
      <c r="R147" s="19">
        <f>SUMIFS('Data Additive'!$D:$D,'Data Additive'!$P:$P,'Painel Additive'!#REF!,'Data Additive'!$Q:$Q,"&lt;=-61",'Data Additive'!$Q:$Q,"&gt;=-90")</f>
        <v>0</v>
      </c>
      <c r="S147" s="19">
        <f>SUMIFS('Data Additive'!$D:$D,'Data Additive'!$P:$P,'Painel Additive'!#REF!,'Data Additive'!$Q:$Q,"&lt;=-91",'Data Additive'!$Q:$Q,"&gt;=-120")</f>
        <v>0</v>
      </c>
      <c r="T147" s="19">
        <f>SUMIFS('Data Additive'!$D:$D,'Data Additive'!$P:$P,'Painel Additive'!#REF!,'Data Additive'!$Q:$Q,"&lt;=-121",'Data Additive'!$Q:$Q,"&gt;=-180")</f>
        <v>0</v>
      </c>
      <c r="U147" s="19">
        <f>SUMIFS('Data Additive'!$D:$D,'Data Additive'!$P:$P,'Painel Additive'!#REF!,'Data Additive'!$Q:$Q,"&lt;=-181",'Data Additive'!$Q:$Q,"&gt;=-360")</f>
        <v>0</v>
      </c>
      <c r="V147" s="23">
        <f>SUMIFS('Data Additive'!$D:$D,'Data Additive'!$P:$P,'Painel Additive'!#REF!,'Data Additive'!$Q:$Q,"&lt;-360")</f>
        <v>0</v>
      </c>
      <c r="W147" s="19" t="e">
        <f>SUMIFS('Bad Debt Provision'!#REF!,'Bad Debt Provision'!#REF!,'Painel Additive'!#REF!)</f>
        <v>#REF!</v>
      </c>
      <c r="X147" s="5"/>
      <c r="Y147" s="20"/>
      <c r="Z147" s="20"/>
      <c r="AA147" s="21"/>
      <c r="AB147" s="5"/>
      <c r="AC147" s="19"/>
      <c r="AD147" s="20"/>
      <c r="AE147" s="22"/>
      <c r="AF147" s="22"/>
      <c r="AG147" s="5"/>
      <c r="AH147" s="28">
        <f t="shared" si="21"/>
        <v>0</v>
      </c>
    </row>
    <row r="148" spans="2:35" x14ac:dyDescent="0.25">
      <c r="B148" s="17" t="s">
        <v>313</v>
      </c>
      <c r="C148" s="93" t="str" cm="1">
        <f t="array" ref="C148">IFERROR(INDEX('Limite de crédito'!$D:$D, MATCH(MAX(IF('Limite de crédito'!$C:$C=$B148, 'Limite de crédito'!$A:$A)), 'Limite de crédito'!$A:$A, 0)),"")</f>
        <v/>
      </c>
      <c r="D148" s="18" cm="1">
        <f t="array" ref="D148">IFERROR(INDEX('Limite de crédito'!$F:$F, MATCH(MAX(IF('Limite de crédito'!$C:$C=$B148, 'Limite de crédito'!$A:$A)), 'Limite de crédito'!$A:$A, 0)),0)</f>
        <v>0</v>
      </c>
      <c r="E148" s="18">
        <f t="shared" si="18"/>
        <v>0</v>
      </c>
      <c r="F148" s="18">
        <f t="shared" si="19"/>
        <v>0</v>
      </c>
      <c r="G148" s="19">
        <f>SUMIFS('Data Additive'!$D:$D,'Data Additive'!$P:$P,'Painel Additive'!#REF!,'Data Additive'!$Q:$Q,"&gt;0",'Data Additive'!$Q:$Q,"&lt;=30")</f>
        <v>0</v>
      </c>
      <c r="H148" s="19">
        <f>SUMIFS('Data Additive'!$D:$D,'Data Additive'!$P:$P,'Painel Additive'!#REF!,'Data Additive'!$Q:$Q,"&gt;30",'Data Additive'!$Q:$Q,"&lt;=60")</f>
        <v>0</v>
      </c>
      <c r="I148" s="19">
        <f>SUMIFS('Data Additive'!$D:$D,'Data Additive'!$P:$P,'Painel Additive'!#REF!,'Data Additive'!$Q:$Q,"&gt;60",'Data Additive'!$Q:$Q,"&lt;=90")</f>
        <v>0</v>
      </c>
      <c r="J148" s="19">
        <f>SUMIFS('Data Additive'!$D:$D,'Data Additive'!$P:$P,'Painel Additive'!#REF!,'Data Additive'!$Q:$Q,"&gt;90",'Data Additive'!$Q:$Q,"&lt;=120")</f>
        <v>0</v>
      </c>
      <c r="K148" s="19">
        <f>SUMIFS('Data Additive'!$D:$D,'Data Additive'!$P:$P,'Painel Additive'!#REF!,'Data Additive'!$Q:$Q,"&gt;120",'Data Additive'!$Q:$Q,"&lt;=180")</f>
        <v>0</v>
      </c>
      <c r="L148" s="19">
        <f>SUMIFS('Data Additive'!$D:$D,'Data Additive'!$P:$P,'Painel Additive'!#REF!,'Data Additive'!$Q:$Q,"&gt;180",'Data Additive'!$Q:$Q,"&lt;=360")</f>
        <v>0</v>
      </c>
      <c r="M148" s="23">
        <f>SUMIFS('Data Additive'!$D:$D,'Data Additive'!$P:$P,'Painel Additive'!#REF!,'Data Additive'!$Q:$Q,"&gt;360")</f>
        <v>0</v>
      </c>
      <c r="N148" s="19">
        <f>SUMIFS('Data Additive'!$D:$D,'Data Additive'!$P:$P,'Painel Additive'!#REF!,'Data Additive'!$Q:$Q,"&gt;0")</f>
        <v>0</v>
      </c>
      <c r="O148" s="19">
        <f t="shared" si="20"/>
        <v>0</v>
      </c>
      <c r="P148" s="19">
        <f>SUMIFS('Data Additive'!$D:$D,'Data Additive'!$P:$P,'Painel Additive'!#REF!,'Data Additive'!$Q:$Q,"&lt;=0",'Data Additive'!$Q:$Q,"&gt;=-30")</f>
        <v>0</v>
      </c>
      <c r="Q148" s="19">
        <f>SUMIFS('Data Additive'!$D:$D,'Data Additive'!$P:$P,'Painel Additive'!#REF!,'Data Additive'!$Q:$Q,"&lt;=-31",'Data Additive'!$Q:$Q,"&gt;=-60")</f>
        <v>0</v>
      </c>
      <c r="R148" s="19">
        <f>SUMIFS('Data Additive'!$D:$D,'Data Additive'!$P:$P,'Painel Additive'!#REF!,'Data Additive'!$Q:$Q,"&lt;=-61",'Data Additive'!$Q:$Q,"&gt;=-90")</f>
        <v>0</v>
      </c>
      <c r="S148" s="19">
        <f>SUMIFS('Data Additive'!$D:$D,'Data Additive'!$P:$P,'Painel Additive'!#REF!,'Data Additive'!$Q:$Q,"&lt;=-91",'Data Additive'!$Q:$Q,"&gt;=-120")</f>
        <v>0</v>
      </c>
      <c r="T148" s="19">
        <f>SUMIFS('Data Additive'!$D:$D,'Data Additive'!$P:$P,'Painel Additive'!#REF!,'Data Additive'!$Q:$Q,"&lt;=-121",'Data Additive'!$Q:$Q,"&gt;=-180")</f>
        <v>0</v>
      </c>
      <c r="U148" s="19">
        <f>SUMIFS('Data Additive'!$D:$D,'Data Additive'!$P:$P,'Painel Additive'!#REF!,'Data Additive'!$Q:$Q,"&lt;=-181",'Data Additive'!$Q:$Q,"&gt;=-360")</f>
        <v>0</v>
      </c>
      <c r="V148" s="23">
        <f>SUMIFS('Data Additive'!$D:$D,'Data Additive'!$P:$P,'Painel Additive'!#REF!,'Data Additive'!$Q:$Q,"&lt;-360")</f>
        <v>0</v>
      </c>
      <c r="W148" s="19" t="e">
        <f>SUMIFS('Bad Debt Provision'!#REF!,'Bad Debt Provision'!#REF!,'Painel Additive'!#REF!)</f>
        <v>#REF!</v>
      </c>
      <c r="X148" s="5"/>
      <c r="Y148" s="20"/>
      <c r="Z148" s="20"/>
      <c r="AA148" s="21"/>
      <c r="AB148" s="5"/>
      <c r="AC148" s="19"/>
      <c r="AD148" s="20"/>
      <c r="AE148" s="22"/>
      <c r="AF148" s="22"/>
      <c r="AG148" s="5"/>
      <c r="AH148" s="28">
        <f t="shared" si="21"/>
        <v>0</v>
      </c>
    </row>
    <row r="149" spans="2:35" x14ac:dyDescent="0.25">
      <c r="B149" s="17" t="s">
        <v>321</v>
      </c>
      <c r="C149" s="93" t="str" cm="1">
        <f t="array" ref="C149">IFERROR(INDEX('Limite de crédito'!$D:$D, MATCH(MAX(IF('Limite de crédito'!$C:$C=$B149, 'Limite de crédito'!$A:$A)), 'Limite de crédito'!$A:$A, 0)),"")</f>
        <v/>
      </c>
      <c r="D149" s="18" cm="1">
        <f t="array" ref="D149">IFERROR(INDEX('Limite de crédito'!$F:$F, MATCH(MAX(IF('Limite de crédito'!$C:$C=$B149, 'Limite de crédito'!$A:$A)), 'Limite de crédito'!$A:$A, 0)),0)</f>
        <v>0</v>
      </c>
      <c r="E149" s="18">
        <f t="shared" si="18"/>
        <v>0</v>
      </c>
      <c r="F149" s="18">
        <f t="shared" si="19"/>
        <v>0</v>
      </c>
      <c r="G149" s="19">
        <f>SUMIFS('Data Additive'!$D:$D,'Data Additive'!$P:$P,'Painel Additive'!#REF!,'Data Additive'!$Q:$Q,"&gt;0",'Data Additive'!$Q:$Q,"&lt;=30")</f>
        <v>0</v>
      </c>
      <c r="H149" s="19">
        <f>SUMIFS('Data Additive'!$D:$D,'Data Additive'!$P:$P,'Painel Additive'!#REF!,'Data Additive'!$Q:$Q,"&gt;30",'Data Additive'!$Q:$Q,"&lt;=60")</f>
        <v>0</v>
      </c>
      <c r="I149" s="19">
        <f>SUMIFS('Data Additive'!$D:$D,'Data Additive'!$P:$P,'Painel Additive'!#REF!,'Data Additive'!$Q:$Q,"&gt;60",'Data Additive'!$Q:$Q,"&lt;=90")</f>
        <v>0</v>
      </c>
      <c r="J149" s="19">
        <f>SUMIFS('Data Additive'!$D:$D,'Data Additive'!$P:$P,'Painel Additive'!#REF!,'Data Additive'!$Q:$Q,"&gt;90",'Data Additive'!$Q:$Q,"&lt;=120")</f>
        <v>0</v>
      </c>
      <c r="K149" s="19">
        <f>SUMIFS('Data Additive'!$D:$D,'Data Additive'!$P:$P,'Painel Additive'!#REF!,'Data Additive'!$Q:$Q,"&gt;120",'Data Additive'!$Q:$Q,"&lt;=180")</f>
        <v>0</v>
      </c>
      <c r="L149" s="19">
        <f>SUMIFS('Data Additive'!$D:$D,'Data Additive'!$P:$P,'Painel Additive'!#REF!,'Data Additive'!$Q:$Q,"&gt;180",'Data Additive'!$Q:$Q,"&lt;=360")</f>
        <v>0</v>
      </c>
      <c r="M149" s="23">
        <f>SUMIFS('Data Additive'!$D:$D,'Data Additive'!$P:$P,'Painel Additive'!#REF!,'Data Additive'!$Q:$Q,"&gt;360")</f>
        <v>0</v>
      </c>
      <c r="N149" s="19">
        <f>SUMIFS('Data Additive'!$D:$D,'Data Additive'!$P:$P,'Painel Additive'!#REF!,'Data Additive'!$Q:$Q,"&gt;0")</f>
        <v>0</v>
      </c>
      <c r="O149" s="19">
        <f t="shared" si="20"/>
        <v>0</v>
      </c>
      <c r="P149" s="19">
        <f>SUMIFS('Data Additive'!$D:$D,'Data Additive'!$P:$P,'Painel Additive'!#REF!,'Data Additive'!$Q:$Q,"&lt;=0",'Data Additive'!$Q:$Q,"&gt;=-30")</f>
        <v>0</v>
      </c>
      <c r="Q149" s="19">
        <f>SUMIFS('Data Additive'!$D:$D,'Data Additive'!$P:$P,'Painel Additive'!#REF!,'Data Additive'!$Q:$Q,"&lt;=-31",'Data Additive'!$Q:$Q,"&gt;=-60")</f>
        <v>0</v>
      </c>
      <c r="R149" s="19">
        <f>SUMIFS('Data Additive'!$D:$D,'Data Additive'!$P:$P,'Painel Additive'!#REF!,'Data Additive'!$Q:$Q,"&lt;=-61",'Data Additive'!$Q:$Q,"&gt;=-90")</f>
        <v>0</v>
      </c>
      <c r="S149" s="19">
        <f>SUMIFS('Data Additive'!$D:$D,'Data Additive'!$P:$P,'Painel Additive'!#REF!,'Data Additive'!$Q:$Q,"&lt;=-91",'Data Additive'!$Q:$Q,"&gt;=-120")</f>
        <v>0</v>
      </c>
      <c r="T149" s="19">
        <f>SUMIFS('Data Additive'!$D:$D,'Data Additive'!$P:$P,'Painel Additive'!#REF!,'Data Additive'!$Q:$Q,"&lt;=-121",'Data Additive'!$Q:$Q,"&gt;=-180")</f>
        <v>0</v>
      </c>
      <c r="U149" s="19">
        <f>SUMIFS('Data Additive'!$D:$D,'Data Additive'!$P:$P,'Painel Additive'!#REF!,'Data Additive'!$Q:$Q,"&lt;=-181",'Data Additive'!$Q:$Q,"&gt;=-360")</f>
        <v>0</v>
      </c>
      <c r="V149" s="23">
        <f>SUMIFS('Data Additive'!$D:$D,'Data Additive'!$P:$P,'Painel Additive'!#REF!,'Data Additive'!$Q:$Q,"&lt;-360")</f>
        <v>0</v>
      </c>
      <c r="W149" s="19" t="e">
        <f>SUMIFS('Bad Debt Provision'!#REF!,'Bad Debt Provision'!#REF!,'Painel Additive'!#REF!)</f>
        <v>#REF!</v>
      </c>
      <c r="X149" s="5"/>
      <c r="Y149" s="20"/>
      <c r="Z149" s="20"/>
      <c r="AA149" s="21"/>
      <c r="AB149" s="5"/>
      <c r="AC149" s="19"/>
      <c r="AD149" s="20"/>
      <c r="AE149" s="22"/>
      <c r="AF149" s="22"/>
      <c r="AG149" s="5"/>
      <c r="AH149" s="28">
        <f t="shared" si="21"/>
        <v>0</v>
      </c>
    </row>
    <row r="150" spans="2:35" x14ac:dyDescent="0.25">
      <c r="B150" s="17" t="s">
        <v>322</v>
      </c>
      <c r="C150" s="93" t="str" cm="1">
        <f t="array" ref="C150">IFERROR(INDEX('Limite de crédito'!$D:$D, MATCH(MAX(IF('Limite de crédito'!$C:$C=$B150, 'Limite de crédito'!$A:$A)), 'Limite de crédito'!$A:$A, 0)),"")</f>
        <v/>
      </c>
      <c r="D150" s="18" cm="1">
        <f t="array" ref="D150">IFERROR(INDEX('Limite de crédito'!$F:$F, MATCH(MAX(IF('Limite de crédito'!$C:$C=$B150, 'Limite de crédito'!$A:$A)), 'Limite de crédito'!$A:$A, 0)),0)</f>
        <v>0</v>
      </c>
      <c r="E150" s="18">
        <f t="shared" si="18"/>
        <v>0</v>
      </c>
      <c r="F150" s="18">
        <f t="shared" si="19"/>
        <v>0</v>
      </c>
      <c r="G150" s="19">
        <f>SUMIFS('Data Additive'!$D:$D,'Data Additive'!$P:$P,'Painel Additive'!#REF!,'Data Additive'!$Q:$Q,"&gt;0",'Data Additive'!$Q:$Q,"&lt;=30")</f>
        <v>0</v>
      </c>
      <c r="H150" s="19">
        <f>SUMIFS('Data Additive'!$D:$D,'Data Additive'!$P:$P,'Painel Additive'!#REF!,'Data Additive'!$Q:$Q,"&gt;30",'Data Additive'!$Q:$Q,"&lt;=60")</f>
        <v>0</v>
      </c>
      <c r="I150" s="19">
        <f>SUMIFS('Data Additive'!$D:$D,'Data Additive'!$P:$P,'Painel Additive'!#REF!,'Data Additive'!$Q:$Q,"&gt;60",'Data Additive'!$Q:$Q,"&lt;=90")</f>
        <v>0</v>
      </c>
      <c r="J150" s="19">
        <f>SUMIFS('Data Additive'!$D:$D,'Data Additive'!$P:$P,'Painel Additive'!#REF!,'Data Additive'!$Q:$Q,"&gt;90",'Data Additive'!$Q:$Q,"&lt;=120")</f>
        <v>0</v>
      </c>
      <c r="K150" s="19">
        <f>SUMIFS('Data Additive'!$D:$D,'Data Additive'!$P:$P,'Painel Additive'!#REF!,'Data Additive'!$Q:$Q,"&gt;120",'Data Additive'!$Q:$Q,"&lt;=180")</f>
        <v>0</v>
      </c>
      <c r="L150" s="19">
        <f>SUMIFS('Data Additive'!$D:$D,'Data Additive'!$P:$P,'Painel Additive'!#REF!,'Data Additive'!$Q:$Q,"&gt;180",'Data Additive'!$Q:$Q,"&lt;=360")</f>
        <v>0</v>
      </c>
      <c r="M150" s="23">
        <f>SUMIFS('Data Additive'!$D:$D,'Data Additive'!$P:$P,'Painel Additive'!#REF!,'Data Additive'!$Q:$Q,"&gt;360")</f>
        <v>0</v>
      </c>
      <c r="N150" s="19">
        <f>SUMIFS('Data Additive'!$D:$D,'Data Additive'!$P:$P,'Painel Additive'!#REF!,'Data Additive'!$Q:$Q,"&gt;0")</f>
        <v>0</v>
      </c>
      <c r="O150" s="19">
        <f t="shared" si="20"/>
        <v>0</v>
      </c>
      <c r="P150" s="19">
        <f>SUMIFS('Data Additive'!$D:$D,'Data Additive'!$P:$P,'Painel Additive'!#REF!,'Data Additive'!$Q:$Q,"&lt;=0",'Data Additive'!$Q:$Q,"&gt;=-30")</f>
        <v>0</v>
      </c>
      <c r="Q150" s="19">
        <f>SUMIFS('Data Additive'!$D:$D,'Data Additive'!$P:$P,'Painel Additive'!#REF!,'Data Additive'!$Q:$Q,"&lt;=-31",'Data Additive'!$Q:$Q,"&gt;=-60")</f>
        <v>0</v>
      </c>
      <c r="R150" s="19">
        <f>SUMIFS('Data Additive'!$D:$D,'Data Additive'!$P:$P,'Painel Additive'!#REF!,'Data Additive'!$Q:$Q,"&lt;=-61",'Data Additive'!$Q:$Q,"&gt;=-90")</f>
        <v>0</v>
      </c>
      <c r="S150" s="19">
        <f>SUMIFS('Data Additive'!$D:$D,'Data Additive'!$P:$P,'Painel Additive'!#REF!,'Data Additive'!$Q:$Q,"&lt;=-91",'Data Additive'!$Q:$Q,"&gt;=-120")</f>
        <v>0</v>
      </c>
      <c r="T150" s="19">
        <f>SUMIFS('Data Additive'!$D:$D,'Data Additive'!$P:$P,'Painel Additive'!#REF!,'Data Additive'!$Q:$Q,"&lt;=-121",'Data Additive'!$Q:$Q,"&gt;=-180")</f>
        <v>0</v>
      </c>
      <c r="U150" s="19">
        <f>SUMIFS('Data Additive'!$D:$D,'Data Additive'!$P:$P,'Painel Additive'!#REF!,'Data Additive'!$Q:$Q,"&lt;=-181",'Data Additive'!$Q:$Q,"&gt;=-360")</f>
        <v>0</v>
      </c>
      <c r="V150" s="23">
        <f>SUMIFS('Data Additive'!$D:$D,'Data Additive'!$P:$P,'Painel Additive'!#REF!,'Data Additive'!$Q:$Q,"&lt;-360")</f>
        <v>0</v>
      </c>
      <c r="W150" s="19" t="e">
        <f>SUMIFS('Bad Debt Provision'!#REF!,'Bad Debt Provision'!#REF!,'Painel Additive'!#REF!)</f>
        <v>#REF!</v>
      </c>
      <c r="X150" s="5"/>
      <c r="Y150" s="20"/>
      <c r="Z150" s="20"/>
      <c r="AA150" s="21"/>
      <c r="AB150" s="5"/>
      <c r="AC150" s="19"/>
      <c r="AD150" s="20"/>
      <c r="AE150" s="22"/>
      <c r="AF150" s="22"/>
      <c r="AG150" s="5"/>
      <c r="AH150" s="28">
        <f t="shared" si="21"/>
        <v>0</v>
      </c>
    </row>
    <row r="151" spans="2:35" x14ac:dyDescent="0.25">
      <c r="B151" s="41" t="s">
        <v>323</v>
      </c>
      <c r="C151" s="94" t="str" cm="1">
        <f t="array" ref="C151">IFERROR(INDEX('Limite de crédito'!$D:$D, MATCH(MAX(IF('Limite de crédito'!$C:$C=$B151, 'Limite de crédito'!$A:$A)), 'Limite de crédito'!$A:$A, 0)),"")</f>
        <v/>
      </c>
      <c r="D151" s="18" cm="1">
        <f t="array" ref="D151">IFERROR(INDEX('Limite de crédito'!$F:$F, MATCH(MAX(IF('Limite de crédito'!$C:$C=$B151, 'Limite de crédito'!$A:$A)), 'Limite de crédito'!$A:$A, 0)),0)</f>
        <v>0</v>
      </c>
      <c r="E151" s="18">
        <f t="shared" si="18"/>
        <v>0</v>
      </c>
      <c r="F151" s="18">
        <f t="shared" si="19"/>
        <v>0</v>
      </c>
      <c r="G151" s="19">
        <f>SUMIFS('Data Additive'!$D:$D,'Data Additive'!$P:$P,'Painel Additive'!#REF!,'Data Additive'!$Q:$Q,"&gt;0",'Data Additive'!$Q:$Q,"&lt;=30")</f>
        <v>0</v>
      </c>
      <c r="H151" s="19">
        <f>SUMIFS('Data Additive'!$D:$D,'Data Additive'!$P:$P,'Painel Additive'!#REF!,'Data Additive'!$Q:$Q,"&gt;30",'Data Additive'!$Q:$Q,"&lt;=60")</f>
        <v>0</v>
      </c>
      <c r="I151" s="19">
        <f>SUMIFS('Data Additive'!$D:$D,'Data Additive'!$P:$P,'Painel Additive'!#REF!,'Data Additive'!$Q:$Q,"&gt;60",'Data Additive'!$Q:$Q,"&lt;=90")</f>
        <v>0</v>
      </c>
      <c r="J151" s="19">
        <f>SUMIFS('Data Additive'!$D:$D,'Data Additive'!$P:$P,'Painel Additive'!#REF!,'Data Additive'!$Q:$Q,"&gt;90",'Data Additive'!$Q:$Q,"&lt;=120")</f>
        <v>0</v>
      </c>
      <c r="K151" s="19">
        <f>SUMIFS('Data Additive'!$D:$D,'Data Additive'!$P:$P,'Painel Additive'!#REF!,'Data Additive'!$Q:$Q,"&gt;120",'Data Additive'!$Q:$Q,"&lt;=180")</f>
        <v>0</v>
      </c>
      <c r="L151" s="19">
        <f>SUMIFS('Data Additive'!$D:$D,'Data Additive'!$P:$P,'Painel Additive'!#REF!,'Data Additive'!$Q:$Q,"&gt;180",'Data Additive'!$Q:$Q,"&lt;=360")</f>
        <v>0</v>
      </c>
      <c r="M151" s="23">
        <f>SUMIFS('Data Additive'!$D:$D,'Data Additive'!$P:$P,'Painel Additive'!#REF!,'Data Additive'!$Q:$Q,"&gt;360")</f>
        <v>0</v>
      </c>
      <c r="N151" s="19">
        <f>SUMIFS('Data Additive'!$D:$D,'Data Additive'!$P:$P,'Painel Additive'!#REF!,'Data Additive'!$Q:$Q,"&gt;0")</f>
        <v>0</v>
      </c>
      <c r="O151" s="19">
        <f t="shared" si="20"/>
        <v>0</v>
      </c>
      <c r="P151" s="19">
        <f>SUMIFS('Data Additive'!$D:$D,'Data Additive'!$P:$P,'Painel Additive'!#REF!,'Data Additive'!$Q:$Q,"&lt;=0",'Data Additive'!$Q:$Q,"&gt;=-30")</f>
        <v>0</v>
      </c>
      <c r="Q151" s="19">
        <f>SUMIFS('Data Additive'!$D:$D,'Data Additive'!$P:$P,'Painel Additive'!#REF!,'Data Additive'!$Q:$Q,"&lt;=-31",'Data Additive'!$Q:$Q,"&gt;=-60")</f>
        <v>0</v>
      </c>
      <c r="R151" s="19">
        <f>SUMIFS('Data Additive'!$D:$D,'Data Additive'!$P:$P,'Painel Additive'!#REF!,'Data Additive'!$Q:$Q,"&lt;=-61",'Data Additive'!$Q:$Q,"&gt;=-90")</f>
        <v>0</v>
      </c>
      <c r="S151" s="19">
        <f>SUMIFS('Data Additive'!$D:$D,'Data Additive'!$P:$P,'Painel Additive'!#REF!,'Data Additive'!$Q:$Q,"&lt;=-91",'Data Additive'!$Q:$Q,"&gt;=-120")</f>
        <v>0</v>
      </c>
      <c r="T151" s="19">
        <f>SUMIFS('Data Additive'!$D:$D,'Data Additive'!$P:$P,'Painel Additive'!#REF!,'Data Additive'!$Q:$Q,"&lt;=-121",'Data Additive'!$Q:$Q,"&gt;=-180")</f>
        <v>0</v>
      </c>
      <c r="U151" s="19">
        <f>SUMIFS('Data Additive'!$D:$D,'Data Additive'!$P:$P,'Painel Additive'!#REF!,'Data Additive'!$Q:$Q,"&lt;=-181",'Data Additive'!$Q:$Q,"&gt;=-360")</f>
        <v>0</v>
      </c>
      <c r="V151" s="23">
        <f>SUMIFS('Data Additive'!$D:$D,'Data Additive'!$P:$P,'Painel Additive'!#REF!,'Data Additive'!$Q:$Q,"&lt;-360")</f>
        <v>0</v>
      </c>
      <c r="W151" s="19" t="e">
        <f>SUMIFS('Bad Debt Provision'!#REF!,'Bad Debt Provision'!#REF!,'Painel Additive'!#REF!)</f>
        <v>#REF!</v>
      </c>
      <c r="X151" s="5"/>
      <c r="Y151" s="20"/>
      <c r="Z151" s="20"/>
      <c r="AA151" s="21"/>
      <c r="AB151" s="5"/>
      <c r="AC151" s="19"/>
      <c r="AD151" s="20"/>
      <c r="AE151" s="22"/>
      <c r="AF151" s="22"/>
      <c r="AG151" s="5"/>
      <c r="AH151" s="28">
        <f t="shared" si="21"/>
        <v>0</v>
      </c>
    </row>
    <row r="152" spans="2:35" x14ac:dyDescent="0.25">
      <c r="B152" s="41" t="s">
        <v>327</v>
      </c>
      <c r="C152" s="94" cm="1">
        <f t="array" ref="C152">IFERROR(INDEX('Limite de crédito'!$D:$D, MATCH(MAX(IF('Limite de crédito'!$C:$C=$B152, 'Limite de crédito'!$A:$A)), 'Limite de crédito'!$A:$A, 0)),"")</f>
        <v>45980</v>
      </c>
      <c r="D152" s="18" t="str" cm="1">
        <f t="array" ref="D152">IFERROR(INDEX('Limite de crédito'!$F:$F, MATCH(MAX(IF('Limite de crédito'!$C:$C=$B152, 'Limite de crédito'!$A:$A)), 'Limite de crédito'!$A:$A, 0)),0)</f>
        <v>Sim</v>
      </c>
      <c r="E152" s="18" t="e">
        <f t="shared" si="18"/>
        <v>#VALUE!</v>
      </c>
      <c r="F152" s="18">
        <f t="shared" si="19"/>
        <v>0</v>
      </c>
      <c r="G152" s="19">
        <f>SUMIFS('Data Additive'!$D:$D,'Data Additive'!$P:$P,'Painel Additive'!#REF!,'Data Additive'!$Q:$Q,"&gt;0",'Data Additive'!$Q:$Q,"&lt;=30")</f>
        <v>0</v>
      </c>
      <c r="H152" s="19">
        <f>SUMIFS('Data Additive'!$D:$D,'Data Additive'!$P:$P,'Painel Additive'!#REF!,'Data Additive'!$Q:$Q,"&gt;30",'Data Additive'!$Q:$Q,"&lt;=60")</f>
        <v>0</v>
      </c>
      <c r="I152" s="19">
        <f>SUMIFS('Data Additive'!$D:$D,'Data Additive'!$P:$P,'Painel Additive'!#REF!,'Data Additive'!$Q:$Q,"&gt;60",'Data Additive'!$Q:$Q,"&lt;=90")</f>
        <v>0</v>
      </c>
      <c r="J152" s="19">
        <f>SUMIFS('Data Additive'!$D:$D,'Data Additive'!$P:$P,'Painel Additive'!#REF!,'Data Additive'!$Q:$Q,"&gt;90",'Data Additive'!$Q:$Q,"&lt;=120")</f>
        <v>0</v>
      </c>
      <c r="K152" s="19">
        <f>SUMIFS('Data Additive'!$D:$D,'Data Additive'!$P:$P,'Painel Additive'!#REF!,'Data Additive'!$Q:$Q,"&gt;120",'Data Additive'!$Q:$Q,"&lt;=180")</f>
        <v>0</v>
      </c>
      <c r="L152" s="19">
        <f>SUMIFS('Data Additive'!$D:$D,'Data Additive'!$P:$P,'Painel Additive'!#REF!,'Data Additive'!$Q:$Q,"&gt;180",'Data Additive'!$Q:$Q,"&lt;=360")</f>
        <v>0</v>
      </c>
      <c r="M152" s="23">
        <f>SUMIFS('Data Additive'!$D:$D,'Data Additive'!$P:$P,'Painel Additive'!#REF!,'Data Additive'!$Q:$Q,"&gt;360")</f>
        <v>0</v>
      </c>
      <c r="N152" s="19">
        <f>SUMIFS('Data Additive'!$D:$D,'Data Additive'!$P:$P,'Painel Additive'!#REF!,'Data Additive'!$Q:$Q,"&gt;0")</f>
        <v>0</v>
      </c>
      <c r="O152" s="19">
        <f t="shared" si="20"/>
        <v>0</v>
      </c>
      <c r="P152" s="19">
        <f>SUMIFS('Data Additive'!$D:$D,'Data Additive'!$P:$P,'Painel Additive'!#REF!,'Data Additive'!$Q:$Q,"&lt;=0",'Data Additive'!$Q:$Q,"&gt;=-30")</f>
        <v>0</v>
      </c>
      <c r="Q152" s="19">
        <f>SUMIFS('Data Additive'!$D:$D,'Data Additive'!$P:$P,'Painel Additive'!#REF!,'Data Additive'!$Q:$Q,"&lt;=-31",'Data Additive'!$Q:$Q,"&gt;=-60")</f>
        <v>0</v>
      </c>
      <c r="R152" s="19">
        <f>SUMIFS('Data Additive'!$D:$D,'Data Additive'!$P:$P,'Painel Additive'!#REF!,'Data Additive'!$Q:$Q,"&lt;=-61",'Data Additive'!$Q:$Q,"&gt;=-90")</f>
        <v>0</v>
      </c>
      <c r="S152" s="19">
        <f>SUMIFS('Data Additive'!$D:$D,'Data Additive'!$P:$P,'Painel Additive'!#REF!,'Data Additive'!$Q:$Q,"&lt;=-91",'Data Additive'!$Q:$Q,"&gt;=-120")</f>
        <v>0</v>
      </c>
      <c r="T152" s="19">
        <f>SUMIFS('Data Additive'!$D:$D,'Data Additive'!$P:$P,'Painel Additive'!#REF!,'Data Additive'!$Q:$Q,"&lt;=-121",'Data Additive'!$Q:$Q,"&gt;=-180")</f>
        <v>0</v>
      </c>
      <c r="U152" s="19">
        <f>SUMIFS('Data Additive'!$D:$D,'Data Additive'!$P:$P,'Painel Additive'!#REF!,'Data Additive'!$Q:$Q,"&lt;=-181",'Data Additive'!$Q:$Q,"&gt;=-360")</f>
        <v>0</v>
      </c>
      <c r="V152" s="23">
        <f>SUMIFS('Data Additive'!$D:$D,'Data Additive'!$P:$P,'Painel Additive'!#REF!,'Data Additive'!$Q:$Q,"&lt;-360")</f>
        <v>0</v>
      </c>
      <c r="W152" s="19" t="e">
        <f>SUMIFS('Bad Debt Provision'!#REF!,'Bad Debt Provision'!#REF!,'Painel Additive'!#REF!)</f>
        <v>#REF!</v>
      </c>
      <c r="X152" s="5"/>
      <c r="Y152" s="20"/>
      <c r="Z152" s="20"/>
      <c r="AA152" s="21"/>
      <c r="AB152" s="5"/>
      <c r="AC152" s="19"/>
      <c r="AD152" s="20"/>
      <c r="AE152" s="22"/>
      <c r="AF152" s="22"/>
      <c r="AG152" s="5"/>
      <c r="AH152" s="28">
        <f t="shared" si="21"/>
        <v>0</v>
      </c>
    </row>
    <row r="153" spans="2:35" x14ac:dyDescent="0.25">
      <c r="B153" s="41" t="s">
        <v>326</v>
      </c>
      <c r="C153" s="94" t="str" cm="1">
        <f t="array" ref="C153">IFERROR(INDEX('Limite de crédito'!$D:$D, MATCH(MAX(IF('Limite de crédito'!$C:$C=$B153, 'Limite de crédito'!$A:$A)), 'Limite de crédito'!$A:$A, 0)),"")</f>
        <v/>
      </c>
      <c r="D153" s="18" cm="1">
        <f t="array" ref="D153">IFERROR(INDEX('Limite de crédito'!$F:$F, MATCH(MAX(IF('Limite de crédito'!$C:$C=$B153, 'Limite de crédito'!$A:$A)), 'Limite de crédito'!$A:$A, 0)),0)</f>
        <v>0</v>
      </c>
      <c r="E153" s="18">
        <f t="shared" si="18"/>
        <v>0</v>
      </c>
      <c r="F153" s="18">
        <f t="shared" si="19"/>
        <v>0</v>
      </c>
      <c r="G153" s="19">
        <f>SUMIFS('Data Additive'!$D:$D,'Data Additive'!$P:$P,'Painel Additive'!#REF!,'Data Additive'!$Q:$Q,"&gt;0",'Data Additive'!$Q:$Q,"&lt;=30")</f>
        <v>0</v>
      </c>
      <c r="H153" s="19">
        <f>SUMIFS('Data Additive'!$D:$D,'Data Additive'!$P:$P,'Painel Additive'!#REF!,'Data Additive'!$Q:$Q,"&gt;30",'Data Additive'!$Q:$Q,"&lt;=60")</f>
        <v>0</v>
      </c>
      <c r="I153" s="19">
        <f>SUMIFS('Data Additive'!$D:$D,'Data Additive'!$P:$P,'Painel Additive'!#REF!,'Data Additive'!$Q:$Q,"&gt;60",'Data Additive'!$Q:$Q,"&lt;=90")</f>
        <v>0</v>
      </c>
      <c r="J153" s="19">
        <f>SUMIFS('Data Additive'!$D:$D,'Data Additive'!$P:$P,'Painel Additive'!#REF!,'Data Additive'!$Q:$Q,"&gt;90",'Data Additive'!$Q:$Q,"&lt;=120")</f>
        <v>0</v>
      </c>
      <c r="K153" s="19">
        <f>SUMIFS('Data Additive'!$D:$D,'Data Additive'!$P:$P,'Painel Additive'!#REF!,'Data Additive'!$Q:$Q,"&gt;120",'Data Additive'!$Q:$Q,"&lt;=180")</f>
        <v>0</v>
      </c>
      <c r="L153" s="19">
        <f>SUMIFS('Data Additive'!$D:$D,'Data Additive'!$P:$P,'Painel Additive'!#REF!,'Data Additive'!$Q:$Q,"&gt;180",'Data Additive'!$Q:$Q,"&lt;=360")</f>
        <v>0</v>
      </c>
      <c r="M153" s="23">
        <f>SUMIFS('Data Additive'!$D:$D,'Data Additive'!$P:$P,'Painel Additive'!#REF!,'Data Additive'!$Q:$Q,"&gt;360")</f>
        <v>0</v>
      </c>
      <c r="N153" s="19">
        <f>SUMIFS('Data Additive'!$D:$D,'Data Additive'!$P:$P,'Painel Additive'!#REF!,'Data Additive'!$Q:$Q,"&gt;0")</f>
        <v>0</v>
      </c>
      <c r="O153" s="19">
        <f t="shared" si="20"/>
        <v>0</v>
      </c>
      <c r="P153" s="19">
        <f>SUMIFS('Data Additive'!$D:$D,'Data Additive'!$P:$P,'Painel Additive'!#REF!,'Data Additive'!$Q:$Q,"&lt;=0",'Data Additive'!$Q:$Q,"&gt;=-30")</f>
        <v>0</v>
      </c>
      <c r="Q153" s="19">
        <f>SUMIFS('Data Additive'!$D:$D,'Data Additive'!$P:$P,'Painel Additive'!#REF!,'Data Additive'!$Q:$Q,"&lt;=-31",'Data Additive'!$Q:$Q,"&gt;=-60")</f>
        <v>0</v>
      </c>
      <c r="R153" s="19">
        <f>SUMIFS('Data Additive'!$D:$D,'Data Additive'!$P:$P,'Painel Additive'!#REF!,'Data Additive'!$Q:$Q,"&lt;=-61",'Data Additive'!$Q:$Q,"&gt;=-90")</f>
        <v>0</v>
      </c>
      <c r="S153" s="19">
        <f>SUMIFS('Data Additive'!$D:$D,'Data Additive'!$P:$P,'Painel Additive'!#REF!,'Data Additive'!$Q:$Q,"&lt;=-91",'Data Additive'!$Q:$Q,"&gt;=-120")</f>
        <v>0</v>
      </c>
      <c r="T153" s="19">
        <f>SUMIFS('Data Additive'!$D:$D,'Data Additive'!$P:$P,'Painel Additive'!#REF!,'Data Additive'!$Q:$Q,"&lt;=-121",'Data Additive'!$Q:$Q,"&gt;=-180")</f>
        <v>0</v>
      </c>
      <c r="U153" s="19">
        <f>SUMIFS('Data Additive'!$D:$D,'Data Additive'!$P:$P,'Painel Additive'!#REF!,'Data Additive'!$Q:$Q,"&lt;=-181",'Data Additive'!$Q:$Q,"&gt;=-360")</f>
        <v>0</v>
      </c>
      <c r="V153" s="23">
        <f>SUMIFS('Data Additive'!$D:$D,'Data Additive'!$P:$P,'Painel Additive'!#REF!,'Data Additive'!$Q:$Q,"&lt;-360")</f>
        <v>0</v>
      </c>
      <c r="W153" s="19" t="e">
        <f>SUMIFS('Bad Debt Provision'!#REF!,'Bad Debt Provision'!#REF!,'Painel Additive'!#REF!)</f>
        <v>#REF!</v>
      </c>
      <c r="X153" s="5"/>
      <c r="Y153" s="20"/>
      <c r="Z153" s="20"/>
      <c r="AA153" s="21"/>
      <c r="AB153" s="5"/>
      <c r="AC153" s="19"/>
      <c r="AD153" s="20"/>
      <c r="AE153" s="22"/>
      <c r="AF153" s="22"/>
      <c r="AG153" s="5"/>
      <c r="AH153" s="28">
        <f t="shared" si="21"/>
        <v>0</v>
      </c>
    </row>
    <row r="154" spans="2:35" x14ac:dyDescent="0.25">
      <c r="B154" s="41" t="s">
        <v>325</v>
      </c>
      <c r="C154" s="94" t="str" cm="1">
        <f t="array" ref="C154">IFERROR(INDEX('Limite de crédito'!$D:$D, MATCH(MAX(IF('Limite de crédito'!$C:$C=$B154, 'Limite de crédito'!$A:$A)), 'Limite de crédito'!$A:$A, 0)),"")</f>
        <v/>
      </c>
      <c r="D154" s="18" cm="1">
        <f t="array" ref="D154">IFERROR(INDEX('Limite de crédito'!$F:$F, MATCH(MAX(IF('Limite de crédito'!$C:$C=$B154, 'Limite de crédito'!$A:$A)), 'Limite de crédito'!$A:$A, 0)),0)</f>
        <v>0</v>
      </c>
      <c r="E154" s="18">
        <f t="shared" si="18"/>
        <v>0</v>
      </c>
      <c r="F154" s="18">
        <f t="shared" si="19"/>
        <v>0</v>
      </c>
      <c r="G154" s="19">
        <f>SUMIFS('Data Additive'!$D:$D,'Data Additive'!$P:$P,'Painel Additive'!#REF!,'Data Additive'!$Q:$Q,"&gt;0",'Data Additive'!$Q:$Q,"&lt;=30")</f>
        <v>0</v>
      </c>
      <c r="H154" s="19">
        <f>SUMIFS('Data Additive'!$D:$D,'Data Additive'!$P:$P,'Painel Additive'!#REF!,'Data Additive'!$Q:$Q,"&gt;30",'Data Additive'!$Q:$Q,"&lt;=60")</f>
        <v>0</v>
      </c>
      <c r="I154" s="19">
        <f>SUMIFS('Data Additive'!$D:$D,'Data Additive'!$P:$P,'Painel Additive'!#REF!,'Data Additive'!$Q:$Q,"&gt;60",'Data Additive'!$Q:$Q,"&lt;=90")</f>
        <v>0</v>
      </c>
      <c r="J154" s="19">
        <f>SUMIFS('Data Additive'!$D:$D,'Data Additive'!$P:$P,'Painel Additive'!#REF!,'Data Additive'!$Q:$Q,"&gt;90",'Data Additive'!$Q:$Q,"&lt;=120")</f>
        <v>0</v>
      </c>
      <c r="K154" s="19">
        <f>SUMIFS('Data Additive'!$D:$D,'Data Additive'!$P:$P,'Painel Additive'!#REF!,'Data Additive'!$Q:$Q,"&gt;120",'Data Additive'!$Q:$Q,"&lt;=180")</f>
        <v>0</v>
      </c>
      <c r="L154" s="19">
        <f>SUMIFS('Data Additive'!$D:$D,'Data Additive'!$P:$P,'Painel Additive'!#REF!,'Data Additive'!$Q:$Q,"&gt;180",'Data Additive'!$Q:$Q,"&lt;=360")</f>
        <v>0</v>
      </c>
      <c r="M154" s="23">
        <f>SUMIFS('Data Additive'!$D:$D,'Data Additive'!$P:$P,'Painel Additive'!#REF!,'Data Additive'!$Q:$Q,"&gt;360")</f>
        <v>0</v>
      </c>
      <c r="N154" s="19">
        <f>SUMIFS('Data Additive'!$D:$D,'Data Additive'!$P:$P,'Painel Additive'!#REF!,'Data Additive'!$Q:$Q,"&gt;0")</f>
        <v>0</v>
      </c>
      <c r="O154" s="19">
        <f t="shared" si="20"/>
        <v>0</v>
      </c>
      <c r="P154" s="19">
        <f>SUMIFS('Data Additive'!$D:$D,'Data Additive'!$P:$P,'Painel Additive'!#REF!,'Data Additive'!$Q:$Q,"&lt;=0",'Data Additive'!$Q:$Q,"&gt;=-30")</f>
        <v>0</v>
      </c>
      <c r="Q154" s="19">
        <f>SUMIFS('Data Additive'!$D:$D,'Data Additive'!$P:$P,'Painel Additive'!#REF!,'Data Additive'!$Q:$Q,"&lt;=-31",'Data Additive'!$Q:$Q,"&gt;=-60")</f>
        <v>0</v>
      </c>
      <c r="R154" s="19">
        <f>SUMIFS('Data Additive'!$D:$D,'Data Additive'!$P:$P,'Painel Additive'!#REF!,'Data Additive'!$Q:$Q,"&lt;=-61",'Data Additive'!$Q:$Q,"&gt;=-90")</f>
        <v>0</v>
      </c>
      <c r="S154" s="19">
        <f>SUMIFS('Data Additive'!$D:$D,'Data Additive'!$P:$P,'Painel Additive'!#REF!,'Data Additive'!$Q:$Q,"&lt;=-91",'Data Additive'!$Q:$Q,"&gt;=-120")</f>
        <v>0</v>
      </c>
      <c r="T154" s="19">
        <f>SUMIFS('Data Additive'!$D:$D,'Data Additive'!$P:$P,'Painel Additive'!#REF!,'Data Additive'!$Q:$Q,"&lt;=-121",'Data Additive'!$Q:$Q,"&gt;=-180")</f>
        <v>0</v>
      </c>
      <c r="U154" s="19">
        <f>SUMIFS('Data Additive'!$D:$D,'Data Additive'!$P:$P,'Painel Additive'!#REF!,'Data Additive'!$Q:$Q,"&lt;=-181",'Data Additive'!$Q:$Q,"&gt;=-360")</f>
        <v>0</v>
      </c>
      <c r="V154" s="23">
        <f>SUMIFS('Data Additive'!$D:$D,'Data Additive'!$P:$P,'Painel Additive'!#REF!,'Data Additive'!$Q:$Q,"&lt;-360")</f>
        <v>0</v>
      </c>
      <c r="W154" s="19" t="e">
        <f>SUMIFS('Bad Debt Provision'!#REF!,'Bad Debt Provision'!#REF!,'Painel Additive'!#REF!)</f>
        <v>#REF!</v>
      </c>
      <c r="X154" s="5"/>
      <c r="Y154" s="20"/>
      <c r="Z154" s="20"/>
      <c r="AA154" s="21"/>
      <c r="AB154" s="5"/>
      <c r="AC154" s="19"/>
      <c r="AD154" s="20"/>
      <c r="AE154" s="22"/>
      <c r="AF154" s="22"/>
      <c r="AG154" s="5"/>
      <c r="AH154" s="28">
        <f t="shared" si="21"/>
        <v>0</v>
      </c>
    </row>
    <row r="155" spans="2:35" x14ac:dyDescent="0.25">
      <c r="B155" s="17" t="s">
        <v>137</v>
      </c>
      <c r="C155" s="93" t="str" cm="1">
        <f t="array" ref="C155">IFERROR(INDEX('Limite de crédito'!$D:$D, MATCH(MAX(IF('Limite de crédito'!$C:$C=$B155, 'Limite de crédito'!$A:$A)), 'Limite de crédito'!$A:$A, 0)),"")</f>
        <v/>
      </c>
      <c r="D155" s="18" cm="1">
        <f t="array" ref="D155">IFERROR(INDEX('Limite de crédito'!$F:$F, MATCH(MAX(IF('Limite de crédito'!$C:$C=$B155, 'Limite de crédito'!$A:$A)), 'Limite de crédito'!$A:$A, 0)),0)</f>
        <v>0</v>
      </c>
      <c r="E155" s="18">
        <f t="shared" si="18"/>
        <v>0</v>
      </c>
      <c r="F155" s="18">
        <f t="shared" si="19"/>
        <v>0</v>
      </c>
      <c r="G155" s="19">
        <f>SUMIFS('Data Additive'!$D:$D,'Data Additive'!$P:$P,'Painel Additive'!#REF!,'Data Additive'!$Q:$Q,"&gt;0",'Data Additive'!$Q:$Q,"&lt;=30")</f>
        <v>0</v>
      </c>
      <c r="H155" s="19">
        <f>SUMIFS('Data Additive'!$D:$D,'Data Additive'!$P:$P,'Painel Additive'!#REF!,'Data Additive'!$Q:$Q,"&gt;30",'Data Additive'!$Q:$Q,"&lt;=60")</f>
        <v>0</v>
      </c>
      <c r="I155" s="19">
        <f>SUMIFS('Data Additive'!$D:$D,'Data Additive'!$P:$P,'Painel Additive'!#REF!,'Data Additive'!$Q:$Q,"&gt;60",'Data Additive'!$Q:$Q,"&lt;=90")</f>
        <v>0</v>
      </c>
      <c r="J155" s="19">
        <f>SUMIFS('Data Additive'!$D:$D,'Data Additive'!$P:$P,'Painel Additive'!#REF!,'Data Additive'!$Q:$Q,"&gt;90",'Data Additive'!$Q:$Q,"&lt;=120")</f>
        <v>0</v>
      </c>
      <c r="K155" s="19">
        <f>SUMIFS('Data Additive'!$D:$D,'Data Additive'!$P:$P,'Painel Additive'!#REF!,'Data Additive'!$Q:$Q,"&gt;120",'Data Additive'!$Q:$Q,"&lt;=180")</f>
        <v>0</v>
      </c>
      <c r="L155" s="19">
        <f>SUMIFS('Data Additive'!$D:$D,'Data Additive'!$P:$P,'Painel Additive'!#REF!,'Data Additive'!$Q:$Q,"&gt;180",'Data Additive'!$Q:$Q,"&lt;=360")</f>
        <v>0</v>
      </c>
      <c r="M155" s="23">
        <f>SUMIFS('Data Additive'!$D:$D,'Data Additive'!$P:$P,'Painel Additive'!#REF!,'Data Additive'!$Q:$Q,"&gt;360")</f>
        <v>0</v>
      </c>
      <c r="N155" s="19">
        <f>SUMIFS('Data Additive'!$D:$D,'Data Additive'!$P:$P,'Painel Additive'!#REF!,'Data Additive'!$Q:$Q,"&gt;0")</f>
        <v>0</v>
      </c>
      <c r="O155" s="19">
        <f t="shared" si="20"/>
        <v>0</v>
      </c>
      <c r="P155" s="19">
        <f>SUMIFS('Data Additive'!$D:$D,'Data Additive'!$P:$P,'Painel Additive'!#REF!,'Data Additive'!$Q:$Q,"&lt;=0",'Data Additive'!$Q:$Q,"&gt;=-30")</f>
        <v>0</v>
      </c>
      <c r="Q155" s="19">
        <f>SUMIFS('Data Additive'!$D:$D,'Data Additive'!$P:$P,'Painel Additive'!#REF!,'Data Additive'!$Q:$Q,"&lt;=-31",'Data Additive'!$Q:$Q,"&gt;=-60")</f>
        <v>0</v>
      </c>
      <c r="R155" s="19">
        <f>SUMIFS('Data Additive'!$D:$D,'Data Additive'!$P:$P,'Painel Additive'!#REF!,'Data Additive'!$Q:$Q,"&lt;=-61",'Data Additive'!$Q:$Q,"&gt;=-90")</f>
        <v>0</v>
      </c>
      <c r="S155" s="19">
        <f>SUMIFS('Data Additive'!$D:$D,'Data Additive'!$P:$P,'Painel Additive'!#REF!,'Data Additive'!$Q:$Q,"&lt;=-91",'Data Additive'!$Q:$Q,"&gt;=-120")</f>
        <v>0</v>
      </c>
      <c r="T155" s="19">
        <f>SUMIFS('Data Additive'!$D:$D,'Data Additive'!$P:$P,'Painel Additive'!#REF!,'Data Additive'!$Q:$Q,"&lt;=-121",'Data Additive'!$Q:$Q,"&gt;=-180")</f>
        <v>0</v>
      </c>
      <c r="U155" s="19">
        <f>SUMIFS('Data Additive'!$D:$D,'Data Additive'!$P:$P,'Painel Additive'!#REF!,'Data Additive'!$Q:$Q,"&lt;=-181",'Data Additive'!$Q:$Q,"&gt;=-360")</f>
        <v>0</v>
      </c>
      <c r="V155" s="23">
        <f>SUMIFS('Data Additive'!$D:$D,'Data Additive'!$P:$P,'Painel Additive'!#REF!,'Data Additive'!$Q:$Q,"&lt;-360")</f>
        <v>0</v>
      </c>
      <c r="W155" s="19" t="e">
        <f>SUMIFS('Bad Debt Provision'!#REF!,'Bad Debt Provision'!#REF!,'Painel Additive'!#REF!)</f>
        <v>#REF!</v>
      </c>
      <c r="X155" s="5"/>
      <c r="Y155" s="20"/>
      <c r="Z155" s="20"/>
      <c r="AA155" s="21"/>
      <c r="AB155" s="5"/>
      <c r="AC155" s="19"/>
      <c r="AD155" s="20"/>
      <c r="AE155" s="22"/>
      <c r="AF155" s="22"/>
      <c r="AG155" s="5"/>
      <c r="AH155" s="28">
        <f t="shared" si="21"/>
        <v>0</v>
      </c>
      <c r="AI155" s="5"/>
    </row>
    <row r="156" spans="2:35" x14ac:dyDescent="0.25">
      <c r="B156" s="17" t="s">
        <v>265</v>
      </c>
      <c r="C156" s="93" t="str" cm="1">
        <f t="array" ref="C156">IFERROR(INDEX('Limite de crédito'!$D:$D, MATCH(MAX(IF('Limite de crédito'!$C:$C=$B156, 'Limite de crédito'!$A:$A)), 'Limite de crédito'!$A:$A, 0)),"")</f>
        <v/>
      </c>
      <c r="D156" s="18" cm="1">
        <f t="array" ref="D156">IFERROR(INDEX('Limite de crédito'!$F:$F, MATCH(MAX(IF('Limite de crédito'!$C:$C=$B156, 'Limite de crédito'!$A:$A)), 'Limite de crédito'!$A:$A, 0)),0)</f>
        <v>0</v>
      </c>
      <c r="E156" s="18">
        <f t="shared" si="18"/>
        <v>0</v>
      </c>
      <c r="F156" s="18">
        <f t="shared" si="19"/>
        <v>0</v>
      </c>
      <c r="G156" s="19">
        <f>SUMIFS('Data Additive'!$D:$D,'Data Additive'!$P:$P,'Painel Additive'!#REF!,'Data Additive'!$Q:$Q,"&gt;0",'Data Additive'!$Q:$Q,"&lt;=30")</f>
        <v>0</v>
      </c>
      <c r="H156" s="19">
        <f>SUMIFS('Data Additive'!$D:$D,'Data Additive'!$P:$P,'Painel Additive'!#REF!,'Data Additive'!$Q:$Q,"&gt;30",'Data Additive'!$Q:$Q,"&lt;=60")</f>
        <v>0</v>
      </c>
      <c r="I156" s="19">
        <f>SUMIFS('Data Additive'!$D:$D,'Data Additive'!$P:$P,'Painel Additive'!#REF!,'Data Additive'!$Q:$Q,"&gt;60",'Data Additive'!$Q:$Q,"&lt;=90")</f>
        <v>0</v>
      </c>
      <c r="J156" s="19">
        <f>SUMIFS('Data Additive'!$D:$D,'Data Additive'!$P:$P,'Painel Additive'!#REF!,'Data Additive'!$Q:$Q,"&gt;90",'Data Additive'!$Q:$Q,"&lt;=120")</f>
        <v>0</v>
      </c>
      <c r="K156" s="19">
        <f>SUMIFS('Data Additive'!$D:$D,'Data Additive'!$P:$P,'Painel Additive'!#REF!,'Data Additive'!$Q:$Q,"&gt;120",'Data Additive'!$Q:$Q,"&lt;=180")</f>
        <v>0</v>
      </c>
      <c r="L156" s="19">
        <f>SUMIFS('Data Additive'!$D:$D,'Data Additive'!$P:$P,'Painel Additive'!#REF!,'Data Additive'!$Q:$Q,"&gt;180",'Data Additive'!$Q:$Q,"&lt;=360")</f>
        <v>0</v>
      </c>
      <c r="M156" s="23">
        <f>SUMIFS('Data Additive'!$D:$D,'Data Additive'!$P:$P,'Painel Additive'!#REF!,'Data Additive'!$Q:$Q,"&gt;360")</f>
        <v>0</v>
      </c>
      <c r="N156" s="19">
        <f>SUMIFS('Data Additive'!$D:$D,'Data Additive'!$P:$P,'Painel Additive'!#REF!,'Data Additive'!$Q:$Q,"&gt;0")</f>
        <v>0</v>
      </c>
      <c r="O156" s="19">
        <f t="shared" si="20"/>
        <v>0</v>
      </c>
      <c r="P156" s="19">
        <f>SUMIFS('Data Additive'!$D:$D,'Data Additive'!$P:$P,'Painel Additive'!#REF!,'Data Additive'!$Q:$Q,"&lt;=0",'Data Additive'!$Q:$Q,"&gt;=-30")</f>
        <v>0</v>
      </c>
      <c r="Q156" s="19">
        <f>SUMIFS('Data Additive'!$D:$D,'Data Additive'!$P:$P,'Painel Additive'!#REF!,'Data Additive'!$Q:$Q,"&lt;=-31",'Data Additive'!$Q:$Q,"&gt;=-60")</f>
        <v>0</v>
      </c>
      <c r="R156" s="19">
        <f>SUMIFS('Data Additive'!$D:$D,'Data Additive'!$P:$P,'Painel Additive'!#REF!,'Data Additive'!$Q:$Q,"&lt;=-61",'Data Additive'!$Q:$Q,"&gt;=-90")</f>
        <v>0</v>
      </c>
      <c r="S156" s="19">
        <f>SUMIFS('Data Additive'!$D:$D,'Data Additive'!$P:$P,'Painel Additive'!#REF!,'Data Additive'!$Q:$Q,"&lt;=-91",'Data Additive'!$Q:$Q,"&gt;=-120")</f>
        <v>0</v>
      </c>
      <c r="T156" s="19">
        <f>SUMIFS('Data Additive'!$D:$D,'Data Additive'!$P:$P,'Painel Additive'!#REF!,'Data Additive'!$Q:$Q,"&lt;=-121",'Data Additive'!$Q:$Q,"&gt;=-180")</f>
        <v>0</v>
      </c>
      <c r="U156" s="19">
        <f>SUMIFS('Data Additive'!$D:$D,'Data Additive'!$P:$P,'Painel Additive'!#REF!,'Data Additive'!$Q:$Q,"&lt;=-181",'Data Additive'!$Q:$Q,"&gt;=-360")</f>
        <v>0</v>
      </c>
      <c r="V156" s="23">
        <f>SUMIFS('Data Additive'!$D:$D,'Data Additive'!$P:$P,'Painel Additive'!#REF!,'Data Additive'!$Q:$Q,"&lt;-360")</f>
        <v>0</v>
      </c>
      <c r="W156" s="19" t="e">
        <f>SUMIFS('Bad Debt Provision'!#REF!,'Bad Debt Provision'!#REF!,'Painel Additive'!#REF!)</f>
        <v>#REF!</v>
      </c>
      <c r="X156" s="5"/>
      <c r="Y156" s="20"/>
      <c r="Z156" s="20"/>
      <c r="AA156" s="21"/>
      <c r="AB156" s="5"/>
      <c r="AC156" s="19"/>
      <c r="AD156" s="20"/>
      <c r="AE156" s="22"/>
      <c r="AF156" s="22"/>
      <c r="AG156" s="5"/>
      <c r="AH156" s="28">
        <f t="shared" si="21"/>
        <v>0</v>
      </c>
    </row>
    <row r="157" spans="2:35" x14ac:dyDescent="0.25">
      <c r="B157" s="41" t="s">
        <v>359</v>
      </c>
      <c r="C157" s="94" cm="1">
        <f t="array" ref="C157">IFERROR(INDEX('Limite de crédito'!$D:$D, MATCH(MAX(IF('Limite de crédito'!$C:$C=$B157, 'Limite de crédito'!$A:$A)), 'Limite de crédito'!$A:$A, 0)),"")</f>
        <v>45943</v>
      </c>
      <c r="D157" s="18" t="str" cm="1">
        <f t="array" ref="D157">IFERROR(INDEX('Limite de crédito'!$F:$F, MATCH(MAX(IF('Limite de crédito'!$C:$C=$B157, 'Limite de crédito'!$A:$A)), 'Limite de crédito'!$A:$A, 0)),0)</f>
        <v>Sim</v>
      </c>
      <c r="E157" s="18" t="e">
        <f t="shared" si="18"/>
        <v>#VALUE!</v>
      </c>
      <c r="F157" s="18">
        <f t="shared" si="19"/>
        <v>0</v>
      </c>
      <c r="G157" s="19">
        <f>SUMIFS('Data Additive'!$D:$D,'Data Additive'!$P:$P,'Painel Additive'!#REF!,'Data Additive'!$Q:$Q,"&gt;0",'Data Additive'!$Q:$Q,"&lt;=30")</f>
        <v>0</v>
      </c>
      <c r="H157" s="19">
        <f>SUMIFS('Data Additive'!$D:$D,'Data Additive'!$P:$P,'Painel Additive'!#REF!,'Data Additive'!$Q:$Q,"&gt;30",'Data Additive'!$Q:$Q,"&lt;=60")</f>
        <v>0</v>
      </c>
      <c r="I157" s="19">
        <f>SUMIFS('Data Additive'!$D:$D,'Data Additive'!$P:$P,'Painel Additive'!#REF!,'Data Additive'!$Q:$Q,"&gt;60",'Data Additive'!$Q:$Q,"&lt;=90")</f>
        <v>0</v>
      </c>
      <c r="J157" s="19">
        <f>SUMIFS('Data Additive'!$D:$D,'Data Additive'!$P:$P,'Painel Additive'!#REF!,'Data Additive'!$Q:$Q,"&gt;90",'Data Additive'!$Q:$Q,"&lt;=120")</f>
        <v>0</v>
      </c>
      <c r="K157" s="19">
        <f>SUMIFS('Data Additive'!$D:$D,'Data Additive'!$P:$P,'Painel Additive'!#REF!,'Data Additive'!$Q:$Q,"&gt;120",'Data Additive'!$Q:$Q,"&lt;=180")</f>
        <v>0</v>
      </c>
      <c r="L157" s="19">
        <f>SUMIFS('Data Additive'!$D:$D,'Data Additive'!$P:$P,'Painel Additive'!#REF!,'Data Additive'!$Q:$Q,"&gt;180",'Data Additive'!$Q:$Q,"&lt;=360")</f>
        <v>0</v>
      </c>
      <c r="M157" s="23">
        <f>SUMIFS('Data Additive'!$D:$D,'Data Additive'!$P:$P,'Painel Additive'!#REF!,'Data Additive'!$Q:$Q,"&gt;360")</f>
        <v>0</v>
      </c>
      <c r="N157" s="19">
        <f>SUMIFS('Data Additive'!$D:$D,'Data Additive'!$P:$P,'Painel Additive'!#REF!,'Data Additive'!$Q:$Q,"&gt;0")</f>
        <v>0</v>
      </c>
      <c r="O157" s="19">
        <f t="shared" si="20"/>
        <v>0</v>
      </c>
      <c r="P157" s="19">
        <f>SUMIFS('Data Additive'!$D:$D,'Data Additive'!$P:$P,'Painel Additive'!#REF!,'Data Additive'!$Q:$Q,"&lt;=0",'Data Additive'!$Q:$Q,"&gt;=-30")</f>
        <v>0</v>
      </c>
      <c r="Q157" s="19">
        <f>SUMIFS('Data Additive'!$D:$D,'Data Additive'!$P:$P,'Painel Additive'!#REF!,'Data Additive'!$Q:$Q,"&lt;=-31",'Data Additive'!$Q:$Q,"&gt;=-60")</f>
        <v>0</v>
      </c>
      <c r="R157" s="19">
        <f>SUMIFS('Data Additive'!$D:$D,'Data Additive'!$P:$P,'Painel Additive'!#REF!,'Data Additive'!$Q:$Q,"&lt;=-61",'Data Additive'!$Q:$Q,"&gt;=-90")</f>
        <v>0</v>
      </c>
      <c r="S157" s="19">
        <f>SUMIFS('Data Additive'!$D:$D,'Data Additive'!$P:$P,'Painel Additive'!#REF!,'Data Additive'!$Q:$Q,"&lt;=-91",'Data Additive'!$Q:$Q,"&gt;=-120")</f>
        <v>0</v>
      </c>
      <c r="T157" s="19">
        <f>SUMIFS('Data Additive'!$D:$D,'Data Additive'!$P:$P,'Painel Additive'!#REF!,'Data Additive'!$Q:$Q,"&lt;=-121",'Data Additive'!$Q:$Q,"&gt;=-180")</f>
        <v>0</v>
      </c>
      <c r="U157" s="19">
        <f>SUMIFS('Data Additive'!$D:$D,'Data Additive'!$P:$P,'Painel Additive'!#REF!,'Data Additive'!$Q:$Q,"&lt;=-181",'Data Additive'!$Q:$Q,"&gt;=-360")</f>
        <v>0</v>
      </c>
      <c r="V157" s="23">
        <f>SUMIFS('Data Additive'!$D:$D,'Data Additive'!$P:$P,'Painel Additive'!#REF!,'Data Additive'!$Q:$Q,"&lt;-360")</f>
        <v>0</v>
      </c>
      <c r="W157" s="19" t="e">
        <f>SUMIFS('Bad Debt Provision'!#REF!,'Bad Debt Provision'!#REF!,'Painel Additive'!#REF!)</f>
        <v>#REF!</v>
      </c>
      <c r="X157" s="5"/>
      <c r="Y157" s="20"/>
      <c r="Z157" s="20"/>
      <c r="AA157" s="21"/>
      <c r="AB157" s="5"/>
      <c r="AC157" s="19"/>
      <c r="AD157" s="20"/>
      <c r="AE157" s="22"/>
      <c r="AF157" s="22"/>
      <c r="AG157" s="5"/>
      <c r="AH157" s="28">
        <f t="shared" si="21"/>
        <v>0</v>
      </c>
    </row>
    <row r="158" spans="2:35" x14ac:dyDescent="0.25">
      <c r="B158" s="41" t="s">
        <v>354</v>
      </c>
      <c r="C158" s="94" t="str" cm="1">
        <f t="array" ref="C158">IFERROR(INDEX('Limite de crédito'!$D:$D, MATCH(MAX(IF('Limite de crédito'!$C:$C=$B158, 'Limite de crédito'!$A:$A)), 'Limite de crédito'!$A:$A, 0)),"")</f>
        <v/>
      </c>
      <c r="D158" s="18" cm="1">
        <f t="array" ref="D158">IFERROR(INDEX('Limite de crédito'!$F:$F, MATCH(MAX(IF('Limite de crédito'!$C:$C=$B158, 'Limite de crédito'!$A:$A)), 'Limite de crédito'!$A:$A, 0)),0)</f>
        <v>0</v>
      </c>
      <c r="E158" s="18">
        <f t="shared" si="18"/>
        <v>0</v>
      </c>
      <c r="F158" s="18">
        <f t="shared" si="19"/>
        <v>0</v>
      </c>
      <c r="G158" s="19">
        <f>SUMIFS('Data Additive'!$D:$D,'Data Additive'!$P:$P,'Painel Additive'!#REF!,'Data Additive'!$Q:$Q,"&gt;0",'Data Additive'!$Q:$Q,"&lt;=30")</f>
        <v>0</v>
      </c>
      <c r="H158" s="19">
        <f>SUMIFS('Data Additive'!$D:$D,'Data Additive'!$P:$P,'Painel Additive'!#REF!,'Data Additive'!$Q:$Q,"&gt;30",'Data Additive'!$Q:$Q,"&lt;=60")</f>
        <v>0</v>
      </c>
      <c r="I158" s="19">
        <f>SUMIFS('Data Additive'!$D:$D,'Data Additive'!$P:$P,'Painel Additive'!#REF!,'Data Additive'!$Q:$Q,"&gt;60",'Data Additive'!$Q:$Q,"&lt;=90")</f>
        <v>0</v>
      </c>
      <c r="J158" s="19">
        <f>SUMIFS('Data Additive'!$D:$D,'Data Additive'!$P:$P,'Painel Additive'!#REF!,'Data Additive'!$Q:$Q,"&gt;90",'Data Additive'!$Q:$Q,"&lt;=120")</f>
        <v>0</v>
      </c>
      <c r="K158" s="19">
        <f>SUMIFS('Data Additive'!$D:$D,'Data Additive'!$P:$P,'Painel Additive'!#REF!,'Data Additive'!$Q:$Q,"&gt;120",'Data Additive'!$Q:$Q,"&lt;=180")</f>
        <v>0</v>
      </c>
      <c r="L158" s="19">
        <f>SUMIFS('Data Additive'!$D:$D,'Data Additive'!$P:$P,'Painel Additive'!#REF!,'Data Additive'!$Q:$Q,"&gt;180",'Data Additive'!$Q:$Q,"&lt;=360")</f>
        <v>0</v>
      </c>
      <c r="M158" s="23">
        <f>SUMIFS('Data Additive'!$D:$D,'Data Additive'!$P:$P,'Painel Additive'!#REF!,'Data Additive'!$Q:$Q,"&gt;360")</f>
        <v>0</v>
      </c>
      <c r="N158" s="19">
        <f>SUMIFS('Data Additive'!$D:$D,'Data Additive'!$P:$P,'Painel Additive'!#REF!,'Data Additive'!$Q:$Q,"&gt;0")</f>
        <v>0</v>
      </c>
      <c r="O158" s="19">
        <f t="shared" si="20"/>
        <v>0</v>
      </c>
      <c r="P158" s="19">
        <f>SUMIFS('Data Additive'!$D:$D,'Data Additive'!$P:$P,'Painel Additive'!#REF!,'Data Additive'!$Q:$Q,"&lt;=0",'Data Additive'!$Q:$Q,"&gt;=-30")</f>
        <v>0</v>
      </c>
      <c r="Q158" s="19">
        <f>SUMIFS('Data Additive'!$D:$D,'Data Additive'!$P:$P,'Painel Additive'!#REF!,'Data Additive'!$Q:$Q,"&lt;=-31",'Data Additive'!$Q:$Q,"&gt;=-60")</f>
        <v>0</v>
      </c>
      <c r="R158" s="19">
        <f>SUMIFS('Data Additive'!$D:$D,'Data Additive'!$P:$P,'Painel Additive'!#REF!,'Data Additive'!$Q:$Q,"&lt;=-61",'Data Additive'!$Q:$Q,"&gt;=-90")</f>
        <v>0</v>
      </c>
      <c r="S158" s="19">
        <f>SUMIFS('Data Additive'!$D:$D,'Data Additive'!$P:$P,'Painel Additive'!#REF!,'Data Additive'!$Q:$Q,"&lt;=-91",'Data Additive'!$Q:$Q,"&gt;=-120")</f>
        <v>0</v>
      </c>
      <c r="T158" s="19">
        <f>SUMIFS('Data Additive'!$D:$D,'Data Additive'!$P:$P,'Painel Additive'!#REF!,'Data Additive'!$Q:$Q,"&lt;=-121",'Data Additive'!$Q:$Q,"&gt;=-180")</f>
        <v>0</v>
      </c>
      <c r="U158" s="19">
        <f>SUMIFS('Data Additive'!$D:$D,'Data Additive'!$P:$P,'Painel Additive'!#REF!,'Data Additive'!$Q:$Q,"&lt;=-181",'Data Additive'!$Q:$Q,"&gt;=-360")</f>
        <v>0</v>
      </c>
      <c r="V158" s="23">
        <f>SUMIFS('Data Additive'!$D:$D,'Data Additive'!$P:$P,'Painel Additive'!#REF!,'Data Additive'!$Q:$Q,"&lt;-360")</f>
        <v>0</v>
      </c>
      <c r="W158" s="19" t="e">
        <f>SUMIFS('Bad Debt Provision'!#REF!,'Bad Debt Provision'!#REF!,'Painel Additive'!#REF!)</f>
        <v>#REF!</v>
      </c>
      <c r="X158" s="5"/>
      <c r="Y158" s="20"/>
      <c r="Z158" s="20"/>
      <c r="AA158" s="21"/>
      <c r="AB158" s="5"/>
      <c r="AC158" s="19"/>
      <c r="AD158" s="20"/>
      <c r="AE158" s="22"/>
      <c r="AF158" s="22"/>
      <c r="AG158" s="5"/>
      <c r="AH158" s="28">
        <f t="shared" si="21"/>
        <v>0</v>
      </c>
    </row>
    <row r="159" spans="2:35" x14ac:dyDescent="0.25">
      <c r="B159" s="41" t="s">
        <v>358</v>
      </c>
      <c r="C159" s="94" t="str" cm="1">
        <f t="array" ref="C159">IFERROR(INDEX('Limite de crédito'!$D:$D, MATCH(MAX(IF('Limite de crédito'!$C:$C=$B159, 'Limite de crédito'!$A:$A)), 'Limite de crédito'!$A:$A, 0)),"")</f>
        <v/>
      </c>
      <c r="D159" s="18" cm="1">
        <f t="array" ref="D159">IFERROR(INDEX('Limite de crédito'!$F:$F, MATCH(MAX(IF('Limite de crédito'!$C:$C=$B159, 'Limite de crédito'!$A:$A)), 'Limite de crédito'!$A:$A, 0)),0)</f>
        <v>0</v>
      </c>
      <c r="E159" s="18">
        <f t="shared" si="18"/>
        <v>0</v>
      </c>
      <c r="F159" s="18">
        <f t="shared" si="19"/>
        <v>0</v>
      </c>
      <c r="G159" s="19">
        <f>SUMIFS('Data Additive'!$D:$D,'Data Additive'!$P:$P,'Painel Additive'!#REF!,'Data Additive'!$Q:$Q,"&gt;0",'Data Additive'!$Q:$Q,"&lt;=30")</f>
        <v>0</v>
      </c>
      <c r="H159" s="19">
        <f>SUMIFS('Data Additive'!$D:$D,'Data Additive'!$P:$P,'Painel Additive'!#REF!,'Data Additive'!$Q:$Q,"&gt;30",'Data Additive'!$Q:$Q,"&lt;=60")</f>
        <v>0</v>
      </c>
      <c r="I159" s="19">
        <f>SUMIFS('Data Additive'!$D:$D,'Data Additive'!$P:$P,'Painel Additive'!#REF!,'Data Additive'!$Q:$Q,"&gt;60",'Data Additive'!$Q:$Q,"&lt;=90")</f>
        <v>0</v>
      </c>
      <c r="J159" s="19">
        <f>SUMIFS('Data Additive'!$D:$D,'Data Additive'!$P:$P,'Painel Additive'!#REF!,'Data Additive'!$Q:$Q,"&gt;90",'Data Additive'!$Q:$Q,"&lt;=120")</f>
        <v>0</v>
      </c>
      <c r="K159" s="19">
        <f>SUMIFS('Data Additive'!$D:$D,'Data Additive'!$P:$P,'Painel Additive'!#REF!,'Data Additive'!$Q:$Q,"&gt;120",'Data Additive'!$Q:$Q,"&lt;=180")</f>
        <v>0</v>
      </c>
      <c r="L159" s="19">
        <f>SUMIFS('Data Additive'!$D:$D,'Data Additive'!$P:$P,'Painel Additive'!#REF!,'Data Additive'!$Q:$Q,"&gt;180",'Data Additive'!$Q:$Q,"&lt;=360")</f>
        <v>0</v>
      </c>
      <c r="M159" s="23">
        <f>SUMIFS('Data Additive'!$D:$D,'Data Additive'!$P:$P,'Painel Additive'!#REF!,'Data Additive'!$Q:$Q,"&gt;360")</f>
        <v>0</v>
      </c>
      <c r="N159" s="19">
        <f>SUMIFS('Data Additive'!$D:$D,'Data Additive'!$P:$P,'Painel Additive'!#REF!,'Data Additive'!$Q:$Q,"&gt;0")</f>
        <v>0</v>
      </c>
      <c r="O159" s="19">
        <f t="shared" si="20"/>
        <v>0</v>
      </c>
      <c r="P159" s="19">
        <f>SUMIFS('Data Additive'!$D:$D,'Data Additive'!$P:$P,'Painel Additive'!#REF!,'Data Additive'!$Q:$Q,"&lt;=0",'Data Additive'!$Q:$Q,"&gt;=-30")</f>
        <v>0</v>
      </c>
      <c r="Q159" s="19">
        <f>SUMIFS('Data Additive'!$D:$D,'Data Additive'!$P:$P,'Painel Additive'!#REF!,'Data Additive'!$Q:$Q,"&lt;=-31",'Data Additive'!$Q:$Q,"&gt;=-60")</f>
        <v>0</v>
      </c>
      <c r="R159" s="19">
        <f>SUMIFS('Data Additive'!$D:$D,'Data Additive'!$P:$P,'Painel Additive'!#REF!,'Data Additive'!$Q:$Q,"&lt;=-61",'Data Additive'!$Q:$Q,"&gt;=-90")</f>
        <v>0</v>
      </c>
      <c r="S159" s="19">
        <f>SUMIFS('Data Additive'!$D:$D,'Data Additive'!$P:$P,'Painel Additive'!#REF!,'Data Additive'!$Q:$Q,"&lt;=-91",'Data Additive'!$Q:$Q,"&gt;=-120")</f>
        <v>0</v>
      </c>
      <c r="T159" s="19">
        <f>SUMIFS('Data Additive'!$D:$D,'Data Additive'!$P:$P,'Painel Additive'!#REF!,'Data Additive'!$Q:$Q,"&lt;=-121",'Data Additive'!$Q:$Q,"&gt;=-180")</f>
        <v>0</v>
      </c>
      <c r="U159" s="19">
        <f>SUMIFS('Data Additive'!$D:$D,'Data Additive'!$P:$P,'Painel Additive'!#REF!,'Data Additive'!$Q:$Q,"&lt;=-181",'Data Additive'!$Q:$Q,"&gt;=-360")</f>
        <v>0</v>
      </c>
      <c r="V159" s="23">
        <f>SUMIFS('Data Additive'!$D:$D,'Data Additive'!$P:$P,'Painel Additive'!#REF!,'Data Additive'!$Q:$Q,"&lt;-360")</f>
        <v>0</v>
      </c>
      <c r="W159" s="19" t="e">
        <f>SUMIFS('Bad Debt Provision'!#REF!,'Bad Debt Provision'!#REF!,'Painel Additive'!#REF!)</f>
        <v>#REF!</v>
      </c>
      <c r="X159" s="5"/>
      <c r="Y159" s="20"/>
      <c r="Z159" s="20"/>
      <c r="AA159" s="21"/>
      <c r="AB159" s="5"/>
      <c r="AC159" s="19"/>
      <c r="AD159" s="20"/>
      <c r="AE159" s="22"/>
      <c r="AF159" s="22"/>
      <c r="AG159" s="5"/>
      <c r="AH159" s="28">
        <f t="shared" si="21"/>
        <v>0</v>
      </c>
    </row>
    <row r="160" spans="2:35" x14ac:dyDescent="0.25">
      <c r="B160" s="41" t="s">
        <v>362</v>
      </c>
      <c r="C160" s="94" t="str" cm="1">
        <f t="array" ref="C160">IFERROR(INDEX('Limite de crédito'!$D:$D, MATCH(MAX(IF('Limite de crédito'!$C:$C=$B160, 'Limite de crédito'!$A:$A)), 'Limite de crédito'!$A:$A, 0)),"")</f>
        <v/>
      </c>
      <c r="D160" s="18" cm="1">
        <f t="array" ref="D160">IFERROR(INDEX('Limite de crédito'!$F:$F, MATCH(MAX(IF('Limite de crédito'!$C:$C=$B160, 'Limite de crédito'!$A:$A)), 'Limite de crédito'!$A:$A, 0)),0)</f>
        <v>0</v>
      </c>
      <c r="E160" s="18">
        <f t="shared" si="18"/>
        <v>0</v>
      </c>
      <c r="F160" s="18">
        <f t="shared" si="19"/>
        <v>0</v>
      </c>
      <c r="G160" s="19">
        <f>SUMIFS('Data Additive'!$D:$D,'Data Additive'!$P:$P,'Painel Additive'!#REF!,'Data Additive'!$Q:$Q,"&gt;0",'Data Additive'!$Q:$Q,"&lt;=30")</f>
        <v>0</v>
      </c>
      <c r="H160" s="19">
        <f>SUMIFS('Data Additive'!$D:$D,'Data Additive'!$P:$P,'Painel Additive'!#REF!,'Data Additive'!$Q:$Q,"&gt;30",'Data Additive'!$Q:$Q,"&lt;=60")</f>
        <v>0</v>
      </c>
      <c r="I160" s="19">
        <f>SUMIFS('Data Additive'!$D:$D,'Data Additive'!$P:$P,'Painel Additive'!#REF!,'Data Additive'!$Q:$Q,"&gt;60",'Data Additive'!$Q:$Q,"&lt;=90")</f>
        <v>0</v>
      </c>
      <c r="J160" s="19">
        <f>SUMIFS('Data Additive'!$D:$D,'Data Additive'!$P:$P,'Painel Additive'!#REF!,'Data Additive'!$Q:$Q,"&gt;90",'Data Additive'!$Q:$Q,"&lt;=120")</f>
        <v>0</v>
      </c>
      <c r="K160" s="19">
        <f>SUMIFS('Data Additive'!$D:$D,'Data Additive'!$P:$P,'Painel Additive'!#REF!,'Data Additive'!$Q:$Q,"&gt;120",'Data Additive'!$Q:$Q,"&lt;=180")</f>
        <v>0</v>
      </c>
      <c r="L160" s="19">
        <f>SUMIFS('Data Additive'!$D:$D,'Data Additive'!$P:$P,'Painel Additive'!#REF!,'Data Additive'!$Q:$Q,"&gt;180",'Data Additive'!$Q:$Q,"&lt;=360")</f>
        <v>0</v>
      </c>
      <c r="M160" s="23">
        <f>SUMIFS('Data Additive'!$D:$D,'Data Additive'!$P:$P,'Painel Additive'!#REF!,'Data Additive'!$Q:$Q,"&gt;360")</f>
        <v>0</v>
      </c>
      <c r="N160" s="19">
        <f>SUMIFS('Data Additive'!$D:$D,'Data Additive'!$P:$P,'Painel Additive'!#REF!,'Data Additive'!$Q:$Q,"&gt;0")</f>
        <v>0</v>
      </c>
      <c r="O160" s="19">
        <f t="shared" si="20"/>
        <v>0</v>
      </c>
      <c r="P160" s="19">
        <f>SUMIFS('Data Additive'!$D:$D,'Data Additive'!$P:$P,'Painel Additive'!#REF!,'Data Additive'!$Q:$Q,"&lt;=0",'Data Additive'!$Q:$Q,"&gt;=-30")</f>
        <v>0</v>
      </c>
      <c r="Q160" s="19">
        <f>SUMIFS('Data Additive'!$D:$D,'Data Additive'!$P:$P,'Painel Additive'!#REF!,'Data Additive'!$Q:$Q,"&lt;=-31",'Data Additive'!$Q:$Q,"&gt;=-60")</f>
        <v>0</v>
      </c>
      <c r="R160" s="19">
        <f>SUMIFS('Data Additive'!$D:$D,'Data Additive'!$P:$P,'Painel Additive'!#REF!,'Data Additive'!$Q:$Q,"&lt;=-61",'Data Additive'!$Q:$Q,"&gt;=-90")</f>
        <v>0</v>
      </c>
      <c r="S160" s="19">
        <f>SUMIFS('Data Additive'!$D:$D,'Data Additive'!$P:$P,'Painel Additive'!#REF!,'Data Additive'!$Q:$Q,"&lt;=-91",'Data Additive'!$Q:$Q,"&gt;=-120")</f>
        <v>0</v>
      </c>
      <c r="T160" s="19">
        <f>SUMIFS('Data Additive'!$D:$D,'Data Additive'!$P:$P,'Painel Additive'!#REF!,'Data Additive'!$Q:$Q,"&lt;=-121",'Data Additive'!$Q:$Q,"&gt;=-180")</f>
        <v>0</v>
      </c>
      <c r="U160" s="19">
        <f>SUMIFS('Data Additive'!$D:$D,'Data Additive'!$P:$P,'Painel Additive'!#REF!,'Data Additive'!$Q:$Q,"&lt;=-181",'Data Additive'!$Q:$Q,"&gt;=-360")</f>
        <v>0</v>
      </c>
      <c r="V160" s="23">
        <f>SUMIFS('Data Additive'!$D:$D,'Data Additive'!$P:$P,'Painel Additive'!#REF!,'Data Additive'!$Q:$Q,"&lt;-360")</f>
        <v>0</v>
      </c>
      <c r="W160" s="19" t="e">
        <f>SUMIFS('Bad Debt Provision'!#REF!,'Bad Debt Provision'!#REF!,'Painel Additive'!#REF!)</f>
        <v>#REF!</v>
      </c>
      <c r="X160" s="5"/>
      <c r="Y160" s="20"/>
      <c r="Z160" s="20"/>
      <c r="AA160" s="21"/>
      <c r="AB160" s="5"/>
      <c r="AC160" s="19"/>
      <c r="AD160" s="20"/>
      <c r="AE160" s="22"/>
      <c r="AF160" s="22"/>
      <c r="AG160" s="5"/>
      <c r="AH160" s="28">
        <f t="shared" si="21"/>
        <v>0</v>
      </c>
    </row>
    <row r="161" spans="2:34" x14ac:dyDescent="0.25">
      <c r="B161" s="41" t="s">
        <v>363</v>
      </c>
      <c r="C161" s="94" t="str" cm="1">
        <f t="array" ref="C161">IFERROR(INDEX('Limite de crédito'!$D:$D, MATCH(MAX(IF('Limite de crédito'!$C:$C=$B161, 'Limite de crédito'!$A:$A)), 'Limite de crédito'!$A:$A, 0)),"")</f>
        <v/>
      </c>
      <c r="D161" s="18" cm="1">
        <f t="array" ref="D161">IFERROR(INDEX('Limite de crédito'!$F:$F, MATCH(MAX(IF('Limite de crédito'!$C:$C=$B161, 'Limite de crédito'!$A:$A)), 'Limite de crédito'!$A:$A, 0)),0)</f>
        <v>0</v>
      </c>
      <c r="E161" s="18">
        <f t="shared" si="18"/>
        <v>0</v>
      </c>
      <c r="F161" s="18">
        <f t="shared" si="19"/>
        <v>0</v>
      </c>
      <c r="G161" s="19">
        <f>SUMIFS('Data Additive'!$D:$D,'Data Additive'!$P:$P,'Painel Additive'!#REF!,'Data Additive'!$Q:$Q,"&gt;0",'Data Additive'!$Q:$Q,"&lt;=30")</f>
        <v>0</v>
      </c>
      <c r="H161" s="19">
        <f>SUMIFS('Data Additive'!$D:$D,'Data Additive'!$P:$P,'Painel Additive'!#REF!,'Data Additive'!$Q:$Q,"&gt;30",'Data Additive'!$Q:$Q,"&lt;=60")</f>
        <v>0</v>
      </c>
      <c r="I161" s="19">
        <f>SUMIFS('Data Additive'!$D:$D,'Data Additive'!$P:$P,'Painel Additive'!#REF!,'Data Additive'!$Q:$Q,"&gt;60",'Data Additive'!$Q:$Q,"&lt;=90")</f>
        <v>0</v>
      </c>
      <c r="J161" s="19">
        <f>SUMIFS('Data Additive'!$D:$D,'Data Additive'!$P:$P,'Painel Additive'!#REF!,'Data Additive'!$Q:$Q,"&gt;90",'Data Additive'!$Q:$Q,"&lt;=120")</f>
        <v>0</v>
      </c>
      <c r="K161" s="19">
        <f>SUMIFS('Data Additive'!$D:$D,'Data Additive'!$P:$P,'Painel Additive'!#REF!,'Data Additive'!$Q:$Q,"&gt;120",'Data Additive'!$Q:$Q,"&lt;=180")</f>
        <v>0</v>
      </c>
      <c r="L161" s="19">
        <f>SUMIFS('Data Additive'!$D:$D,'Data Additive'!$P:$P,'Painel Additive'!#REF!,'Data Additive'!$Q:$Q,"&gt;180",'Data Additive'!$Q:$Q,"&lt;=360")</f>
        <v>0</v>
      </c>
      <c r="M161" s="23">
        <f>SUMIFS('Data Additive'!$D:$D,'Data Additive'!$P:$P,'Painel Additive'!#REF!,'Data Additive'!$Q:$Q,"&gt;360")</f>
        <v>0</v>
      </c>
      <c r="N161" s="19">
        <f>SUMIFS('Data Additive'!$D:$D,'Data Additive'!$P:$P,'Painel Additive'!#REF!,'Data Additive'!$Q:$Q,"&gt;0")</f>
        <v>0</v>
      </c>
      <c r="O161" s="19">
        <f t="shared" si="20"/>
        <v>0</v>
      </c>
      <c r="P161" s="19">
        <f>SUMIFS('Data Additive'!$D:$D,'Data Additive'!$P:$P,'Painel Additive'!#REF!,'Data Additive'!$Q:$Q,"&lt;=0",'Data Additive'!$Q:$Q,"&gt;=-30")</f>
        <v>0</v>
      </c>
      <c r="Q161" s="19">
        <f>SUMIFS('Data Additive'!$D:$D,'Data Additive'!$P:$P,'Painel Additive'!#REF!,'Data Additive'!$Q:$Q,"&lt;=-31",'Data Additive'!$Q:$Q,"&gt;=-60")</f>
        <v>0</v>
      </c>
      <c r="R161" s="19">
        <f>SUMIFS('Data Additive'!$D:$D,'Data Additive'!$P:$P,'Painel Additive'!#REF!,'Data Additive'!$Q:$Q,"&lt;=-61",'Data Additive'!$Q:$Q,"&gt;=-90")</f>
        <v>0</v>
      </c>
      <c r="S161" s="19">
        <f>SUMIFS('Data Additive'!$D:$D,'Data Additive'!$P:$P,'Painel Additive'!#REF!,'Data Additive'!$Q:$Q,"&lt;=-91",'Data Additive'!$Q:$Q,"&gt;=-120")</f>
        <v>0</v>
      </c>
      <c r="T161" s="19">
        <f>SUMIFS('Data Additive'!$D:$D,'Data Additive'!$P:$P,'Painel Additive'!#REF!,'Data Additive'!$Q:$Q,"&lt;=-121",'Data Additive'!$Q:$Q,"&gt;=-180")</f>
        <v>0</v>
      </c>
      <c r="U161" s="19">
        <f>SUMIFS('Data Additive'!$D:$D,'Data Additive'!$P:$P,'Painel Additive'!#REF!,'Data Additive'!$Q:$Q,"&lt;=-181",'Data Additive'!$Q:$Q,"&gt;=-360")</f>
        <v>0</v>
      </c>
      <c r="V161" s="23">
        <f>SUMIFS('Data Additive'!$D:$D,'Data Additive'!$P:$P,'Painel Additive'!#REF!,'Data Additive'!$Q:$Q,"&lt;-360")</f>
        <v>0</v>
      </c>
      <c r="W161" s="19" t="e">
        <f>SUMIFS('Bad Debt Provision'!#REF!,'Bad Debt Provision'!#REF!,'Painel Additive'!#REF!)</f>
        <v>#REF!</v>
      </c>
      <c r="X161" s="5"/>
      <c r="Y161" s="20"/>
      <c r="Z161" s="20"/>
      <c r="AA161" s="21"/>
      <c r="AB161" s="5"/>
      <c r="AC161" s="19"/>
      <c r="AD161" s="20"/>
      <c r="AE161" s="22"/>
      <c r="AF161" s="22"/>
      <c r="AG161" s="5"/>
      <c r="AH161" s="28">
        <f t="shared" si="21"/>
        <v>0</v>
      </c>
    </row>
    <row r="162" spans="2:34" x14ac:dyDescent="0.25">
      <c r="B162" s="41" t="s">
        <v>364</v>
      </c>
      <c r="C162" s="94" t="str" cm="1">
        <f t="array" ref="C162">IFERROR(INDEX('Limite de crédito'!$D:$D, MATCH(MAX(IF('Limite de crédito'!$C:$C=$B162, 'Limite de crédito'!$A:$A)), 'Limite de crédito'!$A:$A, 0)),"")</f>
        <v/>
      </c>
      <c r="D162" s="18" cm="1">
        <f t="array" ref="D162">IFERROR(INDEX('Limite de crédito'!$F:$F, MATCH(MAX(IF('Limite de crédito'!$C:$C=$B162, 'Limite de crédito'!$A:$A)), 'Limite de crédito'!$A:$A, 0)),0)</f>
        <v>0</v>
      </c>
      <c r="E162" s="18">
        <f t="shared" si="18"/>
        <v>0</v>
      </c>
      <c r="F162" s="18">
        <f t="shared" si="19"/>
        <v>0</v>
      </c>
      <c r="G162" s="19">
        <f>SUMIFS('Data Additive'!$D:$D,'Data Additive'!$P:$P,'Painel Additive'!#REF!,'Data Additive'!$Q:$Q,"&gt;0",'Data Additive'!$Q:$Q,"&lt;=30")</f>
        <v>0</v>
      </c>
      <c r="H162" s="19">
        <f>SUMIFS('Data Additive'!$D:$D,'Data Additive'!$P:$P,'Painel Additive'!#REF!,'Data Additive'!$Q:$Q,"&gt;30",'Data Additive'!$Q:$Q,"&lt;=60")</f>
        <v>0</v>
      </c>
      <c r="I162" s="19">
        <f>SUMIFS('Data Additive'!$D:$D,'Data Additive'!$P:$P,'Painel Additive'!#REF!,'Data Additive'!$Q:$Q,"&gt;60",'Data Additive'!$Q:$Q,"&lt;=90")</f>
        <v>0</v>
      </c>
      <c r="J162" s="19">
        <f>SUMIFS('Data Additive'!$D:$D,'Data Additive'!$P:$P,'Painel Additive'!#REF!,'Data Additive'!$Q:$Q,"&gt;90",'Data Additive'!$Q:$Q,"&lt;=120")</f>
        <v>0</v>
      </c>
      <c r="K162" s="19">
        <f>SUMIFS('Data Additive'!$D:$D,'Data Additive'!$P:$P,'Painel Additive'!#REF!,'Data Additive'!$Q:$Q,"&gt;120",'Data Additive'!$Q:$Q,"&lt;=180")</f>
        <v>0</v>
      </c>
      <c r="L162" s="19">
        <f>SUMIFS('Data Additive'!$D:$D,'Data Additive'!$P:$P,'Painel Additive'!#REF!,'Data Additive'!$Q:$Q,"&gt;180",'Data Additive'!$Q:$Q,"&lt;=360")</f>
        <v>0</v>
      </c>
      <c r="M162" s="23">
        <f>SUMIFS('Data Additive'!$D:$D,'Data Additive'!$P:$P,'Painel Additive'!#REF!,'Data Additive'!$Q:$Q,"&gt;360")</f>
        <v>0</v>
      </c>
      <c r="N162" s="19">
        <f>SUMIFS('Data Additive'!$D:$D,'Data Additive'!$P:$P,'Painel Additive'!#REF!,'Data Additive'!$Q:$Q,"&gt;0")</f>
        <v>0</v>
      </c>
      <c r="O162" s="19">
        <f t="shared" si="20"/>
        <v>0</v>
      </c>
      <c r="P162" s="19">
        <f>SUMIFS('Data Additive'!$D:$D,'Data Additive'!$P:$P,'Painel Additive'!#REF!,'Data Additive'!$Q:$Q,"&lt;=0",'Data Additive'!$Q:$Q,"&gt;=-30")</f>
        <v>0</v>
      </c>
      <c r="Q162" s="19">
        <f>SUMIFS('Data Additive'!$D:$D,'Data Additive'!$P:$P,'Painel Additive'!#REF!,'Data Additive'!$Q:$Q,"&lt;=-31",'Data Additive'!$Q:$Q,"&gt;=-60")</f>
        <v>0</v>
      </c>
      <c r="R162" s="19">
        <f>SUMIFS('Data Additive'!$D:$D,'Data Additive'!$P:$P,'Painel Additive'!#REF!,'Data Additive'!$Q:$Q,"&lt;=-61",'Data Additive'!$Q:$Q,"&gt;=-90")</f>
        <v>0</v>
      </c>
      <c r="S162" s="19">
        <f>SUMIFS('Data Additive'!$D:$D,'Data Additive'!$P:$P,'Painel Additive'!#REF!,'Data Additive'!$Q:$Q,"&lt;=-91",'Data Additive'!$Q:$Q,"&gt;=-120")</f>
        <v>0</v>
      </c>
      <c r="T162" s="19">
        <f>SUMIFS('Data Additive'!$D:$D,'Data Additive'!$P:$P,'Painel Additive'!#REF!,'Data Additive'!$Q:$Q,"&lt;=-121",'Data Additive'!$Q:$Q,"&gt;=-180")</f>
        <v>0</v>
      </c>
      <c r="U162" s="19">
        <f>SUMIFS('Data Additive'!$D:$D,'Data Additive'!$P:$P,'Painel Additive'!#REF!,'Data Additive'!$Q:$Q,"&lt;=-181",'Data Additive'!$Q:$Q,"&gt;=-360")</f>
        <v>0</v>
      </c>
      <c r="V162" s="23">
        <f>SUMIFS('Data Additive'!$D:$D,'Data Additive'!$P:$P,'Painel Additive'!#REF!,'Data Additive'!$Q:$Q,"&lt;-360")</f>
        <v>0</v>
      </c>
      <c r="W162" s="19" t="e">
        <f>SUMIFS('Bad Debt Provision'!#REF!,'Bad Debt Provision'!#REF!,'Painel Additive'!#REF!)</f>
        <v>#REF!</v>
      </c>
      <c r="X162" s="5"/>
      <c r="Y162" s="20"/>
      <c r="Z162" s="20"/>
      <c r="AA162" s="21"/>
      <c r="AB162" s="5"/>
      <c r="AC162" s="19"/>
      <c r="AD162" s="20"/>
      <c r="AE162" s="22"/>
      <c r="AF162" s="22"/>
      <c r="AG162" s="5"/>
      <c r="AH162" s="28">
        <f t="shared" si="21"/>
        <v>0</v>
      </c>
    </row>
    <row r="163" spans="2:34" x14ac:dyDescent="0.25">
      <c r="B163" s="41" t="s">
        <v>366</v>
      </c>
      <c r="C163" s="94" t="str" cm="1">
        <f t="array" ref="C163">IFERROR(INDEX('Limite de crédito'!$D:$D, MATCH(MAX(IF('Limite de crédito'!$C:$C=$B163, 'Limite de crédito'!$A:$A)), 'Limite de crédito'!$A:$A, 0)),"")</f>
        <v/>
      </c>
      <c r="D163" s="18" cm="1">
        <f t="array" ref="D163">IFERROR(INDEX('Limite de crédito'!$F:$F, MATCH(MAX(IF('Limite de crédito'!$C:$C=$B163, 'Limite de crédito'!$A:$A)), 'Limite de crédito'!$A:$A, 0)),0)</f>
        <v>0</v>
      </c>
      <c r="E163" s="18">
        <f t="shared" si="18"/>
        <v>0</v>
      </c>
      <c r="F163" s="18">
        <f t="shared" si="19"/>
        <v>0</v>
      </c>
      <c r="G163" s="19">
        <f>SUMIFS('Data Additive'!$D:$D,'Data Additive'!$P:$P,'Painel Additive'!#REF!,'Data Additive'!$Q:$Q,"&gt;0",'Data Additive'!$Q:$Q,"&lt;=30")</f>
        <v>0</v>
      </c>
      <c r="H163" s="19">
        <f>SUMIFS('Data Additive'!$D:$D,'Data Additive'!$P:$P,'Painel Additive'!#REF!,'Data Additive'!$Q:$Q,"&gt;30",'Data Additive'!$Q:$Q,"&lt;=60")</f>
        <v>0</v>
      </c>
      <c r="I163" s="19">
        <f>SUMIFS('Data Additive'!$D:$D,'Data Additive'!$P:$P,'Painel Additive'!#REF!,'Data Additive'!$Q:$Q,"&gt;60",'Data Additive'!$Q:$Q,"&lt;=90")</f>
        <v>0</v>
      </c>
      <c r="J163" s="19">
        <f>SUMIFS('Data Additive'!$D:$D,'Data Additive'!$P:$P,'Painel Additive'!#REF!,'Data Additive'!$Q:$Q,"&gt;90",'Data Additive'!$Q:$Q,"&lt;=120")</f>
        <v>0</v>
      </c>
      <c r="K163" s="19">
        <f>SUMIFS('Data Additive'!$D:$D,'Data Additive'!$P:$P,'Painel Additive'!#REF!,'Data Additive'!$Q:$Q,"&gt;120",'Data Additive'!$Q:$Q,"&lt;=180")</f>
        <v>0</v>
      </c>
      <c r="L163" s="19">
        <f>SUMIFS('Data Additive'!$D:$D,'Data Additive'!$P:$P,'Painel Additive'!#REF!,'Data Additive'!$Q:$Q,"&gt;180",'Data Additive'!$Q:$Q,"&lt;=360")</f>
        <v>0</v>
      </c>
      <c r="M163" s="23">
        <f>SUMIFS('Data Additive'!$D:$D,'Data Additive'!$P:$P,'Painel Additive'!#REF!,'Data Additive'!$Q:$Q,"&gt;360")</f>
        <v>0</v>
      </c>
      <c r="N163" s="19">
        <f>SUMIFS('Data Additive'!$D:$D,'Data Additive'!$P:$P,'Painel Additive'!#REF!,'Data Additive'!$Q:$Q,"&gt;0")</f>
        <v>0</v>
      </c>
      <c r="O163" s="19">
        <f t="shared" si="20"/>
        <v>0</v>
      </c>
      <c r="P163" s="19">
        <f>SUMIFS('Data Additive'!$D:$D,'Data Additive'!$P:$P,'Painel Additive'!#REF!,'Data Additive'!$Q:$Q,"&lt;=0",'Data Additive'!$Q:$Q,"&gt;=-30")</f>
        <v>0</v>
      </c>
      <c r="Q163" s="19">
        <f>SUMIFS('Data Additive'!$D:$D,'Data Additive'!$P:$P,'Painel Additive'!#REF!,'Data Additive'!$Q:$Q,"&lt;=-31",'Data Additive'!$Q:$Q,"&gt;=-60")</f>
        <v>0</v>
      </c>
      <c r="R163" s="19">
        <f>SUMIFS('Data Additive'!$D:$D,'Data Additive'!$P:$P,'Painel Additive'!#REF!,'Data Additive'!$Q:$Q,"&lt;=-61",'Data Additive'!$Q:$Q,"&gt;=-90")</f>
        <v>0</v>
      </c>
      <c r="S163" s="19">
        <f>SUMIFS('Data Additive'!$D:$D,'Data Additive'!$P:$P,'Painel Additive'!#REF!,'Data Additive'!$Q:$Q,"&lt;=-91",'Data Additive'!$Q:$Q,"&gt;=-120")</f>
        <v>0</v>
      </c>
      <c r="T163" s="19">
        <f>SUMIFS('Data Additive'!$D:$D,'Data Additive'!$P:$P,'Painel Additive'!#REF!,'Data Additive'!$Q:$Q,"&lt;=-121",'Data Additive'!$Q:$Q,"&gt;=-180")</f>
        <v>0</v>
      </c>
      <c r="U163" s="19">
        <f>SUMIFS('Data Additive'!$D:$D,'Data Additive'!$P:$P,'Painel Additive'!#REF!,'Data Additive'!$Q:$Q,"&lt;=-181",'Data Additive'!$Q:$Q,"&gt;=-360")</f>
        <v>0</v>
      </c>
      <c r="V163" s="23">
        <f>SUMIFS('Data Additive'!$D:$D,'Data Additive'!$P:$P,'Painel Additive'!#REF!,'Data Additive'!$Q:$Q,"&lt;-360")</f>
        <v>0</v>
      </c>
      <c r="W163" s="19" t="e">
        <f>SUMIFS('Bad Debt Provision'!#REF!,'Bad Debt Provision'!#REF!,'Painel Additive'!#REF!)</f>
        <v>#REF!</v>
      </c>
      <c r="X163" s="5"/>
      <c r="Y163" s="20"/>
      <c r="Z163" s="20"/>
      <c r="AA163" s="21"/>
      <c r="AB163" s="5"/>
      <c r="AC163" s="19"/>
      <c r="AD163" s="20"/>
      <c r="AE163" s="22"/>
      <c r="AF163" s="22"/>
      <c r="AG163" s="5"/>
      <c r="AH163" s="28">
        <f t="shared" si="21"/>
        <v>0</v>
      </c>
    </row>
    <row r="164" spans="2:34" x14ac:dyDescent="0.25">
      <c r="B164" s="41" t="s">
        <v>368</v>
      </c>
      <c r="C164" s="94" t="str" cm="1">
        <f t="array" ref="C164">IFERROR(INDEX('Limite de crédito'!$D:$D, MATCH(MAX(IF('Limite de crédito'!$C:$C=$B164, 'Limite de crédito'!$A:$A)), 'Limite de crédito'!$A:$A, 0)),"")</f>
        <v/>
      </c>
      <c r="D164" s="18" cm="1">
        <f t="array" ref="D164">IFERROR(INDEX('Limite de crédito'!$F:$F, MATCH(MAX(IF('Limite de crédito'!$C:$C=$B164, 'Limite de crédito'!$A:$A)), 'Limite de crédito'!$A:$A, 0)),0)</f>
        <v>0</v>
      </c>
      <c r="E164" s="18">
        <f t="shared" ref="E164:E169" si="22">D164-F164</f>
        <v>0</v>
      </c>
      <c r="F164" s="18">
        <f t="shared" ref="F164:F169" si="23">O164+N164</f>
        <v>0</v>
      </c>
      <c r="G164" s="19">
        <f>SUMIFS('Data Additive'!$D:$D,'Data Additive'!$P:$P,'Painel Additive'!#REF!,'Data Additive'!$Q:$Q,"&gt;0",'Data Additive'!$Q:$Q,"&lt;=30")</f>
        <v>0</v>
      </c>
      <c r="H164" s="19">
        <f>SUMIFS('Data Additive'!$D:$D,'Data Additive'!$P:$P,'Painel Additive'!#REF!,'Data Additive'!$Q:$Q,"&gt;30",'Data Additive'!$Q:$Q,"&lt;=60")</f>
        <v>0</v>
      </c>
      <c r="I164" s="19">
        <f>SUMIFS('Data Additive'!$D:$D,'Data Additive'!$P:$P,'Painel Additive'!#REF!,'Data Additive'!$Q:$Q,"&gt;60",'Data Additive'!$Q:$Q,"&lt;=90")</f>
        <v>0</v>
      </c>
      <c r="J164" s="19">
        <f>SUMIFS('Data Additive'!$D:$D,'Data Additive'!$P:$P,'Painel Additive'!#REF!,'Data Additive'!$Q:$Q,"&gt;90",'Data Additive'!$Q:$Q,"&lt;=120")</f>
        <v>0</v>
      </c>
      <c r="K164" s="19">
        <f>SUMIFS('Data Additive'!$D:$D,'Data Additive'!$P:$P,'Painel Additive'!#REF!,'Data Additive'!$Q:$Q,"&gt;120",'Data Additive'!$Q:$Q,"&lt;=180")</f>
        <v>0</v>
      </c>
      <c r="L164" s="19">
        <f>SUMIFS('Data Additive'!$D:$D,'Data Additive'!$P:$P,'Painel Additive'!#REF!,'Data Additive'!$Q:$Q,"&gt;180",'Data Additive'!$Q:$Q,"&lt;=360")</f>
        <v>0</v>
      </c>
      <c r="M164" s="23">
        <f>SUMIFS('Data Additive'!$D:$D,'Data Additive'!$P:$P,'Painel Additive'!#REF!,'Data Additive'!$Q:$Q,"&gt;360")</f>
        <v>0</v>
      </c>
      <c r="N164" s="19">
        <f>SUMIFS('Data Additive'!$D:$D,'Data Additive'!$P:$P,'Painel Additive'!#REF!,'Data Additive'!$Q:$Q,"&gt;0")</f>
        <v>0</v>
      </c>
      <c r="O164" s="19">
        <f t="shared" ref="O164:O169" si="24">SUBTOTAL(9,P164:V164)</f>
        <v>0</v>
      </c>
      <c r="P164" s="19">
        <f>SUMIFS('Data Additive'!$D:$D,'Data Additive'!$P:$P,'Painel Additive'!#REF!,'Data Additive'!$Q:$Q,"&lt;=0",'Data Additive'!$Q:$Q,"&gt;=-30")</f>
        <v>0</v>
      </c>
      <c r="Q164" s="19">
        <f>SUMIFS('Data Additive'!$D:$D,'Data Additive'!$P:$P,'Painel Additive'!#REF!,'Data Additive'!$Q:$Q,"&lt;=-31",'Data Additive'!$Q:$Q,"&gt;=-60")</f>
        <v>0</v>
      </c>
      <c r="R164" s="19">
        <f>SUMIFS('Data Additive'!$D:$D,'Data Additive'!$P:$P,'Painel Additive'!#REF!,'Data Additive'!$Q:$Q,"&lt;=-61",'Data Additive'!$Q:$Q,"&gt;=-90")</f>
        <v>0</v>
      </c>
      <c r="S164" s="19">
        <f>SUMIFS('Data Additive'!$D:$D,'Data Additive'!$P:$P,'Painel Additive'!#REF!,'Data Additive'!$Q:$Q,"&lt;=-91",'Data Additive'!$Q:$Q,"&gt;=-120")</f>
        <v>0</v>
      </c>
      <c r="T164" s="19">
        <f>SUMIFS('Data Additive'!$D:$D,'Data Additive'!$P:$P,'Painel Additive'!#REF!,'Data Additive'!$Q:$Q,"&lt;=-121",'Data Additive'!$Q:$Q,"&gt;=-180")</f>
        <v>0</v>
      </c>
      <c r="U164" s="19">
        <f>SUMIFS('Data Additive'!$D:$D,'Data Additive'!$P:$P,'Painel Additive'!#REF!,'Data Additive'!$Q:$Q,"&lt;=-181",'Data Additive'!$Q:$Q,"&gt;=-360")</f>
        <v>0</v>
      </c>
      <c r="V164" s="23">
        <f>SUMIFS('Data Additive'!$D:$D,'Data Additive'!$P:$P,'Painel Additive'!#REF!,'Data Additive'!$Q:$Q,"&lt;-360")</f>
        <v>0</v>
      </c>
      <c r="W164" s="19" t="e">
        <f>SUMIFS('Bad Debt Provision'!#REF!,'Bad Debt Provision'!#REF!,'Painel Additive'!#REF!)</f>
        <v>#REF!</v>
      </c>
      <c r="X164" s="5"/>
      <c r="Y164" s="20"/>
      <c r="Z164" s="20"/>
      <c r="AA164" s="21"/>
      <c r="AB164" s="5"/>
      <c r="AC164" s="19"/>
      <c r="AD164" s="20"/>
      <c r="AE164" s="22"/>
      <c r="AF164" s="22"/>
      <c r="AG164" s="5"/>
      <c r="AH164" s="28">
        <f t="shared" ref="AH164:AH169" si="25">AC164-F164</f>
        <v>0</v>
      </c>
    </row>
    <row r="165" spans="2:34" x14ac:dyDescent="0.25">
      <c r="B165" s="41" t="s">
        <v>372</v>
      </c>
      <c r="C165" s="94" t="str" cm="1">
        <f t="array" ref="C165">IFERROR(INDEX('Limite de crédito'!$D:$D, MATCH(MAX(IF('Limite de crédito'!$C:$C=$B165, 'Limite de crédito'!$A:$A)), 'Limite de crédito'!$A:$A, 0)),"")</f>
        <v/>
      </c>
      <c r="D165" s="18" cm="1">
        <f t="array" ref="D165">IFERROR(INDEX('Limite de crédito'!$F:$F, MATCH(MAX(IF('Limite de crédito'!$C:$C=$B165, 'Limite de crédito'!$A:$A)), 'Limite de crédito'!$A:$A, 0)),0)</f>
        <v>0</v>
      </c>
      <c r="E165" s="18">
        <f t="shared" si="22"/>
        <v>0</v>
      </c>
      <c r="F165" s="18">
        <f t="shared" si="23"/>
        <v>0</v>
      </c>
      <c r="G165" s="19">
        <f>SUMIFS('Data Additive'!$D:$D,'Data Additive'!$P:$P,'Painel Additive'!#REF!,'Data Additive'!$Q:$Q,"&gt;0",'Data Additive'!$Q:$Q,"&lt;=30")</f>
        <v>0</v>
      </c>
      <c r="H165" s="19">
        <f>SUMIFS('Data Additive'!$D:$D,'Data Additive'!$P:$P,'Painel Additive'!#REF!,'Data Additive'!$Q:$Q,"&gt;30",'Data Additive'!$Q:$Q,"&lt;=60")</f>
        <v>0</v>
      </c>
      <c r="I165" s="19">
        <f>SUMIFS('Data Additive'!$D:$D,'Data Additive'!$P:$P,'Painel Additive'!#REF!,'Data Additive'!$Q:$Q,"&gt;60",'Data Additive'!$Q:$Q,"&lt;=90")</f>
        <v>0</v>
      </c>
      <c r="J165" s="19">
        <f>SUMIFS('Data Additive'!$D:$D,'Data Additive'!$P:$P,'Painel Additive'!#REF!,'Data Additive'!$Q:$Q,"&gt;90",'Data Additive'!$Q:$Q,"&lt;=120")</f>
        <v>0</v>
      </c>
      <c r="K165" s="19">
        <f>SUMIFS('Data Additive'!$D:$D,'Data Additive'!$P:$P,'Painel Additive'!#REF!,'Data Additive'!$Q:$Q,"&gt;120",'Data Additive'!$Q:$Q,"&lt;=180")</f>
        <v>0</v>
      </c>
      <c r="L165" s="19">
        <f>SUMIFS('Data Additive'!$D:$D,'Data Additive'!$P:$P,'Painel Additive'!#REF!,'Data Additive'!$Q:$Q,"&gt;180",'Data Additive'!$Q:$Q,"&lt;=360")</f>
        <v>0</v>
      </c>
      <c r="M165" s="23">
        <f>SUMIFS('Data Additive'!$D:$D,'Data Additive'!$P:$P,'Painel Additive'!#REF!,'Data Additive'!$Q:$Q,"&gt;360")</f>
        <v>0</v>
      </c>
      <c r="N165" s="19">
        <f>SUMIFS('Data Additive'!$D:$D,'Data Additive'!$P:$P,'Painel Additive'!#REF!,'Data Additive'!$Q:$Q,"&gt;0")</f>
        <v>0</v>
      </c>
      <c r="O165" s="19">
        <f t="shared" si="24"/>
        <v>0</v>
      </c>
      <c r="P165" s="19">
        <f>SUMIFS('Data Additive'!$D:$D,'Data Additive'!$P:$P,'Painel Additive'!#REF!,'Data Additive'!$Q:$Q,"&lt;=0",'Data Additive'!$Q:$Q,"&gt;=-30")</f>
        <v>0</v>
      </c>
      <c r="Q165" s="19">
        <f>SUMIFS('Data Additive'!$D:$D,'Data Additive'!$P:$P,'Painel Additive'!#REF!,'Data Additive'!$Q:$Q,"&lt;=-31",'Data Additive'!$Q:$Q,"&gt;=-60")</f>
        <v>0</v>
      </c>
      <c r="R165" s="19">
        <f>SUMIFS('Data Additive'!$D:$D,'Data Additive'!$P:$P,'Painel Additive'!#REF!,'Data Additive'!$Q:$Q,"&lt;=-61",'Data Additive'!$Q:$Q,"&gt;=-90")</f>
        <v>0</v>
      </c>
      <c r="S165" s="19">
        <f>SUMIFS('Data Additive'!$D:$D,'Data Additive'!$P:$P,'Painel Additive'!#REF!,'Data Additive'!$Q:$Q,"&lt;=-91",'Data Additive'!$Q:$Q,"&gt;=-120")</f>
        <v>0</v>
      </c>
      <c r="T165" s="19">
        <f>SUMIFS('Data Additive'!$D:$D,'Data Additive'!$P:$P,'Painel Additive'!#REF!,'Data Additive'!$Q:$Q,"&lt;=-121",'Data Additive'!$Q:$Q,"&gt;=-180")</f>
        <v>0</v>
      </c>
      <c r="U165" s="19">
        <f>SUMIFS('Data Additive'!$D:$D,'Data Additive'!$P:$P,'Painel Additive'!#REF!,'Data Additive'!$Q:$Q,"&lt;=-181",'Data Additive'!$Q:$Q,"&gt;=-360")</f>
        <v>0</v>
      </c>
      <c r="V165" s="23">
        <f>SUMIFS('Data Additive'!$D:$D,'Data Additive'!$P:$P,'Painel Additive'!#REF!,'Data Additive'!$Q:$Q,"&lt;-360")</f>
        <v>0</v>
      </c>
      <c r="W165" s="19" t="e">
        <f>SUMIFS('Bad Debt Provision'!#REF!,'Bad Debt Provision'!#REF!,'Painel Additive'!#REF!)</f>
        <v>#REF!</v>
      </c>
      <c r="X165" s="5"/>
      <c r="Y165" s="20"/>
      <c r="Z165" s="20"/>
      <c r="AA165" s="21"/>
      <c r="AB165" s="5"/>
      <c r="AC165" s="19"/>
      <c r="AD165" s="20"/>
      <c r="AE165" s="22"/>
      <c r="AF165" s="22"/>
      <c r="AG165" s="5"/>
      <c r="AH165" s="28">
        <f t="shared" si="25"/>
        <v>0</v>
      </c>
    </row>
    <row r="166" spans="2:34" x14ac:dyDescent="0.25">
      <c r="B166" s="41" t="s">
        <v>388</v>
      </c>
      <c r="C166" s="94" t="str" cm="1">
        <f t="array" ref="C166">IFERROR(INDEX('Limite de crédito'!$D:$D, MATCH(MAX(IF('Limite de crédito'!$C:$C=$B166, 'Limite de crédito'!$A:$A)), 'Limite de crédito'!$A:$A, 0)),"")</f>
        <v/>
      </c>
      <c r="D166" s="18" cm="1">
        <f t="array" ref="D166">IFERROR(INDEX('Limite de crédito'!$F:$F, MATCH(MAX(IF('Limite de crédito'!$C:$C=$B166, 'Limite de crédito'!$A:$A)), 'Limite de crédito'!$A:$A, 0)),0)</f>
        <v>0</v>
      </c>
      <c r="E166" s="18">
        <f t="shared" si="22"/>
        <v>0</v>
      </c>
      <c r="F166" s="18">
        <f t="shared" si="23"/>
        <v>0</v>
      </c>
      <c r="G166" s="19">
        <f>SUMIFS('Data Additive'!$D:$D,'Data Additive'!$P:$P,'Painel Additive'!#REF!,'Data Additive'!$Q:$Q,"&gt;0",'Data Additive'!$Q:$Q,"&lt;=30")</f>
        <v>0</v>
      </c>
      <c r="H166" s="19">
        <f>SUMIFS('Data Additive'!$D:$D,'Data Additive'!$P:$P,'Painel Additive'!#REF!,'Data Additive'!$Q:$Q,"&gt;30",'Data Additive'!$Q:$Q,"&lt;=60")</f>
        <v>0</v>
      </c>
      <c r="I166" s="19">
        <f>SUMIFS('Data Additive'!$D:$D,'Data Additive'!$P:$P,'Painel Additive'!#REF!,'Data Additive'!$Q:$Q,"&gt;60",'Data Additive'!$Q:$Q,"&lt;=90")</f>
        <v>0</v>
      </c>
      <c r="J166" s="19">
        <f>SUMIFS('Data Additive'!$D:$D,'Data Additive'!$P:$P,'Painel Additive'!#REF!,'Data Additive'!$Q:$Q,"&gt;90",'Data Additive'!$Q:$Q,"&lt;=120")</f>
        <v>0</v>
      </c>
      <c r="K166" s="19">
        <f>SUMIFS('Data Additive'!$D:$D,'Data Additive'!$P:$P,'Painel Additive'!#REF!,'Data Additive'!$Q:$Q,"&gt;120",'Data Additive'!$Q:$Q,"&lt;=180")</f>
        <v>0</v>
      </c>
      <c r="L166" s="19">
        <f>SUMIFS('Data Additive'!$D:$D,'Data Additive'!$P:$P,'Painel Additive'!#REF!,'Data Additive'!$Q:$Q,"&gt;180",'Data Additive'!$Q:$Q,"&lt;=360")</f>
        <v>0</v>
      </c>
      <c r="M166" s="23">
        <f>SUMIFS('Data Additive'!$D:$D,'Data Additive'!$P:$P,'Painel Additive'!#REF!,'Data Additive'!$Q:$Q,"&gt;360")</f>
        <v>0</v>
      </c>
      <c r="N166" s="19">
        <f>SUMIFS('Data Additive'!$D:$D,'Data Additive'!$P:$P,'Painel Additive'!#REF!,'Data Additive'!$Q:$Q,"&gt;0")</f>
        <v>0</v>
      </c>
      <c r="O166" s="19">
        <f t="shared" si="24"/>
        <v>0</v>
      </c>
      <c r="P166" s="19">
        <f>SUMIFS('Data Additive'!$D:$D,'Data Additive'!$P:$P,'Painel Additive'!#REF!,'Data Additive'!$Q:$Q,"&lt;=0",'Data Additive'!$Q:$Q,"&gt;=-30")</f>
        <v>0</v>
      </c>
      <c r="Q166" s="19">
        <f>SUMIFS('Data Additive'!$D:$D,'Data Additive'!$P:$P,'Painel Additive'!#REF!,'Data Additive'!$Q:$Q,"&lt;=-31",'Data Additive'!$Q:$Q,"&gt;=-60")</f>
        <v>0</v>
      </c>
      <c r="R166" s="19">
        <f>SUMIFS('Data Additive'!$D:$D,'Data Additive'!$P:$P,'Painel Additive'!#REF!,'Data Additive'!$Q:$Q,"&lt;=-61",'Data Additive'!$Q:$Q,"&gt;=-90")</f>
        <v>0</v>
      </c>
      <c r="S166" s="19">
        <f>SUMIFS('Data Additive'!$D:$D,'Data Additive'!$P:$P,'Painel Additive'!#REF!,'Data Additive'!$Q:$Q,"&lt;=-91",'Data Additive'!$Q:$Q,"&gt;=-120")</f>
        <v>0</v>
      </c>
      <c r="T166" s="19">
        <f>SUMIFS('Data Additive'!$D:$D,'Data Additive'!$P:$P,'Painel Additive'!#REF!,'Data Additive'!$Q:$Q,"&lt;=-121",'Data Additive'!$Q:$Q,"&gt;=-180")</f>
        <v>0</v>
      </c>
      <c r="U166" s="19">
        <f>SUMIFS('Data Additive'!$D:$D,'Data Additive'!$P:$P,'Painel Additive'!#REF!,'Data Additive'!$Q:$Q,"&lt;=-181",'Data Additive'!$Q:$Q,"&gt;=-360")</f>
        <v>0</v>
      </c>
      <c r="V166" s="23">
        <f>SUMIFS('Data Additive'!$D:$D,'Data Additive'!$P:$P,'Painel Additive'!#REF!,'Data Additive'!$Q:$Q,"&lt;-360")</f>
        <v>0</v>
      </c>
      <c r="W166" s="19" t="e">
        <f>SUMIFS('Bad Debt Provision'!#REF!,'Bad Debt Provision'!#REF!,'Painel Additive'!#REF!)</f>
        <v>#REF!</v>
      </c>
      <c r="X166" s="5"/>
      <c r="Y166" s="20"/>
      <c r="Z166" s="20"/>
      <c r="AA166" s="21"/>
      <c r="AB166" s="5"/>
      <c r="AC166" s="19"/>
      <c r="AD166" s="20"/>
      <c r="AE166" s="22"/>
      <c r="AF166" s="22"/>
      <c r="AG166" s="5"/>
      <c r="AH166" s="28">
        <f t="shared" si="25"/>
        <v>0</v>
      </c>
    </row>
    <row r="167" spans="2:34" x14ac:dyDescent="0.25">
      <c r="B167" s="41" t="s">
        <v>399</v>
      </c>
      <c r="C167" s="94" t="str" cm="1">
        <f t="array" ref="C167">IFERROR(INDEX('Limite de crédito'!$D:$D, MATCH(MAX(IF('Limite de crédito'!$C:$C=$B167, 'Limite de crédito'!$A:$A)), 'Limite de crédito'!$A:$A, 0)),"")</f>
        <v/>
      </c>
      <c r="D167" s="18" cm="1">
        <f t="array" ref="D167">IFERROR(INDEX('Limite de crédito'!$F:$F, MATCH(MAX(IF('Limite de crédito'!$C:$C=$B167, 'Limite de crédito'!$A:$A)), 'Limite de crédito'!$A:$A, 0)),0)</f>
        <v>0</v>
      </c>
      <c r="E167" s="18">
        <f t="shared" si="22"/>
        <v>0</v>
      </c>
      <c r="F167" s="18">
        <f t="shared" si="23"/>
        <v>0</v>
      </c>
      <c r="G167" s="19">
        <f>SUMIFS('Data Additive'!$D:$D,'Data Additive'!$P:$P,'Painel Additive'!#REF!,'Data Additive'!$Q:$Q,"&gt;0",'Data Additive'!$Q:$Q,"&lt;=30")</f>
        <v>0</v>
      </c>
      <c r="H167" s="19">
        <f>SUMIFS('Data Additive'!$D:$D,'Data Additive'!$P:$P,'Painel Additive'!#REF!,'Data Additive'!$Q:$Q,"&gt;30",'Data Additive'!$Q:$Q,"&lt;=60")</f>
        <v>0</v>
      </c>
      <c r="I167" s="19">
        <f>SUMIFS('Data Additive'!$D:$D,'Data Additive'!$P:$P,'Painel Additive'!#REF!,'Data Additive'!$Q:$Q,"&gt;60",'Data Additive'!$Q:$Q,"&lt;=90")</f>
        <v>0</v>
      </c>
      <c r="J167" s="19">
        <f>SUMIFS('Data Additive'!$D:$D,'Data Additive'!$P:$P,'Painel Additive'!#REF!,'Data Additive'!$Q:$Q,"&gt;90",'Data Additive'!$Q:$Q,"&lt;=120")</f>
        <v>0</v>
      </c>
      <c r="K167" s="19">
        <f>SUMIFS('Data Additive'!$D:$D,'Data Additive'!$P:$P,'Painel Additive'!#REF!,'Data Additive'!$Q:$Q,"&gt;120",'Data Additive'!$Q:$Q,"&lt;=180")</f>
        <v>0</v>
      </c>
      <c r="L167" s="19">
        <f>SUMIFS('Data Additive'!$D:$D,'Data Additive'!$P:$P,'Painel Additive'!#REF!,'Data Additive'!$Q:$Q,"&gt;180",'Data Additive'!$Q:$Q,"&lt;=360")</f>
        <v>0</v>
      </c>
      <c r="M167" s="23">
        <f>SUMIFS('Data Additive'!$D:$D,'Data Additive'!$P:$P,'Painel Additive'!#REF!,'Data Additive'!$Q:$Q,"&gt;360")</f>
        <v>0</v>
      </c>
      <c r="N167" s="19">
        <f>SUMIFS('Data Additive'!$D:$D,'Data Additive'!$P:$P,'Painel Additive'!#REF!,'Data Additive'!$Q:$Q,"&gt;0")</f>
        <v>0</v>
      </c>
      <c r="O167" s="19">
        <f t="shared" si="24"/>
        <v>0</v>
      </c>
      <c r="P167" s="19">
        <f>SUMIFS('Data Additive'!$D:$D,'Data Additive'!$P:$P,'Painel Additive'!#REF!,'Data Additive'!$Q:$Q,"&lt;=0",'Data Additive'!$Q:$Q,"&gt;=-30")</f>
        <v>0</v>
      </c>
      <c r="Q167" s="19">
        <f>SUMIFS('Data Additive'!$D:$D,'Data Additive'!$P:$P,'Painel Additive'!#REF!,'Data Additive'!$Q:$Q,"&lt;=-31",'Data Additive'!$Q:$Q,"&gt;=-60")</f>
        <v>0</v>
      </c>
      <c r="R167" s="19">
        <f>SUMIFS('Data Additive'!$D:$D,'Data Additive'!$P:$P,'Painel Additive'!#REF!,'Data Additive'!$Q:$Q,"&lt;=-61",'Data Additive'!$Q:$Q,"&gt;=-90")</f>
        <v>0</v>
      </c>
      <c r="S167" s="19">
        <f>SUMIFS('Data Additive'!$D:$D,'Data Additive'!$P:$P,'Painel Additive'!#REF!,'Data Additive'!$Q:$Q,"&lt;=-91",'Data Additive'!$Q:$Q,"&gt;=-120")</f>
        <v>0</v>
      </c>
      <c r="T167" s="19">
        <f>SUMIFS('Data Additive'!$D:$D,'Data Additive'!$P:$P,'Painel Additive'!#REF!,'Data Additive'!$Q:$Q,"&lt;=-121",'Data Additive'!$Q:$Q,"&gt;=-180")</f>
        <v>0</v>
      </c>
      <c r="U167" s="19">
        <f>SUMIFS('Data Additive'!$D:$D,'Data Additive'!$P:$P,'Painel Additive'!#REF!,'Data Additive'!$Q:$Q,"&lt;=-181",'Data Additive'!$Q:$Q,"&gt;=-360")</f>
        <v>0</v>
      </c>
      <c r="V167" s="23">
        <f>SUMIFS('Data Additive'!$D:$D,'Data Additive'!$P:$P,'Painel Additive'!#REF!,'Data Additive'!$Q:$Q,"&lt;-360")</f>
        <v>0</v>
      </c>
      <c r="W167" s="19" t="e">
        <f>SUMIFS('Bad Debt Provision'!#REF!,'Bad Debt Provision'!#REF!,'Painel Additive'!#REF!)</f>
        <v>#REF!</v>
      </c>
      <c r="X167" s="5"/>
      <c r="Y167" s="20"/>
      <c r="Z167" s="20"/>
      <c r="AA167" s="21"/>
      <c r="AB167" s="5"/>
      <c r="AC167" s="19"/>
      <c r="AD167" s="20"/>
      <c r="AE167" s="22"/>
      <c r="AF167" s="22"/>
      <c r="AG167" s="5"/>
      <c r="AH167" s="28">
        <f t="shared" si="25"/>
        <v>0</v>
      </c>
    </row>
    <row r="168" spans="2:34" x14ac:dyDescent="0.25">
      <c r="B168" s="41" t="s">
        <v>400</v>
      </c>
      <c r="C168" s="94" t="str" cm="1">
        <f t="array" ref="C168">IFERROR(INDEX('Limite de crédito'!$D:$D, MATCH(MAX(IF('Limite de crédito'!$C:$C=$B168, 'Limite de crédito'!$A:$A)), 'Limite de crédito'!$A:$A, 0)),"")</f>
        <v/>
      </c>
      <c r="D168" s="18" cm="1">
        <f t="array" ref="D168">IFERROR(INDEX('Limite de crédito'!$F:$F, MATCH(MAX(IF('Limite de crédito'!$C:$C=$B168, 'Limite de crédito'!$A:$A)), 'Limite de crédito'!$A:$A, 0)),0)</f>
        <v>0</v>
      </c>
      <c r="E168" s="18">
        <f t="shared" si="22"/>
        <v>0</v>
      </c>
      <c r="F168" s="18">
        <f t="shared" si="23"/>
        <v>0</v>
      </c>
      <c r="G168" s="19">
        <f>SUMIFS('Data Additive'!$D:$D,'Data Additive'!$P:$P,'Painel Additive'!#REF!,'Data Additive'!$Q:$Q,"&gt;0",'Data Additive'!$Q:$Q,"&lt;=30")</f>
        <v>0</v>
      </c>
      <c r="H168" s="19">
        <f>SUMIFS('Data Additive'!$D:$D,'Data Additive'!$P:$P,'Painel Additive'!#REF!,'Data Additive'!$Q:$Q,"&gt;30",'Data Additive'!$Q:$Q,"&lt;=60")</f>
        <v>0</v>
      </c>
      <c r="I168" s="19">
        <f>SUMIFS('Data Additive'!$D:$D,'Data Additive'!$P:$P,'Painel Additive'!#REF!,'Data Additive'!$Q:$Q,"&gt;60",'Data Additive'!$Q:$Q,"&lt;=90")</f>
        <v>0</v>
      </c>
      <c r="J168" s="19">
        <f>SUMIFS('Data Additive'!$D:$D,'Data Additive'!$P:$P,'Painel Additive'!#REF!,'Data Additive'!$Q:$Q,"&gt;90",'Data Additive'!$Q:$Q,"&lt;=120")</f>
        <v>0</v>
      </c>
      <c r="K168" s="19">
        <f>SUMIFS('Data Additive'!$D:$D,'Data Additive'!$P:$P,'Painel Additive'!#REF!,'Data Additive'!$Q:$Q,"&gt;120",'Data Additive'!$Q:$Q,"&lt;=180")</f>
        <v>0</v>
      </c>
      <c r="L168" s="19">
        <f>SUMIFS('Data Additive'!$D:$D,'Data Additive'!$P:$P,'Painel Additive'!#REF!,'Data Additive'!$Q:$Q,"&gt;180",'Data Additive'!$Q:$Q,"&lt;=360")</f>
        <v>0</v>
      </c>
      <c r="M168" s="23">
        <f>SUMIFS('Data Additive'!$D:$D,'Data Additive'!$P:$P,'Painel Additive'!#REF!,'Data Additive'!$Q:$Q,"&gt;360")</f>
        <v>0</v>
      </c>
      <c r="N168" s="19">
        <f>SUMIFS('Data Additive'!$D:$D,'Data Additive'!$P:$P,'Painel Additive'!#REF!,'Data Additive'!$Q:$Q,"&gt;0")</f>
        <v>0</v>
      </c>
      <c r="O168" s="19">
        <f t="shared" si="24"/>
        <v>0</v>
      </c>
      <c r="P168" s="19">
        <f>SUMIFS('Data Additive'!$D:$D,'Data Additive'!$P:$P,'Painel Additive'!#REF!,'Data Additive'!$Q:$Q,"&lt;=0",'Data Additive'!$Q:$Q,"&gt;=-30")</f>
        <v>0</v>
      </c>
      <c r="Q168" s="19">
        <f>SUMIFS('Data Additive'!$D:$D,'Data Additive'!$P:$P,'Painel Additive'!#REF!,'Data Additive'!$Q:$Q,"&lt;=-31",'Data Additive'!$Q:$Q,"&gt;=-60")</f>
        <v>0</v>
      </c>
      <c r="R168" s="19">
        <f>SUMIFS('Data Additive'!$D:$D,'Data Additive'!$P:$P,'Painel Additive'!#REF!,'Data Additive'!$Q:$Q,"&lt;=-61",'Data Additive'!$Q:$Q,"&gt;=-90")</f>
        <v>0</v>
      </c>
      <c r="S168" s="19">
        <f>SUMIFS('Data Additive'!$D:$D,'Data Additive'!$P:$P,'Painel Additive'!#REF!,'Data Additive'!$Q:$Q,"&lt;=-91",'Data Additive'!$Q:$Q,"&gt;=-120")</f>
        <v>0</v>
      </c>
      <c r="T168" s="19">
        <f>SUMIFS('Data Additive'!$D:$D,'Data Additive'!$P:$P,'Painel Additive'!#REF!,'Data Additive'!$Q:$Q,"&lt;=-121",'Data Additive'!$Q:$Q,"&gt;=-180")</f>
        <v>0</v>
      </c>
      <c r="U168" s="19">
        <f>SUMIFS('Data Additive'!$D:$D,'Data Additive'!$P:$P,'Painel Additive'!#REF!,'Data Additive'!$Q:$Q,"&lt;=-181",'Data Additive'!$Q:$Q,"&gt;=-360")</f>
        <v>0</v>
      </c>
      <c r="V168" s="23">
        <f>SUMIFS('Data Additive'!$D:$D,'Data Additive'!$P:$P,'Painel Additive'!#REF!,'Data Additive'!$Q:$Q,"&lt;-360")</f>
        <v>0</v>
      </c>
      <c r="W168" s="19" t="e">
        <f>SUMIFS('Bad Debt Provision'!#REF!,'Bad Debt Provision'!#REF!,'Painel Additive'!#REF!)</f>
        <v>#REF!</v>
      </c>
      <c r="X168" s="5"/>
      <c r="Y168" s="20"/>
      <c r="Z168" s="20"/>
      <c r="AA168" s="21"/>
      <c r="AB168" s="5"/>
      <c r="AC168" s="19"/>
      <c r="AD168" s="20"/>
      <c r="AE168" s="22"/>
      <c r="AF168" s="22"/>
      <c r="AG168" s="5"/>
      <c r="AH168" s="28">
        <f t="shared" si="25"/>
        <v>0</v>
      </c>
    </row>
    <row r="169" spans="2:34" x14ac:dyDescent="0.25">
      <c r="B169" s="17" t="s">
        <v>309</v>
      </c>
      <c r="C169" s="93" t="str" cm="1">
        <f t="array" ref="C169">IFERROR(INDEX('Limite de crédito'!$D:$D, MATCH(MAX(IF('Limite de crédito'!$C:$C=$B169, 'Limite de crédito'!$A:$A)), 'Limite de crédito'!$A:$A, 0)),"")</f>
        <v/>
      </c>
      <c r="D169" s="18" cm="1">
        <f t="array" ref="D169">IFERROR(INDEX('Limite de crédito'!$F:$F, MATCH(MAX(IF('Limite de crédito'!$C:$C=$B169, 'Limite de crédito'!$A:$A)), 'Limite de crédito'!$A:$A, 0)),0)</f>
        <v>0</v>
      </c>
      <c r="E169" s="18">
        <f t="shared" si="22"/>
        <v>0</v>
      </c>
      <c r="F169" s="18">
        <f t="shared" si="23"/>
        <v>0</v>
      </c>
      <c r="G169" s="19">
        <f>SUMIFS('Data Additive'!$D:$D,'Data Additive'!$P:$P,'Painel Additive'!#REF!,'Data Additive'!$Q:$Q,"&gt;0",'Data Additive'!$Q:$Q,"&lt;=30")</f>
        <v>0</v>
      </c>
      <c r="H169" s="19">
        <f>SUMIFS('Data Additive'!$D:$D,'Data Additive'!$P:$P,'Painel Additive'!#REF!,'Data Additive'!$Q:$Q,"&gt;30",'Data Additive'!$Q:$Q,"&lt;=60")</f>
        <v>0</v>
      </c>
      <c r="I169" s="19">
        <f>SUMIFS('Data Additive'!$D:$D,'Data Additive'!$P:$P,'Painel Additive'!#REF!,'Data Additive'!$Q:$Q,"&gt;60",'Data Additive'!$Q:$Q,"&lt;=90")</f>
        <v>0</v>
      </c>
      <c r="J169" s="19">
        <f>SUMIFS('Data Additive'!$D:$D,'Data Additive'!$P:$P,'Painel Additive'!#REF!,'Data Additive'!$Q:$Q,"&gt;90",'Data Additive'!$Q:$Q,"&lt;=120")</f>
        <v>0</v>
      </c>
      <c r="K169" s="19">
        <f>SUMIFS('Data Additive'!$D:$D,'Data Additive'!$P:$P,'Painel Additive'!#REF!,'Data Additive'!$Q:$Q,"&gt;120",'Data Additive'!$Q:$Q,"&lt;=180")</f>
        <v>0</v>
      </c>
      <c r="L169" s="19">
        <f>SUMIFS('Data Additive'!$D:$D,'Data Additive'!$P:$P,'Painel Additive'!#REF!,'Data Additive'!$Q:$Q,"&gt;180",'Data Additive'!$Q:$Q,"&lt;=360")</f>
        <v>0</v>
      </c>
      <c r="M169" s="23">
        <f>SUMIFS('Data Additive'!$D:$D,'Data Additive'!$P:$P,'Painel Additive'!#REF!,'Data Additive'!$Q:$Q,"&gt;360")</f>
        <v>0</v>
      </c>
      <c r="N169" s="19">
        <f>SUMIFS('Data Additive'!$D:$D,'Data Additive'!$P:$P,'Painel Additive'!#REF!,'Data Additive'!$Q:$Q,"&gt;0")</f>
        <v>0</v>
      </c>
      <c r="O169" s="19">
        <f t="shared" si="24"/>
        <v>0</v>
      </c>
      <c r="P169" s="19">
        <f>SUMIFS('Data Additive'!$D:$D,'Data Additive'!$P:$P,'Painel Additive'!#REF!,'Data Additive'!$Q:$Q,"&lt;=0",'Data Additive'!$Q:$Q,"&gt;=-30")</f>
        <v>0</v>
      </c>
      <c r="Q169" s="19">
        <f>SUMIFS('Data Additive'!$D:$D,'Data Additive'!$P:$P,'Painel Additive'!#REF!,'Data Additive'!$Q:$Q,"&lt;=-31",'Data Additive'!$Q:$Q,"&gt;=-60")</f>
        <v>0</v>
      </c>
      <c r="R169" s="19">
        <f>SUMIFS('Data Additive'!$D:$D,'Data Additive'!$P:$P,'Painel Additive'!#REF!,'Data Additive'!$Q:$Q,"&lt;=-61",'Data Additive'!$Q:$Q,"&gt;=-90")</f>
        <v>0</v>
      </c>
      <c r="S169" s="19">
        <f>SUMIFS('Data Additive'!$D:$D,'Data Additive'!$P:$P,'Painel Additive'!#REF!,'Data Additive'!$Q:$Q,"&lt;=-91",'Data Additive'!$Q:$Q,"&gt;=-120")</f>
        <v>0</v>
      </c>
      <c r="T169" s="19">
        <f>SUMIFS('Data Additive'!$D:$D,'Data Additive'!$P:$P,'Painel Additive'!#REF!,'Data Additive'!$Q:$Q,"&lt;=-121",'Data Additive'!$Q:$Q,"&gt;=-180")</f>
        <v>0</v>
      </c>
      <c r="U169" s="19">
        <f>SUMIFS('Data Additive'!$D:$D,'Data Additive'!$P:$P,'Painel Additive'!#REF!,'Data Additive'!$Q:$Q,"&lt;=-181",'Data Additive'!$Q:$Q,"&gt;=-360")</f>
        <v>0</v>
      </c>
      <c r="V169" s="23">
        <f>SUMIFS('Data Additive'!$D:$D,'Data Additive'!$P:$P,'Painel Additive'!#REF!,'Data Additive'!$Q:$Q,"&lt;-360")</f>
        <v>0</v>
      </c>
      <c r="W169" s="19" t="e">
        <f>SUMIFS('Bad Debt Provision'!#REF!,'Bad Debt Provision'!#REF!,'Painel Additive'!#REF!)</f>
        <v>#REF!</v>
      </c>
      <c r="X169" s="5"/>
      <c r="Y169" s="20"/>
      <c r="Z169" s="20"/>
      <c r="AA169" s="21"/>
      <c r="AB169" s="5"/>
      <c r="AC169" s="19"/>
      <c r="AD169" s="20"/>
      <c r="AE169" s="22"/>
      <c r="AF169" s="22"/>
      <c r="AG169" s="5"/>
      <c r="AH169" s="28">
        <f t="shared" si="25"/>
        <v>0</v>
      </c>
    </row>
    <row r="170" spans="2:34" x14ac:dyDescent="0.25">
      <c r="B170" s="41" t="s">
        <v>397</v>
      </c>
      <c r="C170" s="94" t="str" cm="1">
        <f t="array" ref="C170">IFERROR(INDEX('Limite de crédito'!$D:$D, MATCH(MAX(IF('Limite de crédito'!$C:$C=$B170, 'Limite de crédito'!$A:$A)), 'Limite de crédito'!$A:$A, 0)),"")</f>
        <v/>
      </c>
      <c r="D170" s="18" cm="1">
        <f t="array" ref="D170">IFERROR(INDEX('Limite de crédito'!$F:$F, MATCH(MAX(IF('Limite de crédito'!$C:$C=$B170, 'Limite de crédito'!$A:$A)), 'Limite de crédito'!$A:$A, 0)),0)</f>
        <v>0</v>
      </c>
      <c r="E170" s="18">
        <f t="shared" ref="E170:E172" si="26">D170-F170</f>
        <v>0</v>
      </c>
      <c r="F170" s="18">
        <f t="shared" ref="F170:F172" si="27">O170+N170</f>
        <v>0</v>
      </c>
      <c r="G170" s="19">
        <f>SUMIFS('Data Additive'!$D:$D,'Data Additive'!$P:$P,'Painel Additive'!#REF!,'Data Additive'!$Q:$Q,"&gt;0",'Data Additive'!$Q:$Q,"&lt;=30")</f>
        <v>0</v>
      </c>
      <c r="H170" s="19">
        <f>SUMIFS('Data Additive'!$D:$D,'Data Additive'!$P:$P,'Painel Additive'!#REF!,'Data Additive'!$Q:$Q,"&gt;30",'Data Additive'!$Q:$Q,"&lt;=60")</f>
        <v>0</v>
      </c>
      <c r="I170" s="19">
        <f>SUMIFS('Data Additive'!$D:$D,'Data Additive'!$P:$P,'Painel Additive'!#REF!,'Data Additive'!$Q:$Q,"&gt;60",'Data Additive'!$Q:$Q,"&lt;=90")</f>
        <v>0</v>
      </c>
      <c r="J170" s="19">
        <f>SUMIFS('Data Additive'!$D:$D,'Data Additive'!$P:$P,'Painel Additive'!#REF!,'Data Additive'!$Q:$Q,"&gt;90",'Data Additive'!$Q:$Q,"&lt;=120")</f>
        <v>0</v>
      </c>
      <c r="K170" s="19">
        <f>SUMIFS('Data Additive'!$D:$D,'Data Additive'!$P:$P,'Painel Additive'!#REF!,'Data Additive'!$Q:$Q,"&gt;120",'Data Additive'!$Q:$Q,"&lt;=180")</f>
        <v>0</v>
      </c>
      <c r="L170" s="19">
        <f>SUMIFS('Data Additive'!$D:$D,'Data Additive'!$P:$P,'Painel Additive'!#REF!,'Data Additive'!$Q:$Q,"&gt;180",'Data Additive'!$Q:$Q,"&lt;=360")</f>
        <v>0</v>
      </c>
      <c r="M170" s="23">
        <f>SUMIFS('Data Additive'!$D:$D,'Data Additive'!$P:$P,'Painel Additive'!#REF!,'Data Additive'!$Q:$Q,"&gt;360")</f>
        <v>0</v>
      </c>
      <c r="N170" s="19">
        <f>SUMIFS('Data Additive'!$D:$D,'Data Additive'!$P:$P,'Painel Additive'!#REF!,'Data Additive'!$Q:$Q,"&gt;0")</f>
        <v>0</v>
      </c>
      <c r="O170" s="19">
        <f t="shared" ref="O170:O172" si="28">SUBTOTAL(9,P170:V170)</f>
        <v>0</v>
      </c>
      <c r="P170" s="19">
        <f>SUMIFS('Data Additive'!$D:$D,'Data Additive'!$P:$P,'Painel Additive'!#REF!,'Data Additive'!$Q:$Q,"&lt;=0",'Data Additive'!$Q:$Q,"&gt;=-30")</f>
        <v>0</v>
      </c>
      <c r="Q170" s="19">
        <f>SUMIFS('Data Additive'!$D:$D,'Data Additive'!$P:$P,'Painel Additive'!#REF!,'Data Additive'!$Q:$Q,"&lt;=-31",'Data Additive'!$Q:$Q,"&gt;=-60")</f>
        <v>0</v>
      </c>
      <c r="R170" s="19">
        <f>SUMIFS('Data Additive'!$D:$D,'Data Additive'!$P:$P,'Painel Additive'!#REF!,'Data Additive'!$Q:$Q,"&lt;=-61",'Data Additive'!$Q:$Q,"&gt;=-90")</f>
        <v>0</v>
      </c>
      <c r="S170" s="19">
        <f>SUMIFS('Data Additive'!$D:$D,'Data Additive'!$P:$P,'Painel Additive'!#REF!,'Data Additive'!$Q:$Q,"&lt;=-91",'Data Additive'!$Q:$Q,"&gt;=-120")</f>
        <v>0</v>
      </c>
      <c r="T170" s="19">
        <f>SUMIFS('Data Additive'!$D:$D,'Data Additive'!$P:$P,'Painel Additive'!#REF!,'Data Additive'!$Q:$Q,"&lt;=-121",'Data Additive'!$Q:$Q,"&gt;=-180")</f>
        <v>0</v>
      </c>
      <c r="U170" s="19">
        <f>SUMIFS('Data Additive'!$D:$D,'Data Additive'!$P:$P,'Painel Additive'!#REF!,'Data Additive'!$Q:$Q,"&lt;=-181",'Data Additive'!$Q:$Q,"&gt;=-360")</f>
        <v>0</v>
      </c>
      <c r="V170" s="23">
        <f>SUMIFS('Data Additive'!$D:$D,'Data Additive'!$P:$P,'Painel Additive'!#REF!,'Data Additive'!$Q:$Q,"&lt;-360")</f>
        <v>0</v>
      </c>
      <c r="W170" s="19" t="e">
        <f>SUMIFS('Bad Debt Provision'!#REF!,'Bad Debt Provision'!#REF!,'Painel Additive'!#REF!)</f>
        <v>#REF!</v>
      </c>
      <c r="X170" s="5"/>
      <c r="Y170" s="20"/>
      <c r="Z170" s="20"/>
      <c r="AA170" s="21"/>
      <c r="AB170" s="5"/>
      <c r="AC170" s="19"/>
      <c r="AD170" s="20"/>
      <c r="AE170" s="22"/>
      <c r="AF170" s="22"/>
      <c r="AG170" s="5"/>
      <c r="AH170" s="28">
        <f t="shared" ref="AH170:AH172" si="29">AC170-F170</f>
        <v>0</v>
      </c>
    </row>
    <row r="171" spans="2:34" x14ac:dyDescent="0.25">
      <c r="B171" s="41" t="s">
        <v>402</v>
      </c>
      <c r="C171" s="94" cm="1">
        <f t="array" ref="C171">IFERROR(INDEX('Limite de crédito'!$D:$D, MATCH(MAX(IF('Limite de crédito'!$C:$C=$B171, 'Limite de crédito'!$A:$A)), 'Limite de crédito'!$A:$A, 0)),"")</f>
        <v>45980</v>
      </c>
      <c r="D171" s="18" t="str" cm="1">
        <f t="array" ref="D171">IFERROR(INDEX('Limite de crédito'!$F:$F, MATCH(MAX(IF('Limite de crédito'!$C:$C=$B171, 'Limite de crédito'!$A:$A)), 'Limite de crédito'!$A:$A, 0)),0)</f>
        <v>Sim</v>
      </c>
      <c r="E171" s="18" t="e">
        <f t="shared" si="26"/>
        <v>#VALUE!</v>
      </c>
      <c r="F171" s="18">
        <f t="shared" si="27"/>
        <v>0</v>
      </c>
      <c r="G171" s="19">
        <f>SUMIFS('Data Additive'!$D:$D,'Data Additive'!$P:$P,'Painel Additive'!#REF!,'Data Additive'!$Q:$Q,"&gt;0",'Data Additive'!$Q:$Q,"&lt;=30")</f>
        <v>0</v>
      </c>
      <c r="H171" s="19">
        <f>SUMIFS('Data Additive'!$D:$D,'Data Additive'!$P:$P,'Painel Additive'!#REF!,'Data Additive'!$Q:$Q,"&gt;30",'Data Additive'!$Q:$Q,"&lt;=60")</f>
        <v>0</v>
      </c>
      <c r="I171" s="19">
        <f>SUMIFS('Data Additive'!$D:$D,'Data Additive'!$P:$P,'Painel Additive'!#REF!,'Data Additive'!$Q:$Q,"&gt;60",'Data Additive'!$Q:$Q,"&lt;=90")</f>
        <v>0</v>
      </c>
      <c r="J171" s="19">
        <f>SUMIFS('Data Additive'!$D:$D,'Data Additive'!$P:$P,'Painel Additive'!#REF!,'Data Additive'!$Q:$Q,"&gt;90",'Data Additive'!$Q:$Q,"&lt;=120")</f>
        <v>0</v>
      </c>
      <c r="K171" s="19">
        <f>SUMIFS('Data Additive'!$D:$D,'Data Additive'!$P:$P,'Painel Additive'!#REF!,'Data Additive'!$Q:$Q,"&gt;120",'Data Additive'!$Q:$Q,"&lt;=180")</f>
        <v>0</v>
      </c>
      <c r="L171" s="19">
        <f>SUMIFS('Data Additive'!$D:$D,'Data Additive'!$P:$P,'Painel Additive'!#REF!,'Data Additive'!$Q:$Q,"&gt;180",'Data Additive'!$Q:$Q,"&lt;=360")</f>
        <v>0</v>
      </c>
      <c r="M171" s="23">
        <f>SUMIFS('Data Additive'!$D:$D,'Data Additive'!$P:$P,'Painel Additive'!#REF!,'Data Additive'!$Q:$Q,"&gt;360")</f>
        <v>0</v>
      </c>
      <c r="N171" s="19">
        <f>SUMIFS('Data Additive'!$D:$D,'Data Additive'!$P:$P,'Painel Additive'!#REF!,'Data Additive'!$Q:$Q,"&gt;0")</f>
        <v>0</v>
      </c>
      <c r="O171" s="19">
        <f t="shared" si="28"/>
        <v>0</v>
      </c>
      <c r="P171" s="19">
        <f>SUMIFS('Data Additive'!$D:$D,'Data Additive'!$P:$P,'Painel Additive'!#REF!,'Data Additive'!$Q:$Q,"&lt;=0",'Data Additive'!$Q:$Q,"&gt;=-30")</f>
        <v>0</v>
      </c>
      <c r="Q171" s="19">
        <f>SUMIFS('Data Additive'!$D:$D,'Data Additive'!$P:$P,'Painel Additive'!#REF!,'Data Additive'!$Q:$Q,"&lt;=-31",'Data Additive'!$Q:$Q,"&gt;=-60")</f>
        <v>0</v>
      </c>
      <c r="R171" s="19">
        <f>SUMIFS('Data Additive'!$D:$D,'Data Additive'!$P:$P,'Painel Additive'!#REF!,'Data Additive'!$Q:$Q,"&lt;=-61",'Data Additive'!$Q:$Q,"&gt;=-90")</f>
        <v>0</v>
      </c>
      <c r="S171" s="19">
        <f>SUMIFS('Data Additive'!$D:$D,'Data Additive'!$P:$P,'Painel Additive'!#REF!,'Data Additive'!$Q:$Q,"&lt;=-91",'Data Additive'!$Q:$Q,"&gt;=-120")</f>
        <v>0</v>
      </c>
      <c r="T171" s="19">
        <f>SUMIFS('Data Additive'!$D:$D,'Data Additive'!$P:$P,'Painel Additive'!#REF!,'Data Additive'!$Q:$Q,"&lt;=-121",'Data Additive'!$Q:$Q,"&gt;=-180")</f>
        <v>0</v>
      </c>
      <c r="U171" s="19">
        <f>SUMIFS('Data Additive'!$D:$D,'Data Additive'!$P:$P,'Painel Additive'!#REF!,'Data Additive'!$Q:$Q,"&lt;=-181",'Data Additive'!$Q:$Q,"&gt;=-360")</f>
        <v>0</v>
      </c>
      <c r="V171" s="23">
        <f>SUMIFS('Data Additive'!$D:$D,'Data Additive'!$P:$P,'Painel Additive'!#REF!,'Data Additive'!$Q:$Q,"&lt;-360")</f>
        <v>0</v>
      </c>
      <c r="W171" s="19" t="e">
        <f>SUMIFS('Bad Debt Provision'!#REF!,'Bad Debt Provision'!#REF!,'Painel Additive'!#REF!)</f>
        <v>#REF!</v>
      </c>
      <c r="X171" s="5"/>
      <c r="Y171" s="20"/>
      <c r="Z171" s="20"/>
      <c r="AA171" s="21"/>
      <c r="AB171" s="5"/>
      <c r="AC171" s="19"/>
      <c r="AD171" s="20"/>
      <c r="AE171" s="22"/>
      <c r="AF171" s="22"/>
      <c r="AG171" s="5"/>
      <c r="AH171" s="28">
        <f t="shared" si="29"/>
        <v>0</v>
      </c>
    </row>
    <row r="172" spans="2:34" x14ac:dyDescent="0.25">
      <c r="B172" s="41" t="s">
        <v>431</v>
      </c>
      <c r="C172" s="94" cm="1">
        <f t="array" ref="C172">IFERROR(INDEX('Limite de crédito'!$D:$D, MATCH(MAX(IF('Limite de crédito'!$C:$C=$B172, 'Limite de crédito'!$A:$A)), 'Limite de crédito'!$A:$A, 0)),"")</f>
        <v>45804</v>
      </c>
      <c r="D172" s="18" t="str" cm="1">
        <f t="array" ref="D172">IFERROR(INDEX('Limite de crédito'!$F:$F, MATCH(MAX(IF('Limite de crédito'!$C:$C=$B172, 'Limite de crédito'!$A:$A)), 'Limite de crédito'!$A:$A, 0)),0)</f>
        <v>Sim</v>
      </c>
      <c r="E172" s="18" t="e">
        <f t="shared" si="26"/>
        <v>#VALUE!</v>
      </c>
      <c r="F172" s="18">
        <f t="shared" si="27"/>
        <v>0</v>
      </c>
      <c r="G172" s="19">
        <f>SUMIFS('Data Additive'!$D:$D,'Data Additive'!$P:$P,'Painel Additive'!#REF!,'Data Additive'!$Q:$Q,"&gt;0",'Data Additive'!$Q:$Q,"&lt;=30")</f>
        <v>0</v>
      </c>
      <c r="H172" s="19">
        <f>SUMIFS('Data Additive'!$D:$D,'Data Additive'!$P:$P,'Painel Additive'!#REF!,'Data Additive'!$Q:$Q,"&gt;30",'Data Additive'!$Q:$Q,"&lt;=60")</f>
        <v>0</v>
      </c>
      <c r="I172" s="19">
        <f>SUMIFS('Data Additive'!$D:$D,'Data Additive'!$P:$P,'Painel Additive'!#REF!,'Data Additive'!$Q:$Q,"&gt;60",'Data Additive'!$Q:$Q,"&lt;=90")</f>
        <v>0</v>
      </c>
      <c r="J172" s="19">
        <f>SUMIFS('Data Additive'!$D:$D,'Data Additive'!$P:$P,'Painel Additive'!#REF!,'Data Additive'!$Q:$Q,"&gt;90",'Data Additive'!$Q:$Q,"&lt;=120")</f>
        <v>0</v>
      </c>
      <c r="K172" s="19">
        <f>SUMIFS('Data Additive'!$D:$D,'Data Additive'!$P:$P,'Painel Additive'!#REF!,'Data Additive'!$Q:$Q,"&gt;120",'Data Additive'!$Q:$Q,"&lt;=180")</f>
        <v>0</v>
      </c>
      <c r="L172" s="19">
        <f>SUMIFS('Data Additive'!$D:$D,'Data Additive'!$P:$P,'Painel Additive'!#REF!,'Data Additive'!$Q:$Q,"&gt;180",'Data Additive'!$Q:$Q,"&lt;=360")</f>
        <v>0</v>
      </c>
      <c r="M172" s="23">
        <f>SUMIFS('Data Additive'!$D:$D,'Data Additive'!$P:$P,'Painel Additive'!#REF!,'Data Additive'!$Q:$Q,"&gt;360")</f>
        <v>0</v>
      </c>
      <c r="N172" s="19">
        <f>SUMIFS('Data Additive'!$D:$D,'Data Additive'!$P:$P,'Painel Additive'!#REF!,'Data Additive'!$Q:$Q,"&gt;0")</f>
        <v>0</v>
      </c>
      <c r="O172" s="19">
        <f t="shared" si="28"/>
        <v>0</v>
      </c>
      <c r="P172" s="19">
        <f>SUMIFS('Data Additive'!$D:$D,'Data Additive'!$P:$P,'Painel Additive'!#REF!,'Data Additive'!$Q:$Q,"&lt;=0",'Data Additive'!$Q:$Q,"&gt;=-30")</f>
        <v>0</v>
      </c>
      <c r="Q172" s="19">
        <f>SUMIFS('Data Additive'!$D:$D,'Data Additive'!$P:$P,'Painel Additive'!#REF!,'Data Additive'!$Q:$Q,"&lt;=-31",'Data Additive'!$Q:$Q,"&gt;=-60")</f>
        <v>0</v>
      </c>
      <c r="R172" s="19">
        <f>SUMIFS('Data Additive'!$D:$D,'Data Additive'!$P:$P,'Painel Additive'!#REF!,'Data Additive'!$Q:$Q,"&lt;=-61",'Data Additive'!$Q:$Q,"&gt;=-90")</f>
        <v>0</v>
      </c>
      <c r="S172" s="19">
        <f>SUMIFS('Data Additive'!$D:$D,'Data Additive'!$P:$P,'Painel Additive'!#REF!,'Data Additive'!$Q:$Q,"&lt;=-91",'Data Additive'!$Q:$Q,"&gt;=-120")</f>
        <v>0</v>
      </c>
      <c r="T172" s="19">
        <f>SUMIFS('Data Additive'!$D:$D,'Data Additive'!$P:$P,'Painel Additive'!#REF!,'Data Additive'!$Q:$Q,"&lt;=-121",'Data Additive'!$Q:$Q,"&gt;=-180")</f>
        <v>0</v>
      </c>
      <c r="U172" s="19">
        <f>SUMIFS('Data Additive'!$D:$D,'Data Additive'!$P:$P,'Painel Additive'!#REF!,'Data Additive'!$Q:$Q,"&lt;=-181",'Data Additive'!$Q:$Q,"&gt;=-360")</f>
        <v>0</v>
      </c>
      <c r="V172" s="23">
        <f>SUMIFS('Data Additive'!$D:$D,'Data Additive'!$P:$P,'Painel Additive'!#REF!,'Data Additive'!$Q:$Q,"&lt;-360")</f>
        <v>0</v>
      </c>
      <c r="W172" s="19" t="e">
        <f>SUMIFS('Bad Debt Provision'!#REF!,'Bad Debt Provision'!#REF!,'Painel Additive'!#REF!)</f>
        <v>#REF!</v>
      </c>
      <c r="X172" s="5"/>
      <c r="Y172" s="20"/>
      <c r="Z172" s="20"/>
      <c r="AA172" s="21"/>
      <c r="AB172" s="5"/>
      <c r="AC172" s="19"/>
      <c r="AD172" s="20"/>
      <c r="AE172" s="22"/>
      <c r="AF172" s="22"/>
      <c r="AG172" s="5"/>
      <c r="AH172" s="28">
        <f t="shared" si="29"/>
        <v>0</v>
      </c>
    </row>
    <row r="173" spans="2:34" x14ac:dyDescent="0.25">
      <c r="B173" s="41" t="s">
        <v>434</v>
      </c>
      <c r="C173" s="94" t="str" cm="1">
        <f t="array" ref="C173">IFERROR(INDEX('Limite de crédito'!$D:$D, MATCH(MAX(IF('Limite de crédito'!$C:$C=$B173, 'Limite de crédito'!$A:$A)), 'Limite de crédito'!$A:$A, 0)),"")</f>
        <v/>
      </c>
      <c r="D173" s="18" cm="1">
        <f t="array" ref="D173">IFERROR(INDEX('Limite de crédito'!$F:$F, MATCH(MAX(IF('Limite de crédito'!$C:$C=$B173, 'Limite de crédito'!$A:$A)), 'Limite de crédito'!$A:$A, 0)),0)</f>
        <v>0</v>
      </c>
      <c r="E173" s="18">
        <f t="shared" ref="E173" si="30">D173-F173</f>
        <v>0</v>
      </c>
      <c r="F173" s="18">
        <f t="shared" ref="F173" si="31">O173+N173</f>
        <v>0</v>
      </c>
      <c r="G173" s="19">
        <f>SUMIFS('Data Additive'!$D:$D,'Data Additive'!$P:$P,'Painel Additive'!#REF!,'Data Additive'!$Q:$Q,"&gt;0",'Data Additive'!$Q:$Q,"&lt;=30")</f>
        <v>0</v>
      </c>
      <c r="H173" s="19">
        <f>SUMIFS('Data Additive'!$D:$D,'Data Additive'!$P:$P,'Painel Additive'!#REF!,'Data Additive'!$Q:$Q,"&gt;30",'Data Additive'!$Q:$Q,"&lt;=60")</f>
        <v>0</v>
      </c>
      <c r="I173" s="19">
        <f>SUMIFS('Data Additive'!$D:$D,'Data Additive'!$P:$P,'Painel Additive'!#REF!,'Data Additive'!$Q:$Q,"&gt;60",'Data Additive'!$Q:$Q,"&lt;=90")</f>
        <v>0</v>
      </c>
      <c r="J173" s="19">
        <f>SUMIFS('Data Additive'!$D:$D,'Data Additive'!$P:$P,'Painel Additive'!#REF!,'Data Additive'!$Q:$Q,"&gt;90",'Data Additive'!$Q:$Q,"&lt;=120")</f>
        <v>0</v>
      </c>
      <c r="K173" s="19">
        <f>SUMIFS('Data Additive'!$D:$D,'Data Additive'!$P:$P,'Painel Additive'!#REF!,'Data Additive'!$Q:$Q,"&gt;120",'Data Additive'!$Q:$Q,"&lt;=180")</f>
        <v>0</v>
      </c>
      <c r="L173" s="19">
        <f>SUMIFS('Data Additive'!$D:$D,'Data Additive'!$P:$P,'Painel Additive'!#REF!,'Data Additive'!$Q:$Q,"&gt;180",'Data Additive'!$Q:$Q,"&lt;=360")</f>
        <v>0</v>
      </c>
      <c r="M173" s="23">
        <f>SUMIFS('Data Additive'!$D:$D,'Data Additive'!$P:$P,'Painel Additive'!#REF!,'Data Additive'!$Q:$Q,"&gt;360")</f>
        <v>0</v>
      </c>
      <c r="N173" s="19">
        <f>SUMIFS('Data Additive'!$D:$D,'Data Additive'!$P:$P,'Painel Additive'!#REF!,'Data Additive'!$Q:$Q,"&gt;0")</f>
        <v>0</v>
      </c>
      <c r="O173" s="19">
        <f t="shared" ref="O173" si="32">SUBTOTAL(9,P173:V173)</f>
        <v>0</v>
      </c>
      <c r="P173" s="19">
        <f>SUMIFS('Data Additive'!$D:$D,'Data Additive'!$P:$P,'Painel Additive'!#REF!,'Data Additive'!$Q:$Q,"&lt;=0",'Data Additive'!$Q:$Q,"&gt;=-30")</f>
        <v>0</v>
      </c>
      <c r="Q173" s="19">
        <f>SUMIFS('Data Additive'!$D:$D,'Data Additive'!$P:$P,'Painel Additive'!#REF!,'Data Additive'!$Q:$Q,"&lt;=-31",'Data Additive'!$Q:$Q,"&gt;=-60")</f>
        <v>0</v>
      </c>
      <c r="R173" s="19">
        <f>SUMIFS('Data Additive'!$D:$D,'Data Additive'!$P:$P,'Painel Additive'!#REF!,'Data Additive'!$Q:$Q,"&lt;=-61",'Data Additive'!$Q:$Q,"&gt;=-90")</f>
        <v>0</v>
      </c>
      <c r="S173" s="19">
        <f>SUMIFS('Data Additive'!$D:$D,'Data Additive'!$P:$P,'Painel Additive'!#REF!,'Data Additive'!$Q:$Q,"&lt;=-91",'Data Additive'!$Q:$Q,"&gt;=-120")</f>
        <v>0</v>
      </c>
      <c r="T173" s="19">
        <f>SUMIFS('Data Additive'!$D:$D,'Data Additive'!$P:$P,'Painel Additive'!#REF!,'Data Additive'!$Q:$Q,"&lt;=-121",'Data Additive'!$Q:$Q,"&gt;=-180")</f>
        <v>0</v>
      </c>
      <c r="U173" s="19">
        <f>SUMIFS('Data Additive'!$D:$D,'Data Additive'!$P:$P,'Painel Additive'!#REF!,'Data Additive'!$Q:$Q,"&lt;=-181",'Data Additive'!$Q:$Q,"&gt;=-360")</f>
        <v>0</v>
      </c>
      <c r="V173" s="23">
        <f>SUMIFS('Data Additive'!$D:$D,'Data Additive'!$P:$P,'Painel Additive'!#REF!,'Data Additive'!$Q:$Q,"&lt;-360")</f>
        <v>0</v>
      </c>
      <c r="W173" s="19" t="e">
        <f>SUMIFS('Bad Debt Provision'!#REF!,'Bad Debt Provision'!#REF!,'Painel Additive'!#REF!)</f>
        <v>#REF!</v>
      </c>
      <c r="X173" s="5"/>
      <c r="Y173" s="20"/>
      <c r="Z173" s="20"/>
      <c r="AA173" s="21"/>
      <c r="AB173" s="5"/>
      <c r="AC173" s="19"/>
      <c r="AD173" s="20"/>
      <c r="AE173" s="22"/>
      <c r="AF173" s="22"/>
      <c r="AG173" s="5"/>
      <c r="AH173" s="28">
        <f t="shared" ref="AH173" si="33">AC173-F173</f>
        <v>0</v>
      </c>
    </row>
  </sheetData>
  <autoFilter ref="A3:AL172" xr:uid="{AA003081-5D89-42A4-AC0D-C73617B1B79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C1F-5E89-4D89-BD47-6410F9E22C3A}">
  <sheetPr>
    <tabColor theme="4"/>
  </sheetPr>
  <dimension ref="A1:AL63"/>
  <sheetViews>
    <sheetView showGridLines="0" zoomScale="80" zoomScaleNormal="80" workbookViewId="0">
      <pane xSplit="2" ySplit="3" topLeftCell="AD4" activePane="bottomRight" state="frozen"/>
      <selection sqref="A1:XFD1048576"/>
      <selection pane="topRight" sqref="A1:XFD1048576"/>
      <selection pane="bottomLeft" sqref="A1:XFD1048576"/>
      <selection pane="bottomRight" sqref="A1:XFD1048576"/>
    </sheetView>
  </sheetViews>
  <sheetFormatPr defaultRowHeight="13.2" outlineLevelCol="1" x14ac:dyDescent="0.25"/>
  <cols>
    <col min="1" max="1" width="3.109375" customWidth="1"/>
    <col min="2" max="2" width="34" customWidth="1"/>
    <col min="3" max="3" width="9.33203125" style="16" customWidth="1"/>
    <col min="4" max="4" width="15.109375" style="100" bestFit="1" customWidth="1"/>
    <col min="5" max="5" width="15.44140625" customWidth="1"/>
    <col min="6" max="6" width="15.33203125" customWidth="1"/>
    <col min="7" max="7" width="16.5546875" customWidth="1" outlineLevel="1"/>
    <col min="8" max="9" width="17.6640625" customWidth="1" outlineLevel="1"/>
    <col min="10" max="10" width="18.88671875" customWidth="1" outlineLevel="1"/>
    <col min="11" max="12" width="13.88671875" customWidth="1" outlineLevel="1"/>
    <col min="13" max="13" width="16.6640625" customWidth="1" outlineLevel="1"/>
    <col min="14" max="14" width="14.88671875" bestFit="1" customWidth="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6.10937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12.44140625" style="16" bestFit="1" customWidth="1"/>
    <col min="33" max="33" width="1.6640625" customWidth="1"/>
    <col min="34" max="34" width="16.5546875" style="29" customWidth="1"/>
    <col min="35" max="35" width="1.6640625" customWidth="1"/>
    <col min="36" max="36" width="23.5546875" customWidth="1"/>
    <col min="38" max="38" width="11.44140625" bestFit="1" customWidth="1"/>
  </cols>
  <sheetData>
    <row r="1" spans="1:38" s="9" customFormat="1" ht="12" x14ac:dyDescent="0.25">
      <c r="B1" s="96">
        <v>45673</v>
      </c>
      <c r="C1" s="99"/>
      <c r="D1" s="101">
        <f>SUBTOTAL(9,D4:D63)</f>
        <v>0</v>
      </c>
      <c r="E1" s="11"/>
      <c r="F1" s="9">
        <f t="shared" ref="F1:N1" si="0">SUBTOTAL(9,F4:F191)</f>
        <v>25106098.819999997</v>
      </c>
      <c r="G1" s="9">
        <f t="shared" si="0"/>
        <v>0</v>
      </c>
      <c r="H1" s="9">
        <f t="shared" si="0"/>
        <v>0</v>
      </c>
      <c r="I1" s="9">
        <f t="shared" si="0"/>
        <v>0</v>
      </c>
      <c r="J1" s="9">
        <f t="shared" si="0"/>
        <v>0</v>
      </c>
      <c r="K1" s="9">
        <f t="shared" si="0"/>
        <v>0</v>
      </c>
      <c r="L1" s="9">
        <f t="shared" si="0"/>
        <v>988506.24</v>
      </c>
      <c r="M1" s="9">
        <f t="shared" si="0"/>
        <v>20866322.349999998</v>
      </c>
      <c r="N1" s="9">
        <f t="shared" si="0"/>
        <v>21854828.589999996</v>
      </c>
      <c r="O1" s="9">
        <f t="shared" ref="O1:W1" si="1">SUM(O4:O192)</f>
        <v>3251270.23</v>
      </c>
      <c r="P1" s="9">
        <f t="shared" si="1"/>
        <v>2189102.67</v>
      </c>
      <c r="Q1" s="9">
        <f t="shared" si="1"/>
        <v>0</v>
      </c>
      <c r="R1" s="9">
        <f t="shared" si="1"/>
        <v>0</v>
      </c>
      <c r="S1" s="9">
        <f t="shared" si="1"/>
        <v>5030.5</v>
      </c>
      <c r="T1" s="9">
        <f t="shared" si="1"/>
        <v>1057137.06</v>
      </c>
      <c r="U1" s="9">
        <f t="shared" si="1"/>
        <v>0</v>
      </c>
      <c r="V1" s="9">
        <f t="shared" si="1"/>
        <v>0</v>
      </c>
      <c r="W1" s="9" t="e">
        <f t="shared" si="1"/>
        <v>#REF!</v>
      </c>
      <c r="X1" s="10"/>
      <c r="Y1" s="42">
        <f>N1/F1</f>
        <v>0.87049878783198376</v>
      </c>
      <c r="Z1" s="10"/>
      <c r="AA1" s="14"/>
      <c r="AB1" s="10"/>
      <c r="AE1" s="10"/>
      <c r="AF1" s="14"/>
      <c r="AG1" s="10"/>
      <c r="AH1" s="27"/>
      <c r="AI1" s="10"/>
    </row>
    <row r="2" spans="1:38" ht="14.4" customHeight="1" thickBot="1" x14ac:dyDescent="0.3">
      <c r="B2" s="8"/>
      <c r="C2" s="8"/>
      <c r="D2" s="102"/>
      <c r="E2" s="8"/>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103" t="s">
        <v>436</v>
      </c>
      <c r="D3" s="95"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5.75" customHeight="1" thickTop="1" x14ac:dyDescent="0.25">
      <c r="B4" s="17" t="s">
        <v>177</v>
      </c>
      <c r="C4" s="97" t="s">
        <v>476</v>
      </c>
      <c r="D4" s="107">
        <v>0</v>
      </c>
      <c r="E4" s="18">
        <f t="shared" ref="E4:E35" si="2">D4-F4</f>
        <v>-7560727.799999997</v>
      </c>
      <c r="F4" s="18">
        <f t="shared" ref="F4:F35" si="3">O4+N4</f>
        <v>7560727.799999997</v>
      </c>
      <c r="G4" s="19">
        <f>SUMIFS('Data Fertilizers'!$D:$D,'Data Fertilizers'!$P:$P,$B4,'Data Fertilizers'!$Q:$Q,"&gt;0",'Data Fertilizers'!$Q:$Q,"&lt;=30")</f>
        <v>0</v>
      </c>
      <c r="H4" s="19">
        <f>SUMIFS('Data Fertilizers'!$D:$D,'Data Fertilizers'!$P:$P,$B4,'Data Fertilizers'!$Q:$Q,"&gt;30",'Data Fertilizers'!$Q:$Q,"&lt;=60")</f>
        <v>0</v>
      </c>
      <c r="I4" s="19">
        <f>SUMIFS('Data Fertilizers'!$D:$D,'Data Fertilizers'!$P:$P,$B4,'Data Fertilizers'!$Q:$Q,"&gt;60",'Data Fertilizers'!$Q:$Q,"&lt;=90")</f>
        <v>0</v>
      </c>
      <c r="J4" s="19">
        <f>SUMIFS('Data Fertilizers'!$D:$D,'Data Fertilizers'!$P:$P,$B4,'Data Fertilizers'!$Q:$Q,"&gt;90",'Data Fertilizers'!$Q:$Q,"&lt;=120")</f>
        <v>0</v>
      </c>
      <c r="K4" s="19">
        <f>SUMIFS('Data Fertilizers'!$D:$D,'Data Fertilizers'!$P:$P,$B4,'Data Fertilizers'!$Q:$Q,"&gt;120",'Data Fertilizers'!$Q:$Q,"&lt;=180")</f>
        <v>0</v>
      </c>
      <c r="L4" s="19">
        <f>SUMIFS('Data Fertilizers'!$D:$D,'Data Fertilizers'!$P:$P,$B4,'Data Fertilizers'!$Q:$Q,"&gt;180",'Data Fertilizers'!$Q:$Q,"&lt;=360")</f>
        <v>0</v>
      </c>
      <c r="M4" s="23">
        <f>SUMIFS('Data Fertilizers'!$D:$D,'Data Fertilizers'!$P:$P,$B4,'Data Fertilizers'!$Q:$Q,"&gt;360")</f>
        <v>7560727.799999997</v>
      </c>
      <c r="N4" s="19">
        <f>SUMIFS('Data Fertilizers'!$D:$D,'Data Fertilizers'!$P:$P,$B4,'Data Fertilizers'!$Q:$Q,"&gt;0")</f>
        <v>7560727.799999997</v>
      </c>
      <c r="O4" s="19">
        <f t="shared" ref="O4:O35" si="4">SUBTOTAL(9,P4:V4)</f>
        <v>0</v>
      </c>
      <c r="P4" s="19">
        <f>SUMIFS('Data Fertilizers'!$D:$D,'Data Fertilizers'!$P:$P,$B4,'Data Fertilizers'!$Q:$Q,"&lt;=0",'Data Fertilizers'!$Q:$Q,"&gt;=-30")</f>
        <v>0</v>
      </c>
      <c r="Q4" s="19">
        <f>SUMIFS('Data Fertilizers'!$D:$D,'Data Fertilizers'!$P:$P,$B4,'Data Fertilizers'!$Q:$Q,"&lt;=-31",'Data Fertilizers'!$Q:$Q,"&gt;=-60")</f>
        <v>0</v>
      </c>
      <c r="R4" s="19">
        <f>SUMIFS('Data Fertilizers'!$D:$D,'Data Fertilizers'!$P:$P,$B4,'Data Fertilizers'!$Q:$Q,"&lt;=-61",'Data Fertilizers'!$Q:$Q,"&gt;=-90")</f>
        <v>0</v>
      </c>
      <c r="S4" s="19">
        <f>SUMIFS('Data Fertilizers'!$D:$D,'Data Fertilizers'!$P:$P,$B4,'Data Fertilizers'!$Q:$Q,"&lt;=-91",'Data Fertilizers'!$Q:$Q,"&gt;=-120")</f>
        <v>0</v>
      </c>
      <c r="T4" s="19">
        <f>SUMIFS('Data Fertilizers'!$D:$D,'Data Fertilizers'!$P:$P,$B4,'Data Fertilizers'!$Q:$Q,"&lt;=-121",'Data Fertilizers'!$Q:$Q,"&gt;=-180")</f>
        <v>0</v>
      </c>
      <c r="U4" s="19">
        <f>SUMIFS('Data Fertilizers'!$D:$D,'Data Fertilizers'!$P:$P,$B4,'Data Fertilizers'!$Q:$Q,"&lt;=-181",'Data Fertilizers'!$Q:$Q,"&gt;=-360")</f>
        <v>0</v>
      </c>
      <c r="V4" s="23">
        <f>SUMIFS('Data Fertilizers'!$D:$D,'Data Fertilizers'!$P:$P,$B4,'Data Fertilizers'!$Q:$Q,"&lt;-360")</f>
        <v>0</v>
      </c>
      <c r="W4" s="19" t="e">
        <f>SUMIFS('Bad Debt Provision'!#REF!,'Bad Debt Provision'!#REF!,'Painel Fertilizers'!$B4)</f>
        <v>#REF!</v>
      </c>
      <c r="X4" s="5"/>
      <c r="Y4" s="20">
        <v>0</v>
      </c>
      <c r="Z4" s="20">
        <v>0</v>
      </c>
      <c r="AA4" s="21">
        <v>0</v>
      </c>
      <c r="AB4" s="5"/>
      <c r="AC4" s="19">
        <v>0</v>
      </c>
      <c r="AD4" s="20">
        <v>0</v>
      </c>
      <c r="AE4" s="22"/>
      <c r="AF4" s="22"/>
      <c r="AG4" s="5"/>
      <c r="AH4" s="28">
        <f t="shared" ref="AH4:AH35" si="5">AC4-F4</f>
        <v>-7560727.799999997</v>
      </c>
      <c r="AI4" s="5"/>
      <c r="AJ4" s="26"/>
    </row>
    <row r="5" spans="1:38" ht="15.75" customHeight="1" x14ac:dyDescent="0.25">
      <c r="B5" s="41" t="s">
        <v>432</v>
      </c>
      <c r="C5" s="97" cm="1">
        <f t="array" ref="C5">IFERROR(INDEX('Limite de crédito'!$D:$D, MATCH(MAX(IF('Limite de crédito'!$C:$C=$B5, 'Limite de crédito'!$A:$A)), 'Limite de crédito'!$A:$A, 0)),"")</f>
        <v>45926</v>
      </c>
      <c r="D5" s="107" t="str" cm="1">
        <f t="array" ref="D5">IFERROR(INDEX('Limite de crédito'!$F:$F, MATCH(MAX(IF('Limite de crédito'!$C:$C=$B5, 'Limite de crédito'!$A:$A)), 'Limite de crédito'!$A:$A, 0)),0)</f>
        <v>Sim</v>
      </c>
      <c r="E5" s="18" t="e">
        <f t="shared" si="2"/>
        <v>#VALUE!</v>
      </c>
      <c r="F5" s="18">
        <f t="shared" si="3"/>
        <v>498218.4</v>
      </c>
      <c r="G5" s="19">
        <f>SUMIFS('Data Fertilizers'!$D:$D,'Data Fertilizers'!$P:$P,$B5,'Data Fertilizers'!$Q:$Q,"&gt;0",'Data Fertilizers'!$Q:$Q,"&lt;=30")</f>
        <v>0</v>
      </c>
      <c r="H5" s="19">
        <f>SUMIFS('Data Fertilizers'!$D:$D,'Data Fertilizers'!$P:$P,$B5,'Data Fertilizers'!$Q:$Q,"&gt;30",'Data Fertilizers'!$Q:$Q,"&lt;=60")</f>
        <v>0</v>
      </c>
      <c r="I5" s="19">
        <f>SUMIFS('Data Fertilizers'!$D:$D,'Data Fertilizers'!$P:$P,$B5,'Data Fertilizers'!$Q:$Q,"&gt;60",'Data Fertilizers'!$Q:$Q,"&lt;=90")</f>
        <v>0</v>
      </c>
      <c r="J5" s="19">
        <f>SUMIFS('Data Fertilizers'!$D:$D,'Data Fertilizers'!$P:$P,$B5,'Data Fertilizers'!$Q:$Q,"&gt;90",'Data Fertilizers'!$Q:$Q,"&lt;=120")</f>
        <v>0</v>
      </c>
      <c r="K5" s="19">
        <f>SUMIFS('Data Fertilizers'!$D:$D,'Data Fertilizers'!$P:$P,$B5,'Data Fertilizers'!$Q:$Q,"&gt;120",'Data Fertilizers'!$Q:$Q,"&lt;=180")</f>
        <v>0</v>
      </c>
      <c r="L5" s="19">
        <f>SUMIFS('Data Fertilizers'!$D:$D,'Data Fertilizers'!$P:$P,$B5,'Data Fertilizers'!$Q:$Q,"&gt;180",'Data Fertilizers'!$Q:$Q,"&lt;=360")</f>
        <v>0</v>
      </c>
      <c r="M5" s="23">
        <f>SUMIFS('Data Fertilizers'!$D:$D,'Data Fertilizers'!$P:$P,$B5,'Data Fertilizers'!$Q:$Q,"&gt;360")</f>
        <v>0</v>
      </c>
      <c r="N5" s="19">
        <f>SUMIFS('Data Fertilizers'!$D:$D,'Data Fertilizers'!$P:$P,$B5,'Data Fertilizers'!$Q:$Q,"&gt;0")</f>
        <v>0</v>
      </c>
      <c r="O5" s="19">
        <f t="shared" si="4"/>
        <v>498218.4</v>
      </c>
      <c r="P5" s="19">
        <f>SUMIFS('Data Fertilizers'!$D:$D,'Data Fertilizers'!$P:$P,$B5,'Data Fertilizers'!$Q:$Q,"&lt;=0",'Data Fertilizers'!$Q:$Q,"&gt;=-30")</f>
        <v>498218.4</v>
      </c>
      <c r="Q5" s="19">
        <f>SUMIFS('Data Fertilizers'!$D:$D,'Data Fertilizers'!$P:$P,$B5,'Data Fertilizers'!$Q:$Q,"&lt;=-31",'Data Fertilizers'!$Q:$Q,"&gt;=-60")</f>
        <v>0</v>
      </c>
      <c r="R5" s="19">
        <f>SUMIFS('Data Fertilizers'!$D:$D,'Data Fertilizers'!$P:$P,$B5,'Data Fertilizers'!$Q:$Q,"&lt;=-61",'Data Fertilizers'!$Q:$Q,"&gt;=-90")</f>
        <v>0</v>
      </c>
      <c r="S5" s="19">
        <f>SUMIFS('Data Fertilizers'!$D:$D,'Data Fertilizers'!$P:$P,$B5,'Data Fertilizers'!$Q:$Q,"&lt;=-91",'Data Fertilizers'!$Q:$Q,"&gt;=-120")</f>
        <v>0</v>
      </c>
      <c r="T5" s="19">
        <f>SUMIFS('Data Fertilizers'!$D:$D,'Data Fertilizers'!$P:$P,$B5,'Data Fertilizers'!$Q:$Q,"&lt;=-121",'Data Fertilizers'!$Q:$Q,"&gt;=-180")</f>
        <v>0</v>
      </c>
      <c r="U5" s="19">
        <f>SUMIFS('Data Fertilizers'!$D:$D,'Data Fertilizers'!$P:$P,$B5,'Data Fertilizers'!$Q:$Q,"&lt;=-181",'Data Fertilizers'!$Q:$Q,"&gt;=-360")</f>
        <v>0</v>
      </c>
      <c r="V5" s="23">
        <f>SUMIFS('Data Fertilizers'!$D:$D,'Data Fertilizers'!$P:$P,$B5,'Data Fertilizers'!$Q:$Q,"&lt;-360")</f>
        <v>0</v>
      </c>
      <c r="W5" s="19" t="e">
        <f>SUMIFS('Bad Debt Provision'!#REF!,'Bad Debt Provision'!#REF!,'Painel Fertilizers'!#REF!)</f>
        <v>#REF!</v>
      </c>
      <c r="Y5" s="20"/>
      <c r="Z5" s="20"/>
      <c r="AA5" s="21"/>
      <c r="AB5" s="5"/>
      <c r="AC5" s="19"/>
      <c r="AD5" s="20"/>
      <c r="AE5" s="22"/>
      <c r="AF5" s="22"/>
      <c r="AG5" s="5"/>
      <c r="AH5" s="28">
        <f t="shared" si="5"/>
        <v>-498218.4</v>
      </c>
    </row>
    <row r="6" spans="1:38" ht="15.75" customHeight="1" x14ac:dyDescent="0.25">
      <c r="B6" s="41" t="s">
        <v>429</v>
      </c>
      <c r="C6" s="97" t="s">
        <v>476</v>
      </c>
      <c r="D6" s="107" cm="1">
        <f t="array" ref="D6">IFERROR(INDEX('Limite de crédito'!$F:$F, MATCH(MAX(IF('Limite de crédito'!$C:$C=$B6, 'Limite de crédito'!$A:$A)), 'Limite de crédito'!$A:$A, 0)),0)</f>
        <v>0</v>
      </c>
      <c r="E6" s="18">
        <f t="shared" si="2"/>
        <v>-3088531.0700000008</v>
      </c>
      <c r="F6" s="18">
        <f t="shared" si="3"/>
        <v>3088531.0700000008</v>
      </c>
      <c r="G6" s="19">
        <f>SUMIFS('Data Fertilizers'!$D:$D,'Data Fertilizers'!$P:$P,$B6,'Data Fertilizers'!$Q:$Q,"&gt;0",'Data Fertilizers'!$Q:$Q,"&lt;=30")</f>
        <v>0</v>
      </c>
      <c r="H6" s="19">
        <f>SUMIFS('Data Fertilizers'!$D:$D,'Data Fertilizers'!$P:$P,$B6,'Data Fertilizers'!$Q:$Q,"&gt;30",'Data Fertilizers'!$Q:$Q,"&lt;=60")</f>
        <v>0</v>
      </c>
      <c r="I6" s="19">
        <f>SUMIFS('Data Fertilizers'!$D:$D,'Data Fertilizers'!$P:$P,$B6,'Data Fertilizers'!$Q:$Q,"&gt;60",'Data Fertilizers'!$Q:$Q,"&lt;=90")</f>
        <v>0</v>
      </c>
      <c r="J6" s="19">
        <f>SUMIFS('Data Fertilizers'!$D:$D,'Data Fertilizers'!$P:$P,$B6,'Data Fertilizers'!$Q:$Q,"&gt;90",'Data Fertilizers'!$Q:$Q,"&lt;=120")</f>
        <v>0</v>
      </c>
      <c r="K6" s="19">
        <f>SUMIFS('Data Fertilizers'!$D:$D,'Data Fertilizers'!$P:$P,$B6,'Data Fertilizers'!$Q:$Q,"&gt;120",'Data Fertilizers'!$Q:$Q,"&lt;=180")</f>
        <v>0</v>
      </c>
      <c r="L6" s="19">
        <f>SUMIFS('Data Fertilizers'!$D:$D,'Data Fertilizers'!$P:$P,$B6,'Data Fertilizers'!$Q:$Q,"&gt;180",'Data Fertilizers'!$Q:$Q,"&lt;=360")</f>
        <v>0</v>
      </c>
      <c r="M6" s="23">
        <f>SUMIFS('Data Fertilizers'!$D:$D,'Data Fertilizers'!$P:$P,$B6,'Data Fertilizers'!$Q:$Q,"&gt;360")</f>
        <v>3088531.0700000008</v>
      </c>
      <c r="N6" s="19">
        <f>SUMIFS('Data Fertilizers'!$D:$D,'Data Fertilizers'!$P:$P,$B6,'Data Fertilizers'!$Q:$Q,"&gt;0")</f>
        <v>3088531.0700000008</v>
      </c>
      <c r="O6" s="19">
        <f t="shared" si="4"/>
        <v>0</v>
      </c>
      <c r="P6" s="19">
        <f>SUMIFS('Data Fertilizers'!$D:$D,'Data Fertilizers'!$P:$P,$B6,'Data Fertilizers'!$Q:$Q,"&lt;=0",'Data Fertilizers'!$Q:$Q,"&gt;=-30")</f>
        <v>0</v>
      </c>
      <c r="Q6" s="19">
        <f>SUMIFS('Data Fertilizers'!$D:$D,'Data Fertilizers'!$P:$P,$B6,'Data Fertilizers'!$Q:$Q,"&lt;=-31",'Data Fertilizers'!$Q:$Q,"&gt;=-60")</f>
        <v>0</v>
      </c>
      <c r="R6" s="19">
        <f>SUMIFS('Data Fertilizers'!$D:$D,'Data Fertilizers'!$P:$P,$B6,'Data Fertilizers'!$Q:$Q,"&lt;=-61",'Data Fertilizers'!$Q:$Q,"&gt;=-90")</f>
        <v>0</v>
      </c>
      <c r="S6" s="19">
        <f>SUMIFS('Data Fertilizers'!$D:$D,'Data Fertilizers'!$P:$P,$B6,'Data Fertilizers'!$Q:$Q,"&lt;=-91",'Data Fertilizers'!$Q:$Q,"&gt;=-120")</f>
        <v>0</v>
      </c>
      <c r="T6" s="19">
        <f>SUMIFS('Data Fertilizers'!$D:$D,'Data Fertilizers'!$P:$P,$B6,'Data Fertilizers'!$Q:$Q,"&lt;=-121",'Data Fertilizers'!$Q:$Q,"&gt;=-180")</f>
        <v>0</v>
      </c>
      <c r="U6" s="19">
        <f>SUMIFS('Data Fertilizers'!$D:$D,'Data Fertilizers'!$P:$P,$B6,'Data Fertilizers'!$Q:$Q,"&lt;=-181",'Data Fertilizers'!$Q:$Q,"&gt;=-360")</f>
        <v>0</v>
      </c>
      <c r="V6" s="23">
        <f>SUMIFS('Data Fertilizers'!$D:$D,'Data Fertilizers'!$P:$P,$B6,'Data Fertilizers'!$Q:$Q,"&lt;-360")</f>
        <v>0</v>
      </c>
      <c r="W6" s="19" t="e">
        <f>SUMIFS('Bad Debt Provision'!#REF!,'Bad Debt Provision'!#REF!,'Painel Fertilizers'!#REF!)</f>
        <v>#REF!</v>
      </c>
      <c r="Y6" s="20"/>
      <c r="Z6" s="20"/>
      <c r="AA6" s="21"/>
      <c r="AB6" s="5"/>
      <c r="AC6" s="19"/>
      <c r="AD6" s="20"/>
      <c r="AE6" s="22"/>
      <c r="AF6" s="22"/>
      <c r="AG6" s="5"/>
      <c r="AH6" s="28">
        <f t="shared" si="5"/>
        <v>-3088531.0700000008</v>
      </c>
    </row>
    <row r="7" spans="1:38" ht="15.75" customHeight="1" x14ac:dyDescent="0.25">
      <c r="B7" s="17" t="s">
        <v>210</v>
      </c>
      <c r="C7" s="97" t="s">
        <v>476</v>
      </c>
      <c r="D7" s="107">
        <v>0</v>
      </c>
      <c r="E7" s="18">
        <f t="shared" si="2"/>
        <v>-3044850.9199999995</v>
      </c>
      <c r="F7" s="18">
        <f t="shared" si="3"/>
        <v>3044850.9199999995</v>
      </c>
      <c r="G7" s="19">
        <f>SUMIFS('Data Fertilizers'!$D:$D,'Data Fertilizers'!$P:$P,$B7,'Data Fertilizers'!$Q:$Q,"&gt;0",'Data Fertilizers'!$Q:$Q,"&lt;=30")</f>
        <v>0</v>
      </c>
      <c r="H7" s="19">
        <f>SUMIFS('Data Fertilizers'!$D:$D,'Data Fertilizers'!$P:$P,$B7,'Data Fertilizers'!$Q:$Q,"&gt;30",'Data Fertilizers'!$Q:$Q,"&lt;=60")</f>
        <v>0</v>
      </c>
      <c r="I7" s="19">
        <f>SUMIFS('Data Fertilizers'!$D:$D,'Data Fertilizers'!$P:$P,$B7,'Data Fertilizers'!$Q:$Q,"&gt;60",'Data Fertilizers'!$Q:$Q,"&lt;=90")</f>
        <v>0</v>
      </c>
      <c r="J7" s="19">
        <f>SUMIFS('Data Fertilizers'!$D:$D,'Data Fertilizers'!$P:$P,$B7,'Data Fertilizers'!$Q:$Q,"&gt;90",'Data Fertilizers'!$Q:$Q,"&lt;=120")</f>
        <v>0</v>
      </c>
      <c r="K7" s="19">
        <f>SUMIFS('Data Fertilizers'!$D:$D,'Data Fertilizers'!$P:$P,$B7,'Data Fertilizers'!$Q:$Q,"&gt;120",'Data Fertilizers'!$Q:$Q,"&lt;=180")</f>
        <v>0</v>
      </c>
      <c r="L7" s="19">
        <f>SUMIFS('Data Fertilizers'!$D:$D,'Data Fertilizers'!$P:$P,$B7,'Data Fertilizers'!$Q:$Q,"&gt;180",'Data Fertilizers'!$Q:$Q,"&lt;=360")</f>
        <v>0</v>
      </c>
      <c r="M7" s="23">
        <f>SUMIFS('Data Fertilizers'!$D:$D,'Data Fertilizers'!$P:$P,$B7,'Data Fertilizers'!$Q:$Q,"&gt;360")</f>
        <v>3044850.9199999995</v>
      </c>
      <c r="N7" s="19">
        <f>SUMIFS('Data Fertilizers'!$D:$D,'Data Fertilizers'!$P:$P,$B7,'Data Fertilizers'!$Q:$Q,"&gt;0")</f>
        <v>3044850.9199999995</v>
      </c>
      <c r="O7" s="19">
        <f t="shared" si="4"/>
        <v>0</v>
      </c>
      <c r="P7" s="19">
        <f>SUMIFS('Data Fertilizers'!$D:$D,'Data Fertilizers'!$P:$P,$B7,'Data Fertilizers'!$Q:$Q,"&lt;=0",'Data Fertilizers'!$Q:$Q,"&gt;=-30")</f>
        <v>0</v>
      </c>
      <c r="Q7" s="19">
        <f>SUMIFS('Data Fertilizers'!$D:$D,'Data Fertilizers'!$P:$P,$B7,'Data Fertilizers'!$Q:$Q,"&lt;=-31",'Data Fertilizers'!$Q:$Q,"&gt;=-60")</f>
        <v>0</v>
      </c>
      <c r="R7" s="19">
        <f>SUMIFS('Data Fertilizers'!$D:$D,'Data Fertilizers'!$P:$P,$B7,'Data Fertilizers'!$Q:$Q,"&lt;=-61",'Data Fertilizers'!$Q:$Q,"&gt;=-90")</f>
        <v>0</v>
      </c>
      <c r="S7" s="19">
        <f>SUMIFS('Data Fertilizers'!$D:$D,'Data Fertilizers'!$P:$P,$B7,'Data Fertilizers'!$Q:$Q,"&lt;=-91",'Data Fertilizers'!$Q:$Q,"&gt;=-120")</f>
        <v>0</v>
      </c>
      <c r="T7" s="19">
        <f>SUMIFS('Data Fertilizers'!$D:$D,'Data Fertilizers'!$P:$P,$B7,'Data Fertilizers'!$Q:$Q,"&lt;=-121",'Data Fertilizers'!$Q:$Q,"&gt;=-180")</f>
        <v>0</v>
      </c>
      <c r="U7" s="19">
        <f>SUMIFS('Data Fertilizers'!$D:$D,'Data Fertilizers'!$P:$P,$B7,'Data Fertilizers'!$Q:$Q,"&lt;=-181",'Data Fertilizers'!$Q:$Q,"&gt;=-360")</f>
        <v>0</v>
      </c>
      <c r="V7" s="23">
        <f>SUMIFS('Data Fertilizers'!$D:$D,'Data Fertilizers'!$P:$P,$B7,'Data Fertilizers'!$Q:$Q,"&lt;-360")</f>
        <v>0</v>
      </c>
      <c r="W7" s="19" t="e">
        <f>SUMIFS('Bad Debt Provision'!#REF!,'Bad Debt Provision'!#REF!,'Painel Fertilizers'!$B22)</f>
        <v>#REF!</v>
      </c>
      <c r="X7" s="5"/>
      <c r="Y7" s="20">
        <v>3000000</v>
      </c>
      <c r="Z7" s="20" t="s">
        <v>226</v>
      </c>
      <c r="AA7" s="21">
        <v>90</v>
      </c>
      <c r="AB7" s="5"/>
      <c r="AC7" s="19">
        <v>3000000</v>
      </c>
      <c r="AD7" s="20" t="s">
        <v>226</v>
      </c>
      <c r="AE7" s="22">
        <v>45655</v>
      </c>
      <c r="AF7" s="22" t="s">
        <v>232</v>
      </c>
      <c r="AG7" s="5"/>
      <c r="AH7" s="28">
        <f t="shared" si="5"/>
        <v>-44850.91999999946</v>
      </c>
      <c r="AI7" s="5"/>
      <c r="AJ7" s="26"/>
    </row>
    <row r="8" spans="1:38" ht="15.75" customHeight="1" x14ac:dyDescent="0.25">
      <c r="B8" s="17" t="s">
        <v>187</v>
      </c>
      <c r="C8" s="97" t="s">
        <v>476</v>
      </c>
      <c r="D8" s="107">
        <v>0</v>
      </c>
      <c r="E8" s="18">
        <f t="shared" si="2"/>
        <v>-2492842.0500000007</v>
      </c>
      <c r="F8" s="18">
        <f t="shared" si="3"/>
        <v>2492842.0500000007</v>
      </c>
      <c r="G8" s="19">
        <f>SUMIFS('Data Fertilizers'!$D:$D,'Data Fertilizers'!$P:$P,$B8,'Data Fertilizers'!$Q:$Q,"&gt;0",'Data Fertilizers'!$Q:$Q,"&lt;=30")</f>
        <v>0</v>
      </c>
      <c r="H8" s="19">
        <f>SUMIFS('Data Fertilizers'!$D:$D,'Data Fertilizers'!$P:$P,$B8,'Data Fertilizers'!$Q:$Q,"&gt;30",'Data Fertilizers'!$Q:$Q,"&lt;=60")</f>
        <v>0</v>
      </c>
      <c r="I8" s="19">
        <f>SUMIFS('Data Fertilizers'!$D:$D,'Data Fertilizers'!$P:$P,$B8,'Data Fertilizers'!$Q:$Q,"&gt;60",'Data Fertilizers'!$Q:$Q,"&lt;=90")</f>
        <v>0</v>
      </c>
      <c r="J8" s="19">
        <f>SUMIFS('Data Fertilizers'!$D:$D,'Data Fertilizers'!$P:$P,$B8,'Data Fertilizers'!$Q:$Q,"&gt;90",'Data Fertilizers'!$Q:$Q,"&lt;=120")</f>
        <v>0</v>
      </c>
      <c r="K8" s="19">
        <f>SUMIFS('Data Fertilizers'!$D:$D,'Data Fertilizers'!$P:$P,$B8,'Data Fertilizers'!$Q:$Q,"&gt;120",'Data Fertilizers'!$Q:$Q,"&lt;=180")</f>
        <v>0</v>
      </c>
      <c r="L8" s="19">
        <f>SUMIFS('Data Fertilizers'!$D:$D,'Data Fertilizers'!$P:$P,$B8,'Data Fertilizers'!$Q:$Q,"&gt;180",'Data Fertilizers'!$Q:$Q,"&lt;=360")</f>
        <v>0</v>
      </c>
      <c r="M8" s="23">
        <f>SUMIFS('Data Fertilizers'!$D:$D,'Data Fertilizers'!$P:$P,$B8,'Data Fertilizers'!$Q:$Q,"&gt;360")</f>
        <v>2492842.0500000007</v>
      </c>
      <c r="N8" s="19">
        <f>SUMIFS('Data Fertilizers'!$D:$D,'Data Fertilizers'!$P:$P,$B8,'Data Fertilizers'!$Q:$Q,"&gt;0")</f>
        <v>2492842.0500000007</v>
      </c>
      <c r="O8" s="19">
        <f t="shared" si="4"/>
        <v>0</v>
      </c>
      <c r="P8" s="19">
        <f>SUMIFS('Data Fertilizers'!$D:$D,'Data Fertilizers'!$P:$P,$B8,'Data Fertilizers'!$Q:$Q,"&lt;=0",'Data Fertilizers'!$Q:$Q,"&gt;=-30")</f>
        <v>0</v>
      </c>
      <c r="Q8" s="19">
        <f>SUMIFS('Data Fertilizers'!$D:$D,'Data Fertilizers'!$P:$P,$B8,'Data Fertilizers'!$Q:$Q,"&lt;=-31",'Data Fertilizers'!$Q:$Q,"&gt;=-60")</f>
        <v>0</v>
      </c>
      <c r="R8" s="19">
        <f>SUMIFS('Data Fertilizers'!$D:$D,'Data Fertilizers'!$P:$P,$B8,'Data Fertilizers'!$Q:$Q,"&lt;=-61",'Data Fertilizers'!$Q:$Q,"&gt;=-90")</f>
        <v>0</v>
      </c>
      <c r="S8" s="19">
        <f>SUMIFS('Data Fertilizers'!$D:$D,'Data Fertilizers'!$P:$P,$B8,'Data Fertilizers'!$Q:$Q,"&lt;=-91",'Data Fertilizers'!$Q:$Q,"&gt;=-120")</f>
        <v>0</v>
      </c>
      <c r="T8" s="19">
        <f>SUMIFS('Data Fertilizers'!$D:$D,'Data Fertilizers'!$P:$P,$B8,'Data Fertilizers'!$Q:$Q,"&lt;=-121",'Data Fertilizers'!$Q:$Q,"&gt;=-180")</f>
        <v>0</v>
      </c>
      <c r="U8" s="19">
        <f>SUMIFS('Data Fertilizers'!$D:$D,'Data Fertilizers'!$P:$P,$B8,'Data Fertilizers'!$Q:$Q,"&lt;=-181",'Data Fertilizers'!$Q:$Q,"&gt;=-360")</f>
        <v>0</v>
      </c>
      <c r="V8" s="23">
        <f>SUMIFS('Data Fertilizers'!$D:$D,'Data Fertilizers'!$P:$P,$B8,'Data Fertilizers'!$Q:$Q,"&lt;-360")</f>
        <v>0</v>
      </c>
      <c r="W8" s="19" t="e">
        <f>SUMIFS('Bad Debt Provision'!#REF!,'Bad Debt Provision'!#REF!,'Painel Fertilizers'!$B10)</f>
        <v>#REF!</v>
      </c>
      <c r="X8" s="5"/>
      <c r="Y8" s="20">
        <v>2300000</v>
      </c>
      <c r="Z8" s="20" t="s">
        <v>228</v>
      </c>
      <c r="AA8" s="21">
        <v>360</v>
      </c>
      <c r="AB8" s="5"/>
      <c r="AC8" s="19">
        <v>5517407.7000000002</v>
      </c>
      <c r="AD8" s="20" t="s">
        <v>226</v>
      </c>
      <c r="AE8" s="22">
        <v>45606</v>
      </c>
      <c r="AF8" s="22" t="s">
        <v>232</v>
      </c>
      <c r="AG8" s="5"/>
      <c r="AH8" s="28">
        <f t="shared" si="5"/>
        <v>3024565.6499999994</v>
      </c>
      <c r="AI8" s="5"/>
      <c r="AJ8" s="26"/>
    </row>
    <row r="9" spans="1:38" ht="15.75" customHeight="1" x14ac:dyDescent="0.25">
      <c r="B9" s="17" t="s">
        <v>197</v>
      </c>
      <c r="C9" s="104" cm="1">
        <f t="array" ref="C9">IFERROR(INDEX('Limite de crédito'!$D:$D, MATCH(MAX(IF('Limite de crédito'!$C:$C=$B9, 'Limite de crédito'!$A:$A)), 'Limite de crédito'!$A:$A, 0)),"")</f>
        <v>45869</v>
      </c>
      <c r="D9" s="107" t="str" cm="1">
        <f t="array" ref="D9">IFERROR(INDEX('Limite de crédito'!$F:$F, MATCH(MAX(IF('Limite de crédito'!$C:$C=$B9, 'Limite de crédito'!$A:$A)), 'Limite de crédito'!$A:$A, 0)),0)</f>
        <v>Sim</v>
      </c>
      <c r="E9" s="18" t="e">
        <f t="shared" si="2"/>
        <v>#VALUE!</v>
      </c>
      <c r="F9" s="18">
        <f t="shared" si="3"/>
        <v>269056</v>
      </c>
      <c r="G9" s="19">
        <f>SUMIFS('Data Fertilizers'!$D:$D,'Data Fertilizers'!$P:$P,$B9,'Data Fertilizers'!$Q:$Q,"&gt;0",'Data Fertilizers'!$Q:$Q,"&lt;=30")</f>
        <v>0</v>
      </c>
      <c r="H9" s="19">
        <f>SUMIFS('Data Fertilizers'!$D:$D,'Data Fertilizers'!$P:$P,$B9,'Data Fertilizers'!$Q:$Q,"&gt;30",'Data Fertilizers'!$Q:$Q,"&lt;=60")</f>
        <v>0</v>
      </c>
      <c r="I9" s="19">
        <f>SUMIFS('Data Fertilizers'!$D:$D,'Data Fertilizers'!$P:$P,$B9,'Data Fertilizers'!$Q:$Q,"&gt;60",'Data Fertilizers'!$Q:$Q,"&lt;=90")</f>
        <v>0</v>
      </c>
      <c r="J9" s="19">
        <f>SUMIFS('Data Fertilizers'!$D:$D,'Data Fertilizers'!$P:$P,$B9,'Data Fertilizers'!$Q:$Q,"&gt;90",'Data Fertilizers'!$Q:$Q,"&lt;=120")</f>
        <v>0</v>
      </c>
      <c r="K9" s="19">
        <f>SUMIFS('Data Fertilizers'!$D:$D,'Data Fertilizers'!$P:$P,$B9,'Data Fertilizers'!$Q:$Q,"&gt;120",'Data Fertilizers'!$Q:$Q,"&lt;=180")</f>
        <v>0</v>
      </c>
      <c r="L9" s="19">
        <f>SUMIFS('Data Fertilizers'!$D:$D,'Data Fertilizers'!$P:$P,$B9,'Data Fertilizers'!$Q:$Q,"&gt;180",'Data Fertilizers'!$Q:$Q,"&lt;=360")</f>
        <v>0</v>
      </c>
      <c r="M9" s="23">
        <f>SUMIFS('Data Fertilizers'!$D:$D,'Data Fertilizers'!$P:$P,$B9,'Data Fertilizers'!$Q:$Q,"&gt;360")</f>
        <v>0</v>
      </c>
      <c r="N9" s="19">
        <f>SUMIFS('Data Fertilizers'!$D:$D,'Data Fertilizers'!$P:$P,$B9,'Data Fertilizers'!$Q:$Q,"&gt;0")</f>
        <v>0</v>
      </c>
      <c r="O9" s="19">
        <f t="shared" si="4"/>
        <v>269056</v>
      </c>
      <c r="P9" s="19">
        <f>SUMIFS('Data Fertilizers'!$D:$D,'Data Fertilizers'!$P:$P,$B9,'Data Fertilizers'!$Q:$Q,"&lt;=0",'Data Fertilizers'!$Q:$Q,"&gt;=-30")</f>
        <v>137376</v>
      </c>
      <c r="Q9" s="19">
        <f>SUMIFS('Data Fertilizers'!$D:$D,'Data Fertilizers'!$P:$P,$B9,'Data Fertilizers'!$Q:$Q,"&lt;=-31",'Data Fertilizers'!$Q:$Q,"&gt;=-60")</f>
        <v>0</v>
      </c>
      <c r="R9" s="19">
        <f>SUMIFS('Data Fertilizers'!$D:$D,'Data Fertilizers'!$P:$P,$B9,'Data Fertilizers'!$Q:$Q,"&lt;=-61",'Data Fertilizers'!$Q:$Q,"&gt;=-90")</f>
        <v>0</v>
      </c>
      <c r="S9" s="19">
        <f>SUMIFS('Data Fertilizers'!$D:$D,'Data Fertilizers'!$P:$P,$B9,'Data Fertilizers'!$Q:$Q,"&lt;=-91",'Data Fertilizers'!$Q:$Q,"&gt;=-120")</f>
        <v>0</v>
      </c>
      <c r="T9" s="19">
        <f>SUMIFS('Data Fertilizers'!$D:$D,'Data Fertilizers'!$P:$P,$B9,'Data Fertilizers'!$Q:$Q,"&lt;=-121",'Data Fertilizers'!$Q:$Q,"&gt;=-180")</f>
        <v>131680</v>
      </c>
      <c r="U9" s="19">
        <f>SUMIFS('Data Fertilizers'!$D:$D,'Data Fertilizers'!$P:$P,$B9,'Data Fertilizers'!$Q:$Q,"&lt;=-181",'Data Fertilizers'!$Q:$Q,"&gt;=-360")</f>
        <v>0</v>
      </c>
      <c r="V9" s="23">
        <f>SUMIFS('Data Fertilizers'!$D:$D,'Data Fertilizers'!$P:$P,$B9,'Data Fertilizers'!$Q:$Q,"&lt;-360")</f>
        <v>0</v>
      </c>
      <c r="W9" s="19" t="e">
        <f>SUMIFS('Bad Debt Provision'!#REF!,'Bad Debt Provision'!#REF!,'Painel Fertilizers'!$B16)</f>
        <v>#REF!</v>
      </c>
      <c r="X9" s="5"/>
      <c r="Y9" s="20">
        <v>1400000</v>
      </c>
      <c r="Z9" s="20" t="s">
        <v>226</v>
      </c>
      <c r="AA9" s="21">
        <v>360</v>
      </c>
      <c r="AB9" s="5"/>
      <c r="AC9" s="19">
        <v>0</v>
      </c>
      <c r="AD9" s="20">
        <v>0</v>
      </c>
      <c r="AE9" s="22"/>
      <c r="AF9" s="22"/>
      <c r="AG9" s="5"/>
      <c r="AH9" s="28">
        <f t="shared" si="5"/>
        <v>-269056</v>
      </c>
      <c r="AI9" s="5"/>
      <c r="AJ9" s="26"/>
    </row>
    <row r="10" spans="1:38" ht="15.75" customHeight="1" x14ac:dyDescent="0.25">
      <c r="B10" s="17" t="s">
        <v>195</v>
      </c>
      <c r="C10" s="97" t="s">
        <v>476</v>
      </c>
      <c r="D10" s="107" cm="1">
        <f t="array" ref="D10">IFERROR(INDEX('Limite de crédito'!$F:$F, MATCH(MAX(IF('Limite de crédito'!$C:$C=$B10, 'Limite de crédito'!$A:$A)), 'Limite de crédito'!$A:$A, 0)),0)</f>
        <v>0</v>
      </c>
      <c r="E10" s="108">
        <f t="shared" si="2"/>
        <v>-1863200.9</v>
      </c>
      <c r="F10" s="18">
        <f t="shared" si="3"/>
        <v>1863200.9</v>
      </c>
      <c r="G10" s="19">
        <f>SUMIFS('Data Fertilizers'!$D:$D,'Data Fertilizers'!$P:$P,$B10,'Data Fertilizers'!$Q:$Q,"&gt;0",'Data Fertilizers'!$Q:$Q,"&lt;=30")</f>
        <v>0</v>
      </c>
      <c r="H10" s="19">
        <f>SUMIFS('Data Fertilizers'!$D:$D,'Data Fertilizers'!$P:$P,$B10,'Data Fertilizers'!$Q:$Q,"&gt;30",'Data Fertilizers'!$Q:$Q,"&lt;=60")</f>
        <v>0</v>
      </c>
      <c r="I10" s="19">
        <f>SUMIFS('Data Fertilizers'!$D:$D,'Data Fertilizers'!$P:$P,$B10,'Data Fertilizers'!$Q:$Q,"&gt;60",'Data Fertilizers'!$Q:$Q,"&lt;=90")</f>
        <v>0</v>
      </c>
      <c r="J10" s="19">
        <f>SUMIFS('Data Fertilizers'!$D:$D,'Data Fertilizers'!$P:$P,$B10,'Data Fertilizers'!$Q:$Q,"&gt;90",'Data Fertilizers'!$Q:$Q,"&lt;=120")</f>
        <v>0</v>
      </c>
      <c r="K10" s="19">
        <f>SUMIFS('Data Fertilizers'!$D:$D,'Data Fertilizers'!$P:$P,$B10,'Data Fertilizers'!$Q:$Q,"&gt;120",'Data Fertilizers'!$Q:$Q,"&lt;=180")</f>
        <v>0</v>
      </c>
      <c r="L10" s="19">
        <f>SUMIFS('Data Fertilizers'!$D:$D,'Data Fertilizers'!$P:$P,$B10,'Data Fertilizers'!$Q:$Q,"&gt;180",'Data Fertilizers'!$Q:$Q,"&lt;=360")</f>
        <v>0</v>
      </c>
      <c r="M10" s="23">
        <f>SUMIFS('Data Fertilizers'!$D:$D,'Data Fertilizers'!$P:$P,$B10,'Data Fertilizers'!$Q:$Q,"&gt;360")</f>
        <v>1863200.9</v>
      </c>
      <c r="N10" s="19">
        <f>SUMIFS('Data Fertilizers'!$D:$D,'Data Fertilizers'!$P:$P,$B10,'Data Fertilizers'!$Q:$Q,"&gt;0")</f>
        <v>1863200.9</v>
      </c>
      <c r="O10" s="19">
        <f t="shared" si="4"/>
        <v>0</v>
      </c>
      <c r="P10" s="19">
        <f>SUMIFS('Data Fertilizers'!$D:$D,'Data Fertilizers'!$P:$P,$B10,'Data Fertilizers'!$Q:$Q,"&lt;=0",'Data Fertilizers'!$Q:$Q,"&gt;=-30")</f>
        <v>0</v>
      </c>
      <c r="Q10" s="19">
        <f>SUMIFS('Data Fertilizers'!$D:$D,'Data Fertilizers'!$P:$P,$B10,'Data Fertilizers'!$Q:$Q,"&lt;=-31",'Data Fertilizers'!$Q:$Q,"&gt;=-60")</f>
        <v>0</v>
      </c>
      <c r="R10" s="19">
        <f>SUMIFS('Data Fertilizers'!$D:$D,'Data Fertilizers'!$P:$P,$B10,'Data Fertilizers'!$Q:$Q,"&lt;=-61",'Data Fertilizers'!$Q:$Q,"&gt;=-90")</f>
        <v>0</v>
      </c>
      <c r="S10" s="19">
        <f>SUMIFS('Data Fertilizers'!$D:$D,'Data Fertilizers'!$P:$P,$B10,'Data Fertilizers'!$Q:$Q,"&lt;=-91",'Data Fertilizers'!$Q:$Q,"&gt;=-120")</f>
        <v>0</v>
      </c>
      <c r="T10" s="19">
        <f>SUMIFS('Data Fertilizers'!$D:$D,'Data Fertilizers'!$P:$P,$B10,'Data Fertilizers'!$Q:$Q,"&lt;=-121",'Data Fertilizers'!$Q:$Q,"&gt;=-180")</f>
        <v>0</v>
      </c>
      <c r="U10" s="19">
        <f>SUMIFS('Data Fertilizers'!$D:$D,'Data Fertilizers'!$P:$P,$B10,'Data Fertilizers'!$Q:$Q,"&lt;=-181",'Data Fertilizers'!$Q:$Q,"&gt;=-360")</f>
        <v>0</v>
      </c>
      <c r="V10" s="23">
        <f>SUMIFS('Data Fertilizers'!$D:$D,'Data Fertilizers'!$P:$P,$B10,'Data Fertilizers'!$Q:$Q,"&lt;-360")</f>
        <v>0</v>
      </c>
      <c r="W10" s="19" t="e">
        <f>SUMIFS('Bad Debt Provision'!#REF!,'Bad Debt Provision'!#REF!,'Painel Fertilizers'!$B5)</f>
        <v>#REF!</v>
      </c>
      <c r="X10" s="5"/>
      <c r="Y10" s="20">
        <v>1000000</v>
      </c>
      <c r="Z10" s="20" t="s">
        <v>226</v>
      </c>
      <c r="AA10" s="21">
        <v>360</v>
      </c>
      <c r="AB10" s="5"/>
      <c r="AC10" s="19">
        <v>1892359.96</v>
      </c>
      <c r="AD10" s="20" t="s">
        <v>226</v>
      </c>
      <c r="AE10" s="22">
        <v>45606</v>
      </c>
      <c r="AF10" s="22" t="s">
        <v>232</v>
      </c>
      <c r="AG10" s="5"/>
      <c r="AH10" s="28">
        <f t="shared" si="5"/>
        <v>29159.060000000056</v>
      </c>
      <c r="AI10" s="5"/>
      <c r="AJ10" s="26"/>
    </row>
    <row r="11" spans="1:38" ht="15.75" customHeight="1" x14ac:dyDescent="0.25">
      <c r="B11" s="17" t="s">
        <v>199</v>
      </c>
      <c r="C11" s="97" t="s">
        <v>476</v>
      </c>
      <c r="D11" s="107">
        <v>0</v>
      </c>
      <c r="E11" s="18">
        <f t="shared" si="2"/>
        <v>-1702848.7400000002</v>
      </c>
      <c r="F11" s="18">
        <f t="shared" si="3"/>
        <v>1702848.7400000002</v>
      </c>
      <c r="G11" s="19">
        <f>SUMIFS('Data Fertilizers'!$D:$D,'Data Fertilizers'!$P:$P,$B11,'Data Fertilizers'!$Q:$Q,"&gt;0",'Data Fertilizers'!$Q:$Q,"&lt;=30")</f>
        <v>0</v>
      </c>
      <c r="H11" s="19">
        <f>SUMIFS('Data Fertilizers'!$D:$D,'Data Fertilizers'!$P:$P,$B11,'Data Fertilizers'!$Q:$Q,"&gt;30",'Data Fertilizers'!$Q:$Q,"&lt;=60")</f>
        <v>0</v>
      </c>
      <c r="I11" s="19">
        <f>SUMIFS('Data Fertilizers'!$D:$D,'Data Fertilizers'!$P:$P,$B11,'Data Fertilizers'!$Q:$Q,"&gt;60",'Data Fertilizers'!$Q:$Q,"&lt;=90")</f>
        <v>0</v>
      </c>
      <c r="J11" s="19">
        <f>SUMIFS('Data Fertilizers'!$D:$D,'Data Fertilizers'!$P:$P,$B11,'Data Fertilizers'!$Q:$Q,"&gt;90",'Data Fertilizers'!$Q:$Q,"&lt;=120")</f>
        <v>0</v>
      </c>
      <c r="K11" s="19">
        <f>SUMIFS('Data Fertilizers'!$D:$D,'Data Fertilizers'!$P:$P,$B11,'Data Fertilizers'!$Q:$Q,"&gt;120",'Data Fertilizers'!$Q:$Q,"&lt;=180")</f>
        <v>0</v>
      </c>
      <c r="L11" s="19">
        <f>SUMIFS('Data Fertilizers'!$D:$D,'Data Fertilizers'!$P:$P,$B11,'Data Fertilizers'!$Q:$Q,"&gt;180",'Data Fertilizers'!$Q:$Q,"&lt;=360")</f>
        <v>0</v>
      </c>
      <c r="M11" s="23">
        <f>SUMIFS('Data Fertilizers'!$D:$D,'Data Fertilizers'!$P:$P,$B11,'Data Fertilizers'!$Q:$Q,"&gt;360")</f>
        <v>1702848.7400000002</v>
      </c>
      <c r="N11" s="19">
        <f>SUMIFS('Data Fertilizers'!$D:$D,'Data Fertilizers'!$P:$P,$B11,'Data Fertilizers'!$Q:$Q,"&gt;0")</f>
        <v>1702848.7400000002</v>
      </c>
      <c r="O11" s="19">
        <f t="shared" si="4"/>
        <v>0</v>
      </c>
      <c r="P11" s="19">
        <f>SUMIFS('Data Fertilizers'!$D:$D,'Data Fertilizers'!$P:$P,$B11,'Data Fertilizers'!$Q:$Q,"&lt;=0",'Data Fertilizers'!$Q:$Q,"&gt;=-30")</f>
        <v>0</v>
      </c>
      <c r="Q11" s="19">
        <f>SUMIFS('Data Fertilizers'!$D:$D,'Data Fertilizers'!$P:$P,$B11,'Data Fertilizers'!$Q:$Q,"&lt;=-31",'Data Fertilizers'!$Q:$Q,"&gt;=-60")</f>
        <v>0</v>
      </c>
      <c r="R11" s="19">
        <f>SUMIFS('Data Fertilizers'!$D:$D,'Data Fertilizers'!$P:$P,$B11,'Data Fertilizers'!$Q:$Q,"&lt;=-61",'Data Fertilizers'!$Q:$Q,"&gt;=-90")</f>
        <v>0</v>
      </c>
      <c r="S11" s="19">
        <f>SUMIFS('Data Fertilizers'!$D:$D,'Data Fertilizers'!$P:$P,$B11,'Data Fertilizers'!$Q:$Q,"&lt;=-91",'Data Fertilizers'!$Q:$Q,"&gt;=-120")</f>
        <v>0</v>
      </c>
      <c r="T11" s="19">
        <f>SUMIFS('Data Fertilizers'!$D:$D,'Data Fertilizers'!$P:$P,$B11,'Data Fertilizers'!$Q:$Q,"&lt;=-121",'Data Fertilizers'!$Q:$Q,"&gt;=-180")</f>
        <v>0</v>
      </c>
      <c r="U11" s="19">
        <f>SUMIFS('Data Fertilizers'!$D:$D,'Data Fertilizers'!$P:$P,$B11,'Data Fertilizers'!$Q:$Q,"&lt;=-181",'Data Fertilizers'!$Q:$Q,"&gt;=-360")</f>
        <v>0</v>
      </c>
      <c r="V11" s="23">
        <f>SUMIFS('Data Fertilizers'!$D:$D,'Data Fertilizers'!$P:$P,$B11,'Data Fertilizers'!$Q:$Q,"&lt;-360")</f>
        <v>0</v>
      </c>
      <c r="W11" s="19" t="e">
        <f>SUMIFS('Bad Debt Provision'!#REF!,'Bad Debt Provision'!#REF!,'Painel Fertilizers'!$B6)</f>
        <v>#REF!</v>
      </c>
      <c r="X11" s="5"/>
      <c r="Y11" s="20">
        <v>2000000</v>
      </c>
      <c r="Z11" s="20" t="s">
        <v>226</v>
      </c>
      <c r="AA11" s="21">
        <v>120</v>
      </c>
      <c r="AB11" s="5"/>
      <c r="AC11" s="19">
        <v>0</v>
      </c>
      <c r="AD11" s="20">
        <v>0</v>
      </c>
      <c r="AE11" s="22"/>
      <c r="AF11" s="22"/>
      <c r="AG11" s="5"/>
      <c r="AH11" s="28">
        <f t="shared" si="5"/>
        <v>-1702848.7400000002</v>
      </c>
      <c r="AI11" s="5"/>
      <c r="AJ11" s="26"/>
    </row>
    <row r="12" spans="1:38" ht="15.75" customHeight="1" x14ac:dyDescent="0.25">
      <c r="B12" s="17" t="s">
        <v>207</v>
      </c>
      <c r="C12" s="97" t="s">
        <v>476</v>
      </c>
      <c r="D12" s="107" cm="1">
        <f t="array" ref="D12">IFERROR(INDEX('Limite de crédito'!$F:$F, MATCH(MAX(IF('Limite de crédito'!$C:$C=$B12, 'Limite de crédito'!$A:$A)), 'Limite de crédito'!$A:$A, 0)),0)</f>
        <v>0</v>
      </c>
      <c r="E12" s="18">
        <f t="shared" si="2"/>
        <v>-876011.75</v>
      </c>
      <c r="F12" s="18">
        <f t="shared" si="3"/>
        <v>876011.75</v>
      </c>
      <c r="G12" s="19">
        <f>SUMIFS('Data Fertilizers'!$D:$D,'Data Fertilizers'!$P:$P,$B12,'Data Fertilizers'!$Q:$Q,"&gt;0",'Data Fertilizers'!$Q:$Q,"&lt;=30")</f>
        <v>0</v>
      </c>
      <c r="H12" s="19">
        <f>SUMIFS('Data Fertilizers'!$D:$D,'Data Fertilizers'!$P:$P,$B12,'Data Fertilizers'!$Q:$Q,"&gt;30",'Data Fertilizers'!$Q:$Q,"&lt;=60")</f>
        <v>0</v>
      </c>
      <c r="I12" s="19">
        <f>SUMIFS('Data Fertilizers'!$D:$D,'Data Fertilizers'!$P:$P,$B12,'Data Fertilizers'!$Q:$Q,"&gt;60",'Data Fertilizers'!$Q:$Q,"&lt;=90")</f>
        <v>0</v>
      </c>
      <c r="J12" s="19">
        <f>SUMIFS('Data Fertilizers'!$D:$D,'Data Fertilizers'!$P:$P,$B12,'Data Fertilizers'!$Q:$Q,"&gt;90",'Data Fertilizers'!$Q:$Q,"&lt;=120")</f>
        <v>0</v>
      </c>
      <c r="K12" s="19">
        <f>SUMIFS('Data Fertilizers'!$D:$D,'Data Fertilizers'!$P:$P,$B12,'Data Fertilizers'!$Q:$Q,"&gt;120",'Data Fertilizers'!$Q:$Q,"&lt;=180")</f>
        <v>0</v>
      </c>
      <c r="L12" s="19">
        <f>SUMIFS('Data Fertilizers'!$D:$D,'Data Fertilizers'!$P:$P,$B12,'Data Fertilizers'!$Q:$Q,"&gt;180",'Data Fertilizers'!$Q:$Q,"&lt;=360")</f>
        <v>0</v>
      </c>
      <c r="M12" s="23">
        <f>SUMIFS('Data Fertilizers'!$D:$D,'Data Fertilizers'!$P:$P,$B12,'Data Fertilizers'!$Q:$Q,"&gt;360")</f>
        <v>876011.75</v>
      </c>
      <c r="N12" s="19">
        <f>SUMIFS('Data Fertilizers'!$D:$D,'Data Fertilizers'!$P:$P,$B12,'Data Fertilizers'!$Q:$Q,"&gt;0")</f>
        <v>876011.75</v>
      </c>
      <c r="O12" s="19">
        <f t="shared" si="4"/>
        <v>0</v>
      </c>
      <c r="P12" s="19">
        <f>SUMIFS('Data Fertilizers'!$D:$D,'Data Fertilizers'!$P:$P,$B12,'Data Fertilizers'!$Q:$Q,"&lt;=0",'Data Fertilizers'!$Q:$Q,"&gt;=-30")</f>
        <v>0</v>
      </c>
      <c r="Q12" s="19">
        <f>SUMIFS('Data Fertilizers'!$D:$D,'Data Fertilizers'!$P:$P,$B12,'Data Fertilizers'!$Q:$Q,"&lt;=-31",'Data Fertilizers'!$Q:$Q,"&gt;=-60")</f>
        <v>0</v>
      </c>
      <c r="R12" s="19">
        <f>SUMIFS('Data Fertilizers'!$D:$D,'Data Fertilizers'!$P:$P,$B12,'Data Fertilizers'!$Q:$Q,"&lt;=-61",'Data Fertilizers'!$Q:$Q,"&gt;=-90")</f>
        <v>0</v>
      </c>
      <c r="S12" s="19">
        <f>SUMIFS('Data Fertilizers'!$D:$D,'Data Fertilizers'!$P:$P,$B12,'Data Fertilizers'!$Q:$Q,"&lt;=-91",'Data Fertilizers'!$Q:$Q,"&gt;=-120")</f>
        <v>0</v>
      </c>
      <c r="T12" s="19">
        <f>SUMIFS('Data Fertilizers'!$D:$D,'Data Fertilizers'!$P:$P,$B12,'Data Fertilizers'!$Q:$Q,"&lt;=-121",'Data Fertilizers'!$Q:$Q,"&gt;=-180")</f>
        <v>0</v>
      </c>
      <c r="U12" s="19">
        <f>SUMIFS('Data Fertilizers'!$D:$D,'Data Fertilizers'!$P:$P,$B12,'Data Fertilizers'!$Q:$Q,"&lt;=-181",'Data Fertilizers'!$Q:$Q,"&gt;=-360")</f>
        <v>0</v>
      </c>
      <c r="V12" s="23">
        <f>SUMIFS('Data Fertilizers'!$D:$D,'Data Fertilizers'!$P:$P,$B12,'Data Fertilizers'!$Q:$Q,"&lt;-360")</f>
        <v>0</v>
      </c>
      <c r="W12" s="19" t="e">
        <f>SUMIFS('Bad Debt Provision'!#REF!,'Bad Debt Provision'!#REF!,'Painel Fertilizers'!$B20)</f>
        <v>#REF!</v>
      </c>
      <c r="X12" s="5"/>
      <c r="Y12" s="20">
        <v>0</v>
      </c>
      <c r="Z12" s="20">
        <v>0</v>
      </c>
      <c r="AA12" s="21">
        <v>0</v>
      </c>
      <c r="AB12" s="5"/>
      <c r="AC12" s="19">
        <v>4000000</v>
      </c>
      <c r="AD12" s="20" t="s">
        <v>233</v>
      </c>
      <c r="AE12" s="22">
        <v>45505</v>
      </c>
      <c r="AF12" s="22" t="s">
        <v>232</v>
      </c>
      <c r="AG12" s="5"/>
      <c r="AH12" s="28">
        <f t="shared" si="5"/>
        <v>3123988.25</v>
      </c>
      <c r="AI12" s="5"/>
      <c r="AJ12" s="26"/>
    </row>
    <row r="13" spans="1:38" ht="15.75" customHeight="1" x14ac:dyDescent="0.25">
      <c r="B13" s="17" t="s">
        <v>206</v>
      </c>
      <c r="C13" s="104" t="str" cm="1">
        <f t="array" ref="C13">IFERROR(INDEX('Limite de crédito'!$D:$D, MATCH(MAX(IF('Limite de crédito'!$C:$C=$B13, 'Limite de crédito'!$A:$A)), 'Limite de crédito'!$A:$A, 0)),"")</f>
        <v/>
      </c>
      <c r="D13" s="107" cm="1">
        <f t="array" ref="D13">IFERROR(INDEX('Limite de crédito'!$F:$F, MATCH(MAX(IF('Limite de crédito'!$C:$C=$B13, 'Limite de crédito'!$A:$A)), 'Limite de crédito'!$A:$A, 0)),0)</f>
        <v>0</v>
      </c>
      <c r="E13" s="18">
        <f t="shared" si="2"/>
        <v>0</v>
      </c>
      <c r="F13" s="18">
        <f t="shared" si="3"/>
        <v>0</v>
      </c>
      <c r="G13" s="19">
        <f>SUMIFS('Data Fertilizers'!$D:$D,'Data Fertilizers'!$P:$P,$B13,'Data Fertilizers'!$Q:$Q,"&gt;0",'Data Fertilizers'!$Q:$Q,"&lt;=30")</f>
        <v>0</v>
      </c>
      <c r="H13" s="19">
        <f>SUMIFS('Data Fertilizers'!$D:$D,'Data Fertilizers'!$P:$P,$B13,'Data Fertilizers'!$Q:$Q,"&gt;30",'Data Fertilizers'!$Q:$Q,"&lt;=60")</f>
        <v>0</v>
      </c>
      <c r="I13" s="19">
        <f>SUMIFS('Data Fertilizers'!$D:$D,'Data Fertilizers'!$P:$P,$B13,'Data Fertilizers'!$Q:$Q,"&gt;60",'Data Fertilizers'!$Q:$Q,"&lt;=90")</f>
        <v>0</v>
      </c>
      <c r="J13" s="19">
        <f>SUMIFS('Data Fertilizers'!$D:$D,'Data Fertilizers'!$P:$P,$B13,'Data Fertilizers'!$Q:$Q,"&gt;90",'Data Fertilizers'!$Q:$Q,"&lt;=120")</f>
        <v>0</v>
      </c>
      <c r="K13" s="19">
        <f>SUMIFS('Data Fertilizers'!$D:$D,'Data Fertilizers'!$P:$P,$B13,'Data Fertilizers'!$Q:$Q,"&gt;120",'Data Fertilizers'!$Q:$Q,"&lt;=180")</f>
        <v>0</v>
      </c>
      <c r="L13" s="19">
        <f>SUMIFS('Data Fertilizers'!$D:$D,'Data Fertilizers'!$P:$P,$B13,'Data Fertilizers'!$Q:$Q,"&gt;180",'Data Fertilizers'!$Q:$Q,"&lt;=360")</f>
        <v>0</v>
      </c>
      <c r="M13" s="23">
        <f>SUMIFS('Data Fertilizers'!$D:$D,'Data Fertilizers'!$P:$P,$B13,'Data Fertilizers'!$Q:$Q,"&gt;360")</f>
        <v>0</v>
      </c>
      <c r="N13" s="19">
        <f>SUMIFS('Data Fertilizers'!$D:$D,'Data Fertilizers'!$P:$P,$B13,'Data Fertilizers'!$Q:$Q,"&gt;0")</f>
        <v>0</v>
      </c>
      <c r="O13" s="19">
        <f t="shared" si="4"/>
        <v>0</v>
      </c>
      <c r="P13" s="19">
        <f>SUMIFS('Data Fertilizers'!$D:$D,'Data Fertilizers'!$P:$P,$B13,'Data Fertilizers'!$Q:$Q,"&lt;=0",'Data Fertilizers'!$Q:$Q,"&gt;=-30")</f>
        <v>0</v>
      </c>
      <c r="Q13" s="19">
        <f>SUMIFS('Data Fertilizers'!$D:$D,'Data Fertilizers'!$P:$P,$B13,'Data Fertilizers'!$Q:$Q,"&lt;=-31",'Data Fertilizers'!$Q:$Q,"&gt;=-60")</f>
        <v>0</v>
      </c>
      <c r="R13" s="19">
        <f>SUMIFS('Data Fertilizers'!$D:$D,'Data Fertilizers'!$P:$P,$B13,'Data Fertilizers'!$Q:$Q,"&lt;=-61",'Data Fertilizers'!$Q:$Q,"&gt;=-90")</f>
        <v>0</v>
      </c>
      <c r="S13" s="19">
        <f>SUMIFS('Data Fertilizers'!$D:$D,'Data Fertilizers'!$P:$P,$B13,'Data Fertilizers'!$Q:$Q,"&lt;=-91",'Data Fertilizers'!$Q:$Q,"&gt;=-120")</f>
        <v>0</v>
      </c>
      <c r="T13" s="19">
        <f>SUMIFS('Data Fertilizers'!$D:$D,'Data Fertilizers'!$P:$P,$B13,'Data Fertilizers'!$Q:$Q,"&lt;=-121",'Data Fertilizers'!$Q:$Q,"&gt;=-180")</f>
        <v>0</v>
      </c>
      <c r="U13" s="19">
        <f>SUMIFS('Data Fertilizers'!$D:$D,'Data Fertilizers'!$P:$P,$B13,'Data Fertilizers'!$Q:$Q,"&lt;=-181",'Data Fertilizers'!$Q:$Q,"&gt;=-360")</f>
        <v>0</v>
      </c>
      <c r="V13" s="23">
        <f>SUMIFS('Data Fertilizers'!$D:$D,'Data Fertilizers'!$P:$P,$B13,'Data Fertilizers'!$Q:$Q,"&lt;-360")</f>
        <v>0</v>
      </c>
      <c r="W13" s="19" t="e">
        <f>SUMIFS('Bad Debt Provision'!#REF!,'Bad Debt Provision'!#REF!,'Painel Fertilizers'!$B19)</f>
        <v>#REF!</v>
      </c>
      <c r="X13" s="5"/>
      <c r="Y13" s="20">
        <v>1800000</v>
      </c>
      <c r="Z13" s="20" t="s">
        <v>226</v>
      </c>
      <c r="AA13" s="21">
        <v>90</v>
      </c>
      <c r="AB13" s="5"/>
      <c r="AC13" s="19">
        <v>0</v>
      </c>
      <c r="AD13" s="20">
        <v>0</v>
      </c>
      <c r="AE13" s="22"/>
      <c r="AF13" s="22"/>
      <c r="AG13" s="5"/>
      <c r="AH13" s="28">
        <f t="shared" si="5"/>
        <v>0</v>
      </c>
      <c r="AI13" s="5"/>
      <c r="AJ13" s="26"/>
    </row>
    <row r="14" spans="1:38" ht="15.75" customHeight="1" x14ac:dyDescent="0.25">
      <c r="B14" s="17" t="s">
        <v>213</v>
      </c>
      <c r="C14" s="104" t="str" cm="1">
        <f t="array" ref="C14">IFERROR(INDEX('Limite de crédito'!$D:$D, MATCH(MAX(IF('Limite de crédito'!$C:$C=$B14, 'Limite de crédito'!$A:$A)), 'Limite de crédito'!$A:$A, 0)),"")</f>
        <v/>
      </c>
      <c r="D14" s="107" cm="1">
        <f t="array" ref="D14">IFERROR(INDEX('Limite de crédito'!$F:$F, MATCH(MAX(IF('Limite de crédito'!$C:$C=$B14, 'Limite de crédito'!$A:$A)), 'Limite de crédito'!$A:$A, 0)),0)</f>
        <v>0</v>
      </c>
      <c r="E14" s="18">
        <f t="shared" si="2"/>
        <v>0</v>
      </c>
      <c r="F14" s="18">
        <f t="shared" si="3"/>
        <v>0</v>
      </c>
      <c r="G14" s="19">
        <f>SUMIFS('Data Fertilizers'!$D:$D,'Data Fertilizers'!$P:$P,$B14,'Data Fertilizers'!$Q:$Q,"&gt;0",'Data Fertilizers'!$Q:$Q,"&lt;=30")</f>
        <v>0</v>
      </c>
      <c r="H14" s="19">
        <f>SUMIFS('Data Fertilizers'!$D:$D,'Data Fertilizers'!$P:$P,$B14,'Data Fertilizers'!$Q:$Q,"&gt;30",'Data Fertilizers'!$Q:$Q,"&lt;=60")</f>
        <v>0</v>
      </c>
      <c r="I14" s="19">
        <f>SUMIFS('Data Fertilizers'!$D:$D,'Data Fertilizers'!$P:$P,$B14,'Data Fertilizers'!$Q:$Q,"&gt;60",'Data Fertilizers'!$Q:$Q,"&lt;=90")</f>
        <v>0</v>
      </c>
      <c r="J14" s="19">
        <f>SUMIFS('Data Fertilizers'!$D:$D,'Data Fertilizers'!$P:$P,$B14,'Data Fertilizers'!$Q:$Q,"&gt;90",'Data Fertilizers'!$Q:$Q,"&lt;=120")</f>
        <v>0</v>
      </c>
      <c r="K14" s="19">
        <f>SUMIFS('Data Fertilizers'!$D:$D,'Data Fertilizers'!$P:$P,$B14,'Data Fertilizers'!$Q:$Q,"&gt;120",'Data Fertilizers'!$Q:$Q,"&lt;=180")</f>
        <v>0</v>
      </c>
      <c r="L14" s="19">
        <f>SUMIFS('Data Fertilizers'!$D:$D,'Data Fertilizers'!$P:$P,$B14,'Data Fertilizers'!$Q:$Q,"&gt;180",'Data Fertilizers'!$Q:$Q,"&lt;=360")</f>
        <v>0</v>
      </c>
      <c r="M14" s="23">
        <f>SUMIFS('Data Fertilizers'!$D:$D,'Data Fertilizers'!$P:$P,$B14,'Data Fertilizers'!$Q:$Q,"&gt;360")</f>
        <v>0</v>
      </c>
      <c r="N14" s="19">
        <f>SUMIFS('Data Fertilizers'!$D:$D,'Data Fertilizers'!$P:$P,$B14,'Data Fertilizers'!$Q:$Q,"&gt;0")</f>
        <v>0</v>
      </c>
      <c r="O14" s="19">
        <f t="shared" si="4"/>
        <v>0</v>
      </c>
      <c r="P14" s="19">
        <f>SUMIFS('Data Fertilizers'!$D:$D,'Data Fertilizers'!$P:$P,$B14,'Data Fertilizers'!$Q:$Q,"&lt;=0",'Data Fertilizers'!$Q:$Q,"&gt;=-30")</f>
        <v>0</v>
      </c>
      <c r="Q14" s="19">
        <f>SUMIFS('Data Fertilizers'!$D:$D,'Data Fertilizers'!$P:$P,$B14,'Data Fertilizers'!$Q:$Q,"&lt;=-31",'Data Fertilizers'!$Q:$Q,"&gt;=-60")</f>
        <v>0</v>
      </c>
      <c r="R14" s="19">
        <f>SUMIFS('Data Fertilizers'!$D:$D,'Data Fertilizers'!$P:$P,$B14,'Data Fertilizers'!$Q:$Q,"&lt;=-61",'Data Fertilizers'!$Q:$Q,"&gt;=-90")</f>
        <v>0</v>
      </c>
      <c r="S14" s="19">
        <f>SUMIFS('Data Fertilizers'!$D:$D,'Data Fertilizers'!$P:$P,$B14,'Data Fertilizers'!$Q:$Q,"&lt;=-91",'Data Fertilizers'!$Q:$Q,"&gt;=-120")</f>
        <v>0</v>
      </c>
      <c r="T14" s="19">
        <f>SUMIFS('Data Fertilizers'!$D:$D,'Data Fertilizers'!$P:$P,$B14,'Data Fertilizers'!$Q:$Q,"&lt;=-121",'Data Fertilizers'!$Q:$Q,"&gt;=-180")</f>
        <v>0</v>
      </c>
      <c r="U14" s="19">
        <f>SUMIFS('Data Fertilizers'!$D:$D,'Data Fertilizers'!$P:$P,$B14,'Data Fertilizers'!$Q:$Q,"&lt;=-181",'Data Fertilizers'!$Q:$Q,"&gt;=-360")</f>
        <v>0</v>
      </c>
      <c r="V14" s="23">
        <f>SUMIFS('Data Fertilizers'!$D:$D,'Data Fertilizers'!$P:$P,$B14,'Data Fertilizers'!$Q:$Q,"&lt;-360")</f>
        <v>0</v>
      </c>
      <c r="W14" s="19" t="e">
        <f>SUMIFS('Bad Debt Provision'!#REF!,'Bad Debt Provision'!#REF!,'Painel Fertilizers'!$B24)</f>
        <v>#REF!</v>
      </c>
      <c r="X14" s="5"/>
      <c r="Y14" s="20">
        <v>150000</v>
      </c>
      <c r="Z14" s="20" t="s">
        <v>226</v>
      </c>
      <c r="AA14" s="21">
        <v>120</v>
      </c>
      <c r="AB14" s="5"/>
      <c r="AC14" s="19">
        <v>0</v>
      </c>
      <c r="AD14" s="20">
        <v>0</v>
      </c>
      <c r="AE14" s="22"/>
      <c r="AF14" s="22"/>
      <c r="AG14" s="5"/>
      <c r="AH14" s="28">
        <f t="shared" si="5"/>
        <v>0</v>
      </c>
      <c r="AI14" s="5"/>
      <c r="AJ14" s="26"/>
    </row>
    <row r="15" spans="1:38" ht="15.75" customHeight="1" x14ac:dyDescent="0.25">
      <c r="B15" s="17" t="s">
        <v>182</v>
      </c>
      <c r="C15" s="104" cm="1">
        <f t="array" ref="C15">IFERROR(INDEX('Limite de crédito'!$D:$D, MATCH(MAX(IF('Limite de crédito'!$C:$C=$B15, 'Limite de crédito'!$A:$A)), 'Limite de crédito'!$A:$A, 0)),"")</f>
        <v>45890</v>
      </c>
      <c r="D15" s="107" t="str" cm="1">
        <f t="array" ref="D15">IFERROR(INDEX('Limite de crédito'!$F:$F, MATCH(MAX(IF('Limite de crédito'!$C:$C=$B15, 'Limite de crédito'!$A:$A)), 'Limite de crédito'!$A:$A, 0)),0)</f>
        <v>Sim</v>
      </c>
      <c r="E15" s="18" t="e">
        <f t="shared" si="2"/>
        <v>#VALUE!</v>
      </c>
      <c r="F15" s="18">
        <f t="shared" si="3"/>
        <v>1200190.42</v>
      </c>
      <c r="G15" s="19">
        <f>SUMIFS('Data Fertilizers'!$D:$D,'Data Fertilizers'!$P:$P,$B15,'Data Fertilizers'!$Q:$Q,"&gt;0",'Data Fertilizers'!$Q:$Q,"&lt;=30")</f>
        <v>0</v>
      </c>
      <c r="H15" s="19">
        <f>SUMIFS('Data Fertilizers'!$D:$D,'Data Fertilizers'!$P:$P,$B15,'Data Fertilizers'!$Q:$Q,"&gt;30",'Data Fertilizers'!$Q:$Q,"&lt;=60")</f>
        <v>0</v>
      </c>
      <c r="I15" s="19">
        <f>SUMIFS('Data Fertilizers'!$D:$D,'Data Fertilizers'!$P:$P,$B15,'Data Fertilizers'!$Q:$Q,"&gt;60",'Data Fertilizers'!$Q:$Q,"&lt;=90")</f>
        <v>0</v>
      </c>
      <c r="J15" s="19">
        <f>SUMIFS('Data Fertilizers'!$D:$D,'Data Fertilizers'!$P:$P,$B15,'Data Fertilizers'!$Q:$Q,"&gt;90",'Data Fertilizers'!$Q:$Q,"&lt;=120")</f>
        <v>0</v>
      </c>
      <c r="K15" s="19">
        <f>SUMIFS('Data Fertilizers'!$D:$D,'Data Fertilizers'!$P:$P,$B15,'Data Fertilizers'!$Q:$Q,"&gt;120",'Data Fertilizers'!$Q:$Q,"&lt;=180")</f>
        <v>0</v>
      </c>
      <c r="L15" s="19">
        <f>SUMIFS('Data Fertilizers'!$D:$D,'Data Fertilizers'!$P:$P,$B15,'Data Fertilizers'!$Q:$Q,"&gt;180",'Data Fertilizers'!$Q:$Q,"&lt;=360")</f>
        <v>0</v>
      </c>
      <c r="M15" s="23">
        <f>SUMIFS('Data Fertilizers'!$D:$D,'Data Fertilizers'!$P:$P,$B15,'Data Fertilizers'!$Q:$Q,"&gt;360")</f>
        <v>0</v>
      </c>
      <c r="N15" s="19">
        <f>SUMIFS('Data Fertilizers'!$D:$D,'Data Fertilizers'!$P:$P,$B15,'Data Fertilizers'!$Q:$Q,"&gt;0")</f>
        <v>0</v>
      </c>
      <c r="O15" s="19">
        <f t="shared" si="4"/>
        <v>1200190.42</v>
      </c>
      <c r="P15" s="19">
        <f>SUMIFS('Data Fertilizers'!$D:$D,'Data Fertilizers'!$P:$P,$B15,'Data Fertilizers'!$Q:$Q,"&lt;=0",'Data Fertilizers'!$Q:$Q,"&gt;=-30")</f>
        <v>274733.36</v>
      </c>
      <c r="Q15" s="19">
        <f>SUMIFS('Data Fertilizers'!$D:$D,'Data Fertilizers'!$P:$P,$B15,'Data Fertilizers'!$Q:$Q,"&lt;=-31",'Data Fertilizers'!$Q:$Q,"&gt;=-60")</f>
        <v>0</v>
      </c>
      <c r="R15" s="19">
        <f>SUMIFS('Data Fertilizers'!$D:$D,'Data Fertilizers'!$P:$P,$B15,'Data Fertilizers'!$Q:$Q,"&lt;=-61",'Data Fertilizers'!$Q:$Q,"&gt;=-90")</f>
        <v>0</v>
      </c>
      <c r="S15" s="19">
        <f>SUMIFS('Data Fertilizers'!$D:$D,'Data Fertilizers'!$P:$P,$B15,'Data Fertilizers'!$Q:$Q,"&lt;=-91",'Data Fertilizers'!$Q:$Q,"&gt;=-120")</f>
        <v>0</v>
      </c>
      <c r="T15" s="19">
        <f>SUMIFS('Data Fertilizers'!$D:$D,'Data Fertilizers'!$P:$P,$B15,'Data Fertilizers'!$Q:$Q,"&lt;=-121",'Data Fertilizers'!$Q:$Q,"&gt;=-180")</f>
        <v>925457.05999999994</v>
      </c>
      <c r="U15" s="19">
        <f>SUMIFS('Data Fertilizers'!$D:$D,'Data Fertilizers'!$P:$P,$B15,'Data Fertilizers'!$Q:$Q,"&lt;=-181",'Data Fertilizers'!$Q:$Q,"&gt;=-360")</f>
        <v>0</v>
      </c>
      <c r="V15" s="23">
        <f>SUMIFS('Data Fertilizers'!$D:$D,'Data Fertilizers'!$P:$P,$B15,'Data Fertilizers'!$Q:$Q,"&lt;-360")</f>
        <v>0</v>
      </c>
      <c r="W15" s="19" t="e">
        <f>SUMIFS('Bad Debt Provision'!#REF!,'Bad Debt Provision'!#REF!,'Painel Fertilizers'!$B12)</f>
        <v>#REF!</v>
      </c>
      <c r="X15" s="5"/>
      <c r="Y15" s="20">
        <v>1500000</v>
      </c>
      <c r="Z15" s="20" t="s">
        <v>229</v>
      </c>
      <c r="AA15" s="21">
        <v>120</v>
      </c>
      <c r="AB15" s="5"/>
      <c r="AC15" s="19">
        <v>0</v>
      </c>
      <c r="AD15" s="20">
        <v>0</v>
      </c>
      <c r="AE15" s="22"/>
      <c r="AF15" s="22"/>
      <c r="AG15" s="5"/>
      <c r="AH15" s="28">
        <f t="shared" si="5"/>
        <v>-1200190.42</v>
      </c>
      <c r="AI15" s="5"/>
      <c r="AJ15" s="26"/>
    </row>
    <row r="16" spans="1:38" ht="15.75" customHeight="1" x14ac:dyDescent="0.25">
      <c r="B16" s="41" t="s">
        <v>335</v>
      </c>
      <c r="C16" s="97" cm="1">
        <f t="array" ref="C16">IFERROR(INDEX('Limite de crédito'!$D:$D, MATCH(MAX(IF('Limite de crédito'!$C:$C=$B16, 'Limite de crédito'!$A:$A)), 'Limite de crédito'!$A:$A, 0)),"")</f>
        <v>45999</v>
      </c>
      <c r="D16" s="107" t="str" cm="1">
        <f t="array" ref="D16">IFERROR(INDEX('Limite de crédito'!$F:$F, MATCH(MAX(IF('Limite de crédito'!$C:$C=$B16, 'Limite de crédito'!$A:$A)), 'Limite de crédito'!$A:$A, 0)),0)</f>
        <v>Sim</v>
      </c>
      <c r="E16" s="18" t="e">
        <f t="shared" si="2"/>
        <v>#VALUE!</v>
      </c>
      <c r="F16" s="18">
        <f t="shared" si="3"/>
        <v>815729</v>
      </c>
      <c r="G16" s="19">
        <f>SUMIFS('Data Fertilizers'!$D:$D,'Data Fertilizers'!$P:$P,$B16,'Data Fertilizers'!$Q:$Q,"&gt;0",'Data Fertilizers'!$Q:$Q,"&lt;=30")</f>
        <v>0</v>
      </c>
      <c r="H16" s="19">
        <f>SUMIFS('Data Fertilizers'!$D:$D,'Data Fertilizers'!$P:$P,$B16,'Data Fertilizers'!$Q:$Q,"&gt;30",'Data Fertilizers'!$Q:$Q,"&lt;=60")</f>
        <v>0</v>
      </c>
      <c r="I16" s="19">
        <f>SUMIFS('Data Fertilizers'!$D:$D,'Data Fertilizers'!$P:$P,$B16,'Data Fertilizers'!$Q:$Q,"&gt;60",'Data Fertilizers'!$Q:$Q,"&lt;=90")</f>
        <v>0</v>
      </c>
      <c r="J16" s="19">
        <f>SUMIFS('Data Fertilizers'!$D:$D,'Data Fertilizers'!$P:$P,$B16,'Data Fertilizers'!$Q:$Q,"&gt;90",'Data Fertilizers'!$Q:$Q,"&lt;=120")</f>
        <v>0</v>
      </c>
      <c r="K16" s="19">
        <f>SUMIFS('Data Fertilizers'!$D:$D,'Data Fertilizers'!$P:$P,$B16,'Data Fertilizers'!$Q:$Q,"&gt;120",'Data Fertilizers'!$Q:$Q,"&lt;=180")</f>
        <v>0</v>
      </c>
      <c r="L16" s="19">
        <f>SUMIFS('Data Fertilizers'!$D:$D,'Data Fertilizers'!$P:$P,$B16,'Data Fertilizers'!$Q:$Q,"&gt;180",'Data Fertilizers'!$Q:$Q,"&lt;=360")</f>
        <v>0</v>
      </c>
      <c r="M16" s="23">
        <f>SUMIFS('Data Fertilizers'!$D:$D,'Data Fertilizers'!$P:$P,$B16,'Data Fertilizers'!$Q:$Q,"&gt;360")</f>
        <v>0</v>
      </c>
      <c r="N16" s="19">
        <f>SUMIFS('Data Fertilizers'!$D:$D,'Data Fertilizers'!$P:$P,$B16,'Data Fertilizers'!$Q:$Q,"&gt;0")</f>
        <v>0</v>
      </c>
      <c r="O16" s="19">
        <f t="shared" si="4"/>
        <v>815729</v>
      </c>
      <c r="P16" s="19">
        <f>SUMIFS('Data Fertilizers'!$D:$D,'Data Fertilizers'!$P:$P,$B16,'Data Fertilizers'!$Q:$Q,"&lt;=0",'Data Fertilizers'!$Q:$Q,"&gt;=-30")</f>
        <v>815729</v>
      </c>
      <c r="Q16" s="19">
        <f>SUMIFS('Data Fertilizers'!$D:$D,'Data Fertilizers'!$P:$P,$B16,'Data Fertilizers'!$Q:$Q,"&lt;=-31",'Data Fertilizers'!$Q:$Q,"&gt;=-60")</f>
        <v>0</v>
      </c>
      <c r="R16" s="19">
        <f>SUMIFS('Data Fertilizers'!$D:$D,'Data Fertilizers'!$P:$P,$B16,'Data Fertilizers'!$Q:$Q,"&lt;=-61",'Data Fertilizers'!$Q:$Q,"&gt;=-90")</f>
        <v>0</v>
      </c>
      <c r="S16" s="19">
        <f>SUMIFS('Data Fertilizers'!$D:$D,'Data Fertilizers'!$P:$P,$B16,'Data Fertilizers'!$Q:$Q,"&lt;=-91",'Data Fertilizers'!$Q:$Q,"&gt;=-120")</f>
        <v>0</v>
      </c>
      <c r="T16" s="19">
        <f>SUMIFS('Data Fertilizers'!$D:$D,'Data Fertilizers'!$P:$P,$B16,'Data Fertilizers'!$Q:$Q,"&lt;=-121",'Data Fertilizers'!$Q:$Q,"&gt;=-180")</f>
        <v>0</v>
      </c>
      <c r="U16" s="19">
        <f>SUMIFS('Data Fertilizers'!$D:$D,'Data Fertilizers'!$P:$P,$B16,'Data Fertilizers'!$Q:$Q,"&lt;=-181",'Data Fertilizers'!$Q:$Q,"&gt;=-360")</f>
        <v>0</v>
      </c>
      <c r="V16" s="23">
        <f>SUMIFS('Data Fertilizers'!$D:$D,'Data Fertilizers'!$P:$P,$B16,'Data Fertilizers'!$Q:$Q,"&lt;-360")</f>
        <v>0</v>
      </c>
      <c r="W16" s="19" t="e">
        <f>SUMIFS('Bad Debt Provision'!#REF!,'Bad Debt Provision'!#REF!,'Painel Fertilizers'!#REF!)</f>
        <v>#REF!</v>
      </c>
      <c r="X16" s="5"/>
      <c r="Y16" s="20"/>
      <c r="Z16" s="20"/>
      <c r="AA16" s="21"/>
      <c r="AB16" s="5"/>
      <c r="AC16" s="19"/>
      <c r="AD16" s="20"/>
      <c r="AE16" s="22"/>
      <c r="AF16" s="22"/>
      <c r="AG16" s="5"/>
      <c r="AH16" s="28">
        <f t="shared" si="5"/>
        <v>-815729</v>
      </c>
      <c r="AJ16" s="26"/>
    </row>
    <row r="17" spans="2:36" ht="15.75" customHeight="1" x14ac:dyDescent="0.25">
      <c r="B17" s="41" t="s">
        <v>424</v>
      </c>
      <c r="C17" s="97" t="str" cm="1">
        <f t="array" ref="C17">IFERROR(INDEX('Limite de crédito'!$D:$D, MATCH(MAX(IF('Limite de crédito'!$C:$C=$B17, 'Limite de crédito'!$A:$A)), 'Limite de crédito'!$A:$A, 0)),"")</f>
        <v/>
      </c>
      <c r="D17" s="107" cm="1">
        <f t="array" ref="D17">IFERROR(INDEX('Limite de crédito'!$F:$F, MATCH(MAX(IF('Limite de crédito'!$C:$C=$B17, 'Limite de crédito'!$A:$A)), 'Limite de crédito'!$A:$A, 0)),0)</f>
        <v>0</v>
      </c>
      <c r="E17" s="18">
        <f t="shared" si="2"/>
        <v>0</v>
      </c>
      <c r="F17" s="18">
        <f t="shared" si="3"/>
        <v>0</v>
      </c>
      <c r="G17" s="19">
        <f>SUMIFS('Data Fertilizers'!$D:$D,'Data Fertilizers'!$P:$P,$B17,'Data Fertilizers'!$Q:$Q,"&gt;0",'Data Fertilizers'!$Q:$Q,"&lt;=30")</f>
        <v>0</v>
      </c>
      <c r="H17" s="19">
        <f>SUMIFS('Data Fertilizers'!$D:$D,'Data Fertilizers'!$P:$P,$B17,'Data Fertilizers'!$Q:$Q,"&gt;30",'Data Fertilizers'!$Q:$Q,"&lt;=60")</f>
        <v>0</v>
      </c>
      <c r="I17" s="19">
        <f>SUMIFS('Data Fertilizers'!$D:$D,'Data Fertilizers'!$P:$P,$B17,'Data Fertilizers'!$Q:$Q,"&gt;60",'Data Fertilizers'!$Q:$Q,"&lt;=90")</f>
        <v>0</v>
      </c>
      <c r="J17" s="19">
        <f>SUMIFS('Data Fertilizers'!$D:$D,'Data Fertilizers'!$P:$P,$B17,'Data Fertilizers'!$Q:$Q,"&gt;90",'Data Fertilizers'!$Q:$Q,"&lt;=120")</f>
        <v>0</v>
      </c>
      <c r="K17" s="19">
        <f>SUMIFS('Data Fertilizers'!$D:$D,'Data Fertilizers'!$P:$P,$B17,'Data Fertilizers'!$Q:$Q,"&gt;120",'Data Fertilizers'!$Q:$Q,"&lt;=180")</f>
        <v>0</v>
      </c>
      <c r="L17" s="19">
        <f>SUMIFS('Data Fertilizers'!$D:$D,'Data Fertilizers'!$P:$P,$B17,'Data Fertilizers'!$Q:$Q,"&gt;180",'Data Fertilizers'!$Q:$Q,"&lt;=360")</f>
        <v>0</v>
      </c>
      <c r="M17" s="23">
        <f>SUMIFS('Data Fertilizers'!$D:$D,'Data Fertilizers'!$P:$P,$B17,'Data Fertilizers'!$Q:$Q,"&gt;360")</f>
        <v>0</v>
      </c>
      <c r="N17" s="19">
        <f>SUMIFS('Data Fertilizers'!$D:$D,'Data Fertilizers'!$P:$P,$B17,'Data Fertilizers'!$Q:$Q,"&gt;0")</f>
        <v>0</v>
      </c>
      <c r="O17" s="19">
        <f t="shared" si="4"/>
        <v>0</v>
      </c>
      <c r="P17" s="19">
        <f>SUMIFS('Data Fertilizers'!$D:$D,'Data Fertilizers'!$P:$P,$B17,'Data Fertilizers'!$Q:$Q,"&lt;=0",'Data Fertilizers'!$Q:$Q,"&gt;=-30")</f>
        <v>0</v>
      </c>
      <c r="Q17" s="19">
        <f>SUMIFS('Data Fertilizers'!$D:$D,'Data Fertilizers'!$P:$P,$B17,'Data Fertilizers'!$Q:$Q,"&lt;=-31",'Data Fertilizers'!$Q:$Q,"&gt;=-60")</f>
        <v>0</v>
      </c>
      <c r="R17" s="19">
        <f>SUMIFS('Data Fertilizers'!$D:$D,'Data Fertilizers'!$P:$P,$B17,'Data Fertilizers'!$Q:$Q,"&lt;=-61",'Data Fertilizers'!$Q:$Q,"&gt;=-90")</f>
        <v>0</v>
      </c>
      <c r="S17" s="19">
        <f>SUMIFS('Data Fertilizers'!$D:$D,'Data Fertilizers'!$P:$P,$B17,'Data Fertilizers'!$Q:$Q,"&lt;=-91",'Data Fertilizers'!$Q:$Q,"&gt;=-120")</f>
        <v>0</v>
      </c>
      <c r="T17" s="19">
        <f>SUMIFS('Data Fertilizers'!$D:$D,'Data Fertilizers'!$P:$P,$B17,'Data Fertilizers'!$Q:$Q,"&lt;=-121",'Data Fertilizers'!$Q:$Q,"&gt;=-180")</f>
        <v>0</v>
      </c>
      <c r="U17" s="19">
        <f>SUMIFS('Data Fertilizers'!$D:$D,'Data Fertilizers'!$P:$P,$B17,'Data Fertilizers'!$Q:$Q,"&lt;=-181",'Data Fertilizers'!$Q:$Q,"&gt;=-360")</f>
        <v>0</v>
      </c>
      <c r="V17" s="23">
        <f>SUMIFS('Data Fertilizers'!$D:$D,'Data Fertilizers'!$P:$P,$B17,'Data Fertilizers'!$Q:$Q,"&lt;-360")</f>
        <v>0</v>
      </c>
      <c r="W17" s="19" t="e">
        <f>SUMIFS('Bad Debt Provision'!#REF!,'Bad Debt Provision'!#REF!,'Painel Fertilizers'!$B40)</f>
        <v>#REF!</v>
      </c>
      <c r="Y17" s="20"/>
      <c r="Z17" s="20"/>
      <c r="AA17" s="21"/>
      <c r="AB17" s="5"/>
      <c r="AC17" s="19"/>
      <c r="AD17" s="20"/>
      <c r="AE17" s="22"/>
      <c r="AF17" s="22"/>
      <c r="AG17" s="5"/>
      <c r="AH17" s="28">
        <f t="shared" si="5"/>
        <v>0</v>
      </c>
    </row>
    <row r="18" spans="2:36" ht="15.75" customHeight="1" x14ac:dyDescent="0.25">
      <c r="B18" s="41" t="s">
        <v>435</v>
      </c>
      <c r="C18" s="97" t="str" cm="1">
        <f t="array" ref="C18">IFERROR(INDEX('Limite de crédito'!$D:$D, MATCH(MAX(IF('Limite de crédito'!$C:$C=$B18, 'Limite de crédito'!$A:$A)), 'Limite de crédito'!$A:$A, 0)),"")</f>
        <v/>
      </c>
      <c r="D18" s="107" cm="1">
        <f t="array" ref="D18">IFERROR(INDEX('Limite de crédito'!$F:$F, MATCH(MAX(IF('Limite de crédito'!$C:$C=$B18, 'Limite de crédito'!$A:$A)), 'Limite de crédito'!$A:$A, 0)),0)</f>
        <v>0</v>
      </c>
      <c r="E18" s="18">
        <f t="shared" si="2"/>
        <v>0</v>
      </c>
      <c r="F18" s="18">
        <f t="shared" si="3"/>
        <v>0</v>
      </c>
      <c r="G18" s="19">
        <f>SUMIFS('Data Fertilizers'!$D:$D,'Data Fertilizers'!$P:$P,$B18,'Data Fertilizers'!$Q:$Q,"&gt;0",'Data Fertilizers'!$Q:$Q,"&lt;=30")</f>
        <v>0</v>
      </c>
      <c r="H18" s="19">
        <f>SUMIFS('Data Fertilizers'!$D:$D,'Data Fertilizers'!$P:$P,$B18,'Data Fertilizers'!$Q:$Q,"&gt;30",'Data Fertilizers'!$Q:$Q,"&lt;=60")</f>
        <v>0</v>
      </c>
      <c r="I18" s="19">
        <f>SUMIFS('Data Fertilizers'!$D:$D,'Data Fertilizers'!$P:$P,$B18,'Data Fertilizers'!$Q:$Q,"&gt;60",'Data Fertilizers'!$Q:$Q,"&lt;=90")</f>
        <v>0</v>
      </c>
      <c r="J18" s="19">
        <f>SUMIFS('Data Fertilizers'!$D:$D,'Data Fertilizers'!$P:$P,$B18,'Data Fertilizers'!$Q:$Q,"&gt;90",'Data Fertilizers'!$Q:$Q,"&lt;=120")</f>
        <v>0</v>
      </c>
      <c r="K18" s="19">
        <f>SUMIFS('Data Fertilizers'!$D:$D,'Data Fertilizers'!$P:$P,$B18,'Data Fertilizers'!$Q:$Q,"&gt;120",'Data Fertilizers'!$Q:$Q,"&lt;=180")</f>
        <v>0</v>
      </c>
      <c r="L18" s="19">
        <f>SUMIFS('Data Fertilizers'!$D:$D,'Data Fertilizers'!$P:$P,$B18,'Data Fertilizers'!$Q:$Q,"&gt;180",'Data Fertilizers'!$Q:$Q,"&lt;=360")</f>
        <v>0</v>
      </c>
      <c r="M18" s="23">
        <f>SUMIFS('Data Fertilizers'!$D:$D,'Data Fertilizers'!$P:$P,$B18,'Data Fertilizers'!$Q:$Q,"&gt;360")</f>
        <v>0</v>
      </c>
      <c r="N18" s="19">
        <f>SUMIFS('Data Fertilizers'!$D:$D,'Data Fertilizers'!$P:$P,$B18,'Data Fertilizers'!$Q:$Q,"&gt;0")</f>
        <v>0</v>
      </c>
      <c r="O18" s="19">
        <f t="shared" si="4"/>
        <v>0</v>
      </c>
      <c r="P18" s="19">
        <f>SUMIFS('Data Fertilizers'!$D:$D,'Data Fertilizers'!$P:$P,$B18,'Data Fertilizers'!$Q:$Q,"&lt;=0",'Data Fertilizers'!$Q:$Q,"&gt;=-30")</f>
        <v>0</v>
      </c>
      <c r="Q18" s="19">
        <f>SUMIFS('Data Fertilizers'!$D:$D,'Data Fertilizers'!$P:$P,$B18,'Data Fertilizers'!$Q:$Q,"&lt;=-31",'Data Fertilizers'!$Q:$Q,"&gt;=-60")</f>
        <v>0</v>
      </c>
      <c r="R18" s="19">
        <f>SUMIFS('Data Fertilizers'!$D:$D,'Data Fertilizers'!$P:$P,$B18,'Data Fertilizers'!$Q:$Q,"&lt;=-61",'Data Fertilizers'!$Q:$Q,"&gt;=-90")</f>
        <v>0</v>
      </c>
      <c r="S18" s="19">
        <f>SUMIFS('Data Fertilizers'!$D:$D,'Data Fertilizers'!$P:$P,$B18,'Data Fertilizers'!$Q:$Q,"&lt;=-91",'Data Fertilizers'!$Q:$Q,"&gt;=-120")</f>
        <v>0</v>
      </c>
      <c r="T18" s="19">
        <f>SUMIFS('Data Fertilizers'!$D:$D,'Data Fertilizers'!$P:$P,$B18,'Data Fertilizers'!$Q:$Q,"&lt;=-121",'Data Fertilizers'!$Q:$Q,"&gt;=-180")</f>
        <v>0</v>
      </c>
      <c r="U18" s="19">
        <f>SUMIFS('Data Fertilizers'!$D:$D,'Data Fertilizers'!$P:$P,$B18,'Data Fertilizers'!$Q:$Q,"&lt;=-181",'Data Fertilizers'!$Q:$Q,"&gt;=-360")</f>
        <v>0</v>
      </c>
      <c r="V18" s="23">
        <f>SUMIFS('Data Fertilizers'!$D:$D,'Data Fertilizers'!$P:$P,$B18,'Data Fertilizers'!$Q:$Q,"&lt;-360")</f>
        <v>0</v>
      </c>
      <c r="W18" s="19" t="e">
        <f>SUMIFS('Bad Debt Provision'!#REF!,'Bad Debt Provision'!#REF!,'Painel Fertilizers'!#REF!)</f>
        <v>#REF!</v>
      </c>
      <c r="Y18" s="20"/>
      <c r="Z18" s="20"/>
      <c r="AA18" s="21"/>
      <c r="AB18" s="5"/>
      <c r="AC18" s="19"/>
      <c r="AD18" s="20"/>
      <c r="AE18" s="22"/>
      <c r="AF18" s="22"/>
      <c r="AG18" s="5"/>
      <c r="AH18" s="28">
        <f t="shared" si="5"/>
        <v>0</v>
      </c>
    </row>
    <row r="19" spans="2:36" ht="15.75" customHeight="1" x14ac:dyDescent="0.25">
      <c r="B19" s="41" t="s">
        <v>433</v>
      </c>
      <c r="C19" s="97" cm="1">
        <f t="array" ref="C19">IFERROR(INDEX('Limite de crédito'!$D:$D, MATCH(MAX(IF('Limite de crédito'!$C:$C=$B19, 'Limite de crédito'!$A:$A)), 'Limite de crédito'!$A:$A, 0)),"")</f>
        <v>45869</v>
      </c>
      <c r="D19" s="107" t="str" cm="1">
        <f t="array" ref="D19">IFERROR(INDEX('Limite de crédito'!$F:$F, MATCH(MAX(IF('Limite de crédito'!$C:$C=$B19, 'Limite de crédito'!$A:$A)), 'Limite de crédito'!$A:$A, 0)),0)</f>
        <v>Sim</v>
      </c>
      <c r="E19" s="18" t="e">
        <f t="shared" si="2"/>
        <v>#VALUE!</v>
      </c>
      <c r="F19" s="18">
        <f t="shared" si="3"/>
        <v>133718</v>
      </c>
      <c r="G19" s="19">
        <f>SUMIFS('Data Fertilizers'!$D:$D,'Data Fertilizers'!$P:$P,$B19,'Data Fertilizers'!$Q:$Q,"&gt;0",'Data Fertilizers'!$Q:$Q,"&lt;=30")</f>
        <v>0</v>
      </c>
      <c r="H19" s="19">
        <f>SUMIFS('Data Fertilizers'!$D:$D,'Data Fertilizers'!$P:$P,$B19,'Data Fertilizers'!$Q:$Q,"&gt;30",'Data Fertilizers'!$Q:$Q,"&lt;=60")</f>
        <v>0</v>
      </c>
      <c r="I19" s="19">
        <f>SUMIFS('Data Fertilizers'!$D:$D,'Data Fertilizers'!$P:$P,$B19,'Data Fertilizers'!$Q:$Q,"&gt;60",'Data Fertilizers'!$Q:$Q,"&lt;=90")</f>
        <v>0</v>
      </c>
      <c r="J19" s="19">
        <f>SUMIFS('Data Fertilizers'!$D:$D,'Data Fertilizers'!$P:$P,$B19,'Data Fertilizers'!$Q:$Q,"&gt;90",'Data Fertilizers'!$Q:$Q,"&lt;=120")</f>
        <v>0</v>
      </c>
      <c r="K19" s="19">
        <f>SUMIFS('Data Fertilizers'!$D:$D,'Data Fertilizers'!$P:$P,$B19,'Data Fertilizers'!$Q:$Q,"&gt;120",'Data Fertilizers'!$Q:$Q,"&lt;=180")</f>
        <v>0</v>
      </c>
      <c r="L19" s="19">
        <f>SUMIFS('Data Fertilizers'!$D:$D,'Data Fertilizers'!$P:$P,$B19,'Data Fertilizers'!$Q:$Q,"&gt;180",'Data Fertilizers'!$Q:$Q,"&lt;=360")</f>
        <v>0</v>
      </c>
      <c r="M19" s="23">
        <f>SUMIFS('Data Fertilizers'!$D:$D,'Data Fertilizers'!$P:$P,$B19,'Data Fertilizers'!$Q:$Q,"&gt;360")</f>
        <v>0</v>
      </c>
      <c r="N19" s="19">
        <f>SUMIFS('Data Fertilizers'!$D:$D,'Data Fertilizers'!$P:$P,$B19,'Data Fertilizers'!$Q:$Q,"&gt;0")</f>
        <v>0</v>
      </c>
      <c r="O19" s="19">
        <f t="shared" si="4"/>
        <v>133718</v>
      </c>
      <c r="P19" s="19">
        <f>SUMIFS('Data Fertilizers'!$D:$D,'Data Fertilizers'!$P:$P,$B19,'Data Fertilizers'!$Q:$Q,"&lt;=0",'Data Fertilizers'!$Q:$Q,"&gt;=-30")</f>
        <v>133718</v>
      </c>
      <c r="Q19" s="19">
        <f>SUMIFS('Data Fertilizers'!$D:$D,'Data Fertilizers'!$P:$P,$B19,'Data Fertilizers'!$Q:$Q,"&lt;=-31",'Data Fertilizers'!$Q:$Q,"&gt;=-60")</f>
        <v>0</v>
      </c>
      <c r="R19" s="19">
        <f>SUMIFS('Data Fertilizers'!$D:$D,'Data Fertilizers'!$P:$P,$B19,'Data Fertilizers'!$Q:$Q,"&lt;=-61",'Data Fertilizers'!$Q:$Q,"&gt;=-90")</f>
        <v>0</v>
      </c>
      <c r="S19" s="19">
        <f>SUMIFS('Data Fertilizers'!$D:$D,'Data Fertilizers'!$P:$P,$B19,'Data Fertilizers'!$Q:$Q,"&lt;=-91",'Data Fertilizers'!$Q:$Q,"&gt;=-120")</f>
        <v>0</v>
      </c>
      <c r="T19" s="19">
        <f>SUMIFS('Data Fertilizers'!$D:$D,'Data Fertilizers'!$P:$P,$B19,'Data Fertilizers'!$Q:$Q,"&lt;=-121",'Data Fertilizers'!$Q:$Q,"&gt;=-180")</f>
        <v>0</v>
      </c>
      <c r="U19" s="19">
        <f>SUMIFS('Data Fertilizers'!$D:$D,'Data Fertilizers'!$P:$P,$B19,'Data Fertilizers'!$Q:$Q,"&lt;=-181",'Data Fertilizers'!$Q:$Q,"&gt;=-360")</f>
        <v>0</v>
      </c>
      <c r="V19" s="23">
        <f>SUMIFS('Data Fertilizers'!$D:$D,'Data Fertilizers'!$P:$P,$B19,'Data Fertilizers'!$Q:$Q,"&lt;-360")</f>
        <v>0</v>
      </c>
      <c r="W19" s="19" t="e">
        <f>SUMIFS('Bad Debt Provision'!#REF!,'Bad Debt Provision'!#REF!,'Painel Fertilizers'!#REF!)</f>
        <v>#REF!</v>
      </c>
      <c r="Y19" s="20"/>
      <c r="Z19" s="20"/>
      <c r="AA19" s="21"/>
      <c r="AB19" s="5"/>
      <c r="AC19" s="19"/>
      <c r="AD19" s="20"/>
      <c r="AE19" s="22"/>
      <c r="AF19" s="22"/>
      <c r="AG19" s="5"/>
      <c r="AH19" s="28">
        <f t="shared" si="5"/>
        <v>-133718</v>
      </c>
    </row>
    <row r="20" spans="2:36" ht="15.75" customHeight="1" x14ac:dyDescent="0.25">
      <c r="B20" s="41" t="s">
        <v>270</v>
      </c>
      <c r="C20" s="97" t="str" cm="1">
        <f t="array" ref="C20">IFERROR(INDEX('Limite de crédito'!$D:$D, MATCH(MAX(IF('Limite de crédito'!$C:$C=$B20, 'Limite de crédito'!$A:$A)), 'Limite de crédito'!$A:$A, 0)),"")</f>
        <v/>
      </c>
      <c r="D20" s="107" cm="1">
        <f t="array" ref="D20">IFERROR(INDEX('Limite de crédito'!$F:$F, MATCH(MAX(IF('Limite de crédito'!$C:$C=$B20, 'Limite de crédito'!$A:$A)), 'Limite de crédito'!$A:$A, 0)),0)</f>
        <v>0</v>
      </c>
      <c r="E20" s="18">
        <f t="shared" si="2"/>
        <v>-988506.24</v>
      </c>
      <c r="F20" s="18">
        <f t="shared" si="3"/>
        <v>988506.24</v>
      </c>
      <c r="G20" s="19">
        <f>SUMIFS('Data Fertilizers'!$D:$D,'Data Fertilizers'!$P:$P,$B20,'Data Fertilizers'!$Q:$Q,"&gt;0",'Data Fertilizers'!$Q:$Q,"&lt;=30")</f>
        <v>0</v>
      </c>
      <c r="H20" s="19">
        <f>SUMIFS('Data Fertilizers'!$D:$D,'Data Fertilizers'!$P:$P,$B20,'Data Fertilizers'!$Q:$Q,"&gt;30",'Data Fertilizers'!$Q:$Q,"&lt;=60")</f>
        <v>0</v>
      </c>
      <c r="I20" s="19">
        <f>SUMIFS('Data Fertilizers'!$D:$D,'Data Fertilizers'!$P:$P,$B20,'Data Fertilizers'!$Q:$Q,"&gt;60",'Data Fertilizers'!$Q:$Q,"&lt;=90")</f>
        <v>0</v>
      </c>
      <c r="J20" s="19">
        <f>SUMIFS('Data Fertilizers'!$D:$D,'Data Fertilizers'!$P:$P,$B20,'Data Fertilizers'!$Q:$Q,"&gt;90",'Data Fertilizers'!$Q:$Q,"&lt;=120")</f>
        <v>0</v>
      </c>
      <c r="K20" s="19">
        <f>SUMIFS('Data Fertilizers'!$D:$D,'Data Fertilizers'!$P:$P,$B20,'Data Fertilizers'!$Q:$Q,"&gt;120",'Data Fertilizers'!$Q:$Q,"&lt;=180")</f>
        <v>0</v>
      </c>
      <c r="L20" s="19">
        <f>SUMIFS('Data Fertilizers'!$D:$D,'Data Fertilizers'!$P:$P,$B20,'Data Fertilizers'!$Q:$Q,"&gt;180",'Data Fertilizers'!$Q:$Q,"&lt;=360")</f>
        <v>988506.24</v>
      </c>
      <c r="M20" s="23">
        <f>SUMIFS('Data Fertilizers'!$D:$D,'Data Fertilizers'!$P:$P,$B20,'Data Fertilizers'!$Q:$Q,"&gt;360")</f>
        <v>0</v>
      </c>
      <c r="N20" s="19">
        <f>SUMIFS('Data Fertilizers'!$D:$D,'Data Fertilizers'!$P:$P,$B20,'Data Fertilizers'!$Q:$Q,"&gt;0")</f>
        <v>988506.24</v>
      </c>
      <c r="O20" s="19">
        <f t="shared" si="4"/>
        <v>0</v>
      </c>
      <c r="P20" s="19">
        <f>SUMIFS('Data Fertilizers'!$D:$D,'Data Fertilizers'!$P:$P,$B20,'Data Fertilizers'!$Q:$Q,"&lt;=0",'Data Fertilizers'!$Q:$Q,"&gt;=-30")</f>
        <v>0</v>
      </c>
      <c r="Q20" s="19">
        <f>SUMIFS('Data Fertilizers'!$D:$D,'Data Fertilizers'!$P:$P,$B20,'Data Fertilizers'!$Q:$Q,"&lt;=-31",'Data Fertilizers'!$Q:$Q,"&gt;=-60")</f>
        <v>0</v>
      </c>
      <c r="R20" s="19">
        <f>SUMIFS('Data Fertilizers'!$D:$D,'Data Fertilizers'!$P:$P,$B20,'Data Fertilizers'!$Q:$Q,"&lt;=-61",'Data Fertilizers'!$Q:$Q,"&gt;=-90")</f>
        <v>0</v>
      </c>
      <c r="S20" s="19">
        <f>SUMIFS('Data Fertilizers'!$D:$D,'Data Fertilizers'!$P:$P,$B20,'Data Fertilizers'!$Q:$Q,"&lt;=-91",'Data Fertilizers'!$Q:$Q,"&gt;=-120")</f>
        <v>0</v>
      </c>
      <c r="T20" s="19">
        <f>SUMIFS('Data Fertilizers'!$D:$D,'Data Fertilizers'!$P:$P,$B20,'Data Fertilizers'!$Q:$Q,"&lt;=-121",'Data Fertilizers'!$Q:$Q,"&gt;=-180")</f>
        <v>0</v>
      </c>
      <c r="U20" s="19">
        <f>SUMIFS('Data Fertilizers'!$D:$D,'Data Fertilizers'!$P:$P,$B20,'Data Fertilizers'!$Q:$Q,"&lt;=-181",'Data Fertilizers'!$Q:$Q,"&gt;=-360")</f>
        <v>0</v>
      </c>
      <c r="V20" s="23">
        <f>SUMIFS('Data Fertilizers'!$D:$D,'Data Fertilizers'!$P:$P,$B20,'Data Fertilizers'!$Q:$Q,"&lt;-360")</f>
        <v>0</v>
      </c>
      <c r="W20" s="19" t="e">
        <f>SUMIFS('Bad Debt Provision'!#REF!,'Bad Debt Provision'!#REF!,'Painel Fertilizers'!$B30)</f>
        <v>#REF!</v>
      </c>
      <c r="X20" s="5"/>
      <c r="Y20" s="20"/>
      <c r="Z20" s="20"/>
      <c r="AA20" s="21"/>
      <c r="AB20" s="5"/>
      <c r="AC20" s="19"/>
      <c r="AD20" s="20"/>
      <c r="AE20" s="22"/>
      <c r="AF20" s="22"/>
      <c r="AG20" s="5"/>
      <c r="AH20" s="28">
        <f t="shared" si="5"/>
        <v>-988506.24</v>
      </c>
      <c r="AJ20" s="26"/>
    </row>
    <row r="21" spans="2:36" ht="15.75" customHeight="1" x14ac:dyDescent="0.25">
      <c r="B21" s="17" t="s">
        <v>212</v>
      </c>
      <c r="C21" s="97" t="s">
        <v>476</v>
      </c>
      <c r="D21" s="107" cm="1">
        <f t="array" ref="D21">IFERROR(INDEX('Limite de crédito'!$F:$F, MATCH(MAX(IF('Limite de crédito'!$C:$C=$B21, 'Limite de crédito'!$A:$A)), 'Limite de crédito'!$A:$A, 0)),0)</f>
        <v>0</v>
      </c>
      <c r="E21" s="18">
        <f t="shared" si="2"/>
        <v>0</v>
      </c>
      <c r="F21" s="18">
        <f t="shared" si="3"/>
        <v>0</v>
      </c>
      <c r="G21" s="19">
        <f>SUMIFS('Data Fertilizers'!$D:$D,'Data Fertilizers'!$P:$P,$B21,'Data Fertilizers'!$Q:$Q,"&gt;0",'Data Fertilizers'!$Q:$Q,"&lt;=30")</f>
        <v>0</v>
      </c>
      <c r="H21" s="19">
        <f>SUMIFS('Data Fertilizers'!$D:$D,'Data Fertilizers'!$P:$P,$B21,'Data Fertilizers'!$Q:$Q,"&gt;30",'Data Fertilizers'!$Q:$Q,"&lt;=60")</f>
        <v>0</v>
      </c>
      <c r="I21" s="19">
        <f>SUMIFS('Data Fertilizers'!$D:$D,'Data Fertilizers'!$P:$P,$B21,'Data Fertilizers'!$Q:$Q,"&gt;60",'Data Fertilizers'!$Q:$Q,"&lt;=90")</f>
        <v>0</v>
      </c>
      <c r="J21" s="19">
        <f>SUMIFS('Data Fertilizers'!$D:$D,'Data Fertilizers'!$P:$P,$B21,'Data Fertilizers'!$Q:$Q,"&gt;90",'Data Fertilizers'!$Q:$Q,"&lt;=120")</f>
        <v>0</v>
      </c>
      <c r="K21" s="19">
        <f>SUMIFS('Data Fertilizers'!$D:$D,'Data Fertilizers'!$P:$P,$B21,'Data Fertilizers'!$Q:$Q,"&gt;120",'Data Fertilizers'!$Q:$Q,"&lt;=180")</f>
        <v>0</v>
      </c>
      <c r="L21" s="19">
        <f>SUMIFS('Data Fertilizers'!$D:$D,'Data Fertilizers'!$P:$P,$B21,'Data Fertilizers'!$Q:$Q,"&gt;180",'Data Fertilizers'!$Q:$Q,"&lt;=360")</f>
        <v>0</v>
      </c>
      <c r="M21" s="23">
        <f>SUMIFS('Data Fertilizers'!$D:$D,'Data Fertilizers'!$P:$P,$B21,'Data Fertilizers'!$Q:$Q,"&gt;360")</f>
        <v>0</v>
      </c>
      <c r="N21" s="19">
        <f>SUMIFS('Data Fertilizers'!$D:$D,'Data Fertilizers'!$P:$P,$B21,'Data Fertilizers'!$Q:$Q,"&gt;0")</f>
        <v>0</v>
      </c>
      <c r="O21" s="19">
        <f t="shared" si="4"/>
        <v>0</v>
      </c>
      <c r="P21" s="19">
        <f>SUMIFS('Data Fertilizers'!$D:$D,'Data Fertilizers'!$P:$P,$B21,'Data Fertilizers'!$Q:$Q,"&lt;=0",'Data Fertilizers'!$Q:$Q,"&gt;=-30")</f>
        <v>0</v>
      </c>
      <c r="Q21" s="19">
        <f>SUMIFS('Data Fertilizers'!$D:$D,'Data Fertilizers'!$P:$P,$B21,'Data Fertilizers'!$Q:$Q,"&lt;=-31",'Data Fertilizers'!$Q:$Q,"&gt;=-60")</f>
        <v>0</v>
      </c>
      <c r="R21" s="19">
        <f>SUMIFS('Data Fertilizers'!$D:$D,'Data Fertilizers'!$P:$P,$B21,'Data Fertilizers'!$Q:$Q,"&lt;=-61",'Data Fertilizers'!$Q:$Q,"&gt;=-90")</f>
        <v>0</v>
      </c>
      <c r="S21" s="19">
        <f>SUMIFS('Data Fertilizers'!$D:$D,'Data Fertilizers'!$P:$P,$B21,'Data Fertilizers'!$Q:$Q,"&lt;=-91",'Data Fertilizers'!$Q:$Q,"&gt;=-120")</f>
        <v>0</v>
      </c>
      <c r="T21" s="19">
        <f>SUMIFS('Data Fertilizers'!$D:$D,'Data Fertilizers'!$P:$P,$B21,'Data Fertilizers'!$Q:$Q,"&lt;=-121",'Data Fertilizers'!$Q:$Q,"&gt;=-180")</f>
        <v>0</v>
      </c>
      <c r="U21" s="19">
        <f>SUMIFS('Data Fertilizers'!$D:$D,'Data Fertilizers'!$P:$P,$B21,'Data Fertilizers'!$Q:$Q,"&lt;=-181",'Data Fertilizers'!$Q:$Q,"&gt;=-360")</f>
        <v>0</v>
      </c>
      <c r="V21" s="23">
        <f>SUMIFS('Data Fertilizers'!$D:$D,'Data Fertilizers'!$P:$P,$B21,'Data Fertilizers'!$Q:$Q,"&lt;-360")</f>
        <v>0</v>
      </c>
      <c r="W21" s="19" t="e">
        <f>SUMIFS('Bad Debt Provision'!#REF!,'Bad Debt Provision'!#REF!,'Painel Fertilizers'!$B23)</f>
        <v>#REF!</v>
      </c>
      <c r="X21" s="5"/>
      <c r="Y21" s="20">
        <v>602516</v>
      </c>
      <c r="Z21" s="20" t="s">
        <v>231</v>
      </c>
      <c r="AA21" s="21">
        <v>180</v>
      </c>
      <c r="AB21" s="5"/>
      <c r="AC21" s="19">
        <v>0</v>
      </c>
      <c r="AD21" s="20">
        <v>0</v>
      </c>
      <c r="AE21" s="22"/>
      <c r="AF21" s="22"/>
      <c r="AG21" s="5"/>
      <c r="AH21" s="28">
        <f t="shared" si="5"/>
        <v>0</v>
      </c>
      <c r="AI21" s="5"/>
      <c r="AJ21" s="26"/>
    </row>
    <row r="22" spans="2:36" ht="15.75" customHeight="1" x14ac:dyDescent="0.25">
      <c r="B22" s="41" t="s">
        <v>314</v>
      </c>
      <c r="C22" s="97" t="str" cm="1">
        <f t="array" ref="C22">IFERROR(INDEX('Limite de crédito'!$D:$D, MATCH(MAX(IF('Limite de crédito'!$C:$C=$B22, 'Limite de crédito'!$A:$A)), 'Limite de crédito'!$A:$A, 0)),"")</f>
        <v/>
      </c>
      <c r="D22" s="107" cm="1">
        <f t="array" ref="D22">IFERROR(INDEX('Limite de crédito'!$F:$F, MATCH(MAX(IF('Limite de crédito'!$C:$C=$B22, 'Limite de crédito'!$A:$A)), 'Limite de crédito'!$A:$A, 0)),0)</f>
        <v>0</v>
      </c>
      <c r="E22" s="18">
        <f t="shared" si="2"/>
        <v>0</v>
      </c>
      <c r="F22" s="18">
        <f t="shared" si="3"/>
        <v>0</v>
      </c>
      <c r="G22" s="19">
        <f>SUMIFS('Data Fertilizers'!$D:$D,'Data Fertilizers'!$P:$P,$B22,'Data Fertilizers'!$Q:$Q,"&gt;0",'Data Fertilizers'!$Q:$Q,"&lt;=30")</f>
        <v>0</v>
      </c>
      <c r="H22" s="19">
        <f>SUMIFS('Data Fertilizers'!$D:$D,'Data Fertilizers'!$P:$P,$B22,'Data Fertilizers'!$Q:$Q,"&gt;30",'Data Fertilizers'!$Q:$Q,"&lt;=60")</f>
        <v>0</v>
      </c>
      <c r="I22" s="19">
        <f>SUMIFS('Data Fertilizers'!$D:$D,'Data Fertilizers'!$P:$P,$B22,'Data Fertilizers'!$Q:$Q,"&gt;60",'Data Fertilizers'!$Q:$Q,"&lt;=90")</f>
        <v>0</v>
      </c>
      <c r="J22" s="19">
        <f>SUMIFS('Data Fertilizers'!$D:$D,'Data Fertilizers'!$P:$P,$B22,'Data Fertilizers'!$Q:$Q,"&gt;90",'Data Fertilizers'!$Q:$Q,"&lt;=120")</f>
        <v>0</v>
      </c>
      <c r="K22" s="19">
        <f>SUMIFS('Data Fertilizers'!$D:$D,'Data Fertilizers'!$P:$P,$B22,'Data Fertilizers'!$Q:$Q,"&gt;120",'Data Fertilizers'!$Q:$Q,"&lt;=180")</f>
        <v>0</v>
      </c>
      <c r="L22" s="19">
        <f>SUMIFS('Data Fertilizers'!$D:$D,'Data Fertilizers'!$P:$P,$B22,'Data Fertilizers'!$Q:$Q,"&gt;180",'Data Fertilizers'!$Q:$Q,"&lt;=360")</f>
        <v>0</v>
      </c>
      <c r="M22" s="23">
        <f>SUMIFS('Data Fertilizers'!$D:$D,'Data Fertilizers'!$P:$P,$B22,'Data Fertilizers'!$Q:$Q,"&gt;360")</f>
        <v>0</v>
      </c>
      <c r="N22" s="19">
        <f>SUMIFS('Data Fertilizers'!$D:$D,'Data Fertilizers'!$P:$P,$B22,'Data Fertilizers'!$Q:$Q,"&gt;0")</f>
        <v>0</v>
      </c>
      <c r="O22" s="19">
        <f t="shared" si="4"/>
        <v>0</v>
      </c>
      <c r="P22" s="19">
        <f>SUMIFS('Data Fertilizers'!$D:$D,'Data Fertilizers'!$P:$P,$B22,'Data Fertilizers'!$Q:$Q,"&lt;=0",'Data Fertilizers'!$Q:$Q,"&gt;=-30")</f>
        <v>0</v>
      </c>
      <c r="Q22" s="19">
        <f>SUMIFS('Data Fertilizers'!$D:$D,'Data Fertilizers'!$P:$P,$B22,'Data Fertilizers'!$Q:$Q,"&lt;=-31",'Data Fertilizers'!$Q:$Q,"&gt;=-60")</f>
        <v>0</v>
      </c>
      <c r="R22" s="19">
        <f>SUMIFS('Data Fertilizers'!$D:$D,'Data Fertilizers'!$P:$P,$B22,'Data Fertilizers'!$Q:$Q,"&lt;=-61",'Data Fertilizers'!$Q:$Q,"&gt;=-90")</f>
        <v>0</v>
      </c>
      <c r="S22" s="19">
        <f>SUMIFS('Data Fertilizers'!$D:$D,'Data Fertilizers'!$P:$P,$B22,'Data Fertilizers'!$Q:$Q,"&lt;=-91",'Data Fertilizers'!$Q:$Q,"&gt;=-120")</f>
        <v>0</v>
      </c>
      <c r="T22" s="19">
        <f>SUMIFS('Data Fertilizers'!$D:$D,'Data Fertilizers'!$P:$P,$B22,'Data Fertilizers'!$Q:$Q,"&lt;=-121",'Data Fertilizers'!$Q:$Q,"&gt;=-180")</f>
        <v>0</v>
      </c>
      <c r="U22" s="19">
        <f>SUMIFS('Data Fertilizers'!$D:$D,'Data Fertilizers'!$P:$P,$B22,'Data Fertilizers'!$Q:$Q,"&lt;=-181",'Data Fertilizers'!$Q:$Q,"&gt;=-360")</f>
        <v>0</v>
      </c>
      <c r="V22" s="23">
        <f>SUMIFS('Data Fertilizers'!$D:$D,'Data Fertilizers'!$P:$P,$B22,'Data Fertilizers'!$Q:$Q,"&lt;-360")</f>
        <v>0</v>
      </c>
      <c r="W22" s="19" t="e">
        <f>SUMIFS('Bad Debt Provision'!#REF!,'Bad Debt Provision'!#REF!,'Painel Fertilizers'!$B33)</f>
        <v>#REF!</v>
      </c>
      <c r="X22" s="5"/>
      <c r="Y22" s="20">
        <v>366350</v>
      </c>
      <c r="Z22" s="20" t="s">
        <v>319</v>
      </c>
      <c r="AA22" s="21"/>
      <c r="AB22" s="5"/>
      <c r="AC22" s="19"/>
      <c r="AD22" s="20"/>
      <c r="AE22" s="22"/>
      <c r="AF22" s="22"/>
      <c r="AG22" s="5"/>
      <c r="AH22" s="28">
        <f t="shared" si="5"/>
        <v>0</v>
      </c>
      <c r="AJ22" s="26"/>
    </row>
    <row r="23" spans="2:36" x14ac:dyDescent="0.25">
      <c r="B23" s="41" t="s">
        <v>427</v>
      </c>
      <c r="C23" s="97" t="str" cm="1">
        <f t="array" ref="C23">IFERROR(INDEX('Limite de crédito'!$D:$D, MATCH(MAX(IF('Limite de crédito'!$C:$C=$B23, 'Limite de crédito'!$A:$A)), 'Limite de crédito'!$A:$A, 0)),"")</f>
        <v/>
      </c>
      <c r="D23" s="107" cm="1">
        <f t="array" ref="D23">IFERROR(INDEX('Limite de crédito'!$F:$F, MATCH(MAX(IF('Limite de crédito'!$C:$C=$B23, 'Limite de crédito'!$A:$A)), 'Limite de crédito'!$A:$A, 0)),0)</f>
        <v>0</v>
      </c>
      <c r="E23" s="18">
        <f t="shared" si="2"/>
        <v>-237309.12</v>
      </c>
      <c r="F23" s="18">
        <f t="shared" si="3"/>
        <v>237309.12</v>
      </c>
      <c r="G23" s="19">
        <f>SUMIFS('Data Fertilizers'!$D:$D,'Data Fertilizers'!$P:$P,$B23,'Data Fertilizers'!$Q:$Q,"&gt;0",'Data Fertilizers'!$Q:$Q,"&lt;=30")</f>
        <v>0</v>
      </c>
      <c r="H23" s="19">
        <f>SUMIFS('Data Fertilizers'!$D:$D,'Data Fertilizers'!$P:$P,$B23,'Data Fertilizers'!$Q:$Q,"&gt;30",'Data Fertilizers'!$Q:$Q,"&lt;=60")</f>
        <v>0</v>
      </c>
      <c r="I23" s="19">
        <f>SUMIFS('Data Fertilizers'!$D:$D,'Data Fertilizers'!$P:$P,$B23,'Data Fertilizers'!$Q:$Q,"&gt;60",'Data Fertilizers'!$Q:$Q,"&lt;=90")</f>
        <v>0</v>
      </c>
      <c r="J23" s="19">
        <f>SUMIFS('Data Fertilizers'!$D:$D,'Data Fertilizers'!$P:$P,$B23,'Data Fertilizers'!$Q:$Q,"&gt;90",'Data Fertilizers'!$Q:$Q,"&lt;=120")</f>
        <v>0</v>
      </c>
      <c r="K23" s="19">
        <f>SUMIFS('Data Fertilizers'!$D:$D,'Data Fertilizers'!$P:$P,$B23,'Data Fertilizers'!$Q:$Q,"&gt;120",'Data Fertilizers'!$Q:$Q,"&lt;=180")</f>
        <v>0</v>
      </c>
      <c r="L23" s="19">
        <f>SUMIFS('Data Fertilizers'!$D:$D,'Data Fertilizers'!$P:$P,$B23,'Data Fertilizers'!$Q:$Q,"&gt;180",'Data Fertilizers'!$Q:$Q,"&lt;=360")</f>
        <v>0</v>
      </c>
      <c r="M23" s="23">
        <f>SUMIFS('Data Fertilizers'!$D:$D,'Data Fertilizers'!$P:$P,$B23,'Data Fertilizers'!$Q:$Q,"&gt;360")</f>
        <v>237309.12</v>
      </c>
      <c r="N23" s="19">
        <f>SUMIFS('Data Fertilizers'!$D:$D,'Data Fertilizers'!$P:$P,$B23,'Data Fertilizers'!$Q:$Q,"&gt;0")</f>
        <v>237309.12</v>
      </c>
      <c r="O23" s="19">
        <f t="shared" si="4"/>
        <v>0</v>
      </c>
      <c r="P23" s="19">
        <f>SUMIFS('Data Fertilizers'!$D:$D,'Data Fertilizers'!$P:$P,$B23,'Data Fertilizers'!$Q:$Q,"&lt;=0",'Data Fertilizers'!$Q:$Q,"&gt;=-30")</f>
        <v>0</v>
      </c>
      <c r="Q23" s="19">
        <f>SUMIFS('Data Fertilizers'!$D:$D,'Data Fertilizers'!$P:$P,$B23,'Data Fertilizers'!$Q:$Q,"&lt;=-31",'Data Fertilizers'!$Q:$Q,"&gt;=-60")</f>
        <v>0</v>
      </c>
      <c r="R23" s="19">
        <f>SUMIFS('Data Fertilizers'!$D:$D,'Data Fertilizers'!$P:$P,$B23,'Data Fertilizers'!$Q:$Q,"&lt;=-61",'Data Fertilizers'!$Q:$Q,"&gt;=-90")</f>
        <v>0</v>
      </c>
      <c r="S23" s="19">
        <f>SUMIFS('Data Fertilizers'!$D:$D,'Data Fertilizers'!$P:$P,$B23,'Data Fertilizers'!$Q:$Q,"&lt;=-91",'Data Fertilizers'!$Q:$Q,"&gt;=-120")</f>
        <v>0</v>
      </c>
      <c r="T23" s="19">
        <f>SUMIFS('Data Fertilizers'!$D:$D,'Data Fertilizers'!$P:$P,$B23,'Data Fertilizers'!$Q:$Q,"&lt;=-121",'Data Fertilizers'!$Q:$Q,"&gt;=-180")</f>
        <v>0</v>
      </c>
      <c r="U23" s="19">
        <f>SUMIFS('Data Fertilizers'!$D:$D,'Data Fertilizers'!$P:$P,$B23,'Data Fertilizers'!$Q:$Q,"&lt;=-181",'Data Fertilizers'!$Q:$Q,"&gt;=-360")</f>
        <v>0</v>
      </c>
      <c r="V23" s="23">
        <f>SUMIFS('Data Fertilizers'!$D:$D,'Data Fertilizers'!$P:$P,$B23,'Data Fertilizers'!$Q:$Q,"&lt;-360")</f>
        <v>0</v>
      </c>
      <c r="W23" s="19" t="e">
        <f>SUMIFS('Bad Debt Provision'!#REF!,'Bad Debt Provision'!#REF!,'Painel Fertilizers'!#REF!)</f>
        <v>#REF!</v>
      </c>
      <c r="Y23" s="20"/>
      <c r="Z23" s="20"/>
      <c r="AA23" s="21"/>
      <c r="AB23" s="5"/>
      <c r="AC23" s="19"/>
      <c r="AD23" s="20"/>
      <c r="AE23" s="22"/>
      <c r="AF23" s="22"/>
      <c r="AG23" s="5"/>
      <c r="AH23" s="28">
        <f t="shared" si="5"/>
        <v>-237309.12</v>
      </c>
    </row>
    <row r="24" spans="2:36" x14ac:dyDescent="0.25">
      <c r="B24" s="41" t="s">
        <v>357</v>
      </c>
      <c r="C24" s="97" cm="1">
        <f t="array" ref="C24">IFERROR(INDEX('Limite de crédito'!$D:$D, MATCH(MAX(IF('Limite de crédito'!$C:$C=$B24, 'Limite de crédito'!$A:$A)), 'Limite de crédito'!$A:$A, 0)),"")</f>
        <v>45566</v>
      </c>
      <c r="D24" s="107" t="str" cm="1">
        <f t="array" ref="D24">IFERROR(INDEX('Limite de crédito'!$F:$F, MATCH(MAX(IF('Limite de crédito'!$C:$C=$B24, 'Limite de crédito'!$A:$A)), 'Limite de crédito'!$A:$A, 0)),0)</f>
        <v>Sim</v>
      </c>
      <c r="E24" s="18" t="e">
        <f t="shared" si="2"/>
        <v>#VALUE!</v>
      </c>
      <c r="F24" s="18">
        <f t="shared" si="3"/>
        <v>0</v>
      </c>
      <c r="G24" s="19">
        <f>SUMIFS('Data Fertilizers'!$D:$D,'Data Fertilizers'!$P:$P,$B24,'Data Fertilizers'!$Q:$Q,"&gt;0",'Data Fertilizers'!$Q:$Q,"&lt;=30")</f>
        <v>0</v>
      </c>
      <c r="H24" s="19">
        <f>SUMIFS('Data Fertilizers'!$D:$D,'Data Fertilizers'!$P:$P,$B24,'Data Fertilizers'!$Q:$Q,"&gt;30",'Data Fertilizers'!$Q:$Q,"&lt;=60")</f>
        <v>0</v>
      </c>
      <c r="I24" s="19">
        <f>SUMIFS('Data Fertilizers'!$D:$D,'Data Fertilizers'!$P:$P,$B24,'Data Fertilizers'!$Q:$Q,"&gt;60",'Data Fertilizers'!$Q:$Q,"&lt;=90")</f>
        <v>0</v>
      </c>
      <c r="J24" s="19">
        <f>SUMIFS('Data Fertilizers'!$D:$D,'Data Fertilizers'!$P:$P,$B24,'Data Fertilizers'!$Q:$Q,"&gt;90",'Data Fertilizers'!$Q:$Q,"&lt;=120")</f>
        <v>0</v>
      </c>
      <c r="K24" s="19">
        <f>SUMIFS('Data Fertilizers'!$D:$D,'Data Fertilizers'!$P:$P,$B24,'Data Fertilizers'!$Q:$Q,"&gt;120",'Data Fertilizers'!$Q:$Q,"&lt;=180")</f>
        <v>0</v>
      </c>
      <c r="L24" s="19">
        <f>SUMIFS('Data Fertilizers'!$D:$D,'Data Fertilizers'!$P:$P,$B24,'Data Fertilizers'!$Q:$Q,"&gt;180",'Data Fertilizers'!$Q:$Q,"&lt;=360")</f>
        <v>0</v>
      </c>
      <c r="M24" s="23">
        <f>SUMIFS('Data Fertilizers'!$D:$D,'Data Fertilizers'!$P:$P,$B24,'Data Fertilizers'!$Q:$Q,"&gt;360")</f>
        <v>0</v>
      </c>
      <c r="N24" s="19">
        <f>SUMIFS('Data Fertilizers'!$D:$D,'Data Fertilizers'!$P:$P,$B24,'Data Fertilizers'!$Q:$Q,"&gt;0")</f>
        <v>0</v>
      </c>
      <c r="O24" s="19">
        <f t="shared" si="4"/>
        <v>0</v>
      </c>
      <c r="P24" s="19">
        <f>SUMIFS('Data Fertilizers'!$D:$D,'Data Fertilizers'!$P:$P,$B24,'Data Fertilizers'!$Q:$Q,"&lt;=0",'Data Fertilizers'!$Q:$Q,"&gt;=-30")</f>
        <v>0</v>
      </c>
      <c r="Q24" s="19">
        <f>SUMIFS('Data Fertilizers'!$D:$D,'Data Fertilizers'!$P:$P,$B24,'Data Fertilizers'!$Q:$Q,"&lt;=-31",'Data Fertilizers'!$Q:$Q,"&gt;=-60")</f>
        <v>0</v>
      </c>
      <c r="R24" s="19">
        <f>SUMIFS('Data Fertilizers'!$D:$D,'Data Fertilizers'!$P:$P,$B24,'Data Fertilizers'!$Q:$Q,"&lt;=-61",'Data Fertilizers'!$Q:$Q,"&gt;=-90")</f>
        <v>0</v>
      </c>
      <c r="S24" s="19">
        <f>SUMIFS('Data Fertilizers'!$D:$D,'Data Fertilizers'!$P:$P,$B24,'Data Fertilizers'!$Q:$Q,"&lt;=-91",'Data Fertilizers'!$Q:$Q,"&gt;=-120")</f>
        <v>0</v>
      </c>
      <c r="T24" s="19">
        <f>SUMIFS('Data Fertilizers'!$D:$D,'Data Fertilizers'!$P:$P,$B24,'Data Fertilizers'!$Q:$Q,"&lt;=-121",'Data Fertilizers'!$Q:$Q,"&gt;=-180")</f>
        <v>0</v>
      </c>
      <c r="U24" s="19">
        <f>SUMIFS('Data Fertilizers'!$D:$D,'Data Fertilizers'!$P:$P,$B24,'Data Fertilizers'!$Q:$Q,"&lt;=-181",'Data Fertilizers'!$Q:$Q,"&gt;=-360")</f>
        <v>0</v>
      </c>
      <c r="V24" s="23">
        <f>SUMIFS('Data Fertilizers'!$D:$D,'Data Fertilizers'!$P:$P,$B24,'Data Fertilizers'!$Q:$Q,"&lt;-360")</f>
        <v>0</v>
      </c>
      <c r="W24" s="19" t="e">
        <f>SUMIFS('Bad Debt Provision'!#REF!,'Bad Debt Provision'!#REF!,'Painel Fertilizers'!#REF!)</f>
        <v>#REF!</v>
      </c>
      <c r="X24" s="5"/>
      <c r="Y24" s="20"/>
      <c r="Z24" s="20"/>
      <c r="AA24" s="21"/>
      <c r="AB24" s="5"/>
      <c r="AC24" s="19"/>
      <c r="AD24" s="20"/>
      <c r="AE24" s="22"/>
      <c r="AF24" s="22"/>
      <c r="AG24" s="5"/>
      <c r="AH24" s="28">
        <f t="shared" si="5"/>
        <v>0</v>
      </c>
      <c r="AJ24" s="26"/>
    </row>
    <row r="25" spans="2:36" x14ac:dyDescent="0.25">
      <c r="B25" s="41" t="s">
        <v>376</v>
      </c>
      <c r="C25" s="97" t="str" cm="1">
        <f t="array" ref="C25">IFERROR(INDEX('Limite de crédito'!$D:$D, MATCH(MAX(IF('Limite de crédito'!$C:$C=$B25, 'Limite de crédito'!$A:$A)), 'Limite de crédito'!$A:$A, 0)),"")</f>
        <v/>
      </c>
      <c r="D25" s="107" cm="1">
        <f t="array" ref="D25">IFERROR(INDEX('Limite de crédito'!$F:$F, MATCH(MAX(IF('Limite de crédito'!$C:$C=$B25, 'Limite de crédito'!$A:$A)), 'Limite de crédito'!$A:$A, 0)),0)</f>
        <v>0</v>
      </c>
      <c r="E25" s="18">
        <f t="shared" si="2"/>
        <v>0</v>
      </c>
      <c r="F25" s="18">
        <f t="shared" si="3"/>
        <v>0</v>
      </c>
      <c r="G25" s="19">
        <f>SUMIFS('Data Fertilizers'!$D:$D,'Data Fertilizers'!$P:$P,$B25,'Data Fertilizers'!$Q:$Q,"&gt;0",'Data Fertilizers'!$Q:$Q,"&lt;=30")</f>
        <v>0</v>
      </c>
      <c r="H25" s="19">
        <f>SUMIFS('Data Fertilizers'!$D:$D,'Data Fertilizers'!$P:$P,$B25,'Data Fertilizers'!$Q:$Q,"&gt;30",'Data Fertilizers'!$Q:$Q,"&lt;=60")</f>
        <v>0</v>
      </c>
      <c r="I25" s="19">
        <f>SUMIFS('Data Fertilizers'!$D:$D,'Data Fertilizers'!$P:$P,$B25,'Data Fertilizers'!$Q:$Q,"&gt;60",'Data Fertilizers'!$Q:$Q,"&lt;=90")</f>
        <v>0</v>
      </c>
      <c r="J25" s="19">
        <f>SUMIFS('Data Fertilizers'!$D:$D,'Data Fertilizers'!$P:$P,$B25,'Data Fertilizers'!$Q:$Q,"&gt;90",'Data Fertilizers'!$Q:$Q,"&lt;=120")</f>
        <v>0</v>
      </c>
      <c r="K25" s="19">
        <f>SUMIFS('Data Fertilizers'!$D:$D,'Data Fertilizers'!$P:$P,$B25,'Data Fertilizers'!$Q:$Q,"&gt;120",'Data Fertilizers'!$Q:$Q,"&lt;=180")</f>
        <v>0</v>
      </c>
      <c r="L25" s="19">
        <f>SUMIFS('Data Fertilizers'!$D:$D,'Data Fertilizers'!$P:$P,$B25,'Data Fertilizers'!$Q:$Q,"&gt;180",'Data Fertilizers'!$Q:$Q,"&lt;=360")</f>
        <v>0</v>
      </c>
      <c r="M25" s="23">
        <f>SUMIFS('Data Fertilizers'!$D:$D,'Data Fertilizers'!$P:$P,$B25,'Data Fertilizers'!$Q:$Q,"&gt;360")</f>
        <v>0</v>
      </c>
      <c r="N25" s="19">
        <f>SUMIFS('Data Fertilizers'!$D:$D,'Data Fertilizers'!$P:$P,$B25,'Data Fertilizers'!$Q:$Q,"&gt;0")</f>
        <v>0</v>
      </c>
      <c r="O25" s="19">
        <f t="shared" si="4"/>
        <v>0</v>
      </c>
      <c r="P25" s="19">
        <f>SUMIFS('Data Fertilizers'!$D:$D,'Data Fertilizers'!$P:$P,$B25,'Data Fertilizers'!$Q:$Q,"&lt;=0",'Data Fertilizers'!$Q:$Q,"&gt;=-30")</f>
        <v>0</v>
      </c>
      <c r="Q25" s="19">
        <f>SUMIFS('Data Fertilizers'!$D:$D,'Data Fertilizers'!$P:$P,$B25,'Data Fertilizers'!$Q:$Q,"&lt;=-31",'Data Fertilizers'!$Q:$Q,"&gt;=-60")</f>
        <v>0</v>
      </c>
      <c r="R25" s="19">
        <f>SUMIFS('Data Fertilizers'!$D:$D,'Data Fertilizers'!$P:$P,$B25,'Data Fertilizers'!$Q:$Q,"&lt;=-61",'Data Fertilizers'!$Q:$Q,"&gt;=-90")</f>
        <v>0</v>
      </c>
      <c r="S25" s="19">
        <f>SUMIFS('Data Fertilizers'!$D:$D,'Data Fertilizers'!$P:$P,$B25,'Data Fertilizers'!$Q:$Q,"&lt;=-91",'Data Fertilizers'!$Q:$Q,"&gt;=-120")</f>
        <v>0</v>
      </c>
      <c r="T25" s="19">
        <f>SUMIFS('Data Fertilizers'!$D:$D,'Data Fertilizers'!$P:$P,$B25,'Data Fertilizers'!$Q:$Q,"&lt;=-121",'Data Fertilizers'!$Q:$Q,"&gt;=-180")</f>
        <v>0</v>
      </c>
      <c r="U25" s="19">
        <f>SUMIFS('Data Fertilizers'!$D:$D,'Data Fertilizers'!$P:$P,$B25,'Data Fertilizers'!$Q:$Q,"&lt;=-181",'Data Fertilizers'!$Q:$Q,"&gt;=-360")</f>
        <v>0</v>
      </c>
      <c r="V25" s="23">
        <f>SUMIFS('Data Fertilizers'!$D:$D,'Data Fertilizers'!$P:$P,$B25,'Data Fertilizers'!$Q:$Q,"&lt;-360")</f>
        <v>0</v>
      </c>
      <c r="W25" s="19" t="e">
        <f>SUMIFS('Bad Debt Provision'!#REF!,'Bad Debt Provision'!#REF!,'Painel Fertilizers'!#REF!)</f>
        <v>#REF!</v>
      </c>
      <c r="X25" s="5"/>
      <c r="Y25" s="20"/>
      <c r="Z25" s="20"/>
      <c r="AA25" s="21"/>
      <c r="AB25" s="5"/>
      <c r="AC25" s="19"/>
      <c r="AD25" s="20"/>
      <c r="AE25" s="22"/>
      <c r="AF25" s="22"/>
      <c r="AG25" s="5"/>
      <c r="AH25" s="28">
        <f t="shared" si="5"/>
        <v>0</v>
      </c>
      <c r="AJ25" s="26"/>
    </row>
    <row r="26" spans="2:36" x14ac:dyDescent="0.25">
      <c r="B26" s="17" t="s">
        <v>260</v>
      </c>
      <c r="C26" s="104" cm="1">
        <f t="array" ref="C26">IFERROR(INDEX('Limite de crédito'!$D:$D, MATCH(MAX(IF('Limite de crédito'!$C:$C=$B26, 'Limite de crédito'!$A:$A)), 'Limite de crédito'!$A:$A, 0)),"")</f>
        <v>45821</v>
      </c>
      <c r="D26" s="107" t="str" cm="1">
        <f t="array" ref="D26">IFERROR(INDEX('Limite de crédito'!$F:$F, MATCH(MAX(IF('Limite de crédito'!$C:$C=$B26, 'Limite de crédito'!$A:$A)), 'Limite de crédito'!$A:$A, 0)),0)</f>
        <v>Sim</v>
      </c>
      <c r="E26" s="18" t="e">
        <f t="shared" si="2"/>
        <v>#VALUE!</v>
      </c>
      <c r="F26" s="18">
        <f t="shared" si="3"/>
        <v>0</v>
      </c>
      <c r="G26" s="19">
        <f>SUMIFS('Data Fertilizers'!$D:$D,'Data Fertilizers'!$P:$P,$B26,'Data Fertilizers'!$Q:$Q,"&gt;0",'Data Fertilizers'!$Q:$Q,"&lt;=30")</f>
        <v>0</v>
      </c>
      <c r="H26" s="19">
        <f>SUMIFS('Data Fertilizers'!$D:$D,'Data Fertilizers'!$P:$P,$B26,'Data Fertilizers'!$Q:$Q,"&gt;30",'Data Fertilizers'!$Q:$Q,"&lt;=60")</f>
        <v>0</v>
      </c>
      <c r="I26" s="19">
        <f>SUMIFS('Data Fertilizers'!$D:$D,'Data Fertilizers'!$P:$P,$B26,'Data Fertilizers'!$Q:$Q,"&gt;60",'Data Fertilizers'!$Q:$Q,"&lt;=90")</f>
        <v>0</v>
      </c>
      <c r="J26" s="19">
        <f>SUMIFS('Data Fertilizers'!$D:$D,'Data Fertilizers'!$P:$P,$B26,'Data Fertilizers'!$Q:$Q,"&gt;90",'Data Fertilizers'!$Q:$Q,"&lt;=120")</f>
        <v>0</v>
      </c>
      <c r="K26" s="19">
        <f>SUMIFS('Data Fertilizers'!$D:$D,'Data Fertilizers'!$P:$P,$B26,'Data Fertilizers'!$Q:$Q,"&gt;120",'Data Fertilizers'!$Q:$Q,"&lt;=180")</f>
        <v>0</v>
      </c>
      <c r="L26" s="19">
        <f>SUMIFS('Data Fertilizers'!$D:$D,'Data Fertilizers'!$P:$P,$B26,'Data Fertilizers'!$Q:$Q,"&gt;180",'Data Fertilizers'!$Q:$Q,"&lt;=360")</f>
        <v>0</v>
      </c>
      <c r="M26" s="23">
        <f>SUMIFS('Data Fertilizers'!$D:$D,'Data Fertilizers'!$P:$P,$B26,'Data Fertilizers'!$Q:$Q,"&gt;360")</f>
        <v>0</v>
      </c>
      <c r="N26" s="19">
        <f>SUMIFS('Data Fertilizers'!$D:$D,'Data Fertilizers'!$P:$P,$B26,'Data Fertilizers'!$Q:$Q,"&gt;0")</f>
        <v>0</v>
      </c>
      <c r="O26" s="19">
        <f t="shared" si="4"/>
        <v>0</v>
      </c>
      <c r="P26" s="19">
        <f>SUMIFS('Data Fertilizers'!$D:$D,'Data Fertilizers'!$P:$P,$B26,'Data Fertilizers'!$Q:$Q,"&lt;=0",'Data Fertilizers'!$Q:$Q,"&gt;=-30")</f>
        <v>0</v>
      </c>
      <c r="Q26" s="19">
        <f>SUMIFS('Data Fertilizers'!$D:$D,'Data Fertilizers'!$P:$P,$B26,'Data Fertilizers'!$Q:$Q,"&lt;=-31",'Data Fertilizers'!$Q:$Q,"&gt;=-60")</f>
        <v>0</v>
      </c>
      <c r="R26" s="19">
        <f>SUMIFS('Data Fertilizers'!$D:$D,'Data Fertilizers'!$P:$P,$B26,'Data Fertilizers'!$Q:$Q,"&lt;=-61",'Data Fertilizers'!$Q:$Q,"&gt;=-90")</f>
        <v>0</v>
      </c>
      <c r="S26" s="19">
        <f>SUMIFS('Data Fertilizers'!$D:$D,'Data Fertilizers'!$P:$P,$B26,'Data Fertilizers'!$Q:$Q,"&lt;=-91",'Data Fertilizers'!$Q:$Q,"&gt;=-120")</f>
        <v>0</v>
      </c>
      <c r="T26" s="19">
        <f>SUMIFS('Data Fertilizers'!$D:$D,'Data Fertilizers'!$P:$P,$B26,'Data Fertilizers'!$Q:$Q,"&lt;=-121",'Data Fertilizers'!$Q:$Q,"&gt;=-180")</f>
        <v>0</v>
      </c>
      <c r="U26" s="19">
        <f>SUMIFS('Data Fertilizers'!$D:$D,'Data Fertilizers'!$P:$P,$B26,'Data Fertilizers'!$Q:$Q,"&lt;=-181",'Data Fertilizers'!$Q:$Q,"&gt;=-360")</f>
        <v>0</v>
      </c>
      <c r="V26" s="23">
        <f>SUMIFS('Data Fertilizers'!$D:$D,'Data Fertilizers'!$P:$P,$B26,'Data Fertilizers'!$Q:$Q,"&lt;-360")</f>
        <v>0</v>
      </c>
      <c r="W26" s="19" t="e">
        <f>SUMIFS('Bad Debt Provision'!#REF!,'Bad Debt Provision'!#REF!,'Painel Fertilizers'!$B27)</f>
        <v>#REF!</v>
      </c>
      <c r="X26" s="5"/>
      <c r="Y26" s="20"/>
      <c r="Z26" s="20"/>
      <c r="AA26" s="21"/>
      <c r="AB26" s="5"/>
      <c r="AC26" s="19"/>
      <c r="AD26" s="20"/>
      <c r="AE26" s="22"/>
      <c r="AF26" s="22"/>
      <c r="AG26" s="5"/>
      <c r="AH26" s="28">
        <f t="shared" si="5"/>
        <v>0</v>
      </c>
      <c r="AJ26" s="26"/>
    </row>
    <row r="27" spans="2:36" x14ac:dyDescent="0.25">
      <c r="B27" s="41" t="s">
        <v>396</v>
      </c>
      <c r="C27" s="97" t="str" cm="1">
        <f t="array" ref="C27">IFERROR(INDEX('Limite de crédito'!$D:$D, MATCH(MAX(IF('Limite de crédito'!$C:$C=$B27, 'Limite de crédito'!$A:$A)), 'Limite de crédito'!$A:$A, 0)),"")</f>
        <v/>
      </c>
      <c r="D27" s="107" cm="1">
        <f t="array" ref="D27">IFERROR(INDEX('Limite de crédito'!$F:$F, MATCH(MAX(IF('Limite de crédito'!$C:$C=$B27, 'Limite de crédito'!$A:$A)), 'Limite de crédito'!$A:$A, 0)),0)</f>
        <v>0</v>
      </c>
      <c r="E27" s="18">
        <f t="shared" si="2"/>
        <v>0</v>
      </c>
      <c r="F27" s="18">
        <f t="shared" si="3"/>
        <v>0</v>
      </c>
      <c r="G27" s="19">
        <f>SUMIFS('Data Fertilizers'!$D:$D,'Data Fertilizers'!$P:$P,$B27,'Data Fertilizers'!$Q:$Q,"&gt;0",'Data Fertilizers'!$Q:$Q,"&lt;=30")</f>
        <v>0</v>
      </c>
      <c r="H27" s="19">
        <f>SUMIFS('Data Fertilizers'!$D:$D,'Data Fertilizers'!$P:$P,$B27,'Data Fertilizers'!$Q:$Q,"&gt;30",'Data Fertilizers'!$Q:$Q,"&lt;=60")</f>
        <v>0</v>
      </c>
      <c r="I27" s="19">
        <f>SUMIFS('Data Fertilizers'!$D:$D,'Data Fertilizers'!$P:$P,$B27,'Data Fertilizers'!$Q:$Q,"&gt;60",'Data Fertilizers'!$Q:$Q,"&lt;=90")</f>
        <v>0</v>
      </c>
      <c r="J27" s="19">
        <f>SUMIFS('Data Fertilizers'!$D:$D,'Data Fertilizers'!$P:$P,$B27,'Data Fertilizers'!$Q:$Q,"&gt;90",'Data Fertilizers'!$Q:$Q,"&lt;=120")</f>
        <v>0</v>
      </c>
      <c r="K27" s="19">
        <f>SUMIFS('Data Fertilizers'!$D:$D,'Data Fertilizers'!$P:$P,$B27,'Data Fertilizers'!$Q:$Q,"&gt;120",'Data Fertilizers'!$Q:$Q,"&lt;=180")</f>
        <v>0</v>
      </c>
      <c r="L27" s="19">
        <f>SUMIFS('Data Fertilizers'!$D:$D,'Data Fertilizers'!$P:$P,$B27,'Data Fertilizers'!$Q:$Q,"&gt;180",'Data Fertilizers'!$Q:$Q,"&lt;=360")</f>
        <v>0</v>
      </c>
      <c r="M27" s="23">
        <f>SUMIFS('Data Fertilizers'!$D:$D,'Data Fertilizers'!$P:$P,$B27,'Data Fertilizers'!$Q:$Q,"&gt;360")</f>
        <v>0</v>
      </c>
      <c r="N27" s="19">
        <f>SUMIFS('Data Fertilizers'!$D:$D,'Data Fertilizers'!$P:$P,$B27,'Data Fertilizers'!$Q:$Q,"&gt;0")</f>
        <v>0</v>
      </c>
      <c r="O27" s="19">
        <f t="shared" si="4"/>
        <v>0</v>
      </c>
      <c r="P27" s="19">
        <f>SUMIFS('Data Fertilizers'!$D:$D,'Data Fertilizers'!$P:$P,$B27,'Data Fertilizers'!$Q:$Q,"&lt;=0",'Data Fertilizers'!$Q:$Q,"&gt;=-30")</f>
        <v>0</v>
      </c>
      <c r="Q27" s="19">
        <f>SUMIFS('Data Fertilizers'!$D:$D,'Data Fertilizers'!$P:$P,$B27,'Data Fertilizers'!$Q:$Q,"&lt;=-31",'Data Fertilizers'!$Q:$Q,"&gt;=-60")</f>
        <v>0</v>
      </c>
      <c r="R27" s="19">
        <f>SUMIFS('Data Fertilizers'!$D:$D,'Data Fertilizers'!$P:$P,$B27,'Data Fertilizers'!$Q:$Q,"&lt;=-61",'Data Fertilizers'!$Q:$Q,"&gt;=-90")</f>
        <v>0</v>
      </c>
      <c r="S27" s="19">
        <f>SUMIFS('Data Fertilizers'!$D:$D,'Data Fertilizers'!$P:$P,$B27,'Data Fertilizers'!$Q:$Q,"&lt;=-91",'Data Fertilizers'!$Q:$Q,"&gt;=-120")</f>
        <v>0</v>
      </c>
      <c r="T27" s="19">
        <f>SUMIFS('Data Fertilizers'!$D:$D,'Data Fertilizers'!$P:$P,$B27,'Data Fertilizers'!$Q:$Q,"&lt;=-121",'Data Fertilizers'!$Q:$Q,"&gt;=-180")</f>
        <v>0</v>
      </c>
      <c r="U27" s="19">
        <f>SUMIFS('Data Fertilizers'!$D:$D,'Data Fertilizers'!$P:$P,$B27,'Data Fertilizers'!$Q:$Q,"&lt;=-181",'Data Fertilizers'!$Q:$Q,"&gt;=-360")</f>
        <v>0</v>
      </c>
      <c r="V27" s="23">
        <f>SUMIFS('Data Fertilizers'!$D:$D,'Data Fertilizers'!$P:$P,$B27,'Data Fertilizers'!$Q:$Q,"&lt;-360")</f>
        <v>0</v>
      </c>
      <c r="W27" s="19" t="e">
        <f>SUMIFS('Bad Debt Provision'!#REF!,'Bad Debt Provision'!#REF!,'Painel Fertilizers'!#REF!)</f>
        <v>#REF!</v>
      </c>
      <c r="X27" s="5"/>
      <c r="Y27" s="20"/>
      <c r="Z27" s="20"/>
      <c r="AA27" s="21"/>
      <c r="AB27" s="5"/>
      <c r="AC27" s="19"/>
      <c r="AD27" s="20"/>
      <c r="AE27" s="22"/>
      <c r="AF27" s="22"/>
      <c r="AG27" s="5"/>
      <c r="AH27" s="28">
        <f t="shared" si="5"/>
        <v>0</v>
      </c>
      <c r="AJ27" s="26"/>
    </row>
    <row r="28" spans="2:36" x14ac:dyDescent="0.25">
      <c r="B28" s="17" t="s">
        <v>157</v>
      </c>
      <c r="C28" s="97" t="s">
        <v>476</v>
      </c>
      <c r="D28" s="107" cm="1">
        <f t="array" ref="D28">IFERROR(INDEX('Limite de crédito'!$F:$F, MATCH(MAX(IF('Limite de crédito'!$C:$C=$B28, 'Limite de crédito'!$A:$A)), 'Limite de crédito'!$A:$A, 0)),0)</f>
        <v>0</v>
      </c>
      <c r="E28" s="18">
        <f t="shared" si="2"/>
        <v>0</v>
      </c>
      <c r="F28" s="18">
        <f t="shared" si="3"/>
        <v>0</v>
      </c>
      <c r="G28" s="19">
        <f>SUMIFS('Data Fertilizers'!$D:$D,'Data Fertilizers'!$P:$P,$B28,'Data Fertilizers'!$Q:$Q,"&gt;0",'Data Fertilizers'!$Q:$Q,"&lt;=30")</f>
        <v>0</v>
      </c>
      <c r="H28" s="19">
        <f>SUMIFS('Data Fertilizers'!$D:$D,'Data Fertilizers'!$P:$P,$B28,'Data Fertilizers'!$Q:$Q,"&gt;30",'Data Fertilizers'!$Q:$Q,"&lt;=60")</f>
        <v>0</v>
      </c>
      <c r="I28" s="19">
        <f>SUMIFS('Data Fertilizers'!$D:$D,'Data Fertilizers'!$P:$P,$B28,'Data Fertilizers'!$Q:$Q,"&gt;60",'Data Fertilizers'!$Q:$Q,"&lt;=90")</f>
        <v>0</v>
      </c>
      <c r="J28" s="19">
        <f>SUMIFS('Data Fertilizers'!$D:$D,'Data Fertilizers'!$P:$P,$B28,'Data Fertilizers'!$Q:$Q,"&gt;90",'Data Fertilizers'!$Q:$Q,"&lt;=120")</f>
        <v>0</v>
      </c>
      <c r="K28" s="19">
        <f>SUMIFS('Data Fertilizers'!$D:$D,'Data Fertilizers'!$P:$P,$B28,'Data Fertilizers'!$Q:$Q,"&gt;120",'Data Fertilizers'!$Q:$Q,"&lt;=180")</f>
        <v>0</v>
      </c>
      <c r="L28" s="19">
        <f>SUMIFS('Data Fertilizers'!$D:$D,'Data Fertilizers'!$P:$P,$B28,'Data Fertilizers'!$Q:$Q,"&gt;180",'Data Fertilizers'!$Q:$Q,"&lt;=360")</f>
        <v>0</v>
      </c>
      <c r="M28" s="23">
        <f>SUMIFS('Data Fertilizers'!$D:$D,'Data Fertilizers'!$P:$P,$B28,'Data Fertilizers'!$Q:$Q,"&gt;360")</f>
        <v>0</v>
      </c>
      <c r="N28" s="19">
        <f>SUMIFS('Data Fertilizers'!$D:$D,'Data Fertilizers'!$P:$P,$B28,'Data Fertilizers'!$Q:$Q,"&gt;0")</f>
        <v>0</v>
      </c>
      <c r="O28" s="19">
        <f t="shared" si="4"/>
        <v>0</v>
      </c>
      <c r="P28" s="19">
        <f>SUMIFS('Data Fertilizers'!$D:$D,'Data Fertilizers'!$P:$P,$B28,'Data Fertilizers'!$Q:$Q,"&lt;=0",'Data Fertilizers'!$Q:$Q,"&gt;=-30")</f>
        <v>0</v>
      </c>
      <c r="Q28" s="19">
        <f>SUMIFS('Data Fertilizers'!$D:$D,'Data Fertilizers'!$P:$P,$B28,'Data Fertilizers'!$Q:$Q,"&lt;=-31",'Data Fertilizers'!$Q:$Q,"&gt;=-60")</f>
        <v>0</v>
      </c>
      <c r="R28" s="19">
        <f>SUMIFS('Data Fertilizers'!$D:$D,'Data Fertilizers'!$P:$P,$B28,'Data Fertilizers'!$Q:$Q,"&lt;=-61",'Data Fertilizers'!$Q:$Q,"&gt;=-90")</f>
        <v>0</v>
      </c>
      <c r="S28" s="19">
        <f>SUMIFS('Data Fertilizers'!$D:$D,'Data Fertilizers'!$P:$P,$B28,'Data Fertilizers'!$Q:$Q,"&lt;=-91",'Data Fertilizers'!$Q:$Q,"&gt;=-120")</f>
        <v>0</v>
      </c>
      <c r="T28" s="19">
        <f>SUMIFS('Data Fertilizers'!$D:$D,'Data Fertilizers'!$P:$P,$B28,'Data Fertilizers'!$Q:$Q,"&lt;=-121",'Data Fertilizers'!$Q:$Q,"&gt;=-180")</f>
        <v>0</v>
      </c>
      <c r="U28" s="19">
        <f>SUMIFS('Data Fertilizers'!$D:$D,'Data Fertilizers'!$P:$P,$B28,'Data Fertilizers'!$Q:$Q,"&lt;=-181",'Data Fertilizers'!$Q:$Q,"&gt;=-360")</f>
        <v>0</v>
      </c>
      <c r="V28" s="23">
        <f>SUMIFS('Data Fertilizers'!$D:$D,'Data Fertilizers'!$P:$P,$B28,'Data Fertilizers'!$Q:$Q,"&lt;-360")</f>
        <v>0</v>
      </c>
      <c r="W28" s="19" t="e">
        <f>SUMIFS('Bad Debt Provision'!#REF!,'Bad Debt Provision'!#REF!,'Painel Fertilizers'!$B7)</f>
        <v>#REF!</v>
      </c>
      <c r="X28" s="5"/>
      <c r="Y28" s="20">
        <v>0</v>
      </c>
      <c r="Z28" s="20">
        <v>0</v>
      </c>
      <c r="AA28" s="21">
        <v>0</v>
      </c>
      <c r="AB28" s="5"/>
      <c r="AC28" s="19">
        <v>0</v>
      </c>
      <c r="AD28" s="20">
        <v>0</v>
      </c>
      <c r="AE28" s="22"/>
      <c r="AF28" s="22"/>
      <c r="AG28" s="5"/>
      <c r="AH28" s="28">
        <f t="shared" si="5"/>
        <v>0</v>
      </c>
      <c r="AI28" s="5"/>
      <c r="AJ28" s="26"/>
    </row>
    <row r="29" spans="2:36" x14ac:dyDescent="0.25">
      <c r="B29" s="17" t="s">
        <v>122</v>
      </c>
      <c r="C29" s="104" t="str" cm="1">
        <f t="array" ref="C29">IFERROR(INDEX('Limite de crédito'!$D:$D, MATCH(MAX(IF('Limite de crédito'!$C:$C=$B29, 'Limite de crédito'!$A:$A)), 'Limite de crédito'!$A:$A, 0)),"")</f>
        <v/>
      </c>
      <c r="D29" s="107" cm="1">
        <f t="array" ref="D29">IFERROR(INDEX('Limite de crédito'!$F:$F, MATCH(MAX(IF('Limite de crédito'!$C:$C=$B29, 'Limite de crédito'!$A:$A)), 'Limite de crédito'!$A:$A, 0)),0)</f>
        <v>0</v>
      </c>
      <c r="E29" s="18">
        <f t="shared" si="2"/>
        <v>0</v>
      </c>
      <c r="F29" s="18">
        <f t="shared" si="3"/>
        <v>0</v>
      </c>
      <c r="G29" s="19">
        <f>SUMIFS('Data Fertilizers'!$D:$D,'Data Fertilizers'!$P:$P,$B29,'Data Fertilizers'!$Q:$Q,"&gt;0",'Data Fertilizers'!$Q:$Q,"&lt;=30")</f>
        <v>0</v>
      </c>
      <c r="H29" s="19">
        <f>SUMIFS('Data Fertilizers'!$D:$D,'Data Fertilizers'!$P:$P,$B29,'Data Fertilizers'!$Q:$Q,"&gt;30",'Data Fertilizers'!$Q:$Q,"&lt;=60")</f>
        <v>0</v>
      </c>
      <c r="I29" s="19">
        <f>SUMIFS('Data Fertilizers'!$D:$D,'Data Fertilizers'!$P:$P,$B29,'Data Fertilizers'!$Q:$Q,"&gt;60",'Data Fertilizers'!$Q:$Q,"&lt;=90")</f>
        <v>0</v>
      </c>
      <c r="J29" s="19">
        <f>SUMIFS('Data Fertilizers'!$D:$D,'Data Fertilizers'!$P:$P,$B29,'Data Fertilizers'!$Q:$Q,"&gt;90",'Data Fertilizers'!$Q:$Q,"&lt;=120")</f>
        <v>0</v>
      </c>
      <c r="K29" s="19">
        <f>SUMIFS('Data Fertilizers'!$D:$D,'Data Fertilizers'!$P:$P,$B29,'Data Fertilizers'!$Q:$Q,"&gt;120",'Data Fertilizers'!$Q:$Q,"&lt;=180")</f>
        <v>0</v>
      </c>
      <c r="L29" s="19">
        <f>SUMIFS('Data Fertilizers'!$D:$D,'Data Fertilizers'!$P:$P,$B29,'Data Fertilizers'!$Q:$Q,"&gt;180",'Data Fertilizers'!$Q:$Q,"&lt;=360")</f>
        <v>0</v>
      </c>
      <c r="M29" s="23">
        <f>SUMIFS('Data Fertilizers'!$D:$D,'Data Fertilizers'!$P:$P,$B29,'Data Fertilizers'!$Q:$Q,"&gt;360")</f>
        <v>0</v>
      </c>
      <c r="N29" s="19">
        <f>SUMIFS('Data Fertilizers'!$D:$D,'Data Fertilizers'!$P:$P,$B29,'Data Fertilizers'!$Q:$Q,"&gt;0")</f>
        <v>0</v>
      </c>
      <c r="O29" s="19">
        <f t="shared" si="4"/>
        <v>0</v>
      </c>
      <c r="P29" s="19">
        <f>SUMIFS('Data Fertilizers'!$D:$D,'Data Fertilizers'!$P:$P,$B29,'Data Fertilizers'!$Q:$Q,"&lt;=0",'Data Fertilizers'!$Q:$Q,"&gt;=-30")</f>
        <v>0</v>
      </c>
      <c r="Q29" s="19">
        <f>SUMIFS('Data Fertilizers'!$D:$D,'Data Fertilizers'!$P:$P,$B29,'Data Fertilizers'!$Q:$Q,"&lt;=-31",'Data Fertilizers'!$Q:$Q,"&gt;=-60")</f>
        <v>0</v>
      </c>
      <c r="R29" s="19">
        <f>SUMIFS('Data Fertilizers'!$D:$D,'Data Fertilizers'!$P:$P,$B29,'Data Fertilizers'!$Q:$Q,"&lt;=-61",'Data Fertilizers'!$Q:$Q,"&gt;=-90")</f>
        <v>0</v>
      </c>
      <c r="S29" s="19">
        <f>SUMIFS('Data Fertilizers'!$D:$D,'Data Fertilizers'!$P:$P,$B29,'Data Fertilizers'!$Q:$Q,"&lt;=-91",'Data Fertilizers'!$Q:$Q,"&gt;=-120")</f>
        <v>0</v>
      </c>
      <c r="T29" s="19">
        <f>SUMIFS('Data Fertilizers'!$D:$D,'Data Fertilizers'!$P:$P,$B29,'Data Fertilizers'!$Q:$Q,"&lt;=-121",'Data Fertilizers'!$Q:$Q,"&gt;=-180")</f>
        <v>0</v>
      </c>
      <c r="U29" s="19">
        <f>SUMIFS('Data Fertilizers'!$D:$D,'Data Fertilizers'!$P:$P,$B29,'Data Fertilizers'!$Q:$Q,"&lt;=-181",'Data Fertilizers'!$Q:$Q,"&gt;=-360")</f>
        <v>0</v>
      </c>
      <c r="V29" s="23">
        <f>SUMIFS('Data Fertilizers'!$D:$D,'Data Fertilizers'!$P:$P,$B29,'Data Fertilizers'!$Q:$Q,"&lt;-360")</f>
        <v>0</v>
      </c>
      <c r="W29" s="19" t="e">
        <f>SUMIFS('Bad Debt Provision'!#REF!,'Bad Debt Provision'!#REF!,'Painel Fertilizers'!$B26)</f>
        <v>#REF!</v>
      </c>
      <c r="X29" s="5"/>
      <c r="Y29" s="20">
        <v>1000000</v>
      </c>
      <c r="Z29" s="20" t="s">
        <v>234</v>
      </c>
      <c r="AA29" s="21">
        <v>120</v>
      </c>
      <c r="AB29" s="5"/>
      <c r="AC29" s="19">
        <v>0</v>
      </c>
      <c r="AD29" s="20">
        <v>0</v>
      </c>
      <c r="AE29" s="22"/>
      <c r="AF29" s="22"/>
      <c r="AG29" s="5"/>
      <c r="AH29" s="28">
        <f t="shared" si="5"/>
        <v>0</v>
      </c>
      <c r="AI29" s="5"/>
      <c r="AJ29" s="26"/>
    </row>
    <row r="30" spans="2:36" x14ac:dyDescent="0.25">
      <c r="B30" s="41" t="s">
        <v>426</v>
      </c>
      <c r="C30" s="97" cm="1">
        <f t="array" ref="C30">IFERROR(INDEX('Limite de crédito'!$D:$D, MATCH(MAX(IF('Limite de crédito'!$C:$C=$B30, 'Limite de crédito'!$A:$A)), 'Limite de crédito'!$A:$A, 0)),"")</f>
        <v>45804</v>
      </c>
      <c r="D30" s="107" t="str" cm="1">
        <f t="array" ref="D30">IFERROR(INDEX('Limite de crédito'!$F:$F, MATCH(MAX(IF('Limite de crédito'!$C:$C=$B30, 'Limite de crédito'!$A:$A)), 'Limite de crédito'!$A:$A, 0)),0)</f>
        <v>Sim</v>
      </c>
      <c r="E30" s="18" t="e">
        <f t="shared" si="2"/>
        <v>#VALUE!</v>
      </c>
      <c r="F30" s="18">
        <f t="shared" si="3"/>
        <v>5030.5</v>
      </c>
      <c r="G30" s="19">
        <f>SUMIFS('Data Fertilizers'!$D:$D,'Data Fertilizers'!$P:$P,$B30,'Data Fertilizers'!$Q:$Q,"&gt;0",'Data Fertilizers'!$Q:$Q,"&lt;=30")</f>
        <v>0</v>
      </c>
      <c r="H30" s="19">
        <f>SUMIFS('Data Fertilizers'!$D:$D,'Data Fertilizers'!$P:$P,$B30,'Data Fertilizers'!$Q:$Q,"&gt;30",'Data Fertilizers'!$Q:$Q,"&lt;=60")</f>
        <v>0</v>
      </c>
      <c r="I30" s="19">
        <f>SUMIFS('Data Fertilizers'!$D:$D,'Data Fertilizers'!$P:$P,$B30,'Data Fertilizers'!$Q:$Q,"&gt;60",'Data Fertilizers'!$Q:$Q,"&lt;=90")</f>
        <v>0</v>
      </c>
      <c r="J30" s="19">
        <f>SUMIFS('Data Fertilizers'!$D:$D,'Data Fertilizers'!$P:$P,$B30,'Data Fertilizers'!$Q:$Q,"&gt;90",'Data Fertilizers'!$Q:$Q,"&lt;=120")</f>
        <v>0</v>
      </c>
      <c r="K30" s="19">
        <f>SUMIFS('Data Fertilizers'!$D:$D,'Data Fertilizers'!$P:$P,$B30,'Data Fertilizers'!$Q:$Q,"&gt;120",'Data Fertilizers'!$Q:$Q,"&lt;=180")</f>
        <v>0</v>
      </c>
      <c r="L30" s="19">
        <f>SUMIFS('Data Fertilizers'!$D:$D,'Data Fertilizers'!$P:$P,$B30,'Data Fertilizers'!$Q:$Q,"&gt;180",'Data Fertilizers'!$Q:$Q,"&lt;=360")</f>
        <v>0</v>
      </c>
      <c r="M30" s="23">
        <f>SUMIFS('Data Fertilizers'!$D:$D,'Data Fertilizers'!$P:$P,$B30,'Data Fertilizers'!$Q:$Q,"&gt;360")</f>
        <v>0</v>
      </c>
      <c r="N30" s="19">
        <f>SUMIFS('Data Fertilizers'!$D:$D,'Data Fertilizers'!$P:$P,$B30,'Data Fertilizers'!$Q:$Q,"&gt;0")</f>
        <v>0</v>
      </c>
      <c r="O30" s="19">
        <f t="shared" si="4"/>
        <v>5030.5</v>
      </c>
      <c r="P30" s="19">
        <f>SUMIFS('Data Fertilizers'!$D:$D,'Data Fertilizers'!$P:$P,$B30,'Data Fertilizers'!$Q:$Q,"&lt;=0",'Data Fertilizers'!$Q:$Q,"&gt;=-30")</f>
        <v>0</v>
      </c>
      <c r="Q30" s="19">
        <f>SUMIFS('Data Fertilizers'!$D:$D,'Data Fertilizers'!$P:$P,$B30,'Data Fertilizers'!$Q:$Q,"&lt;=-31",'Data Fertilizers'!$Q:$Q,"&gt;=-60")</f>
        <v>0</v>
      </c>
      <c r="R30" s="19">
        <f>SUMIFS('Data Fertilizers'!$D:$D,'Data Fertilizers'!$P:$P,$B30,'Data Fertilizers'!$Q:$Q,"&lt;=-61",'Data Fertilizers'!$Q:$Q,"&gt;=-90")</f>
        <v>0</v>
      </c>
      <c r="S30" s="19">
        <f>SUMIFS('Data Fertilizers'!$D:$D,'Data Fertilizers'!$P:$P,$B30,'Data Fertilizers'!$Q:$Q,"&lt;=-91",'Data Fertilizers'!$Q:$Q,"&gt;=-120")</f>
        <v>5030.5</v>
      </c>
      <c r="T30" s="19">
        <f>SUMIFS('Data Fertilizers'!$D:$D,'Data Fertilizers'!$P:$P,$B30,'Data Fertilizers'!$Q:$Q,"&lt;=-121",'Data Fertilizers'!$Q:$Q,"&gt;=-180")</f>
        <v>0</v>
      </c>
      <c r="U30" s="19">
        <f>SUMIFS('Data Fertilizers'!$D:$D,'Data Fertilizers'!$P:$P,$B30,'Data Fertilizers'!$Q:$Q,"&lt;=-181",'Data Fertilizers'!$Q:$Q,"&gt;=-360")</f>
        <v>0</v>
      </c>
      <c r="V30" s="23">
        <f>SUMIFS('Data Fertilizers'!$D:$D,'Data Fertilizers'!$P:$P,$B30,'Data Fertilizers'!$Q:$Q,"&lt;-360")</f>
        <v>0</v>
      </c>
      <c r="W30" s="19" t="e">
        <f>SUMIFS('Bad Debt Provision'!#REF!,'Bad Debt Provision'!#REF!,'Painel Fertilizers'!#REF!)</f>
        <v>#REF!</v>
      </c>
      <c r="Y30" s="20"/>
      <c r="Z30" s="20"/>
      <c r="AA30" s="21"/>
      <c r="AB30" s="5"/>
      <c r="AC30" s="19"/>
      <c r="AD30" s="20"/>
      <c r="AE30" s="22"/>
      <c r="AF30" s="22"/>
      <c r="AG30" s="5"/>
      <c r="AH30" s="28">
        <f t="shared" si="5"/>
        <v>-5030.5</v>
      </c>
    </row>
    <row r="31" spans="2:36" x14ac:dyDescent="0.25">
      <c r="B31" s="41" t="s">
        <v>375</v>
      </c>
      <c r="C31" s="97" cm="1">
        <f t="array" ref="C31">IFERROR(INDEX('Limite de crédito'!$D:$D, MATCH(MAX(IF('Limite de crédito'!$C:$C=$B31, 'Limite de crédito'!$A:$A)), 'Limite de crédito'!$A:$A, 0)),"")</f>
        <v>45804</v>
      </c>
      <c r="D31" s="107" t="str" cm="1">
        <f t="array" ref="D31">IFERROR(INDEX('Limite de crédito'!$F:$F, MATCH(MAX(IF('Limite de crédito'!$C:$C=$B31, 'Limite de crédito'!$A:$A)), 'Limite de crédito'!$A:$A, 0)),0)</f>
        <v>Sim</v>
      </c>
      <c r="E31" s="18" t="e">
        <f t="shared" si="2"/>
        <v>#VALUE!</v>
      </c>
      <c r="F31" s="18">
        <f t="shared" si="3"/>
        <v>0</v>
      </c>
      <c r="G31" s="19">
        <f>SUMIFS('Data Fertilizers'!$D:$D,'Data Fertilizers'!$P:$P,$B31,'Data Fertilizers'!$Q:$Q,"&gt;0",'Data Fertilizers'!$Q:$Q,"&lt;=30")</f>
        <v>0</v>
      </c>
      <c r="H31" s="19">
        <f>SUMIFS('Data Fertilizers'!$D:$D,'Data Fertilizers'!$P:$P,$B31,'Data Fertilizers'!$Q:$Q,"&gt;30",'Data Fertilizers'!$Q:$Q,"&lt;=60")</f>
        <v>0</v>
      </c>
      <c r="I31" s="19">
        <f>SUMIFS('Data Fertilizers'!$D:$D,'Data Fertilizers'!$P:$P,$B31,'Data Fertilizers'!$Q:$Q,"&gt;60",'Data Fertilizers'!$Q:$Q,"&lt;=90")</f>
        <v>0</v>
      </c>
      <c r="J31" s="19">
        <f>SUMIFS('Data Fertilizers'!$D:$D,'Data Fertilizers'!$P:$P,$B31,'Data Fertilizers'!$Q:$Q,"&gt;90",'Data Fertilizers'!$Q:$Q,"&lt;=120")</f>
        <v>0</v>
      </c>
      <c r="K31" s="19">
        <f>SUMIFS('Data Fertilizers'!$D:$D,'Data Fertilizers'!$P:$P,$B31,'Data Fertilizers'!$Q:$Q,"&gt;120",'Data Fertilizers'!$Q:$Q,"&lt;=180")</f>
        <v>0</v>
      </c>
      <c r="L31" s="19">
        <f>SUMIFS('Data Fertilizers'!$D:$D,'Data Fertilizers'!$P:$P,$B31,'Data Fertilizers'!$Q:$Q,"&gt;180",'Data Fertilizers'!$Q:$Q,"&lt;=360")</f>
        <v>0</v>
      </c>
      <c r="M31" s="23">
        <f>SUMIFS('Data Fertilizers'!$D:$D,'Data Fertilizers'!$P:$P,$B31,'Data Fertilizers'!$Q:$Q,"&gt;360")</f>
        <v>0</v>
      </c>
      <c r="N31" s="19">
        <f>SUMIFS('Data Fertilizers'!$D:$D,'Data Fertilizers'!$P:$P,$B31,'Data Fertilizers'!$Q:$Q,"&gt;0")</f>
        <v>0</v>
      </c>
      <c r="O31" s="19">
        <f t="shared" si="4"/>
        <v>0</v>
      </c>
      <c r="P31" s="19">
        <f>SUMIFS('Data Fertilizers'!$D:$D,'Data Fertilizers'!$P:$P,$B31,'Data Fertilizers'!$Q:$Q,"&lt;=0",'Data Fertilizers'!$Q:$Q,"&gt;=-30")</f>
        <v>0</v>
      </c>
      <c r="Q31" s="19">
        <f>SUMIFS('Data Fertilizers'!$D:$D,'Data Fertilizers'!$P:$P,$B31,'Data Fertilizers'!$Q:$Q,"&lt;=-31",'Data Fertilizers'!$Q:$Q,"&gt;=-60")</f>
        <v>0</v>
      </c>
      <c r="R31" s="19">
        <f>SUMIFS('Data Fertilizers'!$D:$D,'Data Fertilizers'!$P:$P,$B31,'Data Fertilizers'!$Q:$Q,"&lt;=-61",'Data Fertilizers'!$Q:$Q,"&gt;=-90")</f>
        <v>0</v>
      </c>
      <c r="S31" s="19">
        <f>SUMIFS('Data Fertilizers'!$D:$D,'Data Fertilizers'!$P:$P,$B31,'Data Fertilizers'!$Q:$Q,"&lt;=-91",'Data Fertilizers'!$Q:$Q,"&gt;=-120")</f>
        <v>0</v>
      </c>
      <c r="T31" s="19">
        <f>SUMIFS('Data Fertilizers'!$D:$D,'Data Fertilizers'!$P:$P,$B31,'Data Fertilizers'!$Q:$Q,"&lt;=-121",'Data Fertilizers'!$Q:$Q,"&gt;=-180")</f>
        <v>0</v>
      </c>
      <c r="U31" s="19">
        <f>SUMIFS('Data Fertilizers'!$D:$D,'Data Fertilizers'!$P:$P,$B31,'Data Fertilizers'!$Q:$Q,"&lt;=-181",'Data Fertilizers'!$Q:$Q,"&gt;=-360")</f>
        <v>0</v>
      </c>
      <c r="V31" s="23">
        <f>SUMIFS('Data Fertilizers'!$D:$D,'Data Fertilizers'!$P:$P,$B31,'Data Fertilizers'!$Q:$Q,"&lt;-360")</f>
        <v>0</v>
      </c>
      <c r="W31" s="19" t="e">
        <f>SUMIFS('Bad Debt Provision'!#REF!,'Bad Debt Provision'!#REF!,'Painel Fertilizers'!#REF!)</f>
        <v>#REF!</v>
      </c>
      <c r="X31" s="5"/>
      <c r="Y31" s="20"/>
      <c r="Z31" s="20"/>
      <c r="AA31" s="21"/>
      <c r="AB31" s="5"/>
      <c r="AC31" s="19"/>
      <c r="AD31" s="20"/>
      <c r="AE31" s="22"/>
      <c r="AF31" s="22"/>
      <c r="AG31" s="5"/>
      <c r="AH31" s="28">
        <f t="shared" si="5"/>
        <v>0</v>
      </c>
      <c r="AJ31" s="26"/>
    </row>
    <row r="32" spans="2:36" x14ac:dyDescent="0.25">
      <c r="B32" s="41" t="s">
        <v>377</v>
      </c>
      <c r="C32" s="97" cm="1">
        <f t="array" ref="C32">IFERROR(INDEX('Limite de crédito'!$D:$D, MATCH(MAX(IF('Limite de crédito'!$C:$C=$B32, 'Limite de crédito'!$A:$A)), 'Limite de crédito'!$A:$A, 0)),"")</f>
        <v>45876</v>
      </c>
      <c r="D32" s="107" t="str" cm="1">
        <f t="array" ref="D32">IFERROR(INDEX('Limite de crédito'!$F:$F, MATCH(MAX(IF('Limite de crédito'!$C:$C=$B32, 'Limite de crédito'!$A:$A)), 'Limite de crédito'!$A:$A, 0)),0)</f>
        <v>Sim</v>
      </c>
      <c r="E32" s="18" t="e">
        <f t="shared" si="2"/>
        <v>#VALUE!</v>
      </c>
      <c r="F32" s="18">
        <f t="shared" si="3"/>
        <v>329327.90999999997</v>
      </c>
      <c r="G32" s="19">
        <f>SUMIFS('Data Fertilizers'!$D:$D,'Data Fertilizers'!$P:$P,$B32,'Data Fertilizers'!$Q:$Q,"&gt;0",'Data Fertilizers'!$Q:$Q,"&lt;=30")</f>
        <v>0</v>
      </c>
      <c r="H32" s="19">
        <f>SUMIFS('Data Fertilizers'!$D:$D,'Data Fertilizers'!$P:$P,$B32,'Data Fertilizers'!$Q:$Q,"&gt;30",'Data Fertilizers'!$Q:$Q,"&lt;=60")</f>
        <v>0</v>
      </c>
      <c r="I32" s="19">
        <f>SUMIFS('Data Fertilizers'!$D:$D,'Data Fertilizers'!$P:$P,$B32,'Data Fertilizers'!$Q:$Q,"&gt;60",'Data Fertilizers'!$Q:$Q,"&lt;=90")</f>
        <v>0</v>
      </c>
      <c r="J32" s="19">
        <f>SUMIFS('Data Fertilizers'!$D:$D,'Data Fertilizers'!$P:$P,$B32,'Data Fertilizers'!$Q:$Q,"&gt;90",'Data Fertilizers'!$Q:$Q,"&lt;=120")</f>
        <v>0</v>
      </c>
      <c r="K32" s="19">
        <f>SUMIFS('Data Fertilizers'!$D:$D,'Data Fertilizers'!$P:$P,$B32,'Data Fertilizers'!$Q:$Q,"&gt;120",'Data Fertilizers'!$Q:$Q,"&lt;=180")</f>
        <v>0</v>
      </c>
      <c r="L32" s="19">
        <f>SUMIFS('Data Fertilizers'!$D:$D,'Data Fertilizers'!$P:$P,$B32,'Data Fertilizers'!$Q:$Q,"&gt;180",'Data Fertilizers'!$Q:$Q,"&lt;=360")</f>
        <v>0</v>
      </c>
      <c r="M32" s="23">
        <f>SUMIFS('Data Fertilizers'!$D:$D,'Data Fertilizers'!$P:$P,$B32,'Data Fertilizers'!$Q:$Q,"&gt;360")</f>
        <v>0</v>
      </c>
      <c r="N32" s="19">
        <f>SUMIFS('Data Fertilizers'!$D:$D,'Data Fertilizers'!$P:$P,$B32,'Data Fertilizers'!$Q:$Q,"&gt;0")</f>
        <v>0</v>
      </c>
      <c r="O32" s="19">
        <f t="shared" si="4"/>
        <v>329327.90999999997</v>
      </c>
      <c r="P32" s="19">
        <f>SUMIFS('Data Fertilizers'!$D:$D,'Data Fertilizers'!$P:$P,$B32,'Data Fertilizers'!$Q:$Q,"&lt;=0",'Data Fertilizers'!$Q:$Q,"&gt;=-30")</f>
        <v>329327.90999999997</v>
      </c>
      <c r="Q32" s="19">
        <f>SUMIFS('Data Fertilizers'!$D:$D,'Data Fertilizers'!$P:$P,$B32,'Data Fertilizers'!$Q:$Q,"&lt;=-31",'Data Fertilizers'!$Q:$Q,"&gt;=-60")</f>
        <v>0</v>
      </c>
      <c r="R32" s="19">
        <f>SUMIFS('Data Fertilizers'!$D:$D,'Data Fertilizers'!$P:$P,$B32,'Data Fertilizers'!$Q:$Q,"&lt;=-61",'Data Fertilizers'!$Q:$Q,"&gt;=-90")</f>
        <v>0</v>
      </c>
      <c r="S32" s="19">
        <f>SUMIFS('Data Fertilizers'!$D:$D,'Data Fertilizers'!$P:$P,$B32,'Data Fertilizers'!$Q:$Q,"&lt;=-91",'Data Fertilizers'!$Q:$Q,"&gt;=-120")</f>
        <v>0</v>
      </c>
      <c r="T32" s="19">
        <f>SUMIFS('Data Fertilizers'!$D:$D,'Data Fertilizers'!$P:$P,$B32,'Data Fertilizers'!$Q:$Q,"&lt;=-121",'Data Fertilizers'!$Q:$Q,"&gt;=-180")</f>
        <v>0</v>
      </c>
      <c r="U32" s="19">
        <f>SUMIFS('Data Fertilizers'!$D:$D,'Data Fertilizers'!$P:$P,$B32,'Data Fertilizers'!$Q:$Q,"&lt;=-181",'Data Fertilizers'!$Q:$Q,"&gt;=-360")</f>
        <v>0</v>
      </c>
      <c r="V32" s="23">
        <f>SUMIFS('Data Fertilizers'!$D:$D,'Data Fertilizers'!$P:$P,$B32,'Data Fertilizers'!$Q:$Q,"&lt;-360")</f>
        <v>0</v>
      </c>
      <c r="W32" s="19" t="e">
        <f>SUMIFS('Bad Debt Provision'!#REF!,'Bad Debt Provision'!#REF!,'Painel Fertilizers'!#REF!)</f>
        <v>#REF!</v>
      </c>
      <c r="X32" s="5"/>
      <c r="Y32" s="20"/>
      <c r="Z32" s="20"/>
      <c r="AA32" s="21"/>
      <c r="AB32" s="5"/>
      <c r="AC32" s="19"/>
      <c r="AD32" s="20"/>
      <c r="AE32" s="22"/>
      <c r="AF32" s="22"/>
      <c r="AG32" s="5"/>
      <c r="AH32" s="28">
        <f t="shared" si="5"/>
        <v>-329327.90999999997</v>
      </c>
      <c r="AJ32" s="26"/>
    </row>
    <row r="33" spans="2:36" x14ac:dyDescent="0.25">
      <c r="B33" s="17" t="s">
        <v>172</v>
      </c>
      <c r="C33" s="104" t="str" cm="1">
        <f t="array" ref="C33">IFERROR(INDEX('Limite de crédito'!$D:$D, MATCH(MAX(IF('Limite de crédito'!$C:$C=$B33, 'Limite de crédito'!$A:$A)), 'Limite de crédito'!$A:$A, 0)),"")</f>
        <v/>
      </c>
      <c r="D33" s="107" cm="1">
        <f t="array" ref="D33">IFERROR(INDEX('Limite de crédito'!$F:$F, MATCH(MAX(IF('Limite de crédito'!$C:$C=$B33, 'Limite de crédito'!$A:$A)), 'Limite de crédito'!$A:$A, 0)),0)</f>
        <v>0</v>
      </c>
      <c r="E33" s="18">
        <f t="shared" si="2"/>
        <v>0</v>
      </c>
      <c r="F33" s="18">
        <f t="shared" si="3"/>
        <v>0</v>
      </c>
      <c r="G33" s="19">
        <f>SUMIFS('Data Fertilizers'!$D:$D,'Data Fertilizers'!$P:$P,$B33,'Data Fertilizers'!$Q:$Q,"&gt;0",'Data Fertilizers'!$Q:$Q,"&lt;=30")</f>
        <v>0</v>
      </c>
      <c r="H33" s="19">
        <f>SUMIFS('Data Fertilizers'!$D:$D,'Data Fertilizers'!$P:$P,$B33,'Data Fertilizers'!$Q:$Q,"&gt;30",'Data Fertilizers'!$Q:$Q,"&lt;=60")</f>
        <v>0</v>
      </c>
      <c r="I33" s="19">
        <f>SUMIFS('Data Fertilizers'!$D:$D,'Data Fertilizers'!$P:$P,$B33,'Data Fertilizers'!$Q:$Q,"&gt;60",'Data Fertilizers'!$Q:$Q,"&lt;=90")</f>
        <v>0</v>
      </c>
      <c r="J33" s="19">
        <f>SUMIFS('Data Fertilizers'!$D:$D,'Data Fertilizers'!$P:$P,$B33,'Data Fertilizers'!$Q:$Q,"&gt;90",'Data Fertilizers'!$Q:$Q,"&lt;=120")</f>
        <v>0</v>
      </c>
      <c r="K33" s="19">
        <f>SUMIFS('Data Fertilizers'!$D:$D,'Data Fertilizers'!$P:$P,$B33,'Data Fertilizers'!$Q:$Q,"&gt;120",'Data Fertilizers'!$Q:$Q,"&lt;=180")</f>
        <v>0</v>
      </c>
      <c r="L33" s="19">
        <f>SUMIFS('Data Fertilizers'!$D:$D,'Data Fertilizers'!$P:$P,$B33,'Data Fertilizers'!$Q:$Q,"&gt;180",'Data Fertilizers'!$Q:$Q,"&lt;=360")</f>
        <v>0</v>
      </c>
      <c r="M33" s="23">
        <f>SUMIFS('Data Fertilizers'!$D:$D,'Data Fertilizers'!$P:$P,$B33,'Data Fertilizers'!$Q:$Q,"&gt;360")</f>
        <v>0</v>
      </c>
      <c r="N33" s="19">
        <f>SUMIFS('Data Fertilizers'!$D:$D,'Data Fertilizers'!$P:$P,$B33,'Data Fertilizers'!$Q:$Q,"&gt;0")</f>
        <v>0</v>
      </c>
      <c r="O33" s="19">
        <f t="shared" si="4"/>
        <v>0</v>
      </c>
      <c r="P33" s="19">
        <f>SUMIFS('Data Fertilizers'!$D:$D,'Data Fertilizers'!$P:$P,$B33,'Data Fertilizers'!$Q:$Q,"&lt;=0",'Data Fertilizers'!$Q:$Q,"&gt;=-30")</f>
        <v>0</v>
      </c>
      <c r="Q33" s="19">
        <f>SUMIFS('Data Fertilizers'!$D:$D,'Data Fertilizers'!$P:$P,$B33,'Data Fertilizers'!$Q:$Q,"&lt;=-31",'Data Fertilizers'!$Q:$Q,"&gt;=-60")</f>
        <v>0</v>
      </c>
      <c r="R33" s="19">
        <f>SUMIFS('Data Fertilizers'!$D:$D,'Data Fertilizers'!$P:$P,$B33,'Data Fertilizers'!$Q:$Q,"&lt;=-61",'Data Fertilizers'!$Q:$Q,"&gt;=-90")</f>
        <v>0</v>
      </c>
      <c r="S33" s="19">
        <f>SUMIFS('Data Fertilizers'!$D:$D,'Data Fertilizers'!$P:$P,$B33,'Data Fertilizers'!$Q:$Q,"&lt;=-91",'Data Fertilizers'!$Q:$Q,"&gt;=-120")</f>
        <v>0</v>
      </c>
      <c r="T33" s="19">
        <f>SUMIFS('Data Fertilizers'!$D:$D,'Data Fertilizers'!$P:$P,$B33,'Data Fertilizers'!$Q:$Q,"&lt;=-121",'Data Fertilizers'!$Q:$Q,"&gt;=-180")</f>
        <v>0</v>
      </c>
      <c r="U33" s="19">
        <f>SUMIFS('Data Fertilizers'!$D:$D,'Data Fertilizers'!$P:$P,$B33,'Data Fertilizers'!$Q:$Q,"&lt;=-181",'Data Fertilizers'!$Q:$Q,"&gt;=-360")</f>
        <v>0</v>
      </c>
      <c r="V33" s="23">
        <f>SUMIFS('Data Fertilizers'!$D:$D,'Data Fertilizers'!$P:$P,$B33,'Data Fertilizers'!$Q:$Q,"&lt;-360")</f>
        <v>0</v>
      </c>
      <c r="W33" s="19" t="e">
        <f>SUMIFS('Bad Debt Provision'!#REF!,'Bad Debt Provision'!#REF!,'Painel Fertilizers'!$B11)</f>
        <v>#REF!</v>
      </c>
      <c r="X33" s="5"/>
      <c r="Y33" s="20">
        <v>0</v>
      </c>
      <c r="Z33" s="20">
        <v>0</v>
      </c>
      <c r="AA33" s="21">
        <v>0</v>
      </c>
      <c r="AB33" s="5"/>
      <c r="AC33" s="19">
        <v>0</v>
      </c>
      <c r="AD33" s="20">
        <v>0</v>
      </c>
      <c r="AE33" s="22"/>
      <c r="AF33" s="22"/>
      <c r="AG33" s="5"/>
      <c r="AH33" s="28">
        <f t="shared" si="5"/>
        <v>0</v>
      </c>
      <c r="AI33" s="5"/>
      <c r="AJ33" s="26"/>
    </row>
    <row r="34" spans="2:36" x14ac:dyDescent="0.25">
      <c r="B34" s="17" t="s">
        <v>180</v>
      </c>
      <c r="C34" s="104" cm="1">
        <f t="array" ref="C34">IFERROR(INDEX('Limite de crédito'!$D:$D, MATCH(MAX(IF('Limite de crédito'!$C:$C=$B34, 'Limite de crédito'!$A:$A)), 'Limite de crédito'!$A:$A, 0)),"")</f>
        <v>45803</v>
      </c>
      <c r="D34" s="107" t="str" cm="1">
        <f t="array" ref="D34">IFERROR(INDEX('Limite de crédito'!$F:$F, MATCH(MAX(IF('Limite de crédito'!$C:$C=$B34, 'Limite de crédito'!$A:$A)), 'Limite de crédito'!$A:$A, 0)),0)</f>
        <v>Sim</v>
      </c>
      <c r="E34" s="18" t="e">
        <f t="shared" si="2"/>
        <v>#VALUE!</v>
      </c>
      <c r="F34" s="18">
        <f t="shared" si="3"/>
        <v>0</v>
      </c>
      <c r="G34" s="19">
        <f>SUMIFS('Data Fertilizers'!$D:$D,'Data Fertilizers'!$P:$P,$B34,'Data Fertilizers'!$Q:$Q,"&gt;0",'Data Fertilizers'!$Q:$Q,"&lt;=30")</f>
        <v>0</v>
      </c>
      <c r="H34" s="19">
        <f>SUMIFS('Data Fertilizers'!$D:$D,'Data Fertilizers'!$P:$P,$B34,'Data Fertilizers'!$Q:$Q,"&gt;30",'Data Fertilizers'!$Q:$Q,"&lt;=60")</f>
        <v>0</v>
      </c>
      <c r="I34" s="19">
        <f>SUMIFS('Data Fertilizers'!$D:$D,'Data Fertilizers'!$P:$P,$B34,'Data Fertilizers'!$Q:$Q,"&gt;60",'Data Fertilizers'!$Q:$Q,"&lt;=90")</f>
        <v>0</v>
      </c>
      <c r="J34" s="19">
        <f>SUMIFS('Data Fertilizers'!$D:$D,'Data Fertilizers'!$P:$P,$B34,'Data Fertilizers'!$Q:$Q,"&gt;90",'Data Fertilizers'!$Q:$Q,"&lt;=120")</f>
        <v>0</v>
      </c>
      <c r="K34" s="19">
        <f>SUMIFS('Data Fertilizers'!$D:$D,'Data Fertilizers'!$P:$P,$B34,'Data Fertilizers'!$Q:$Q,"&gt;120",'Data Fertilizers'!$Q:$Q,"&lt;=180")</f>
        <v>0</v>
      </c>
      <c r="L34" s="19">
        <f>SUMIFS('Data Fertilizers'!$D:$D,'Data Fertilizers'!$P:$P,$B34,'Data Fertilizers'!$Q:$Q,"&gt;180",'Data Fertilizers'!$Q:$Q,"&lt;=360")</f>
        <v>0</v>
      </c>
      <c r="M34" s="23">
        <f>SUMIFS('Data Fertilizers'!$D:$D,'Data Fertilizers'!$P:$P,$B34,'Data Fertilizers'!$Q:$Q,"&gt;360")</f>
        <v>0</v>
      </c>
      <c r="N34" s="19">
        <f>SUMIFS('Data Fertilizers'!$D:$D,'Data Fertilizers'!$P:$P,$B34,'Data Fertilizers'!$Q:$Q,"&gt;0")</f>
        <v>0</v>
      </c>
      <c r="O34" s="19">
        <f t="shared" si="4"/>
        <v>0</v>
      </c>
      <c r="P34" s="19">
        <f>SUMIFS('Data Fertilizers'!$D:$D,'Data Fertilizers'!$P:$P,$B34,'Data Fertilizers'!$Q:$Q,"&lt;=0",'Data Fertilizers'!$Q:$Q,"&gt;=-30")</f>
        <v>0</v>
      </c>
      <c r="Q34" s="19">
        <f>SUMIFS('Data Fertilizers'!$D:$D,'Data Fertilizers'!$P:$P,$B34,'Data Fertilizers'!$Q:$Q,"&lt;=-31",'Data Fertilizers'!$Q:$Q,"&gt;=-60")</f>
        <v>0</v>
      </c>
      <c r="R34" s="19">
        <f>SUMIFS('Data Fertilizers'!$D:$D,'Data Fertilizers'!$P:$P,$B34,'Data Fertilizers'!$Q:$Q,"&lt;=-61",'Data Fertilizers'!$Q:$Q,"&gt;=-90")</f>
        <v>0</v>
      </c>
      <c r="S34" s="19">
        <f>SUMIFS('Data Fertilizers'!$D:$D,'Data Fertilizers'!$P:$P,$B34,'Data Fertilizers'!$Q:$Q,"&lt;=-91",'Data Fertilizers'!$Q:$Q,"&gt;=-120")</f>
        <v>0</v>
      </c>
      <c r="T34" s="19">
        <f>SUMIFS('Data Fertilizers'!$D:$D,'Data Fertilizers'!$P:$P,$B34,'Data Fertilizers'!$Q:$Q,"&lt;=-121",'Data Fertilizers'!$Q:$Q,"&gt;=-180")</f>
        <v>0</v>
      </c>
      <c r="U34" s="19">
        <f>SUMIFS('Data Fertilizers'!$D:$D,'Data Fertilizers'!$P:$P,$B34,'Data Fertilizers'!$Q:$Q,"&lt;=-181",'Data Fertilizers'!$Q:$Q,"&gt;=-360")</f>
        <v>0</v>
      </c>
      <c r="V34" s="23">
        <f>SUMIFS('Data Fertilizers'!$D:$D,'Data Fertilizers'!$P:$P,$B34,'Data Fertilizers'!$Q:$Q,"&lt;-360")</f>
        <v>0</v>
      </c>
      <c r="W34" s="19" t="e">
        <f>SUMIFS('Bad Debt Provision'!#REF!,'Bad Debt Provision'!#REF!,'Painel Fertilizers'!#REF!)</f>
        <v>#REF!</v>
      </c>
      <c r="X34" s="5"/>
      <c r="Y34" s="20">
        <v>150000</v>
      </c>
      <c r="Z34" s="20" t="s">
        <v>227</v>
      </c>
      <c r="AA34" s="21">
        <v>120</v>
      </c>
      <c r="AB34" s="5"/>
      <c r="AC34" s="19">
        <v>0</v>
      </c>
      <c r="AD34" s="20">
        <v>0</v>
      </c>
      <c r="AE34" s="22"/>
      <c r="AF34" s="22"/>
      <c r="AG34" s="5"/>
      <c r="AH34" s="28">
        <f t="shared" si="5"/>
        <v>0</v>
      </c>
      <c r="AI34" s="5"/>
      <c r="AJ34" s="26"/>
    </row>
    <row r="35" spans="2:36" x14ac:dyDescent="0.25">
      <c r="B35" s="17" t="s">
        <v>184</v>
      </c>
      <c r="C35" s="104" t="str" cm="1">
        <f t="array" ref="C35">IFERROR(INDEX('Limite de crédito'!$D:$D, MATCH(MAX(IF('Limite de crédito'!$C:$C=$B35, 'Limite de crédito'!$A:$A)), 'Limite de crédito'!$A:$A, 0)),"")</f>
        <v/>
      </c>
      <c r="D35" s="107" cm="1">
        <f t="array" ref="D35">IFERROR(INDEX('Limite de crédito'!$F:$F, MATCH(MAX(IF('Limite de crédito'!$C:$C=$B35, 'Limite de crédito'!$A:$A)), 'Limite de crédito'!$A:$A, 0)),0)</f>
        <v>0</v>
      </c>
      <c r="E35" s="18">
        <f t="shared" si="2"/>
        <v>0</v>
      </c>
      <c r="F35" s="18">
        <f t="shared" si="3"/>
        <v>0</v>
      </c>
      <c r="G35" s="19">
        <f>SUMIFS('Data Fertilizers'!$D:$D,'Data Fertilizers'!$P:$P,$B35,'Data Fertilizers'!$Q:$Q,"&gt;0",'Data Fertilizers'!$Q:$Q,"&lt;=30")</f>
        <v>0</v>
      </c>
      <c r="H35" s="19">
        <f>SUMIFS('Data Fertilizers'!$D:$D,'Data Fertilizers'!$P:$P,$B35,'Data Fertilizers'!$Q:$Q,"&gt;30",'Data Fertilizers'!$Q:$Q,"&lt;=60")</f>
        <v>0</v>
      </c>
      <c r="I35" s="19">
        <f>SUMIFS('Data Fertilizers'!$D:$D,'Data Fertilizers'!$P:$P,$B35,'Data Fertilizers'!$Q:$Q,"&gt;60",'Data Fertilizers'!$Q:$Q,"&lt;=90")</f>
        <v>0</v>
      </c>
      <c r="J35" s="19">
        <f>SUMIFS('Data Fertilizers'!$D:$D,'Data Fertilizers'!$P:$P,$B35,'Data Fertilizers'!$Q:$Q,"&gt;90",'Data Fertilizers'!$Q:$Q,"&lt;=120")</f>
        <v>0</v>
      </c>
      <c r="K35" s="19">
        <f>SUMIFS('Data Fertilizers'!$D:$D,'Data Fertilizers'!$P:$P,$B35,'Data Fertilizers'!$Q:$Q,"&gt;120",'Data Fertilizers'!$Q:$Q,"&lt;=180")</f>
        <v>0</v>
      </c>
      <c r="L35" s="19">
        <f>SUMIFS('Data Fertilizers'!$D:$D,'Data Fertilizers'!$P:$P,$B35,'Data Fertilizers'!$Q:$Q,"&gt;180",'Data Fertilizers'!$Q:$Q,"&lt;=360")</f>
        <v>0</v>
      </c>
      <c r="M35" s="23">
        <f>SUMIFS('Data Fertilizers'!$D:$D,'Data Fertilizers'!$P:$P,$B35,'Data Fertilizers'!$Q:$Q,"&gt;360")</f>
        <v>0</v>
      </c>
      <c r="N35" s="19">
        <f>SUMIFS('Data Fertilizers'!$D:$D,'Data Fertilizers'!$P:$P,$B35,'Data Fertilizers'!$Q:$Q,"&gt;0")</f>
        <v>0</v>
      </c>
      <c r="O35" s="19">
        <f t="shared" si="4"/>
        <v>0</v>
      </c>
      <c r="P35" s="19">
        <f>SUMIFS('Data Fertilizers'!$D:$D,'Data Fertilizers'!$P:$P,$B35,'Data Fertilizers'!$Q:$Q,"&lt;=0",'Data Fertilizers'!$Q:$Q,"&gt;=-30")</f>
        <v>0</v>
      </c>
      <c r="Q35" s="19">
        <f>SUMIFS('Data Fertilizers'!$D:$D,'Data Fertilizers'!$P:$P,$B35,'Data Fertilizers'!$Q:$Q,"&lt;=-31",'Data Fertilizers'!$Q:$Q,"&gt;=-60")</f>
        <v>0</v>
      </c>
      <c r="R35" s="19">
        <f>SUMIFS('Data Fertilizers'!$D:$D,'Data Fertilizers'!$P:$P,$B35,'Data Fertilizers'!$Q:$Q,"&lt;=-61",'Data Fertilizers'!$Q:$Q,"&gt;=-90")</f>
        <v>0</v>
      </c>
      <c r="S35" s="19">
        <f>SUMIFS('Data Fertilizers'!$D:$D,'Data Fertilizers'!$P:$P,$B35,'Data Fertilizers'!$Q:$Q,"&lt;=-91",'Data Fertilizers'!$Q:$Q,"&gt;=-120")</f>
        <v>0</v>
      </c>
      <c r="T35" s="19">
        <f>SUMIFS('Data Fertilizers'!$D:$D,'Data Fertilizers'!$P:$P,$B35,'Data Fertilizers'!$Q:$Q,"&lt;=-121",'Data Fertilizers'!$Q:$Q,"&gt;=-180")</f>
        <v>0</v>
      </c>
      <c r="U35" s="19">
        <f>SUMIFS('Data Fertilizers'!$D:$D,'Data Fertilizers'!$P:$P,$B35,'Data Fertilizers'!$Q:$Q,"&lt;=-181",'Data Fertilizers'!$Q:$Q,"&gt;=-360")</f>
        <v>0</v>
      </c>
      <c r="V35" s="23">
        <f>SUMIFS('Data Fertilizers'!$D:$D,'Data Fertilizers'!$P:$P,$B35,'Data Fertilizers'!$Q:$Q,"&lt;-360")</f>
        <v>0</v>
      </c>
      <c r="W35" s="19" t="e">
        <f>SUMIFS('Bad Debt Provision'!#REF!,'Bad Debt Provision'!#REF!,'Painel Fertilizers'!$B13)</f>
        <v>#REF!</v>
      </c>
      <c r="X35" s="5"/>
      <c r="Y35" s="20">
        <v>1000000</v>
      </c>
      <c r="Z35" s="20" t="s">
        <v>227</v>
      </c>
      <c r="AA35" s="21">
        <v>120</v>
      </c>
      <c r="AB35" s="5"/>
      <c r="AC35" s="19">
        <v>0</v>
      </c>
      <c r="AD35" s="20">
        <v>0</v>
      </c>
      <c r="AE35" s="22"/>
      <c r="AF35" s="22"/>
      <c r="AG35" s="5"/>
      <c r="AH35" s="28">
        <f t="shared" si="5"/>
        <v>0</v>
      </c>
      <c r="AI35" s="5"/>
      <c r="AJ35" s="26"/>
    </row>
    <row r="36" spans="2:36" x14ac:dyDescent="0.25">
      <c r="B36" s="17" t="s">
        <v>185</v>
      </c>
      <c r="C36" s="104" t="str" cm="1">
        <f t="array" ref="C36">IFERROR(INDEX('Limite de crédito'!$D:$D, MATCH(MAX(IF('Limite de crédito'!$C:$C=$B36, 'Limite de crédito'!$A:$A)), 'Limite de crédito'!$A:$A, 0)),"")</f>
        <v/>
      </c>
      <c r="D36" s="107" cm="1">
        <f t="array" ref="D36">IFERROR(INDEX('Limite de crédito'!$F:$F, MATCH(MAX(IF('Limite de crédito'!$C:$C=$B36, 'Limite de crédito'!$A:$A)), 'Limite de crédito'!$A:$A, 0)),0)</f>
        <v>0</v>
      </c>
      <c r="E36" s="18">
        <f t="shared" ref="E36:E62" si="6">D36-F36</f>
        <v>0</v>
      </c>
      <c r="F36" s="18">
        <f t="shared" ref="F36:F62" si="7">O36+N36</f>
        <v>0</v>
      </c>
      <c r="G36" s="19">
        <f>SUMIFS('Data Fertilizers'!$D:$D,'Data Fertilizers'!$P:$P,$B36,'Data Fertilizers'!$Q:$Q,"&gt;0",'Data Fertilizers'!$Q:$Q,"&lt;=30")</f>
        <v>0</v>
      </c>
      <c r="H36" s="19">
        <f>SUMIFS('Data Fertilizers'!$D:$D,'Data Fertilizers'!$P:$P,$B36,'Data Fertilizers'!$Q:$Q,"&gt;30",'Data Fertilizers'!$Q:$Q,"&lt;=60")</f>
        <v>0</v>
      </c>
      <c r="I36" s="19">
        <f>SUMIFS('Data Fertilizers'!$D:$D,'Data Fertilizers'!$P:$P,$B36,'Data Fertilizers'!$Q:$Q,"&gt;60",'Data Fertilizers'!$Q:$Q,"&lt;=90")</f>
        <v>0</v>
      </c>
      <c r="J36" s="19">
        <f>SUMIFS('Data Fertilizers'!$D:$D,'Data Fertilizers'!$P:$P,$B36,'Data Fertilizers'!$Q:$Q,"&gt;90",'Data Fertilizers'!$Q:$Q,"&lt;=120")</f>
        <v>0</v>
      </c>
      <c r="K36" s="19">
        <f>SUMIFS('Data Fertilizers'!$D:$D,'Data Fertilizers'!$P:$P,$B36,'Data Fertilizers'!$Q:$Q,"&gt;120",'Data Fertilizers'!$Q:$Q,"&lt;=180")</f>
        <v>0</v>
      </c>
      <c r="L36" s="19">
        <f>SUMIFS('Data Fertilizers'!$D:$D,'Data Fertilizers'!$P:$P,$B36,'Data Fertilizers'!$Q:$Q,"&gt;180",'Data Fertilizers'!$Q:$Q,"&lt;=360")</f>
        <v>0</v>
      </c>
      <c r="M36" s="23">
        <f>SUMIFS('Data Fertilizers'!$D:$D,'Data Fertilizers'!$P:$P,$B36,'Data Fertilizers'!$Q:$Q,"&gt;360")</f>
        <v>0</v>
      </c>
      <c r="N36" s="19">
        <f>SUMIFS('Data Fertilizers'!$D:$D,'Data Fertilizers'!$P:$P,$B36,'Data Fertilizers'!$Q:$Q,"&gt;0")</f>
        <v>0</v>
      </c>
      <c r="O36" s="19">
        <f t="shared" ref="O36:O62" si="8">SUBTOTAL(9,P36:V36)</f>
        <v>0</v>
      </c>
      <c r="P36" s="19">
        <f>SUMIFS('Data Fertilizers'!$D:$D,'Data Fertilizers'!$P:$P,$B36,'Data Fertilizers'!$Q:$Q,"&lt;=0",'Data Fertilizers'!$Q:$Q,"&gt;=-30")</f>
        <v>0</v>
      </c>
      <c r="Q36" s="19">
        <f>SUMIFS('Data Fertilizers'!$D:$D,'Data Fertilizers'!$P:$P,$B36,'Data Fertilizers'!$Q:$Q,"&lt;=-31",'Data Fertilizers'!$Q:$Q,"&gt;=-60")</f>
        <v>0</v>
      </c>
      <c r="R36" s="19">
        <f>SUMIFS('Data Fertilizers'!$D:$D,'Data Fertilizers'!$P:$P,$B36,'Data Fertilizers'!$Q:$Q,"&lt;=-61",'Data Fertilizers'!$Q:$Q,"&gt;=-90")</f>
        <v>0</v>
      </c>
      <c r="S36" s="19">
        <f>SUMIFS('Data Fertilizers'!$D:$D,'Data Fertilizers'!$P:$P,$B36,'Data Fertilizers'!$Q:$Q,"&lt;=-91",'Data Fertilizers'!$Q:$Q,"&gt;=-120")</f>
        <v>0</v>
      </c>
      <c r="T36" s="19">
        <f>SUMIFS('Data Fertilizers'!$D:$D,'Data Fertilizers'!$P:$P,$B36,'Data Fertilizers'!$Q:$Q,"&lt;=-121",'Data Fertilizers'!$Q:$Q,"&gt;=-180")</f>
        <v>0</v>
      </c>
      <c r="U36" s="19">
        <f>SUMIFS('Data Fertilizers'!$D:$D,'Data Fertilizers'!$P:$P,$B36,'Data Fertilizers'!$Q:$Q,"&lt;=-181",'Data Fertilizers'!$Q:$Q,"&gt;=-360")</f>
        <v>0</v>
      </c>
      <c r="V36" s="23">
        <f>SUMIFS('Data Fertilizers'!$D:$D,'Data Fertilizers'!$P:$P,$B36,'Data Fertilizers'!$Q:$Q,"&lt;-360")</f>
        <v>0</v>
      </c>
      <c r="W36" s="19" t="e">
        <f>SUMIFS('Bad Debt Provision'!#REF!,'Bad Debt Provision'!#REF!,'Painel Fertilizers'!$B14)</f>
        <v>#REF!</v>
      </c>
      <c r="X36" s="5"/>
      <c r="Y36" s="20">
        <v>1000000</v>
      </c>
      <c r="Z36" s="20" t="s">
        <v>230</v>
      </c>
      <c r="AA36" s="21">
        <v>90</v>
      </c>
      <c r="AB36" s="5"/>
      <c r="AC36" s="19">
        <v>0</v>
      </c>
      <c r="AD36" s="20">
        <v>0</v>
      </c>
      <c r="AE36" s="22"/>
      <c r="AF36" s="22"/>
      <c r="AG36" s="5"/>
      <c r="AH36" s="28">
        <f t="shared" ref="AH36:AH62" si="9">AC36-F36</f>
        <v>0</v>
      </c>
      <c r="AI36" s="5"/>
      <c r="AJ36" s="26"/>
    </row>
    <row r="37" spans="2:36" x14ac:dyDescent="0.25">
      <c r="B37" s="17" t="s">
        <v>193</v>
      </c>
      <c r="C37" s="104" cm="1">
        <f t="array" ref="C37">IFERROR(INDEX('Limite de crédito'!$D:$D, MATCH(MAX(IF('Limite de crédito'!$C:$C=$B37, 'Limite de crédito'!$A:$A)), 'Limite de crédito'!$A:$A, 0)),"")</f>
        <v>45804</v>
      </c>
      <c r="D37" s="107" t="str" cm="1">
        <f t="array" ref="D37">IFERROR(INDEX('Limite de crédito'!$F:$F, MATCH(MAX(IF('Limite de crédito'!$C:$C=$B37, 'Limite de crédito'!$A:$A)), 'Limite de crédito'!$A:$A, 0)),0)</f>
        <v>Sim</v>
      </c>
      <c r="E37" s="18" t="e">
        <f t="shared" si="6"/>
        <v>#VALUE!</v>
      </c>
      <c r="F37" s="18">
        <f t="shared" si="7"/>
        <v>0</v>
      </c>
      <c r="G37" s="19">
        <f>SUMIFS('Data Fertilizers'!$D:$D,'Data Fertilizers'!$P:$P,$B37,'Data Fertilizers'!$Q:$Q,"&gt;0",'Data Fertilizers'!$Q:$Q,"&lt;=30")</f>
        <v>0</v>
      </c>
      <c r="H37" s="19">
        <f>SUMIFS('Data Fertilizers'!$D:$D,'Data Fertilizers'!$P:$P,$B37,'Data Fertilizers'!$Q:$Q,"&gt;30",'Data Fertilizers'!$Q:$Q,"&lt;=60")</f>
        <v>0</v>
      </c>
      <c r="I37" s="19">
        <f>SUMIFS('Data Fertilizers'!$D:$D,'Data Fertilizers'!$P:$P,$B37,'Data Fertilizers'!$Q:$Q,"&gt;60",'Data Fertilizers'!$Q:$Q,"&lt;=90")</f>
        <v>0</v>
      </c>
      <c r="J37" s="19">
        <f>SUMIFS('Data Fertilizers'!$D:$D,'Data Fertilizers'!$P:$P,$B37,'Data Fertilizers'!$Q:$Q,"&gt;90",'Data Fertilizers'!$Q:$Q,"&lt;=120")</f>
        <v>0</v>
      </c>
      <c r="K37" s="19">
        <f>SUMIFS('Data Fertilizers'!$D:$D,'Data Fertilizers'!$P:$P,$B37,'Data Fertilizers'!$Q:$Q,"&gt;120",'Data Fertilizers'!$Q:$Q,"&lt;=180")</f>
        <v>0</v>
      </c>
      <c r="L37" s="19">
        <f>SUMIFS('Data Fertilizers'!$D:$D,'Data Fertilizers'!$P:$P,$B37,'Data Fertilizers'!$Q:$Q,"&gt;180",'Data Fertilizers'!$Q:$Q,"&lt;=360")</f>
        <v>0</v>
      </c>
      <c r="M37" s="23">
        <f>SUMIFS('Data Fertilizers'!$D:$D,'Data Fertilizers'!$P:$P,$B37,'Data Fertilizers'!$Q:$Q,"&gt;360")</f>
        <v>0</v>
      </c>
      <c r="N37" s="19">
        <f>SUMIFS('Data Fertilizers'!$D:$D,'Data Fertilizers'!$P:$P,$B37,'Data Fertilizers'!$Q:$Q,"&gt;0")</f>
        <v>0</v>
      </c>
      <c r="O37" s="19">
        <f t="shared" si="8"/>
        <v>0</v>
      </c>
      <c r="P37" s="19">
        <f>SUMIFS('Data Fertilizers'!$D:$D,'Data Fertilizers'!$P:$P,$B37,'Data Fertilizers'!$Q:$Q,"&lt;=0",'Data Fertilizers'!$Q:$Q,"&gt;=-30")</f>
        <v>0</v>
      </c>
      <c r="Q37" s="19">
        <f>SUMIFS('Data Fertilizers'!$D:$D,'Data Fertilizers'!$P:$P,$B37,'Data Fertilizers'!$Q:$Q,"&lt;=-31",'Data Fertilizers'!$Q:$Q,"&gt;=-60")</f>
        <v>0</v>
      </c>
      <c r="R37" s="19">
        <f>SUMIFS('Data Fertilizers'!$D:$D,'Data Fertilizers'!$P:$P,$B37,'Data Fertilizers'!$Q:$Q,"&lt;=-61",'Data Fertilizers'!$Q:$Q,"&gt;=-90")</f>
        <v>0</v>
      </c>
      <c r="S37" s="19">
        <f>SUMIFS('Data Fertilizers'!$D:$D,'Data Fertilizers'!$P:$P,$B37,'Data Fertilizers'!$Q:$Q,"&lt;=-91",'Data Fertilizers'!$Q:$Q,"&gt;=-120")</f>
        <v>0</v>
      </c>
      <c r="T37" s="19">
        <f>SUMIFS('Data Fertilizers'!$D:$D,'Data Fertilizers'!$P:$P,$B37,'Data Fertilizers'!$Q:$Q,"&lt;=-121",'Data Fertilizers'!$Q:$Q,"&gt;=-180")</f>
        <v>0</v>
      </c>
      <c r="U37" s="19">
        <f>SUMIFS('Data Fertilizers'!$D:$D,'Data Fertilizers'!$P:$P,$B37,'Data Fertilizers'!$Q:$Q,"&lt;=-181",'Data Fertilizers'!$Q:$Q,"&gt;=-360")</f>
        <v>0</v>
      </c>
      <c r="V37" s="23">
        <f>SUMIFS('Data Fertilizers'!$D:$D,'Data Fertilizers'!$P:$P,$B37,'Data Fertilizers'!$Q:$Q,"&lt;-360")</f>
        <v>0</v>
      </c>
      <c r="W37" s="19" t="e">
        <f>SUMIFS('Bad Debt Provision'!#REF!,'Bad Debt Provision'!#REF!,'Painel Fertilizers'!$B15)</f>
        <v>#REF!</v>
      </c>
      <c r="X37" s="5"/>
      <c r="Y37" s="20">
        <v>1207533.77</v>
      </c>
      <c r="Z37" s="20" t="s">
        <v>226</v>
      </c>
      <c r="AA37" s="21">
        <v>360</v>
      </c>
      <c r="AB37" s="5"/>
      <c r="AC37" s="19">
        <v>0</v>
      </c>
      <c r="AD37" s="20">
        <v>0</v>
      </c>
      <c r="AE37" s="22"/>
      <c r="AF37" s="22"/>
      <c r="AG37" s="5"/>
      <c r="AH37" s="28">
        <f t="shared" si="9"/>
        <v>0</v>
      </c>
      <c r="AI37" s="5"/>
      <c r="AJ37" s="26"/>
    </row>
    <row r="38" spans="2:36" x14ac:dyDescent="0.25">
      <c r="B38" s="17" t="s">
        <v>203</v>
      </c>
      <c r="C38" s="104" cm="1">
        <f t="array" ref="C38">IFERROR(INDEX('Limite de crédito'!$D:$D, MATCH(MAX(IF('Limite de crédito'!$C:$C=$B38, 'Limite de crédito'!$A:$A)), 'Limite de crédito'!$A:$A, 0)),"")</f>
        <v>45804</v>
      </c>
      <c r="D38" s="107" t="str" cm="1">
        <f t="array" ref="D38">IFERROR(INDEX('Limite de crédito'!$F:$F, MATCH(MAX(IF('Limite de crédito'!$C:$C=$B38, 'Limite de crédito'!$A:$A)), 'Limite de crédito'!$A:$A, 0)),0)</f>
        <v>Sim</v>
      </c>
      <c r="E38" s="18" t="e">
        <f t="shared" si="6"/>
        <v>#VALUE!</v>
      </c>
      <c r="F38" s="18">
        <f t="shared" si="7"/>
        <v>0</v>
      </c>
      <c r="G38" s="19">
        <f>SUMIFS('Data Fertilizers'!$D:$D,'Data Fertilizers'!$P:$P,$B38,'Data Fertilizers'!$Q:$Q,"&gt;0",'Data Fertilizers'!$Q:$Q,"&lt;=30")</f>
        <v>0</v>
      </c>
      <c r="H38" s="19">
        <f>SUMIFS('Data Fertilizers'!$D:$D,'Data Fertilizers'!$P:$P,$B38,'Data Fertilizers'!$Q:$Q,"&gt;30",'Data Fertilizers'!$Q:$Q,"&lt;=60")</f>
        <v>0</v>
      </c>
      <c r="I38" s="19">
        <f>SUMIFS('Data Fertilizers'!$D:$D,'Data Fertilizers'!$P:$P,$B38,'Data Fertilizers'!$Q:$Q,"&gt;60",'Data Fertilizers'!$Q:$Q,"&lt;=90")</f>
        <v>0</v>
      </c>
      <c r="J38" s="19">
        <f>SUMIFS('Data Fertilizers'!$D:$D,'Data Fertilizers'!$P:$P,$B38,'Data Fertilizers'!$Q:$Q,"&gt;90",'Data Fertilizers'!$Q:$Q,"&lt;=120")</f>
        <v>0</v>
      </c>
      <c r="K38" s="19">
        <f>SUMIFS('Data Fertilizers'!$D:$D,'Data Fertilizers'!$P:$P,$B38,'Data Fertilizers'!$Q:$Q,"&gt;120",'Data Fertilizers'!$Q:$Q,"&lt;=180")</f>
        <v>0</v>
      </c>
      <c r="L38" s="19">
        <f>SUMIFS('Data Fertilizers'!$D:$D,'Data Fertilizers'!$P:$P,$B38,'Data Fertilizers'!$Q:$Q,"&gt;180",'Data Fertilizers'!$Q:$Q,"&lt;=360")</f>
        <v>0</v>
      </c>
      <c r="M38" s="23">
        <f>SUMIFS('Data Fertilizers'!$D:$D,'Data Fertilizers'!$P:$P,$B38,'Data Fertilizers'!$Q:$Q,"&gt;360")</f>
        <v>0</v>
      </c>
      <c r="N38" s="19">
        <f>SUMIFS('Data Fertilizers'!$D:$D,'Data Fertilizers'!$P:$P,$B38,'Data Fertilizers'!$Q:$Q,"&gt;0")</f>
        <v>0</v>
      </c>
      <c r="O38" s="19">
        <f t="shared" si="8"/>
        <v>0</v>
      </c>
      <c r="P38" s="19">
        <f>SUMIFS('Data Fertilizers'!$D:$D,'Data Fertilizers'!$P:$P,$B38,'Data Fertilizers'!$Q:$Q,"&lt;=0",'Data Fertilizers'!$Q:$Q,"&gt;=-30")</f>
        <v>0</v>
      </c>
      <c r="Q38" s="19">
        <f>SUMIFS('Data Fertilizers'!$D:$D,'Data Fertilizers'!$P:$P,$B38,'Data Fertilizers'!$Q:$Q,"&lt;=-31",'Data Fertilizers'!$Q:$Q,"&gt;=-60")</f>
        <v>0</v>
      </c>
      <c r="R38" s="19">
        <f>SUMIFS('Data Fertilizers'!$D:$D,'Data Fertilizers'!$P:$P,$B38,'Data Fertilizers'!$Q:$Q,"&lt;=-61",'Data Fertilizers'!$Q:$Q,"&gt;=-90")</f>
        <v>0</v>
      </c>
      <c r="S38" s="19">
        <f>SUMIFS('Data Fertilizers'!$D:$D,'Data Fertilizers'!$P:$P,$B38,'Data Fertilizers'!$Q:$Q,"&lt;=-91",'Data Fertilizers'!$Q:$Q,"&gt;=-120")</f>
        <v>0</v>
      </c>
      <c r="T38" s="19">
        <f>SUMIFS('Data Fertilizers'!$D:$D,'Data Fertilizers'!$P:$P,$B38,'Data Fertilizers'!$Q:$Q,"&lt;=-121",'Data Fertilizers'!$Q:$Q,"&gt;=-180")</f>
        <v>0</v>
      </c>
      <c r="U38" s="19">
        <f>SUMIFS('Data Fertilizers'!$D:$D,'Data Fertilizers'!$P:$P,$B38,'Data Fertilizers'!$Q:$Q,"&lt;=-181",'Data Fertilizers'!$Q:$Q,"&gt;=-360")</f>
        <v>0</v>
      </c>
      <c r="V38" s="23">
        <f>SUMIFS('Data Fertilizers'!$D:$D,'Data Fertilizers'!$P:$P,$B38,'Data Fertilizers'!$Q:$Q,"&lt;-360")</f>
        <v>0</v>
      </c>
      <c r="W38" s="19" t="e">
        <f>SUMIFS('Bad Debt Provision'!#REF!,'Bad Debt Provision'!#REF!,'Painel Fertilizers'!$B17)</f>
        <v>#REF!</v>
      </c>
      <c r="X38" s="5"/>
      <c r="Y38" s="20">
        <v>0</v>
      </c>
      <c r="Z38" s="20">
        <v>0</v>
      </c>
      <c r="AA38" s="21">
        <v>0</v>
      </c>
      <c r="AB38" s="5"/>
      <c r="AC38" s="19">
        <v>0</v>
      </c>
      <c r="AD38" s="20">
        <v>0</v>
      </c>
      <c r="AE38" s="22"/>
      <c r="AF38" s="22"/>
      <c r="AG38" s="5"/>
      <c r="AH38" s="28">
        <f t="shared" si="9"/>
        <v>0</v>
      </c>
      <c r="AI38" s="5"/>
      <c r="AJ38" s="26"/>
    </row>
    <row r="39" spans="2:36" x14ac:dyDescent="0.25">
      <c r="B39" s="111" t="s">
        <v>205</v>
      </c>
      <c r="C39" s="104" t="str" cm="1">
        <f t="array" ref="C39">IFERROR(INDEX('Limite de crédito'!$D:$D, MATCH(MAX(IF('Limite de crédito'!$C:$C=$B39, 'Limite de crédito'!$A:$A)), 'Limite de crédito'!$A:$A, 0)),"")</f>
        <v/>
      </c>
      <c r="D39" s="107" cm="1">
        <f t="array" ref="D39">IFERROR(INDEX('Limite de crédito'!$F:$F, MATCH(MAX(IF('Limite de crédito'!$C:$C=$B39, 'Limite de crédito'!$A:$A)), 'Limite de crédito'!$A:$A, 0)),0)</f>
        <v>0</v>
      </c>
      <c r="E39" s="18">
        <f t="shared" si="6"/>
        <v>0</v>
      </c>
      <c r="F39" s="18">
        <f t="shared" si="7"/>
        <v>0</v>
      </c>
      <c r="G39" s="19">
        <f>SUMIFS('Data Fertilizers'!$D:$D,'Data Fertilizers'!$P:$P,$B39,'Data Fertilizers'!$Q:$Q,"&gt;0",'Data Fertilizers'!$Q:$Q,"&lt;=30")</f>
        <v>0</v>
      </c>
      <c r="H39" s="19">
        <f>SUMIFS('Data Fertilizers'!$D:$D,'Data Fertilizers'!$P:$P,$B39,'Data Fertilizers'!$Q:$Q,"&gt;30",'Data Fertilizers'!$Q:$Q,"&lt;=60")</f>
        <v>0</v>
      </c>
      <c r="I39" s="19">
        <f>SUMIFS('Data Fertilizers'!$D:$D,'Data Fertilizers'!$P:$P,$B39,'Data Fertilizers'!$Q:$Q,"&gt;60",'Data Fertilizers'!$Q:$Q,"&lt;=90")</f>
        <v>0</v>
      </c>
      <c r="J39" s="19">
        <f>SUMIFS('Data Fertilizers'!$D:$D,'Data Fertilizers'!$P:$P,$B39,'Data Fertilizers'!$Q:$Q,"&gt;90",'Data Fertilizers'!$Q:$Q,"&lt;=120")</f>
        <v>0</v>
      </c>
      <c r="K39" s="19">
        <f>SUMIFS('Data Fertilizers'!$D:$D,'Data Fertilizers'!$P:$P,$B39,'Data Fertilizers'!$Q:$Q,"&gt;120",'Data Fertilizers'!$Q:$Q,"&lt;=180")</f>
        <v>0</v>
      </c>
      <c r="L39" s="19">
        <f>SUMIFS('Data Fertilizers'!$D:$D,'Data Fertilizers'!$P:$P,$B39,'Data Fertilizers'!$Q:$Q,"&gt;180",'Data Fertilizers'!$Q:$Q,"&lt;=360")</f>
        <v>0</v>
      </c>
      <c r="M39" s="23">
        <f>SUMIFS('Data Fertilizers'!$D:$D,'Data Fertilizers'!$P:$P,$B39,'Data Fertilizers'!$Q:$Q,"&gt;360")</f>
        <v>0</v>
      </c>
      <c r="N39" s="19">
        <f>SUMIFS('Data Fertilizers'!$D:$D,'Data Fertilizers'!$P:$P,$B39,'Data Fertilizers'!$Q:$Q,"&gt;0")</f>
        <v>0</v>
      </c>
      <c r="O39" s="19">
        <f t="shared" si="8"/>
        <v>0</v>
      </c>
      <c r="P39" s="19">
        <f>SUMIFS('Data Fertilizers'!$D:$D,'Data Fertilizers'!$P:$P,$B39,'Data Fertilizers'!$Q:$Q,"&lt;=0",'Data Fertilizers'!$Q:$Q,"&gt;=-30")</f>
        <v>0</v>
      </c>
      <c r="Q39" s="19">
        <f>SUMIFS('Data Fertilizers'!$D:$D,'Data Fertilizers'!$P:$P,$B39,'Data Fertilizers'!$Q:$Q,"&lt;=-31",'Data Fertilizers'!$Q:$Q,"&gt;=-60")</f>
        <v>0</v>
      </c>
      <c r="R39" s="19">
        <f>SUMIFS('Data Fertilizers'!$D:$D,'Data Fertilizers'!$P:$P,$B39,'Data Fertilizers'!$Q:$Q,"&lt;=-61",'Data Fertilizers'!$Q:$Q,"&gt;=-90")</f>
        <v>0</v>
      </c>
      <c r="S39" s="19">
        <f>SUMIFS('Data Fertilizers'!$D:$D,'Data Fertilizers'!$P:$P,$B39,'Data Fertilizers'!$Q:$Q,"&lt;=-91",'Data Fertilizers'!$Q:$Q,"&gt;=-120")</f>
        <v>0</v>
      </c>
      <c r="T39" s="19">
        <f>SUMIFS('Data Fertilizers'!$D:$D,'Data Fertilizers'!$P:$P,$B39,'Data Fertilizers'!$Q:$Q,"&lt;=-121",'Data Fertilizers'!$Q:$Q,"&gt;=-180")</f>
        <v>0</v>
      </c>
      <c r="U39" s="19">
        <f>SUMIFS('Data Fertilizers'!$D:$D,'Data Fertilizers'!$P:$P,$B39,'Data Fertilizers'!$Q:$Q,"&lt;=-181",'Data Fertilizers'!$Q:$Q,"&gt;=-360")</f>
        <v>0</v>
      </c>
      <c r="V39" s="23">
        <f>SUMIFS('Data Fertilizers'!$D:$D,'Data Fertilizers'!$P:$P,$B39,'Data Fertilizers'!$Q:$Q,"&lt;-360")</f>
        <v>0</v>
      </c>
      <c r="W39" s="19" t="e">
        <f>SUMIFS('Bad Debt Provision'!#REF!,'Bad Debt Provision'!#REF!,'Painel Fertilizers'!$B18)</f>
        <v>#REF!</v>
      </c>
      <c r="X39" s="5"/>
      <c r="Y39" s="20">
        <v>0</v>
      </c>
      <c r="Z39" s="20">
        <v>0</v>
      </c>
      <c r="AA39" s="21">
        <v>0</v>
      </c>
      <c r="AB39" s="5"/>
      <c r="AC39" s="19">
        <v>0</v>
      </c>
      <c r="AD39" s="20">
        <v>0</v>
      </c>
      <c r="AE39" s="22"/>
      <c r="AF39" s="22"/>
      <c r="AG39" s="5"/>
      <c r="AH39" s="28">
        <f t="shared" si="9"/>
        <v>0</v>
      </c>
      <c r="AI39" s="5"/>
      <c r="AJ39" s="26"/>
    </row>
    <row r="40" spans="2:36" x14ac:dyDescent="0.25">
      <c r="B40" s="111" t="s">
        <v>209</v>
      </c>
      <c r="C40" s="104" t="str" cm="1">
        <f t="array" ref="C40">IFERROR(INDEX('Limite de crédito'!$D:$D, MATCH(MAX(IF('Limite de crédito'!$C:$C=$B40, 'Limite de crédito'!$A:$A)), 'Limite de crédito'!$A:$A, 0)),"")</f>
        <v/>
      </c>
      <c r="D40" s="107" cm="1">
        <f t="array" ref="D40">IFERROR(INDEX('Limite de crédito'!$F:$F, MATCH(MAX(IF('Limite de crédito'!$C:$C=$B40, 'Limite de crédito'!$A:$A)), 'Limite de crédito'!$A:$A, 0)),0)</f>
        <v>0</v>
      </c>
      <c r="E40" s="18">
        <f t="shared" si="6"/>
        <v>0</v>
      </c>
      <c r="F40" s="18">
        <f t="shared" si="7"/>
        <v>0</v>
      </c>
      <c r="G40" s="19">
        <f>SUMIFS('Data Fertilizers'!$D:$D,'Data Fertilizers'!$P:$P,$B40,'Data Fertilizers'!$Q:$Q,"&gt;0",'Data Fertilizers'!$Q:$Q,"&lt;=30")</f>
        <v>0</v>
      </c>
      <c r="H40" s="19">
        <f>SUMIFS('Data Fertilizers'!$D:$D,'Data Fertilizers'!$P:$P,$B40,'Data Fertilizers'!$Q:$Q,"&gt;30",'Data Fertilizers'!$Q:$Q,"&lt;=60")</f>
        <v>0</v>
      </c>
      <c r="I40" s="19">
        <f>SUMIFS('Data Fertilizers'!$D:$D,'Data Fertilizers'!$P:$P,$B40,'Data Fertilizers'!$Q:$Q,"&gt;60",'Data Fertilizers'!$Q:$Q,"&lt;=90")</f>
        <v>0</v>
      </c>
      <c r="J40" s="19">
        <f>SUMIFS('Data Fertilizers'!$D:$D,'Data Fertilizers'!$P:$P,$B40,'Data Fertilizers'!$Q:$Q,"&gt;90",'Data Fertilizers'!$Q:$Q,"&lt;=120")</f>
        <v>0</v>
      </c>
      <c r="K40" s="19">
        <f>SUMIFS('Data Fertilizers'!$D:$D,'Data Fertilizers'!$P:$P,$B40,'Data Fertilizers'!$Q:$Q,"&gt;120",'Data Fertilizers'!$Q:$Q,"&lt;=180")</f>
        <v>0</v>
      </c>
      <c r="L40" s="19">
        <f>SUMIFS('Data Fertilizers'!$D:$D,'Data Fertilizers'!$P:$P,$B40,'Data Fertilizers'!$Q:$Q,"&gt;180",'Data Fertilizers'!$Q:$Q,"&lt;=360")</f>
        <v>0</v>
      </c>
      <c r="M40" s="23">
        <f>SUMIFS('Data Fertilizers'!$D:$D,'Data Fertilizers'!$P:$P,$B40,'Data Fertilizers'!$Q:$Q,"&gt;360")</f>
        <v>0</v>
      </c>
      <c r="N40" s="19">
        <f>SUMIFS('Data Fertilizers'!$D:$D,'Data Fertilizers'!$P:$P,$B40,'Data Fertilizers'!$Q:$Q,"&gt;0")</f>
        <v>0</v>
      </c>
      <c r="O40" s="19">
        <f t="shared" si="8"/>
        <v>0</v>
      </c>
      <c r="P40" s="19">
        <f>SUMIFS('Data Fertilizers'!$D:$D,'Data Fertilizers'!$P:$P,$B40,'Data Fertilizers'!$Q:$Q,"&lt;=0",'Data Fertilizers'!$Q:$Q,"&gt;=-30")</f>
        <v>0</v>
      </c>
      <c r="Q40" s="19">
        <f>SUMIFS('Data Fertilizers'!$D:$D,'Data Fertilizers'!$P:$P,$B40,'Data Fertilizers'!$Q:$Q,"&lt;=-31",'Data Fertilizers'!$Q:$Q,"&gt;=-60")</f>
        <v>0</v>
      </c>
      <c r="R40" s="19">
        <f>SUMIFS('Data Fertilizers'!$D:$D,'Data Fertilizers'!$P:$P,$B40,'Data Fertilizers'!$Q:$Q,"&lt;=-61",'Data Fertilizers'!$Q:$Q,"&gt;=-90")</f>
        <v>0</v>
      </c>
      <c r="S40" s="19">
        <f>SUMIFS('Data Fertilizers'!$D:$D,'Data Fertilizers'!$P:$P,$B40,'Data Fertilizers'!$Q:$Q,"&lt;=-91",'Data Fertilizers'!$Q:$Q,"&gt;=-120")</f>
        <v>0</v>
      </c>
      <c r="T40" s="19">
        <f>SUMIFS('Data Fertilizers'!$D:$D,'Data Fertilizers'!$P:$P,$B40,'Data Fertilizers'!$Q:$Q,"&lt;=-121",'Data Fertilizers'!$Q:$Q,"&gt;=-180")</f>
        <v>0</v>
      </c>
      <c r="U40" s="19">
        <f>SUMIFS('Data Fertilizers'!$D:$D,'Data Fertilizers'!$P:$P,$B40,'Data Fertilizers'!$Q:$Q,"&lt;=-181",'Data Fertilizers'!$Q:$Q,"&gt;=-360")</f>
        <v>0</v>
      </c>
      <c r="V40" s="23">
        <f>SUMIFS('Data Fertilizers'!$D:$D,'Data Fertilizers'!$P:$P,$B40,'Data Fertilizers'!$Q:$Q,"&lt;-360")</f>
        <v>0</v>
      </c>
      <c r="W40" s="19" t="e">
        <f>SUMIFS('Bad Debt Provision'!#REF!,'Bad Debt Provision'!#REF!,'Painel Fertilizers'!$B21)</f>
        <v>#REF!</v>
      </c>
      <c r="X40" s="5"/>
      <c r="Y40" s="20">
        <v>0</v>
      </c>
      <c r="Z40" s="20">
        <v>0</v>
      </c>
      <c r="AA40" s="21">
        <v>0</v>
      </c>
      <c r="AB40" s="5"/>
      <c r="AC40" s="19">
        <v>0</v>
      </c>
      <c r="AD40" s="20">
        <v>0</v>
      </c>
      <c r="AE40" s="22"/>
      <c r="AF40" s="22"/>
      <c r="AG40" s="5"/>
      <c r="AH40" s="28">
        <f t="shared" si="9"/>
        <v>0</v>
      </c>
      <c r="AI40" s="5"/>
      <c r="AJ40" s="26"/>
    </row>
    <row r="41" spans="2:36" x14ac:dyDescent="0.25">
      <c r="B41" s="111" t="s">
        <v>214</v>
      </c>
      <c r="C41" s="104" t="str" cm="1">
        <f t="array" ref="C41">IFERROR(INDEX('Limite de crédito'!$D:$D, MATCH(MAX(IF('Limite de crédito'!$C:$C=$B41, 'Limite de crédito'!$A:$A)), 'Limite de crédito'!$A:$A, 0)),"")</f>
        <v/>
      </c>
      <c r="D41" s="107" cm="1">
        <f t="array" ref="D41">IFERROR(INDEX('Limite de crédito'!$F:$F, MATCH(MAX(IF('Limite de crédito'!$C:$C=$B41, 'Limite de crédito'!$A:$A)), 'Limite de crédito'!$A:$A, 0)),0)</f>
        <v>0</v>
      </c>
      <c r="E41" s="18">
        <f t="shared" si="6"/>
        <v>0</v>
      </c>
      <c r="F41" s="18">
        <f t="shared" si="7"/>
        <v>0</v>
      </c>
      <c r="G41" s="19">
        <f>SUMIFS('Data Fertilizers'!$D:$D,'Data Fertilizers'!$P:$P,$B41,'Data Fertilizers'!$Q:$Q,"&gt;0",'Data Fertilizers'!$Q:$Q,"&lt;=30")</f>
        <v>0</v>
      </c>
      <c r="H41" s="19">
        <f>SUMIFS('Data Fertilizers'!$D:$D,'Data Fertilizers'!$P:$P,$B41,'Data Fertilizers'!$Q:$Q,"&gt;30",'Data Fertilizers'!$Q:$Q,"&lt;=60")</f>
        <v>0</v>
      </c>
      <c r="I41" s="19">
        <f>SUMIFS('Data Fertilizers'!$D:$D,'Data Fertilizers'!$P:$P,$B41,'Data Fertilizers'!$Q:$Q,"&gt;60",'Data Fertilizers'!$Q:$Q,"&lt;=90")</f>
        <v>0</v>
      </c>
      <c r="J41" s="19">
        <f>SUMIFS('Data Fertilizers'!$D:$D,'Data Fertilizers'!$P:$P,$B41,'Data Fertilizers'!$Q:$Q,"&gt;90",'Data Fertilizers'!$Q:$Q,"&lt;=120")</f>
        <v>0</v>
      </c>
      <c r="K41" s="19">
        <f>SUMIFS('Data Fertilizers'!$D:$D,'Data Fertilizers'!$P:$P,$B41,'Data Fertilizers'!$Q:$Q,"&gt;120",'Data Fertilizers'!$Q:$Q,"&lt;=180")</f>
        <v>0</v>
      </c>
      <c r="L41" s="19">
        <f>SUMIFS('Data Fertilizers'!$D:$D,'Data Fertilizers'!$P:$P,$B41,'Data Fertilizers'!$Q:$Q,"&gt;180",'Data Fertilizers'!$Q:$Q,"&lt;=360")</f>
        <v>0</v>
      </c>
      <c r="M41" s="23">
        <f>SUMIFS('Data Fertilizers'!$D:$D,'Data Fertilizers'!$P:$P,$B41,'Data Fertilizers'!$Q:$Q,"&gt;360")</f>
        <v>0</v>
      </c>
      <c r="N41" s="19">
        <f>SUMIFS('Data Fertilizers'!$D:$D,'Data Fertilizers'!$P:$P,$B41,'Data Fertilizers'!$Q:$Q,"&gt;0")</f>
        <v>0</v>
      </c>
      <c r="O41" s="19">
        <f t="shared" si="8"/>
        <v>0</v>
      </c>
      <c r="P41" s="19">
        <f>SUMIFS('Data Fertilizers'!$D:$D,'Data Fertilizers'!$P:$P,$B41,'Data Fertilizers'!$Q:$Q,"&lt;=0",'Data Fertilizers'!$Q:$Q,"&gt;=-30")</f>
        <v>0</v>
      </c>
      <c r="Q41" s="19">
        <f>SUMIFS('Data Fertilizers'!$D:$D,'Data Fertilizers'!$P:$P,$B41,'Data Fertilizers'!$Q:$Q,"&lt;=-31",'Data Fertilizers'!$Q:$Q,"&gt;=-60")</f>
        <v>0</v>
      </c>
      <c r="R41" s="19">
        <f>SUMIFS('Data Fertilizers'!$D:$D,'Data Fertilizers'!$P:$P,$B41,'Data Fertilizers'!$Q:$Q,"&lt;=-61",'Data Fertilizers'!$Q:$Q,"&gt;=-90")</f>
        <v>0</v>
      </c>
      <c r="S41" s="19">
        <f>SUMIFS('Data Fertilizers'!$D:$D,'Data Fertilizers'!$P:$P,$B41,'Data Fertilizers'!$Q:$Q,"&lt;=-91",'Data Fertilizers'!$Q:$Q,"&gt;=-120")</f>
        <v>0</v>
      </c>
      <c r="T41" s="19">
        <f>SUMIFS('Data Fertilizers'!$D:$D,'Data Fertilizers'!$P:$P,$B41,'Data Fertilizers'!$Q:$Q,"&lt;=-121",'Data Fertilizers'!$Q:$Q,"&gt;=-180")</f>
        <v>0</v>
      </c>
      <c r="U41" s="19">
        <f>SUMIFS('Data Fertilizers'!$D:$D,'Data Fertilizers'!$P:$P,$B41,'Data Fertilizers'!$Q:$Q,"&lt;=-181",'Data Fertilizers'!$Q:$Q,"&gt;=-360")</f>
        <v>0</v>
      </c>
      <c r="V41" s="23">
        <f>SUMIFS('Data Fertilizers'!$D:$D,'Data Fertilizers'!$P:$P,$B41,'Data Fertilizers'!$Q:$Q,"&lt;-360")</f>
        <v>0</v>
      </c>
      <c r="W41" s="19" t="e">
        <f>SUMIFS('Bad Debt Provision'!#REF!,'Bad Debt Provision'!#REF!,'Painel Fertilizers'!$B25)</f>
        <v>#REF!</v>
      </c>
      <c r="X41" s="5"/>
      <c r="Y41" s="20">
        <v>0</v>
      </c>
      <c r="Z41" s="20">
        <v>0</v>
      </c>
      <c r="AA41" s="21">
        <v>0</v>
      </c>
      <c r="AB41" s="5"/>
      <c r="AC41" s="19">
        <v>0</v>
      </c>
      <c r="AD41" s="20">
        <v>0</v>
      </c>
      <c r="AE41" s="22"/>
      <c r="AF41" s="22"/>
      <c r="AG41" s="5"/>
      <c r="AH41" s="28">
        <f t="shared" si="9"/>
        <v>0</v>
      </c>
      <c r="AI41" s="5"/>
      <c r="AJ41" s="26"/>
    </row>
    <row r="42" spans="2:36" x14ac:dyDescent="0.25">
      <c r="B42" s="111" t="s">
        <v>268</v>
      </c>
      <c r="C42" s="104" t="str" cm="1">
        <f t="array" ref="C42">IFERROR(INDEX('Limite de crédito'!$D:$D, MATCH(MAX(IF('Limite de crédito'!$C:$C=$B42, 'Limite de crédito'!$A:$A)), 'Limite de crédito'!$A:$A, 0)),"")</f>
        <v/>
      </c>
      <c r="D42" s="107" cm="1">
        <f t="array" ref="D42">IFERROR(INDEX('Limite de crédito'!$F:$F, MATCH(MAX(IF('Limite de crédito'!$C:$C=$B42, 'Limite de crédito'!$A:$A)), 'Limite de crédito'!$A:$A, 0)),0)</f>
        <v>0</v>
      </c>
      <c r="E42" s="18">
        <f t="shared" si="6"/>
        <v>0</v>
      </c>
      <c r="F42" s="18">
        <f t="shared" si="7"/>
        <v>0</v>
      </c>
      <c r="G42" s="19">
        <f>SUMIFS('Data Fertilizers'!$D:$D,'Data Fertilizers'!$P:$P,$B42,'Data Fertilizers'!$Q:$Q,"&gt;0",'Data Fertilizers'!$Q:$Q,"&lt;=30")</f>
        <v>0</v>
      </c>
      <c r="H42" s="19">
        <f>SUMIFS('Data Fertilizers'!$D:$D,'Data Fertilizers'!$P:$P,$B42,'Data Fertilizers'!$Q:$Q,"&gt;30",'Data Fertilizers'!$Q:$Q,"&lt;=60")</f>
        <v>0</v>
      </c>
      <c r="I42" s="19">
        <f>SUMIFS('Data Fertilizers'!$D:$D,'Data Fertilizers'!$P:$P,$B42,'Data Fertilizers'!$Q:$Q,"&gt;60",'Data Fertilizers'!$Q:$Q,"&lt;=90")</f>
        <v>0</v>
      </c>
      <c r="J42" s="19">
        <f>SUMIFS('Data Fertilizers'!$D:$D,'Data Fertilizers'!$P:$P,$B42,'Data Fertilizers'!$Q:$Q,"&gt;90",'Data Fertilizers'!$Q:$Q,"&lt;=120")</f>
        <v>0</v>
      </c>
      <c r="K42" s="19">
        <f>SUMIFS('Data Fertilizers'!$D:$D,'Data Fertilizers'!$P:$P,$B42,'Data Fertilizers'!$Q:$Q,"&gt;120",'Data Fertilizers'!$Q:$Q,"&lt;=180")</f>
        <v>0</v>
      </c>
      <c r="L42" s="19">
        <f>SUMIFS('Data Fertilizers'!$D:$D,'Data Fertilizers'!$P:$P,$B42,'Data Fertilizers'!$Q:$Q,"&gt;180",'Data Fertilizers'!$Q:$Q,"&lt;=360")</f>
        <v>0</v>
      </c>
      <c r="M42" s="23">
        <f>SUMIFS('Data Fertilizers'!$D:$D,'Data Fertilizers'!$P:$P,$B42,'Data Fertilizers'!$Q:$Q,"&gt;360")</f>
        <v>0</v>
      </c>
      <c r="N42" s="19">
        <f>SUMIFS('Data Fertilizers'!$D:$D,'Data Fertilizers'!$P:$P,$B42,'Data Fertilizers'!$Q:$Q,"&gt;0")</f>
        <v>0</v>
      </c>
      <c r="O42" s="19">
        <f t="shared" si="8"/>
        <v>0</v>
      </c>
      <c r="P42" s="19">
        <f>SUMIFS('Data Fertilizers'!$D:$D,'Data Fertilizers'!$P:$P,$B42,'Data Fertilizers'!$Q:$Q,"&lt;=0",'Data Fertilizers'!$Q:$Q,"&gt;=-30")</f>
        <v>0</v>
      </c>
      <c r="Q42" s="19">
        <f>SUMIFS('Data Fertilizers'!$D:$D,'Data Fertilizers'!$P:$P,$B42,'Data Fertilizers'!$Q:$Q,"&lt;=-31",'Data Fertilizers'!$Q:$Q,"&gt;=-60")</f>
        <v>0</v>
      </c>
      <c r="R42" s="19">
        <f>SUMIFS('Data Fertilizers'!$D:$D,'Data Fertilizers'!$P:$P,$B42,'Data Fertilizers'!$Q:$Q,"&lt;=-61",'Data Fertilizers'!$Q:$Q,"&gt;=-90")</f>
        <v>0</v>
      </c>
      <c r="S42" s="19">
        <f>SUMIFS('Data Fertilizers'!$D:$D,'Data Fertilizers'!$P:$P,$B42,'Data Fertilizers'!$Q:$Q,"&lt;=-91",'Data Fertilizers'!$Q:$Q,"&gt;=-120")</f>
        <v>0</v>
      </c>
      <c r="T42" s="19">
        <f>SUMIFS('Data Fertilizers'!$D:$D,'Data Fertilizers'!$P:$P,$B42,'Data Fertilizers'!$Q:$Q,"&lt;=-121",'Data Fertilizers'!$Q:$Q,"&gt;=-180")</f>
        <v>0</v>
      </c>
      <c r="U42" s="19">
        <f>SUMIFS('Data Fertilizers'!$D:$D,'Data Fertilizers'!$P:$P,$B42,'Data Fertilizers'!$Q:$Q,"&lt;=-181",'Data Fertilizers'!$Q:$Q,"&gt;=-360")</f>
        <v>0</v>
      </c>
      <c r="V42" s="23">
        <f>SUMIFS('Data Fertilizers'!$D:$D,'Data Fertilizers'!$P:$P,$B42,'Data Fertilizers'!$Q:$Q,"&lt;-360")</f>
        <v>0</v>
      </c>
      <c r="W42" s="19" t="e">
        <f>SUMIFS('Bad Debt Provision'!#REF!,'Bad Debt Provision'!#REF!,'Painel Fertilizers'!$B28)</f>
        <v>#REF!</v>
      </c>
      <c r="X42" s="5"/>
      <c r="Y42" s="20"/>
      <c r="Z42" s="20"/>
      <c r="AA42" s="21"/>
      <c r="AB42" s="5"/>
      <c r="AC42" s="19"/>
      <c r="AD42" s="20"/>
      <c r="AE42" s="22"/>
      <c r="AF42" s="22"/>
      <c r="AG42" s="5"/>
      <c r="AH42" s="28">
        <f t="shared" si="9"/>
        <v>0</v>
      </c>
      <c r="AJ42" s="26"/>
    </row>
    <row r="43" spans="2:36" x14ac:dyDescent="0.25">
      <c r="B43" s="111" t="s">
        <v>269</v>
      </c>
      <c r="C43" s="104" t="str" cm="1">
        <f t="array" ref="C43">IFERROR(INDEX('Limite de crédito'!$D:$D, MATCH(MAX(IF('Limite de crédito'!$C:$C=$B43, 'Limite de crédito'!$A:$A)), 'Limite de crédito'!$A:$A, 0)),"")</f>
        <v/>
      </c>
      <c r="D43" s="107" cm="1">
        <f t="array" ref="D43">IFERROR(INDEX('Limite de crédito'!$F:$F, MATCH(MAX(IF('Limite de crédito'!$C:$C=$B43, 'Limite de crédito'!$A:$A)), 'Limite de crédito'!$A:$A, 0)),0)</f>
        <v>0</v>
      </c>
      <c r="E43" s="18">
        <f t="shared" si="6"/>
        <v>0</v>
      </c>
      <c r="F43" s="18">
        <f t="shared" si="7"/>
        <v>0</v>
      </c>
      <c r="G43" s="19">
        <f>SUMIFS('Data Fertilizers'!$D:$D,'Data Fertilizers'!$P:$P,$B43,'Data Fertilizers'!$Q:$Q,"&gt;0",'Data Fertilizers'!$Q:$Q,"&lt;=30")</f>
        <v>0</v>
      </c>
      <c r="H43" s="19">
        <f>SUMIFS('Data Fertilizers'!$D:$D,'Data Fertilizers'!$P:$P,$B43,'Data Fertilizers'!$Q:$Q,"&gt;30",'Data Fertilizers'!$Q:$Q,"&lt;=60")</f>
        <v>0</v>
      </c>
      <c r="I43" s="19">
        <f>SUMIFS('Data Fertilizers'!$D:$D,'Data Fertilizers'!$P:$P,$B43,'Data Fertilizers'!$Q:$Q,"&gt;60",'Data Fertilizers'!$Q:$Q,"&lt;=90")</f>
        <v>0</v>
      </c>
      <c r="J43" s="19">
        <f>SUMIFS('Data Fertilizers'!$D:$D,'Data Fertilizers'!$P:$P,$B43,'Data Fertilizers'!$Q:$Q,"&gt;90",'Data Fertilizers'!$Q:$Q,"&lt;=120")</f>
        <v>0</v>
      </c>
      <c r="K43" s="19">
        <f>SUMIFS('Data Fertilizers'!$D:$D,'Data Fertilizers'!$P:$P,$B43,'Data Fertilizers'!$Q:$Q,"&gt;120",'Data Fertilizers'!$Q:$Q,"&lt;=180")</f>
        <v>0</v>
      </c>
      <c r="L43" s="19">
        <f>SUMIFS('Data Fertilizers'!$D:$D,'Data Fertilizers'!$P:$P,$B43,'Data Fertilizers'!$Q:$Q,"&gt;180",'Data Fertilizers'!$Q:$Q,"&lt;=360")</f>
        <v>0</v>
      </c>
      <c r="M43" s="23">
        <f>SUMIFS('Data Fertilizers'!$D:$D,'Data Fertilizers'!$P:$P,$B43,'Data Fertilizers'!$Q:$Q,"&gt;360")</f>
        <v>0</v>
      </c>
      <c r="N43" s="19">
        <f>SUMIFS('Data Fertilizers'!$D:$D,'Data Fertilizers'!$P:$P,$B43,'Data Fertilizers'!$Q:$Q,"&gt;0")</f>
        <v>0</v>
      </c>
      <c r="O43" s="19">
        <f t="shared" si="8"/>
        <v>0</v>
      </c>
      <c r="P43" s="19">
        <f>SUMIFS('Data Fertilizers'!$D:$D,'Data Fertilizers'!$P:$P,$B43,'Data Fertilizers'!$Q:$Q,"&lt;=0",'Data Fertilizers'!$Q:$Q,"&gt;=-30")</f>
        <v>0</v>
      </c>
      <c r="Q43" s="19">
        <f>SUMIFS('Data Fertilizers'!$D:$D,'Data Fertilizers'!$P:$P,$B43,'Data Fertilizers'!$Q:$Q,"&lt;=-31",'Data Fertilizers'!$Q:$Q,"&gt;=-60")</f>
        <v>0</v>
      </c>
      <c r="R43" s="19">
        <f>SUMIFS('Data Fertilizers'!$D:$D,'Data Fertilizers'!$P:$P,$B43,'Data Fertilizers'!$Q:$Q,"&lt;=-61",'Data Fertilizers'!$Q:$Q,"&gt;=-90")</f>
        <v>0</v>
      </c>
      <c r="S43" s="19">
        <f>SUMIFS('Data Fertilizers'!$D:$D,'Data Fertilizers'!$P:$P,$B43,'Data Fertilizers'!$Q:$Q,"&lt;=-91",'Data Fertilizers'!$Q:$Q,"&gt;=-120")</f>
        <v>0</v>
      </c>
      <c r="T43" s="19">
        <f>SUMIFS('Data Fertilizers'!$D:$D,'Data Fertilizers'!$P:$P,$B43,'Data Fertilizers'!$Q:$Q,"&lt;=-121",'Data Fertilizers'!$Q:$Q,"&gt;=-180")</f>
        <v>0</v>
      </c>
      <c r="U43" s="19">
        <f>SUMIFS('Data Fertilizers'!$D:$D,'Data Fertilizers'!$P:$P,$B43,'Data Fertilizers'!$Q:$Q,"&lt;=-181",'Data Fertilizers'!$Q:$Q,"&gt;=-360")</f>
        <v>0</v>
      </c>
      <c r="V43" s="23">
        <f>SUMIFS('Data Fertilizers'!$D:$D,'Data Fertilizers'!$P:$P,$B43,'Data Fertilizers'!$Q:$Q,"&lt;-360")</f>
        <v>0</v>
      </c>
      <c r="W43" s="19" t="e">
        <f>SUMIFS('Bad Debt Provision'!#REF!,'Bad Debt Provision'!#REF!,'Painel Fertilizers'!$B29)</f>
        <v>#REF!</v>
      </c>
      <c r="X43" s="5"/>
      <c r="Y43" s="20"/>
      <c r="Z43" s="20"/>
      <c r="AA43" s="21"/>
      <c r="AB43" s="5"/>
      <c r="AC43" s="19"/>
      <c r="AD43" s="20"/>
      <c r="AE43" s="22"/>
      <c r="AF43" s="22"/>
      <c r="AG43" s="5"/>
      <c r="AH43" s="28">
        <f t="shared" si="9"/>
        <v>0</v>
      </c>
      <c r="AJ43" s="26"/>
    </row>
    <row r="44" spans="2:36" x14ac:dyDescent="0.25">
      <c r="B44" s="47" t="s">
        <v>297</v>
      </c>
      <c r="C44" s="97" t="str" cm="1">
        <f t="array" ref="C44">IFERROR(INDEX('Limite de crédito'!$D:$D, MATCH(MAX(IF('Limite de crédito'!$C:$C=$B44, 'Limite de crédito'!$A:$A)), 'Limite de crédito'!$A:$A, 0)),"")</f>
        <v/>
      </c>
      <c r="D44" s="107" cm="1">
        <f t="array" ref="D44">IFERROR(INDEX('Limite de crédito'!$F:$F, MATCH(MAX(IF('Limite de crédito'!$C:$C=$B44, 'Limite de crédito'!$A:$A)), 'Limite de crédito'!$A:$A, 0)),0)</f>
        <v>0</v>
      </c>
      <c r="E44" s="18">
        <f t="shared" si="6"/>
        <v>0</v>
      </c>
      <c r="F44" s="18">
        <f t="shared" si="7"/>
        <v>0</v>
      </c>
      <c r="G44" s="19">
        <f>SUMIFS('Data Fertilizers'!$D:$D,'Data Fertilizers'!$P:$P,$B44,'Data Fertilizers'!$Q:$Q,"&gt;0",'Data Fertilizers'!$Q:$Q,"&lt;=30")</f>
        <v>0</v>
      </c>
      <c r="H44" s="19">
        <f>SUMIFS('Data Fertilizers'!$D:$D,'Data Fertilizers'!$P:$P,$B44,'Data Fertilizers'!$Q:$Q,"&gt;30",'Data Fertilizers'!$Q:$Q,"&lt;=60")</f>
        <v>0</v>
      </c>
      <c r="I44" s="19">
        <f>SUMIFS('Data Fertilizers'!$D:$D,'Data Fertilizers'!$P:$P,$B44,'Data Fertilizers'!$Q:$Q,"&gt;60",'Data Fertilizers'!$Q:$Q,"&lt;=90")</f>
        <v>0</v>
      </c>
      <c r="J44" s="19">
        <f>SUMIFS('Data Fertilizers'!$D:$D,'Data Fertilizers'!$P:$P,$B44,'Data Fertilizers'!$Q:$Q,"&gt;90",'Data Fertilizers'!$Q:$Q,"&lt;=120")</f>
        <v>0</v>
      </c>
      <c r="K44" s="19">
        <f>SUMIFS('Data Fertilizers'!$D:$D,'Data Fertilizers'!$P:$P,$B44,'Data Fertilizers'!$Q:$Q,"&gt;120",'Data Fertilizers'!$Q:$Q,"&lt;=180")</f>
        <v>0</v>
      </c>
      <c r="L44" s="19">
        <f>SUMIFS('Data Fertilizers'!$D:$D,'Data Fertilizers'!$P:$P,$B44,'Data Fertilizers'!$Q:$Q,"&gt;180",'Data Fertilizers'!$Q:$Q,"&lt;=360")</f>
        <v>0</v>
      </c>
      <c r="M44" s="23">
        <f>SUMIFS('Data Fertilizers'!$D:$D,'Data Fertilizers'!$P:$P,$B44,'Data Fertilizers'!$Q:$Q,"&gt;360")</f>
        <v>0</v>
      </c>
      <c r="N44" s="19">
        <f>SUMIFS('Data Fertilizers'!$D:$D,'Data Fertilizers'!$P:$P,$B44,'Data Fertilizers'!$Q:$Q,"&gt;0")</f>
        <v>0</v>
      </c>
      <c r="O44" s="19">
        <f t="shared" si="8"/>
        <v>0</v>
      </c>
      <c r="P44" s="19">
        <f>SUMIFS('Data Fertilizers'!$D:$D,'Data Fertilizers'!$P:$P,$B44,'Data Fertilizers'!$Q:$Q,"&lt;=0",'Data Fertilizers'!$Q:$Q,"&gt;=-30")</f>
        <v>0</v>
      </c>
      <c r="Q44" s="19">
        <f>SUMIFS('Data Fertilizers'!$D:$D,'Data Fertilizers'!$P:$P,$B44,'Data Fertilizers'!$Q:$Q,"&lt;=-31",'Data Fertilizers'!$Q:$Q,"&gt;=-60")</f>
        <v>0</v>
      </c>
      <c r="R44" s="19">
        <f>SUMIFS('Data Fertilizers'!$D:$D,'Data Fertilizers'!$P:$P,$B44,'Data Fertilizers'!$Q:$Q,"&lt;=-61",'Data Fertilizers'!$Q:$Q,"&gt;=-90")</f>
        <v>0</v>
      </c>
      <c r="S44" s="19">
        <f>SUMIFS('Data Fertilizers'!$D:$D,'Data Fertilizers'!$P:$P,$B44,'Data Fertilizers'!$Q:$Q,"&lt;=-91",'Data Fertilizers'!$Q:$Q,"&gt;=-120")</f>
        <v>0</v>
      </c>
      <c r="T44" s="19">
        <f>SUMIFS('Data Fertilizers'!$D:$D,'Data Fertilizers'!$P:$P,$B44,'Data Fertilizers'!$Q:$Q,"&lt;=-121",'Data Fertilizers'!$Q:$Q,"&gt;=-180")</f>
        <v>0</v>
      </c>
      <c r="U44" s="19">
        <f>SUMIFS('Data Fertilizers'!$D:$D,'Data Fertilizers'!$P:$P,$B44,'Data Fertilizers'!$Q:$Q,"&lt;=-181",'Data Fertilizers'!$Q:$Q,"&gt;=-360")</f>
        <v>0</v>
      </c>
      <c r="V44" s="23">
        <f>SUMIFS('Data Fertilizers'!$D:$D,'Data Fertilizers'!$P:$P,$B44,'Data Fertilizers'!$Q:$Q,"&lt;-360")</f>
        <v>0</v>
      </c>
      <c r="W44" s="19" t="e">
        <f>SUMIFS('Bad Debt Provision'!#REF!,'Bad Debt Provision'!#REF!,'Painel Fertilizers'!$B31)</f>
        <v>#REF!</v>
      </c>
      <c r="X44" s="5"/>
      <c r="Y44" s="20"/>
      <c r="Z44" s="20"/>
      <c r="AA44" s="21"/>
      <c r="AB44" s="5"/>
      <c r="AC44" s="19"/>
      <c r="AD44" s="20"/>
      <c r="AE44" s="22"/>
      <c r="AF44" s="22"/>
      <c r="AG44" s="5"/>
      <c r="AH44" s="28">
        <f t="shared" si="9"/>
        <v>0</v>
      </c>
      <c r="AJ44" s="26"/>
    </row>
    <row r="45" spans="2:36" x14ac:dyDescent="0.25">
      <c r="B45" s="47" t="s">
        <v>299</v>
      </c>
      <c r="C45" s="97" cm="1">
        <f t="array" ref="C45">IFERROR(INDEX('Limite de crédito'!$D:$D, MATCH(MAX(IF('Limite de crédito'!$C:$C=$B45, 'Limite de crédito'!$A:$A)), 'Limite de crédito'!$A:$A, 0)),"")</f>
        <v>45981</v>
      </c>
      <c r="D45" s="107" t="str" cm="1">
        <f t="array" ref="D45">IFERROR(INDEX('Limite de crédito'!$F:$F, MATCH(MAX(IF('Limite de crédito'!$C:$C=$B45, 'Limite de crédito'!$A:$A)), 'Limite de crédito'!$A:$A, 0)),0)</f>
        <v>Sim</v>
      </c>
      <c r="E45" s="18" t="e">
        <f t="shared" si="6"/>
        <v>#VALUE!</v>
      </c>
      <c r="F45" s="18">
        <f t="shared" si="7"/>
        <v>0</v>
      </c>
      <c r="G45" s="19">
        <f>SUMIFS('Data Fertilizers'!$D:$D,'Data Fertilizers'!$P:$P,$B45,'Data Fertilizers'!$Q:$Q,"&gt;0",'Data Fertilizers'!$Q:$Q,"&lt;=30")</f>
        <v>0</v>
      </c>
      <c r="H45" s="19">
        <f>SUMIFS('Data Fertilizers'!$D:$D,'Data Fertilizers'!$P:$P,$B45,'Data Fertilizers'!$Q:$Q,"&gt;30",'Data Fertilizers'!$Q:$Q,"&lt;=60")</f>
        <v>0</v>
      </c>
      <c r="I45" s="19">
        <f>SUMIFS('Data Fertilizers'!$D:$D,'Data Fertilizers'!$P:$P,$B45,'Data Fertilizers'!$Q:$Q,"&gt;60",'Data Fertilizers'!$Q:$Q,"&lt;=90")</f>
        <v>0</v>
      </c>
      <c r="J45" s="19">
        <f>SUMIFS('Data Fertilizers'!$D:$D,'Data Fertilizers'!$P:$P,$B45,'Data Fertilizers'!$Q:$Q,"&gt;90",'Data Fertilizers'!$Q:$Q,"&lt;=120")</f>
        <v>0</v>
      </c>
      <c r="K45" s="19">
        <f>SUMIFS('Data Fertilizers'!$D:$D,'Data Fertilizers'!$P:$P,$B45,'Data Fertilizers'!$Q:$Q,"&gt;120",'Data Fertilizers'!$Q:$Q,"&lt;=180")</f>
        <v>0</v>
      </c>
      <c r="L45" s="19">
        <f>SUMIFS('Data Fertilizers'!$D:$D,'Data Fertilizers'!$P:$P,$B45,'Data Fertilizers'!$Q:$Q,"&gt;180",'Data Fertilizers'!$Q:$Q,"&lt;=360")</f>
        <v>0</v>
      </c>
      <c r="M45" s="23">
        <f>SUMIFS('Data Fertilizers'!$D:$D,'Data Fertilizers'!$P:$P,$B45,'Data Fertilizers'!$Q:$Q,"&gt;360")</f>
        <v>0</v>
      </c>
      <c r="N45" s="19">
        <f>SUMIFS('Data Fertilizers'!$D:$D,'Data Fertilizers'!$P:$P,$B45,'Data Fertilizers'!$Q:$Q,"&gt;0")</f>
        <v>0</v>
      </c>
      <c r="O45" s="19">
        <f t="shared" si="8"/>
        <v>0</v>
      </c>
      <c r="P45" s="19">
        <f>SUMIFS('Data Fertilizers'!$D:$D,'Data Fertilizers'!$P:$P,$B45,'Data Fertilizers'!$Q:$Q,"&lt;=0",'Data Fertilizers'!$Q:$Q,"&gt;=-30")</f>
        <v>0</v>
      </c>
      <c r="Q45" s="19">
        <f>SUMIFS('Data Fertilizers'!$D:$D,'Data Fertilizers'!$P:$P,$B45,'Data Fertilizers'!$Q:$Q,"&lt;=-31",'Data Fertilizers'!$Q:$Q,"&gt;=-60")</f>
        <v>0</v>
      </c>
      <c r="R45" s="19">
        <f>SUMIFS('Data Fertilizers'!$D:$D,'Data Fertilizers'!$P:$P,$B45,'Data Fertilizers'!$Q:$Q,"&lt;=-61",'Data Fertilizers'!$Q:$Q,"&gt;=-90")</f>
        <v>0</v>
      </c>
      <c r="S45" s="19">
        <f>SUMIFS('Data Fertilizers'!$D:$D,'Data Fertilizers'!$P:$P,$B45,'Data Fertilizers'!$Q:$Q,"&lt;=-91",'Data Fertilizers'!$Q:$Q,"&gt;=-120")</f>
        <v>0</v>
      </c>
      <c r="T45" s="19">
        <f>SUMIFS('Data Fertilizers'!$D:$D,'Data Fertilizers'!$P:$P,$B45,'Data Fertilizers'!$Q:$Q,"&lt;=-121",'Data Fertilizers'!$Q:$Q,"&gt;=-180")</f>
        <v>0</v>
      </c>
      <c r="U45" s="19">
        <f>SUMIFS('Data Fertilizers'!$D:$D,'Data Fertilizers'!$P:$P,$B45,'Data Fertilizers'!$Q:$Q,"&lt;=-181",'Data Fertilizers'!$Q:$Q,"&gt;=-360")</f>
        <v>0</v>
      </c>
      <c r="V45" s="23">
        <f>SUMIFS('Data Fertilizers'!$D:$D,'Data Fertilizers'!$P:$P,$B45,'Data Fertilizers'!$Q:$Q,"&lt;-360")</f>
        <v>0</v>
      </c>
      <c r="W45" s="19" t="e">
        <f>SUMIFS('Bad Debt Provision'!#REF!,'Bad Debt Provision'!#REF!,'Painel Fertilizers'!$B32)</f>
        <v>#REF!</v>
      </c>
      <c r="X45" s="5"/>
      <c r="Y45" s="20"/>
      <c r="Z45" s="20"/>
      <c r="AA45" s="21"/>
      <c r="AB45" s="5"/>
      <c r="AC45" s="19"/>
      <c r="AD45" s="20"/>
      <c r="AE45" s="22"/>
      <c r="AF45" s="22"/>
      <c r="AG45" s="5"/>
      <c r="AH45" s="28">
        <f t="shared" si="9"/>
        <v>0</v>
      </c>
      <c r="AJ45" s="26"/>
    </row>
    <row r="46" spans="2:36" x14ac:dyDescent="0.25">
      <c r="B46" s="47" t="s">
        <v>300</v>
      </c>
      <c r="C46" s="97" t="str" cm="1">
        <f t="array" ref="C46">IFERROR(INDEX('Limite de crédito'!$D:$D, MATCH(MAX(IF('Limite de crédito'!$C:$C=$B46, 'Limite de crédito'!$A:$A)), 'Limite de crédito'!$A:$A, 0)),"")</f>
        <v/>
      </c>
      <c r="D46" s="107" cm="1">
        <f t="array" ref="D46">IFERROR(INDEX('Limite de crédito'!$F:$F, MATCH(MAX(IF('Limite de crédito'!$C:$C=$B46, 'Limite de crédito'!$A:$A)), 'Limite de crédito'!$A:$A, 0)),0)</f>
        <v>0</v>
      </c>
      <c r="E46" s="18">
        <f t="shared" si="6"/>
        <v>0</v>
      </c>
      <c r="F46" s="18">
        <f t="shared" si="7"/>
        <v>0</v>
      </c>
      <c r="G46" s="19">
        <f>SUMIFS('Data Fertilizers'!$D:$D,'Data Fertilizers'!$P:$P,$B46,'Data Fertilizers'!$Q:$Q,"&gt;0",'Data Fertilizers'!$Q:$Q,"&lt;=30")</f>
        <v>0</v>
      </c>
      <c r="H46" s="19">
        <f>SUMIFS('Data Fertilizers'!$D:$D,'Data Fertilizers'!$P:$P,$B46,'Data Fertilizers'!$Q:$Q,"&gt;30",'Data Fertilizers'!$Q:$Q,"&lt;=60")</f>
        <v>0</v>
      </c>
      <c r="I46" s="19">
        <f>SUMIFS('Data Fertilizers'!$D:$D,'Data Fertilizers'!$P:$P,$B46,'Data Fertilizers'!$Q:$Q,"&gt;60",'Data Fertilizers'!$Q:$Q,"&lt;=90")</f>
        <v>0</v>
      </c>
      <c r="J46" s="19">
        <f>SUMIFS('Data Fertilizers'!$D:$D,'Data Fertilizers'!$P:$P,$B46,'Data Fertilizers'!$Q:$Q,"&gt;90",'Data Fertilizers'!$Q:$Q,"&lt;=120")</f>
        <v>0</v>
      </c>
      <c r="K46" s="19">
        <f>SUMIFS('Data Fertilizers'!$D:$D,'Data Fertilizers'!$P:$P,$B46,'Data Fertilizers'!$Q:$Q,"&gt;120",'Data Fertilizers'!$Q:$Q,"&lt;=180")</f>
        <v>0</v>
      </c>
      <c r="L46" s="19">
        <f>SUMIFS('Data Fertilizers'!$D:$D,'Data Fertilizers'!$P:$P,$B46,'Data Fertilizers'!$Q:$Q,"&gt;180",'Data Fertilizers'!$Q:$Q,"&lt;=360")</f>
        <v>0</v>
      </c>
      <c r="M46" s="23">
        <f>SUMIFS('Data Fertilizers'!$D:$D,'Data Fertilizers'!$P:$P,$B46,'Data Fertilizers'!$Q:$Q,"&gt;360")</f>
        <v>0</v>
      </c>
      <c r="N46" s="19">
        <f>SUMIFS('Data Fertilizers'!$D:$D,'Data Fertilizers'!$P:$P,$B46,'Data Fertilizers'!$Q:$Q,"&gt;0")</f>
        <v>0</v>
      </c>
      <c r="O46" s="19">
        <f t="shared" si="8"/>
        <v>0</v>
      </c>
      <c r="P46" s="19">
        <f>SUMIFS('Data Fertilizers'!$D:$D,'Data Fertilizers'!$P:$P,$B46,'Data Fertilizers'!$Q:$Q,"&lt;=0",'Data Fertilizers'!$Q:$Q,"&gt;=-30")</f>
        <v>0</v>
      </c>
      <c r="Q46" s="19">
        <f>SUMIFS('Data Fertilizers'!$D:$D,'Data Fertilizers'!$P:$P,$B46,'Data Fertilizers'!$Q:$Q,"&lt;=-31",'Data Fertilizers'!$Q:$Q,"&gt;=-60")</f>
        <v>0</v>
      </c>
      <c r="R46" s="19">
        <f>SUMIFS('Data Fertilizers'!$D:$D,'Data Fertilizers'!$P:$P,$B46,'Data Fertilizers'!$Q:$Q,"&lt;=-61",'Data Fertilizers'!$Q:$Q,"&gt;=-90")</f>
        <v>0</v>
      </c>
      <c r="S46" s="19">
        <f>SUMIFS('Data Fertilizers'!$D:$D,'Data Fertilizers'!$P:$P,$B46,'Data Fertilizers'!$Q:$Q,"&lt;=-91",'Data Fertilizers'!$Q:$Q,"&gt;=-120")</f>
        <v>0</v>
      </c>
      <c r="T46" s="19">
        <f>SUMIFS('Data Fertilizers'!$D:$D,'Data Fertilizers'!$P:$P,$B46,'Data Fertilizers'!$Q:$Q,"&lt;=-121",'Data Fertilizers'!$Q:$Q,"&gt;=-180")</f>
        <v>0</v>
      </c>
      <c r="U46" s="19">
        <f>SUMIFS('Data Fertilizers'!$D:$D,'Data Fertilizers'!$P:$P,$B46,'Data Fertilizers'!$Q:$Q,"&lt;=-181",'Data Fertilizers'!$Q:$Q,"&gt;=-360")</f>
        <v>0</v>
      </c>
      <c r="V46" s="23">
        <f>SUMIFS('Data Fertilizers'!$D:$D,'Data Fertilizers'!$P:$P,$B46,'Data Fertilizers'!$Q:$Q,"&lt;-360")</f>
        <v>0</v>
      </c>
      <c r="W46" s="19" t="e">
        <f>SUMIFS('Bad Debt Provision'!#REF!,'Bad Debt Provision'!#REF!,'Painel Fertilizers'!#REF!)</f>
        <v>#REF!</v>
      </c>
      <c r="X46" s="5"/>
      <c r="Y46" s="20"/>
      <c r="Z46" s="20"/>
      <c r="AA46" s="21"/>
      <c r="AB46" s="5"/>
      <c r="AC46" s="19">
        <v>1300000</v>
      </c>
      <c r="AD46" s="20" t="s">
        <v>226</v>
      </c>
      <c r="AE46" s="22" t="s">
        <v>318</v>
      </c>
      <c r="AF46" s="22" t="s">
        <v>318</v>
      </c>
      <c r="AG46" s="5"/>
      <c r="AH46" s="28">
        <f t="shared" si="9"/>
        <v>1300000</v>
      </c>
      <c r="AJ46" s="26"/>
    </row>
    <row r="47" spans="2:36" x14ac:dyDescent="0.25">
      <c r="B47" s="47" t="s">
        <v>311</v>
      </c>
      <c r="C47" s="97" t="str" cm="1">
        <f t="array" ref="C47">IFERROR(INDEX('Limite de crédito'!$D:$D, MATCH(MAX(IF('Limite de crédito'!$C:$C=$B47, 'Limite de crédito'!$A:$A)), 'Limite de crédito'!$A:$A, 0)),"")</f>
        <v/>
      </c>
      <c r="D47" s="107" cm="1">
        <f t="array" ref="D47">IFERROR(INDEX('Limite de crédito'!$F:$F, MATCH(MAX(IF('Limite de crédito'!$C:$C=$B47, 'Limite de crédito'!$A:$A)), 'Limite de crédito'!$A:$A, 0)),0)</f>
        <v>0</v>
      </c>
      <c r="E47" s="18">
        <f t="shared" si="6"/>
        <v>0</v>
      </c>
      <c r="F47" s="18">
        <f t="shared" si="7"/>
        <v>0</v>
      </c>
      <c r="G47" s="19">
        <f>SUMIFS('Data Fertilizers'!$D:$D,'Data Fertilizers'!$P:$P,$B47,'Data Fertilizers'!$Q:$Q,"&gt;0",'Data Fertilizers'!$Q:$Q,"&lt;=30")</f>
        <v>0</v>
      </c>
      <c r="H47" s="19">
        <f>SUMIFS('Data Fertilizers'!$D:$D,'Data Fertilizers'!$P:$P,$B47,'Data Fertilizers'!$Q:$Q,"&gt;30",'Data Fertilizers'!$Q:$Q,"&lt;=60")</f>
        <v>0</v>
      </c>
      <c r="I47" s="19">
        <f>SUMIFS('Data Fertilizers'!$D:$D,'Data Fertilizers'!$P:$P,$B47,'Data Fertilizers'!$Q:$Q,"&gt;60",'Data Fertilizers'!$Q:$Q,"&lt;=90")</f>
        <v>0</v>
      </c>
      <c r="J47" s="19">
        <f>SUMIFS('Data Fertilizers'!$D:$D,'Data Fertilizers'!$P:$P,$B47,'Data Fertilizers'!$Q:$Q,"&gt;90",'Data Fertilizers'!$Q:$Q,"&lt;=120")</f>
        <v>0</v>
      </c>
      <c r="K47" s="19">
        <f>SUMIFS('Data Fertilizers'!$D:$D,'Data Fertilizers'!$P:$P,$B47,'Data Fertilizers'!$Q:$Q,"&gt;120",'Data Fertilizers'!$Q:$Q,"&lt;=180")</f>
        <v>0</v>
      </c>
      <c r="L47" s="19">
        <f>SUMIFS('Data Fertilizers'!$D:$D,'Data Fertilizers'!$P:$P,$B47,'Data Fertilizers'!$Q:$Q,"&gt;180",'Data Fertilizers'!$Q:$Q,"&lt;=360")</f>
        <v>0</v>
      </c>
      <c r="M47" s="23">
        <f>SUMIFS('Data Fertilizers'!$D:$D,'Data Fertilizers'!$P:$P,$B47,'Data Fertilizers'!$Q:$Q,"&gt;360")</f>
        <v>0</v>
      </c>
      <c r="N47" s="19">
        <f>SUMIFS('Data Fertilizers'!$D:$D,'Data Fertilizers'!$P:$P,$B47,'Data Fertilizers'!$Q:$Q,"&gt;0")</f>
        <v>0</v>
      </c>
      <c r="O47" s="19">
        <f t="shared" si="8"/>
        <v>0</v>
      </c>
      <c r="P47" s="19">
        <f>SUMIFS('Data Fertilizers'!$D:$D,'Data Fertilizers'!$P:$P,$B47,'Data Fertilizers'!$Q:$Q,"&lt;=0",'Data Fertilizers'!$Q:$Q,"&gt;=-30")</f>
        <v>0</v>
      </c>
      <c r="Q47" s="19">
        <f>SUMIFS('Data Fertilizers'!$D:$D,'Data Fertilizers'!$P:$P,$B47,'Data Fertilizers'!$Q:$Q,"&lt;=-31",'Data Fertilizers'!$Q:$Q,"&gt;=-60")</f>
        <v>0</v>
      </c>
      <c r="R47" s="19">
        <f>SUMIFS('Data Fertilizers'!$D:$D,'Data Fertilizers'!$P:$P,$B47,'Data Fertilizers'!$Q:$Q,"&lt;=-61",'Data Fertilizers'!$Q:$Q,"&gt;=-90")</f>
        <v>0</v>
      </c>
      <c r="S47" s="19">
        <f>SUMIFS('Data Fertilizers'!$D:$D,'Data Fertilizers'!$P:$P,$B47,'Data Fertilizers'!$Q:$Q,"&lt;=-91",'Data Fertilizers'!$Q:$Q,"&gt;=-120")</f>
        <v>0</v>
      </c>
      <c r="T47" s="19">
        <f>SUMIFS('Data Fertilizers'!$D:$D,'Data Fertilizers'!$P:$P,$B47,'Data Fertilizers'!$Q:$Q,"&lt;=-121",'Data Fertilizers'!$Q:$Q,"&gt;=-180")</f>
        <v>0</v>
      </c>
      <c r="U47" s="19">
        <f>SUMIFS('Data Fertilizers'!$D:$D,'Data Fertilizers'!$P:$P,$B47,'Data Fertilizers'!$Q:$Q,"&lt;=-181",'Data Fertilizers'!$Q:$Q,"&gt;=-360")</f>
        <v>0</v>
      </c>
      <c r="V47" s="23">
        <f>SUMIFS('Data Fertilizers'!$D:$D,'Data Fertilizers'!$P:$P,$B47,'Data Fertilizers'!$Q:$Q,"&lt;-360")</f>
        <v>0</v>
      </c>
      <c r="W47" s="19" t="e">
        <f>SUMIFS('Bad Debt Provision'!#REF!,'Bad Debt Provision'!#REF!,'Painel Fertilizers'!#REF!)</f>
        <v>#REF!</v>
      </c>
      <c r="X47" s="5"/>
      <c r="Y47" s="20"/>
      <c r="Z47" s="20"/>
      <c r="AA47" s="21"/>
      <c r="AB47" s="5"/>
      <c r="AC47" s="19"/>
      <c r="AD47" s="20"/>
      <c r="AE47" s="22"/>
      <c r="AF47" s="22"/>
      <c r="AG47" s="5"/>
      <c r="AH47" s="28">
        <f t="shared" si="9"/>
        <v>0</v>
      </c>
      <c r="AJ47" s="26"/>
    </row>
    <row r="48" spans="2:36" x14ac:dyDescent="0.25">
      <c r="B48" s="47" t="s">
        <v>316</v>
      </c>
      <c r="C48" s="97" t="str" cm="1">
        <f t="array" ref="C48">IFERROR(INDEX('Limite de crédito'!$D:$D, MATCH(MAX(IF('Limite de crédito'!$C:$C=$B48, 'Limite de crédito'!$A:$A)), 'Limite de crédito'!$A:$A, 0)),"")</f>
        <v/>
      </c>
      <c r="D48" s="107" cm="1">
        <f t="array" ref="D48">IFERROR(INDEX('Limite de crédito'!$F:$F, MATCH(MAX(IF('Limite de crédito'!$C:$C=$B48, 'Limite de crédito'!$A:$A)), 'Limite de crédito'!$A:$A, 0)),0)</f>
        <v>0</v>
      </c>
      <c r="E48" s="18">
        <f t="shared" si="6"/>
        <v>0</v>
      </c>
      <c r="F48" s="18">
        <f t="shared" si="7"/>
        <v>0</v>
      </c>
      <c r="G48" s="19">
        <f>SUMIFS('Data Fertilizers'!$D:$D,'Data Fertilizers'!$P:$P,$B48,'Data Fertilizers'!$Q:$Q,"&gt;0",'Data Fertilizers'!$Q:$Q,"&lt;=30")</f>
        <v>0</v>
      </c>
      <c r="H48" s="19">
        <f>SUMIFS('Data Fertilizers'!$D:$D,'Data Fertilizers'!$P:$P,$B48,'Data Fertilizers'!$Q:$Q,"&gt;30",'Data Fertilizers'!$Q:$Q,"&lt;=60")</f>
        <v>0</v>
      </c>
      <c r="I48" s="19">
        <f>SUMIFS('Data Fertilizers'!$D:$D,'Data Fertilizers'!$P:$P,$B48,'Data Fertilizers'!$Q:$Q,"&gt;60",'Data Fertilizers'!$Q:$Q,"&lt;=90")</f>
        <v>0</v>
      </c>
      <c r="J48" s="19">
        <f>SUMIFS('Data Fertilizers'!$D:$D,'Data Fertilizers'!$P:$P,$B48,'Data Fertilizers'!$Q:$Q,"&gt;90",'Data Fertilizers'!$Q:$Q,"&lt;=120")</f>
        <v>0</v>
      </c>
      <c r="K48" s="19">
        <f>SUMIFS('Data Fertilizers'!$D:$D,'Data Fertilizers'!$P:$P,$B48,'Data Fertilizers'!$Q:$Q,"&gt;120",'Data Fertilizers'!$Q:$Q,"&lt;=180")</f>
        <v>0</v>
      </c>
      <c r="L48" s="19">
        <f>SUMIFS('Data Fertilizers'!$D:$D,'Data Fertilizers'!$P:$P,$B48,'Data Fertilizers'!$Q:$Q,"&gt;180",'Data Fertilizers'!$Q:$Q,"&lt;=360")</f>
        <v>0</v>
      </c>
      <c r="M48" s="23">
        <f>SUMIFS('Data Fertilizers'!$D:$D,'Data Fertilizers'!$P:$P,$B48,'Data Fertilizers'!$Q:$Q,"&gt;360")</f>
        <v>0</v>
      </c>
      <c r="N48" s="19">
        <f>SUMIFS('Data Fertilizers'!$D:$D,'Data Fertilizers'!$P:$P,$B48,'Data Fertilizers'!$Q:$Q,"&gt;0")</f>
        <v>0</v>
      </c>
      <c r="O48" s="19">
        <f t="shared" si="8"/>
        <v>0</v>
      </c>
      <c r="P48" s="19">
        <f>SUMIFS('Data Fertilizers'!$D:$D,'Data Fertilizers'!$P:$P,$B48,'Data Fertilizers'!$Q:$Q,"&lt;=0",'Data Fertilizers'!$Q:$Q,"&gt;=-30")</f>
        <v>0</v>
      </c>
      <c r="Q48" s="19">
        <f>SUMIFS('Data Fertilizers'!$D:$D,'Data Fertilizers'!$P:$P,$B48,'Data Fertilizers'!$Q:$Q,"&lt;=-31",'Data Fertilizers'!$Q:$Q,"&gt;=-60")</f>
        <v>0</v>
      </c>
      <c r="R48" s="19">
        <f>SUMIFS('Data Fertilizers'!$D:$D,'Data Fertilizers'!$P:$P,$B48,'Data Fertilizers'!$Q:$Q,"&lt;=-61",'Data Fertilizers'!$Q:$Q,"&gt;=-90")</f>
        <v>0</v>
      </c>
      <c r="S48" s="19">
        <f>SUMIFS('Data Fertilizers'!$D:$D,'Data Fertilizers'!$P:$P,$B48,'Data Fertilizers'!$Q:$Q,"&lt;=-91",'Data Fertilizers'!$Q:$Q,"&gt;=-120")</f>
        <v>0</v>
      </c>
      <c r="T48" s="19">
        <f>SUMIFS('Data Fertilizers'!$D:$D,'Data Fertilizers'!$P:$P,$B48,'Data Fertilizers'!$Q:$Q,"&lt;=-121",'Data Fertilizers'!$Q:$Q,"&gt;=-180")</f>
        <v>0</v>
      </c>
      <c r="U48" s="19">
        <f>SUMIFS('Data Fertilizers'!$D:$D,'Data Fertilizers'!$P:$P,$B48,'Data Fertilizers'!$Q:$Q,"&lt;=-181",'Data Fertilizers'!$Q:$Q,"&gt;=-360")</f>
        <v>0</v>
      </c>
      <c r="V48" s="23">
        <f>SUMIFS('Data Fertilizers'!$D:$D,'Data Fertilizers'!$P:$P,$B48,'Data Fertilizers'!$Q:$Q,"&lt;-360")</f>
        <v>0</v>
      </c>
      <c r="W48" s="19" t="e">
        <f>SUMIFS('Bad Debt Provision'!#REF!,'Bad Debt Provision'!#REF!,'Painel Fertilizers'!$B34)</f>
        <v>#REF!</v>
      </c>
      <c r="X48" s="5"/>
      <c r="Y48" s="20"/>
      <c r="Z48" s="20"/>
      <c r="AA48" s="21"/>
      <c r="AB48" s="5"/>
      <c r="AC48" s="19"/>
      <c r="AD48" s="20"/>
      <c r="AE48" s="22"/>
      <c r="AF48" s="22"/>
      <c r="AG48" s="5"/>
      <c r="AH48" s="28">
        <f t="shared" si="9"/>
        <v>0</v>
      </c>
      <c r="AJ48" s="26"/>
    </row>
    <row r="49" spans="2:38" ht="12.6" customHeight="1" x14ac:dyDescent="0.25">
      <c r="B49" s="47" t="s">
        <v>324</v>
      </c>
      <c r="C49" s="97" cm="1">
        <f t="array" ref="C49">IFERROR(INDEX('Limite de crédito'!$D:$D, MATCH(MAX(IF('Limite de crédito'!$C:$C=$B49, 'Limite de crédito'!$A:$A)), 'Limite de crédito'!$A:$A, 0)),"")</f>
        <v>45618</v>
      </c>
      <c r="D49" s="107" t="str" cm="1">
        <f t="array" ref="D49">IFERROR(INDEX('Limite de crédito'!$F:$F, MATCH(MAX(IF('Limite de crédito'!$C:$C=$B49, 'Limite de crédito'!$A:$A)), 'Limite de crédito'!$A:$A, 0)),0)</f>
        <v>Sim</v>
      </c>
      <c r="E49" s="18" t="e">
        <f t="shared" si="6"/>
        <v>#VALUE!</v>
      </c>
      <c r="F49" s="18">
        <f t="shared" si="7"/>
        <v>0</v>
      </c>
      <c r="G49" s="19">
        <f>SUMIFS('Data Fertilizers'!$D:$D,'Data Fertilizers'!$P:$P,$B49,'Data Fertilizers'!$Q:$Q,"&gt;0",'Data Fertilizers'!$Q:$Q,"&lt;=30")</f>
        <v>0</v>
      </c>
      <c r="H49" s="19">
        <f>SUMIFS('Data Fertilizers'!$D:$D,'Data Fertilizers'!$P:$P,$B49,'Data Fertilizers'!$Q:$Q,"&gt;30",'Data Fertilizers'!$Q:$Q,"&lt;=60")</f>
        <v>0</v>
      </c>
      <c r="I49" s="19">
        <f>SUMIFS('Data Fertilizers'!$D:$D,'Data Fertilizers'!$P:$P,$B49,'Data Fertilizers'!$Q:$Q,"&gt;60",'Data Fertilizers'!$Q:$Q,"&lt;=90")</f>
        <v>0</v>
      </c>
      <c r="J49" s="19">
        <f>SUMIFS('Data Fertilizers'!$D:$D,'Data Fertilizers'!$P:$P,$B49,'Data Fertilizers'!$Q:$Q,"&gt;90",'Data Fertilizers'!$Q:$Q,"&lt;=120")</f>
        <v>0</v>
      </c>
      <c r="K49" s="19">
        <f>SUMIFS('Data Fertilizers'!$D:$D,'Data Fertilizers'!$P:$P,$B49,'Data Fertilizers'!$Q:$Q,"&gt;120",'Data Fertilizers'!$Q:$Q,"&lt;=180")</f>
        <v>0</v>
      </c>
      <c r="L49" s="19">
        <f>SUMIFS('Data Fertilizers'!$D:$D,'Data Fertilizers'!$P:$P,$B49,'Data Fertilizers'!$Q:$Q,"&gt;180",'Data Fertilizers'!$Q:$Q,"&lt;=360")</f>
        <v>0</v>
      </c>
      <c r="M49" s="23">
        <f>SUMIFS('Data Fertilizers'!$D:$D,'Data Fertilizers'!$P:$P,$B49,'Data Fertilizers'!$Q:$Q,"&gt;360")</f>
        <v>0</v>
      </c>
      <c r="N49" s="19">
        <f>SUMIFS('Data Fertilizers'!$D:$D,'Data Fertilizers'!$P:$P,$B49,'Data Fertilizers'!$Q:$Q,"&gt;0")</f>
        <v>0</v>
      </c>
      <c r="O49" s="19">
        <f t="shared" si="8"/>
        <v>0</v>
      </c>
      <c r="P49" s="19">
        <f>SUMIFS('Data Fertilizers'!$D:$D,'Data Fertilizers'!$P:$P,$B49,'Data Fertilizers'!$Q:$Q,"&lt;=0",'Data Fertilizers'!$Q:$Q,"&gt;=-30")</f>
        <v>0</v>
      </c>
      <c r="Q49" s="19">
        <f>SUMIFS('Data Fertilizers'!$D:$D,'Data Fertilizers'!$P:$P,$B49,'Data Fertilizers'!$Q:$Q,"&lt;=-31",'Data Fertilizers'!$Q:$Q,"&gt;=-60")</f>
        <v>0</v>
      </c>
      <c r="R49" s="19">
        <f>SUMIFS('Data Fertilizers'!$D:$D,'Data Fertilizers'!$P:$P,$B49,'Data Fertilizers'!$Q:$Q,"&lt;=-61",'Data Fertilizers'!$Q:$Q,"&gt;=-90")</f>
        <v>0</v>
      </c>
      <c r="S49" s="19">
        <f>SUMIFS('Data Fertilizers'!$D:$D,'Data Fertilizers'!$P:$P,$B49,'Data Fertilizers'!$Q:$Q,"&lt;=-91",'Data Fertilizers'!$Q:$Q,"&gt;=-120")</f>
        <v>0</v>
      </c>
      <c r="T49" s="19">
        <f>SUMIFS('Data Fertilizers'!$D:$D,'Data Fertilizers'!$P:$P,$B49,'Data Fertilizers'!$Q:$Q,"&lt;=-121",'Data Fertilizers'!$Q:$Q,"&gt;=-180")</f>
        <v>0</v>
      </c>
      <c r="U49" s="19">
        <f>SUMIFS('Data Fertilizers'!$D:$D,'Data Fertilizers'!$P:$P,$B49,'Data Fertilizers'!$Q:$Q,"&lt;=-181",'Data Fertilizers'!$Q:$Q,"&gt;=-360")</f>
        <v>0</v>
      </c>
      <c r="V49" s="23">
        <f>SUMIFS('Data Fertilizers'!$D:$D,'Data Fertilizers'!$P:$P,$B49,'Data Fertilizers'!$Q:$Q,"&lt;-360")</f>
        <v>0</v>
      </c>
      <c r="W49" s="19" t="e">
        <f>SUMIFS('Bad Debt Provision'!#REF!,'Bad Debt Provision'!#REF!,'Painel Fertilizers'!$B35)</f>
        <v>#REF!</v>
      </c>
      <c r="X49" s="5"/>
      <c r="Y49" s="20"/>
      <c r="Z49" s="20"/>
      <c r="AA49" s="21"/>
      <c r="AB49" s="5"/>
      <c r="AC49" s="19"/>
      <c r="AD49" s="20"/>
      <c r="AE49" s="22"/>
      <c r="AF49" s="22"/>
      <c r="AG49" s="5"/>
      <c r="AH49" s="28">
        <f t="shared" si="9"/>
        <v>0</v>
      </c>
      <c r="AJ49" s="26"/>
    </row>
    <row r="50" spans="2:38" x14ac:dyDescent="0.25">
      <c r="B50" s="47" t="s">
        <v>328</v>
      </c>
      <c r="C50" s="97" t="str" cm="1">
        <f t="array" ref="C50">IFERROR(INDEX('Limite de crédito'!$D:$D, MATCH(MAX(IF('Limite de crédito'!$C:$C=$B50, 'Limite de crédito'!$A:$A)), 'Limite de crédito'!$A:$A, 0)),"")</f>
        <v/>
      </c>
      <c r="D50" s="107" cm="1">
        <f t="array" ref="D50">IFERROR(INDEX('Limite de crédito'!$F:$F, MATCH(MAX(IF('Limite de crédito'!$C:$C=$B50, 'Limite de crédito'!$A:$A)), 'Limite de crédito'!$A:$A, 0)),0)</f>
        <v>0</v>
      </c>
      <c r="E50" s="18">
        <f t="shared" si="6"/>
        <v>0</v>
      </c>
      <c r="F50" s="18">
        <f t="shared" si="7"/>
        <v>0</v>
      </c>
      <c r="G50" s="19">
        <f>SUMIFS('Data Fertilizers'!$D:$D,'Data Fertilizers'!$P:$P,$B50,'Data Fertilizers'!$Q:$Q,"&gt;0",'Data Fertilizers'!$Q:$Q,"&lt;=30")</f>
        <v>0</v>
      </c>
      <c r="H50" s="19">
        <f>SUMIFS('Data Fertilizers'!$D:$D,'Data Fertilizers'!$P:$P,$B50,'Data Fertilizers'!$Q:$Q,"&gt;30",'Data Fertilizers'!$Q:$Q,"&lt;=60")</f>
        <v>0</v>
      </c>
      <c r="I50" s="19">
        <f>SUMIFS('Data Fertilizers'!$D:$D,'Data Fertilizers'!$P:$P,$B50,'Data Fertilizers'!$Q:$Q,"&gt;60",'Data Fertilizers'!$Q:$Q,"&lt;=90")</f>
        <v>0</v>
      </c>
      <c r="J50" s="19">
        <f>SUMIFS('Data Fertilizers'!$D:$D,'Data Fertilizers'!$P:$P,$B50,'Data Fertilizers'!$Q:$Q,"&gt;90",'Data Fertilizers'!$Q:$Q,"&lt;=120")</f>
        <v>0</v>
      </c>
      <c r="K50" s="19">
        <f>SUMIFS('Data Fertilizers'!$D:$D,'Data Fertilizers'!$P:$P,$B50,'Data Fertilizers'!$Q:$Q,"&gt;120",'Data Fertilizers'!$Q:$Q,"&lt;=180")</f>
        <v>0</v>
      </c>
      <c r="L50" s="19">
        <f>SUMIFS('Data Fertilizers'!$D:$D,'Data Fertilizers'!$P:$P,$B50,'Data Fertilizers'!$Q:$Q,"&gt;180",'Data Fertilizers'!$Q:$Q,"&lt;=360")</f>
        <v>0</v>
      </c>
      <c r="M50" s="23">
        <f>SUMIFS('Data Fertilizers'!$D:$D,'Data Fertilizers'!$P:$P,$B50,'Data Fertilizers'!$Q:$Q,"&gt;360")</f>
        <v>0</v>
      </c>
      <c r="N50" s="19">
        <f>SUMIFS('Data Fertilizers'!$D:$D,'Data Fertilizers'!$P:$P,$B50,'Data Fertilizers'!$Q:$Q,"&gt;0")</f>
        <v>0</v>
      </c>
      <c r="O50" s="19">
        <f t="shared" si="8"/>
        <v>0</v>
      </c>
      <c r="P50" s="19">
        <f>SUMIFS('Data Fertilizers'!$D:$D,'Data Fertilizers'!$P:$P,$B50,'Data Fertilizers'!$Q:$Q,"&lt;=0",'Data Fertilizers'!$Q:$Q,"&gt;=-30")</f>
        <v>0</v>
      </c>
      <c r="Q50" s="19">
        <f>SUMIFS('Data Fertilizers'!$D:$D,'Data Fertilizers'!$P:$P,$B50,'Data Fertilizers'!$Q:$Q,"&lt;=-31",'Data Fertilizers'!$Q:$Q,"&gt;=-60")</f>
        <v>0</v>
      </c>
      <c r="R50" s="19">
        <f>SUMIFS('Data Fertilizers'!$D:$D,'Data Fertilizers'!$P:$P,$B50,'Data Fertilizers'!$Q:$Q,"&lt;=-61",'Data Fertilizers'!$Q:$Q,"&gt;=-90")</f>
        <v>0</v>
      </c>
      <c r="S50" s="19">
        <f>SUMIFS('Data Fertilizers'!$D:$D,'Data Fertilizers'!$P:$P,$B50,'Data Fertilizers'!$Q:$Q,"&lt;=-91",'Data Fertilizers'!$Q:$Q,"&gt;=-120")</f>
        <v>0</v>
      </c>
      <c r="T50" s="19">
        <f>SUMIFS('Data Fertilizers'!$D:$D,'Data Fertilizers'!$P:$P,$B50,'Data Fertilizers'!$Q:$Q,"&lt;=-121",'Data Fertilizers'!$Q:$Q,"&gt;=-180")</f>
        <v>0</v>
      </c>
      <c r="U50" s="19">
        <f>SUMIFS('Data Fertilizers'!$D:$D,'Data Fertilizers'!$P:$P,$B50,'Data Fertilizers'!$Q:$Q,"&lt;=-181",'Data Fertilizers'!$Q:$Q,"&gt;=-360")</f>
        <v>0</v>
      </c>
      <c r="V50" s="23">
        <f>SUMIFS('Data Fertilizers'!$D:$D,'Data Fertilizers'!$P:$P,$B50,'Data Fertilizers'!$Q:$Q,"&lt;-360")</f>
        <v>0</v>
      </c>
      <c r="W50" s="19" t="e">
        <f>SUMIFS('Bad Debt Provision'!#REF!,'Bad Debt Provision'!#REF!,'Painel Fertilizers'!#REF!)</f>
        <v>#REF!</v>
      </c>
      <c r="X50" s="5"/>
      <c r="Y50" s="20"/>
      <c r="Z50" s="20"/>
      <c r="AA50" s="21"/>
      <c r="AB50" s="5"/>
      <c r="AC50" s="19"/>
      <c r="AD50" s="20"/>
      <c r="AE50" s="22"/>
      <c r="AF50" s="22"/>
      <c r="AG50" s="5"/>
      <c r="AH50" s="28">
        <f t="shared" si="9"/>
        <v>0</v>
      </c>
      <c r="AJ50" s="26"/>
    </row>
    <row r="51" spans="2:38" x14ac:dyDescent="0.25">
      <c r="B51" s="47" t="s">
        <v>331</v>
      </c>
      <c r="C51" s="97" t="str" cm="1">
        <f t="array" ref="C51">IFERROR(INDEX('Limite de crédito'!$D:$D, MATCH(MAX(IF('Limite de crédito'!$C:$C=$B51, 'Limite de crédito'!$A:$A)), 'Limite de crédito'!$A:$A, 0)),"")</f>
        <v/>
      </c>
      <c r="D51" s="107" cm="1">
        <f t="array" ref="D51">IFERROR(INDEX('Limite de crédito'!$F:$F, MATCH(MAX(IF('Limite de crédito'!$C:$C=$B51, 'Limite de crédito'!$A:$A)), 'Limite de crédito'!$A:$A, 0)),0)</f>
        <v>0</v>
      </c>
      <c r="E51" s="18">
        <f t="shared" si="6"/>
        <v>0</v>
      </c>
      <c r="F51" s="18">
        <f t="shared" si="7"/>
        <v>0</v>
      </c>
      <c r="G51" s="19">
        <f>SUMIFS('Data Fertilizers'!$D:$D,'Data Fertilizers'!$P:$P,$B51,'Data Fertilizers'!$Q:$Q,"&gt;0",'Data Fertilizers'!$Q:$Q,"&lt;=30")</f>
        <v>0</v>
      </c>
      <c r="H51" s="19">
        <f>SUMIFS('Data Fertilizers'!$D:$D,'Data Fertilizers'!$P:$P,$B51,'Data Fertilizers'!$Q:$Q,"&gt;30",'Data Fertilizers'!$Q:$Q,"&lt;=60")</f>
        <v>0</v>
      </c>
      <c r="I51" s="19">
        <f>SUMIFS('Data Fertilizers'!$D:$D,'Data Fertilizers'!$P:$P,$B51,'Data Fertilizers'!$Q:$Q,"&gt;60",'Data Fertilizers'!$Q:$Q,"&lt;=90")</f>
        <v>0</v>
      </c>
      <c r="J51" s="19">
        <f>SUMIFS('Data Fertilizers'!$D:$D,'Data Fertilizers'!$P:$P,$B51,'Data Fertilizers'!$Q:$Q,"&gt;90",'Data Fertilizers'!$Q:$Q,"&lt;=120")</f>
        <v>0</v>
      </c>
      <c r="K51" s="19">
        <f>SUMIFS('Data Fertilizers'!$D:$D,'Data Fertilizers'!$P:$P,$B51,'Data Fertilizers'!$Q:$Q,"&gt;120",'Data Fertilizers'!$Q:$Q,"&lt;=180")</f>
        <v>0</v>
      </c>
      <c r="L51" s="19">
        <f>SUMIFS('Data Fertilizers'!$D:$D,'Data Fertilizers'!$P:$P,$B51,'Data Fertilizers'!$Q:$Q,"&gt;180",'Data Fertilizers'!$Q:$Q,"&lt;=360")</f>
        <v>0</v>
      </c>
      <c r="M51" s="23">
        <f>SUMIFS('Data Fertilizers'!$D:$D,'Data Fertilizers'!$P:$P,$B51,'Data Fertilizers'!$Q:$Q,"&gt;360")</f>
        <v>0</v>
      </c>
      <c r="N51" s="19">
        <f>SUMIFS('Data Fertilizers'!$D:$D,'Data Fertilizers'!$P:$P,$B51,'Data Fertilizers'!$Q:$Q,"&gt;0")</f>
        <v>0</v>
      </c>
      <c r="O51" s="19">
        <f t="shared" si="8"/>
        <v>0</v>
      </c>
      <c r="P51" s="19">
        <f>SUMIFS('Data Fertilizers'!$D:$D,'Data Fertilizers'!$P:$P,$B51,'Data Fertilizers'!$Q:$Q,"&lt;=0",'Data Fertilizers'!$Q:$Q,"&gt;=-30")</f>
        <v>0</v>
      </c>
      <c r="Q51" s="19">
        <f>SUMIFS('Data Fertilizers'!$D:$D,'Data Fertilizers'!$P:$P,$B51,'Data Fertilizers'!$Q:$Q,"&lt;=-31",'Data Fertilizers'!$Q:$Q,"&gt;=-60")</f>
        <v>0</v>
      </c>
      <c r="R51" s="19">
        <f>SUMIFS('Data Fertilizers'!$D:$D,'Data Fertilizers'!$P:$P,$B51,'Data Fertilizers'!$Q:$Q,"&lt;=-61",'Data Fertilizers'!$Q:$Q,"&gt;=-90")</f>
        <v>0</v>
      </c>
      <c r="S51" s="19">
        <f>SUMIFS('Data Fertilizers'!$D:$D,'Data Fertilizers'!$P:$P,$B51,'Data Fertilizers'!$Q:$Q,"&lt;=-91",'Data Fertilizers'!$Q:$Q,"&gt;=-120")</f>
        <v>0</v>
      </c>
      <c r="T51" s="19">
        <f>SUMIFS('Data Fertilizers'!$D:$D,'Data Fertilizers'!$P:$P,$B51,'Data Fertilizers'!$Q:$Q,"&lt;=-121",'Data Fertilizers'!$Q:$Q,"&gt;=-180")</f>
        <v>0</v>
      </c>
      <c r="U51" s="19">
        <f>SUMIFS('Data Fertilizers'!$D:$D,'Data Fertilizers'!$P:$P,$B51,'Data Fertilizers'!$Q:$Q,"&lt;=-181",'Data Fertilizers'!$Q:$Q,"&gt;=-360")</f>
        <v>0</v>
      </c>
      <c r="V51" s="23">
        <f>SUMIFS('Data Fertilizers'!$D:$D,'Data Fertilizers'!$P:$P,$B51,'Data Fertilizers'!$Q:$Q,"&lt;-360")</f>
        <v>0</v>
      </c>
      <c r="W51" s="19" t="e">
        <f>SUMIFS('Bad Debt Provision'!#REF!,'Bad Debt Provision'!#REF!,'Painel Fertilizers'!#REF!)</f>
        <v>#REF!</v>
      </c>
      <c r="X51" s="5"/>
      <c r="Y51" s="20"/>
      <c r="Z51" s="20"/>
      <c r="AA51" s="21"/>
      <c r="AB51" s="5"/>
      <c r="AC51" s="19"/>
      <c r="AD51" s="20"/>
      <c r="AE51" s="22"/>
      <c r="AF51" s="22"/>
      <c r="AG51" s="5"/>
      <c r="AH51" s="28">
        <f t="shared" si="9"/>
        <v>0</v>
      </c>
      <c r="AJ51" s="26"/>
    </row>
    <row r="52" spans="2:38" x14ac:dyDescent="0.25">
      <c r="B52" s="47" t="s">
        <v>332</v>
      </c>
      <c r="C52" s="97" t="str" cm="1">
        <f t="array" ref="C52">IFERROR(INDEX('Limite de crédito'!$D:$D, MATCH(MAX(IF('Limite de crédito'!$C:$C=$B52, 'Limite de crédito'!$A:$A)), 'Limite de crédito'!$A:$A, 0)),"")</f>
        <v/>
      </c>
      <c r="D52" s="107" cm="1">
        <f t="array" ref="D52">IFERROR(INDEX('Limite de crédito'!$F:$F, MATCH(MAX(IF('Limite de crédito'!$C:$C=$B52, 'Limite de crédito'!$A:$A)), 'Limite de crédito'!$A:$A, 0)),0)</f>
        <v>0</v>
      </c>
      <c r="E52" s="18">
        <f t="shared" si="6"/>
        <v>0</v>
      </c>
      <c r="F52" s="18">
        <f t="shared" si="7"/>
        <v>0</v>
      </c>
      <c r="G52" s="19">
        <f>SUMIFS('Data Fertilizers'!$D:$D,'Data Fertilizers'!$P:$P,$B52,'Data Fertilizers'!$Q:$Q,"&gt;0",'Data Fertilizers'!$Q:$Q,"&lt;=30")</f>
        <v>0</v>
      </c>
      <c r="H52" s="19">
        <f>SUMIFS('Data Fertilizers'!$D:$D,'Data Fertilizers'!$P:$P,$B52,'Data Fertilizers'!$Q:$Q,"&gt;30",'Data Fertilizers'!$Q:$Q,"&lt;=60")</f>
        <v>0</v>
      </c>
      <c r="I52" s="19">
        <f>SUMIFS('Data Fertilizers'!$D:$D,'Data Fertilizers'!$P:$P,$B52,'Data Fertilizers'!$Q:$Q,"&gt;60",'Data Fertilizers'!$Q:$Q,"&lt;=90")</f>
        <v>0</v>
      </c>
      <c r="J52" s="19">
        <f>SUMIFS('Data Fertilizers'!$D:$D,'Data Fertilizers'!$P:$P,$B52,'Data Fertilizers'!$Q:$Q,"&gt;90",'Data Fertilizers'!$Q:$Q,"&lt;=120")</f>
        <v>0</v>
      </c>
      <c r="K52" s="19">
        <f>SUMIFS('Data Fertilizers'!$D:$D,'Data Fertilizers'!$P:$P,$B52,'Data Fertilizers'!$Q:$Q,"&gt;120",'Data Fertilizers'!$Q:$Q,"&lt;=180")</f>
        <v>0</v>
      </c>
      <c r="L52" s="19">
        <f>SUMIFS('Data Fertilizers'!$D:$D,'Data Fertilizers'!$P:$P,$B52,'Data Fertilizers'!$Q:$Q,"&gt;180",'Data Fertilizers'!$Q:$Q,"&lt;=360")</f>
        <v>0</v>
      </c>
      <c r="M52" s="23">
        <f>SUMIFS('Data Fertilizers'!$D:$D,'Data Fertilizers'!$P:$P,$B52,'Data Fertilizers'!$Q:$Q,"&gt;360")</f>
        <v>0</v>
      </c>
      <c r="N52" s="19">
        <f>SUMIFS('Data Fertilizers'!$D:$D,'Data Fertilizers'!$P:$P,$B52,'Data Fertilizers'!$Q:$Q,"&gt;0")</f>
        <v>0</v>
      </c>
      <c r="O52" s="19">
        <f t="shared" si="8"/>
        <v>0</v>
      </c>
      <c r="P52" s="19">
        <f>SUMIFS('Data Fertilizers'!$D:$D,'Data Fertilizers'!$P:$P,$B52,'Data Fertilizers'!$Q:$Q,"&lt;=0",'Data Fertilizers'!$Q:$Q,"&gt;=-30")</f>
        <v>0</v>
      </c>
      <c r="Q52" s="19">
        <f>SUMIFS('Data Fertilizers'!$D:$D,'Data Fertilizers'!$P:$P,$B52,'Data Fertilizers'!$Q:$Q,"&lt;=-31",'Data Fertilizers'!$Q:$Q,"&gt;=-60")</f>
        <v>0</v>
      </c>
      <c r="R52" s="19">
        <f>SUMIFS('Data Fertilizers'!$D:$D,'Data Fertilizers'!$P:$P,$B52,'Data Fertilizers'!$Q:$Q,"&lt;=-61",'Data Fertilizers'!$Q:$Q,"&gt;=-90")</f>
        <v>0</v>
      </c>
      <c r="S52" s="19">
        <f>SUMIFS('Data Fertilizers'!$D:$D,'Data Fertilizers'!$P:$P,$B52,'Data Fertilizers'!$Q:$Q,"&lt;=-91",'Data Fertilizers'!$Q:$Q,"&gt;=-120")</f>
        <v>0</v>
      </c>
      <c r="T52" s="19">
        <f>SUMIFS('Data Fertilizers'!$D:$D,'Data Fertilizers'!$P:$P,$B52,'Data Fertilizers'!$Q:$Q,"&lt;=-121",'Data Fertilizers'!$Q:$Q,"&gt;=-180")</f>
        <v>0</v>
      </c>
      <c r="U52" s="19">
        <f>SUMIFS('Data Fertilizers'!$D:$D,'Data Fertilizers'!$P:$P,$B52,'Data Fertilizers'!$Q:$Q,"&lt;=-181",'Data Fertilizers'!$Q:$Q,"&gt;=-360")</f>
        <v>0</v>
      </c>
      <c r="V52" s="23">
        <f>SUMIFS('Data Fertilizers'!$D:$D,'Data Fertilizers'!$P:$P,$B52,'Data Fertilizers'!$Q:$Q,"&lt;-360")</f>
        <v>0</v>
      </c>
      <c r="W52" s="19" t="e">
        <f>SUMIFS('Bad Debt Provision'!#REF!,'Bad Debt Provision'!#REF!,'Painel Fertilizers'!#REF!)</f>
        <v>#REF!</v>
      </c>
      <c r="X52" s="5"/>
      <c r="Y52" s="20"/>
      <c r="Z52" s="20"/>
      <c r="AA52" s="21"/>
      <c r="AB52" s="5"/>
      <c r="AC52" s="19"/>
      <c r="AD52" s="20"/>
      <c r="AE52" s="22"/>
      <c r="AF52" s="22"/>
      <c r="AG52" s="5"/>
      <c r="AH52" s="28">
        <f t="shared" si="9"/>
        <v>0</v>
      </c>
      <c r="AJ52" s="26"/>
    </row>
    <row r="53" spans="2:38" x14ac:dyDescent="0.25">
      <c r="B53" s="47" t="s">
        <v>353</v>
      </c>
      <c r="C53" s="97" t="str" cm="1">
        <f t="array" ref="C53">IFERROR(INDEX('Limite de crédito'!$D:$D, MATCH(MAX(IF('Limite de crédito'!$C:$C=$B53, 'Limite de crédito'!$A:$A)), 'Limite de crédito'!$A:$A, 0)),"")</f>
        <v/>
      </c>
      <c r="D53" s="107" cm="1">
        <f t="array" ref="D53">IFERROR(INDEX('Limite de crédito'!$F:$F, MATCH(MAX(IF('Limite de crédito'!$C:$C=$B53, 'Limite de crédito'!$A:$A)), 'Limite de crédito'!$A:$A, 0)),0)</f>
        <v>0</v>
      </c>
      <c r="E53" s="18">
        <f t="shared" si="6"/>
        <v>0</v>
      </c>
      <c r="F53" s="18">
        <f t="shared" si="7"/>
        <v>0</v>
      </c>
      <c r="G53" s="19">
        <f>SUMIFS('Data Fertilizers'!$D:$D,'Data Fertilizers'!$P:$P,$B53,'Data Fertilizers'!$Q:$Q,"&gt;0",'Data Fertilizers'!$Q:$Q,"&lt;=30")</f>
        <v>0</v>
      </c>
      <c r="H53" s="19">
        <f>SUMIFS('Data Fertilizers'!$D:$D,'Data Fertilizers'!$P:$P,$B53,'Data Fertilizers'!$Q:$Q,"&gt;30",'Data Fertilizers'!$Q:$Q,"&lt;=60")</f>
        <v>0</v>
      </c>
      <c r="I53" s="19">
        <f>SUMIFS('Data Fertilizers'!$D:$D,'Data Fertilizers'!$P:$P,$B53,'Data Fertilizers'!$Q:$Q,"&gt;60",'Data Fertilizers'!$Q:$Q,"&lt;=90")</f>
        <v>0</v>
      </c>
      <c r="J53" s="19">
        <f>SUMIFS('Data Fertilizers'!$D:$D,'Data Fertilizers'!$P:$P,$B53,'Data Fertilizers'!$Q:$Q,"&gt;90",'Data Fertilizers'!$Q:$Q,"&lt;=120")</f>
        <v>0</v>
      </c>
      <c r="K53" s="19">
        <f>SUMIFS('Data Fertilizers'!$D:$D,'Data Fertilizers'!$P:$P,$B53,'Data Fertilizers'!$Q:$Q,"&gt;120",'Data Fertilizers'!$Q:$Q,"&lt;=180")</f>
        <v>0</v>
      </c>
      <c r="L53" s="19">
        <f>SUMIFS('Data Fertilizers'!$D:$D,'Data Fertilizers'!$P:$P,$B53,'Data Fertilizers'!$Q:$Q,"&gt;180",'Data Fertilizers'!$Q:$Q,"&lt;=360")</f>
        <v>0</v>
      </c>
      <c r="M53" s="23">
        <f>SUMIFS('Data Fertilizers'!$D:$D,'Data Fertilizers'!$P:$P,$B53,'Data Fertilizers'!$Q:$Q,"&gt;360")</f>
        <v>0</v>
      </c>
      <c r="N53" s="19">
        <f>SUMIFS('Data Fertilizers'!$D:$D,'Data Fertilizers'!$P:$P,$B53,'Data Fertilizers'!$Q:$Q,"&gt;0")</f>
        <v>0</v>
      </c>
      <c r="O53" s="19">
        <f t="shared" si="8"/>
        <v>0</v>
      </c>
      <c r="P53" s="19">
        <f>SUMIFS('Data Fertilizers'!$D:$D,'Data Fertilizers'!$P:$P,$B53,'Data Fertilizers'!$Q:$Q,"&lt;=0",'Data Fertilizers'!$Q:$Q,"&gt;=-30")</f>
        <v>0</v>
      </c>
      <c r="Q53" s="19">
        <f>SUMIFS('Data Fertilizers'!$D:$D,'Data Fertilizers'!$P:$P,$B53,'Data Fertilizers'!$Q:$Q,"&lt;=-31",'Data Fertilizers'!$Q:$Q,"&gt;=-60")</f>
        <v>0</v>
      </c>
      <c r="R53" s="19">
        <f>SUMIFS('Data Fertilizers'!$D:$D,'Data Fertilizers'!$P:$P,$B53,'Data Fertilizers'!$Q:$Q,"&lt;=-61",'Data Fertilizers'!$Q:$Q,"&gt;=-90")</f>
        <v>0</v>
      </c>
      <c r="S53" s="19">
        <f>SUMIFS('Data Fertilizers'!$D:$D,'Data Fertilizers'!$P:$P,$B53,'Data Fertilizers'!$Q:$Q,"&lt;=-91",'Data Fertilizers'!$Q:$Q,"&gt;=-120")</f>
        <v>0</v>
      </c>
      <c r="T53" s="19">
        <f>SUMIFS('Data Fertilizers'!$D:$D,'Data Fertilizers'!$P:$P,$B53,'Data Fertilizers'!$Q:$Q,"&lt;=-121",'Data Fertilizers'!$Q:$Q,"&gt;=-180")</f>
        <v>0</v>
      </c>
      <c r="U53" s="19">
        <f>SUMIFS('Data Fertilizers'!$D:$D,'Data Fertilizers'!$P:$P,$B53,'Data Fertilizers'!$Q:$Q,"&lt;=-181",'Data Fertilizers'!$Q:$Q,"&gt;=-360")</f>
        <v>0</v>
      </c>
      <c r="V53" s="23">
        <f>SUMIFS('Data Fertilizers'!$D:$D,'Data Fertilizers'!$P:$P,$B53,'Data Fertilizers'!$Q:$Q,"&lt;-360")</f>
        <v>0</v>
      </c>
      <c r="W53" s="19" t="e">
        <f>SUMIFS('Bad Debt Provision'!#REF!,'Bad Debt Provision'!#REF!,'Painel Fertilizers'!#REF!)</f>
        <v>#REF!</v>
      </c>
      <c r="X53" s="5"/>
      <c r="Y53" s="20"/>
      <c r="Z53" s="20"/>
      <c r="AA53" s="21"/>
      <c r="AB53" s="5"/>
      <c r="AC53" s="19"/>
      <c r="AD53" s="20"/>
      <c r="AE53" s="22"/>
      <c r="AF53" s="22"/>
      <c r="AG53" s="5"/>
      <c r="AH53" s="28">
        <f t="shared" si="9"/>
        <v>0</v>
      </c>
      <c r="AJ53" s="26"/>
    </row>
    <row r="54" spans="2:38" x14ac:dyDescent="0.25">
      <c r="B54" s="47" t="s">
        <v>356</v>
      </c>
      <c r="C54" s="97" t="str" cm="1">
        <f t="array" ref="C54">IFERROR(INDEX('Limite de crédito'!$D:$D, MATCH(MAX(IF('Limite de crédito'!$C:$C=$B54, 'Limite de crédito'!$A:$A)), 'Limite de crédito'!$A:$A, 0)),"")</f>
        <v/>
      </c>
      <c r="D54" s="107" cm="1">
        <f t="array" ref="D54">IFERROR(INDEX('Limite de crédito'!$F:$F, MATCH(MAX(IF('Limite de crédito'!$C:$C=$B54, 'Limite de crédito'!$A:$A)), 'Limite de crédito'!$A:$A, 0)),0)</f>
        <v>0</v>
      </c>
      <c r="E54" s="18">
        <f t="shared" si="6"/>
        <v>0</v>
      </c>
      <c r="F54" s="18">
        <f t="shared" si="7"/>
        <v>0</v>
      </c>
      <c r="G54" s="19">
        <f>SUMIFS('Data Fertilizers'!$D:$D,'Data Fertilizers'!$P:$P,$B54,'Data Fertilizers'!$Q:$Q,"&gt;0",'Data Fertilizers'!$Q:$Q,"&lt;=30")</f>
        <v>0</v>
      </c>
      <c r="H54" s="19">
        <f>SUMIFS('Data Fertilizers'!$D:$D,'Data Fertilizers'!$P:$P,$B54,'Data Fertilizers'!$Q:$Q,"&gt;30",'Data Fertilizers'!$Q:$Q,"&lt;=60")</f>
        <v>0</v>
      </c>
      <c r="I54" s="19">
        <f>SUMIFS('Data Fertilizers'!$D:$D,'Data Fertilizers'!$P:$P,$B54,'Data Fertilizers'!$Q:$Q,"&gt;60",'Data Fertilizers'!$Q:$Q,"&lt;=90")</f>
        <v>0</v>
      </c>
      <c r="J54" s="19">
        <f>SUMIFS('Data Fertilizers'!$D:$D,'Data Fertilizers'!$P:$P,$B54,'Data Fertilizers'!$Q:$Q,"&gt;90",'Data Fertilizers'!$Q:$Q,"&lt;=120")</f>
        <v>0</v>
      </c>
      <c r="K54" s="19">
        <f>SUMIFS('Data Fertilizers'!$D:$D,'Data Fertilizers'!$P:$P,$B54,'Data Fertilizers'!$Q:$Q,"&gt;120",'Data Fertilizers'!$Q:$Q,"&lt;=180")</f>
        <v>0</v>
      </c>
      <c r="L54" s="19">
        <f>SUMIFS('Data Fertilizers'!$D:$D,'Data Fertilizers'!$P:$P,$B54,'Data Fertilizers'!$Q:$Q,"&gt;180",'Data Fertilizers'!$Q:$Q,"&lt;=360")</f>
        <v>0</v>
      </c>
      <c r="M54" s="23">
        <f>SUMIFS('Data Fertilizers'!$D:$D,'Data Fertilizers'!$P:$P,$B54,'Data Fertilizers'!$Q:$Q,"&gt;360")</f>
        <v>0</v>
      </c>
      <c r="N54" s="19">
        <f>SUMIFS('Data Fertilizers'!$D:$D,'Data Fertilizers'!$P:$P,$B54,'Data Fertilizers'!$Q:$Q,"&gt;0")</f>
        <v>0</v>
      </c>
      <c r="O54" s="19">
        <f t="shared" si="8"/>
        <v>0</v>
      </c>
      <c r="P54" s="19">
        <f>SUMIFS('Data Fertilizers'!$D:$D,'Data Fertilizers'!$P:$P,$B54,'Data Fertilizers'!$Q:$Q,"&lt;=0",'Data Fertilizers'!$Q:$Q,"&gt;=-30")</f>
        <v>0</v>
      </c>
      <c r="Q54" s="19">
        <f>SUMIFS('Data Fertilizers'!$D:$D,'Data Fertilizers'!$P:$P,$B54,'Data Fertilizers'!$Q:$Q,"&lt;=-31",'Data Fertilizers'!$Q:$Q,"&gt;=-60")</f>
        <v>0</v>
      </c>
      <c r="R54" s="19">
        <f>SUMIFS('Data Fertilizers'!$D:$D,'Data Fertilizers'!$P:$P,$B54,'Data Fertilizers'!$Q:$Q,"&lt;=-61",'Data Fertilizers'!$Q:$Q,"&gt;=-90")</f>
        <v>0</v>
      </c>
      <c r="S54" s="19">
        <f>SUMIFS('Data Fertilizers'!$D:$D,'Data Fertilizers'!$P:$P,$B54,'Data Fertilizers'!$Q:$Q,"&lt;=-91",'Data Fertilizers'!$Q:$Q,"&gt;=-120")</f>
        <v>0</v>
      </c>
      <c r="T54" s="19">
        <f>SUMIFS('Data Fertilizers'!$D:$D,'Data Fertilizers'!$P:$P,$B54,'Data Fertilizers'!$Q:$Q,"&lt;=-121",'Data Fertilizers'!$Q:$Q,"&gt;=-180")</f>
        <v>0</v>
      </c>
      <c r="U54" s="19">
        <f>SUMIFS('Data Fertilizers'!$D:$D,'Data Fertilizers'!$P:$P,$B54,'Data Fertilizers'!$Q:$Q,"&lt;=-181",'Data Fertilizers'!$Q:$Q,"&gt;=-360")</f>
        <v>0</v>
      </c>
      <c r="V54" s="23">
        <f>SUMIFS('Data Fertilizers'!$D:$D,'Data Fertilizers'!$P:$P,$B54,'Data Fertilizers'!$Q:$Q,"&lt;-360")</f>
        <v>0</v>
      </c>
      <c r="W54" s="19" t="e">
        <f>SUMIFS('Bad Debt Provision'!#REF!,'Bad Debt Provision'!#REF!,'Painel Fertilizers'!$B36)</f>
        <v>#REF!</v>
      </c>
      <c r="X54" s="5"/>
      <c r="Y54" s="20"/>
      <c r="Z54" s="20"/>
      <c r="AA54" s="21"/>
      <c r="AB54" s="5"/>
      <c r="AC54" s="19"/>
      <c r="AD54" s="20"/>
      <c r="AE54" s="22"/>
      <c r="AF54" s="22"/>
      <c r="AG54" s="5"/>
      <c r="AH54" s="28">
        <f t="shared" si="9"/>
        <v>0</v>
      </c>
      <c r="AJ54" s="26"/>
    </row>
    <row r="55" spans="2:38" x14ac:dyDescent="0.25">
      <c r="B55" s="47" t="s">
        <v>367</v>
      </c>
      <c r="C55" s="97" t="str" cm="1">
        <f t="array" ref="C55">IFERROR(INDEX('Limite de crédito'!$D:$D, MATCH(MAX(IF('Limite de crédito'!$C:$C=$B55, 'Limite de crédito'!$A:$A)), 'Limite de crédito'!$A:$A, 0)),"")</f>
        <v/>
      </c>
      <c r="D55" s="107" cm="1">
        <f t="array" ref="D55">IFERROR(INDEX('Limite de crédito'!$F:$F, MATCH(MAX(IF('Limite de crédito'!$C:$C=$B55, 'Limite de crédito'!$A:$A)), 'Limite de crédito'!$A:$A, 0)),0)</f>
        <v>0</v>
      </c>
      <c r="E55" s="18">
        <f t="shared" si="6"/>
        <v>0</v>
      </c>
      <c r="F55" s="18">
        <f t="shared" si="7"/>
        <v>0</v>
      </c>
      <c r="G55" s="19">
        <f>SUMIFS('Data Fertilizers'!$D:$D,'Data Fertilizers'!$P:$P,$B55,'Data Fertilizers'!$Q:$Q,"&gt;0",'Data Fertilizers'!$Q:$Q,"&lt;=30")</f>
        <v>0</v>
      </c>
      <c r="H55" s="19">
        <f>SUMIFS('Data Fertilizers'!$D:$D,'Data Fertilizers'!$P:$P,$B55,'Data Fertilizers'!$Q:$Q,"&gt;30",'Data Fertilizers'!$Q:$Q,"&lt;=60")</f>
        <v>0</v>
      </c>
      <c r="I55" s="19">
        <f>SUMIFS('Data Fertilizers'!$D:$D,'Data Fertilizers'!$P:$P,$B55,'Data Fertilizers'!$Q:$Q,"&gt;60",'Data Fertilizers'!$Q:$Q,"&lt;=90")</f>
        <v>0</v>
      </c>
      <c r="J55" s="19">
        <f>SUMIFS('Data Fertilizers'!$D:$D,'Data Fertilizers'!$P:$P,$B55,'Data Fertilizers'!$Q:$Q,"&gt;90",'Data Fertilizers'!$Q:$Q,"&lt;=120")</f>
        <v>0</v>
      </c>
      <c r="K55" s="19">
        <f>SUMIFS('Data Fertilizers'!$D:$D,'Data Fertilizers'!$P:$P,$B55,'Data Fertilizers'!$Q:$Q,"&gt;120",'Data Fertilizers'!$Q:$Q,"&lt;=180")</f>
        <v>0</v>
      </c>
      <c r="L55" s="19">
        <f>SUMIFS('Data Fertilizers'!$D:$D,'Data Fertilizers'!$P:$P,$B55,'Data Fertilizers'!$Q:$Q,"&gt;180",'Data Fertilizers'!$Q:$Q,"&lt;=360")</f>
        <v>0</v>
      </c>
      <c r="M55" s="23">
        <f>SUMIFS('Data Fertilizers'!$D:$D,'Data Fertilizers'!$P:$P,$B55,'Data Fertilizers'!$Q:$Q,"&gt;360")</f>
        <v>0</v>
      </c>
      <c r="N55" s="19">
        <f>SUMIFS('Data Fertilizers'!$D:$D,'Data Fertilizers'!$P:$P,$B55,'Data Fertilizers'!$Q:$Q,"&gt;0")</f>
        <v>0</v>
      </c>
      <c r="O55" s="19">
        <f t="shared" si="8"/>
        <v>0</v>
      </c>
      <c r="P55" s="19">
        <f>SUMIFS('Data Fertilizers'!$D:$D,'Data Fertilizers'!$P:$P,$B55,'Data Fertilizers'!$Q:$Q,"&lt;=0",'Data Fertilizers'!$Q:$Q,"&gt;=-30")</f>
        <v>0</v>
      </c>
      <c r="Q55" s="19">
        <f>SUMIFS('Data Fertilizers'!$D:$D,'Data Fertilizers'!$P:$P,$B55,'Data Fertilizers'!$Q:$Q,"&lt;=-31",'Data Fertilizers'!$Q:$Q,"&gt;=-60")</f>
        <v>0</v>
      </c>
      <c r="R55" s="19">
        <f>SUMIFS('Data Fertilizers'!$D:$D,'Data Fertilizers'!$P:$P,$B55,'Data Fertilizers'!$Q:$Q,"&lt;=-61",'Data Fertilizers'!$Q:$Q,"&gt;=-90")</f>
        <v>0</v>
      </c>
      <c r="S55" s="19">
        <f>SUMIFS('Data Fertilizers'!$D:$D,'Data Fertilizers'!$P:$P,$B55,'Data Fertilizers'!$Q:$Q,"&lt;=-91",'Data Fertilizers'!$Q:$Q,"&gt;=-120")</f>
        <v>0</v>
      </c>
      <c r="T55" s="19">
        <f>SUMIFS('Data Fertilizers'!$D:$D,'Data Fertilizers'!$P:$P,$B55,'Data Fertilizers'!$Q:$Q,"&lt;=-121",'Data Fertilizers'!$Q:$Q,"&gt;=-180")</f>
        <v>0</v>
      </c>
      <c r="U55" s="19">
        <f>SUMIFS('Data Fertilizers'!$D:$D,'Data Fertilizers'!$P:$P,$B55,'Data Fertilizers'!$Q:$Q,"&lt;=-181",'Data Fertilizers'!$Q:$Q,"&gt;=-360")</f>
        <v>0</v>
      </c>
      <c r="V55" s="23">
        <f>SUMIFS('Data Fertilizers'!$D:$D,'Data Fertilizers'!$P:$P,$B55,'Data Fertilizers'!$Q:$Q,"&lt;-360")</f>
        <v>0</v>
      </c>
      <c r="W55" s="19" t="e">
        <f>SUMIFS('Bad Debt Provision'!#REF!,'Bad Debt Provision'!#REF!,'Painel Fertilizers'!#REF!)</f>
        <v>#REF!</v>
      </c>
      <c r="X55" s="5"/>
      <c r="Y55" s="20"/>
      <c r="Z55" s="20"/>
      <c r="AA55" s="21"/>
      <c r="AB55" s="5"/>
      <c r="AC55" s="19"/>
      <c r="AD55" s="20"/>
      <c r="AE55" s="22"/>
      <c r="AF55" s="22"/>
      <c r="AG55" s="5"/>
      <c r="AH55" s="28">
        <f t="shared" si="9"/>
        <v>0</v>
      </c>
      <c r="AJ55" s="26"/>
    </row>
    <row r="56" spans="2:38" x14ac:dyDescent="0.25">
      <c r="B56" s="47" t="s">
        <v>369</v>
      </c>
      <c r="C56" s="97" t="str" cm="1">
        <f t="array" ref="C56">IFERROR(INDEX('Limite de crédito'!$D:$D, MATCH(MAX(IF('Limite de crédito'!$C:$C=$B56, 'Limite de crédito'!$A:$A)), 'Limite de crédito'!$A:$A, 0)),"")</f>
        <v/>
      </c>
      <c r="D56" s="107" cm="1">
        <f t="array" ref="D56">IFERROR(INDEX('Limite de crédito'!$F:$F, MATCH(MAX(IF('Limite de crédito'!$C:$C=$B56, 'Limite de crédito'!$A:$A)), 'Limite de crédito'!$A:$A, 0)),0)</f>
        <v>0</v>
      </c>
      <c r="E56" s="18">
        <f t="shared" si="6"/>
        <v>0</v>
      </c>
      <c r="F56" s="18">
        <f t="shared" si="7"/>
        <v>0</v>
      </c>
      <c r="G56" s="19">
        <f>SUMIFS('Data Fertilizers'!$D:$D,'Data Fertilizers'!$P:$P,$B56,'Data Fertilizers'!$Q:$Q,"&gt;0",'Data Fertilizers'!$Q:$Q,"&lt;=30")</f>
        <v>0</v>
      </c>
      <c r="H56" s="19">
        <f>SUMIFS('Data Fertilizers'!$D:$D,'Data Fertilizers'!$P:$P,$B56,'Data Fertilizers'!$Q:$Q,"&gt;30",'Data Fertilizers'!$Q:$Q,"&lt;=60")</f>
        <v>0</v>
      </c>
      <c r="I56" s="19">
        <f>SUMIFS('Data Fertilizers'!$D:$D,'Data Fertilizers'!$P:$P,$B56,'Data Fertilizers'!$Q:$Q,"&gt;60",'Data Fertilizers'!$Q:$Q,"&lt;=90")</f>
        <v>0</v>
      </c>
      <c r="J56" s="19">
        <f>SUMIFS('Data Fertilizers'!$D:$D,'Data Fertilizers'!$P:$P,$B56,'Data Fertilizers'!$Q:$Q,"&gt;90",'Data Fertilizers'!$Q:$Q,"&lt;=120")</f>
        <v>0</v>
      </c>
      <c r="K56" s="19">
        <f>SUMIFS('Data Fertilizers'!$D:$D,'Data Fertilizers'!$P:$P,$B56,'Data Fertilizers'!$Q:$Q,"&gt;120",'Data Fertilizers'!$Q:$Q,"&lt;=180")</f>
        <v>0</v>
      </c>
      <c r="L56" s="19">
        <f>SUMIFS('Data Fertilizers'!$D:$D,'Data Fertilizers'!$P:$P,$B56,'Data Fertilizers'!$Q:$Q,"&gt;180",'Data Fertilizers'!$Q:$Q,"&lt;=360")</f>
        <v>0</v>
      </c>
      <c r="M56" s="23">
        <f>SUMIFS('Data Fertilizers'!$D:$D,'Data Fertilizers'!$P:$P,$B56,'Data Fertilizers'!$Q:$Q,"&gt;360")</f>
        <v>0</v>
      </c>
      <c r="N56" s="19">
        <f>SUMIFS('Data Fertilizers'!$D:$D,'Data Fertilizers'!$P:$P,$B56,'Data Fertilizers'!$Q:$Q,"&gt;0")</f>
        <v>0</v>
      </c>
      <c r="O56" s="19">
        <f t="shared" si="8"/>
        <v>0</v>
      </c>
      <c r="P56" s="19">
        <f>SUMIFS('Data Fertilizers'!$D:$D,'Data Fertilizers'!$P:$P,$B56,'Data Fertilizers'!$Q:$Q,"&lt;=0",'Data Fertilizers'!$Q:$Q,"&gt;=-30")</f>
        <v>0</v>
      </c>
      <c r="Q56" s="19">
        <f>SUMIFS('Data Fertilizers'!$D:$D,'Data Fertilizers'!$P:$P,$B56,'Data Fertilizers'!$Q:$Q,"&lt;=-31",'Data Fertilizers'!$Q:$Q,"&gt;=-60")</f>
        <v>0</v>
      </c>
      <c r="R56" s="19">
        <f>SUMIFS('Data Fertilizers'!$D:$D,'Data Fertilizers'!$P:$P,$B56,'Data Fertilizers'!$Q:$Q,"&lt;=-61",'Data Fertilizers'!$Q:$Q,"&gt;=-90")</f>
        <v>0</v>
      </c>
      <c r="S56" s="19">
        <f>SUMIFS('Data Fertilizers'!$D:$D,'Data Fertilizers'!$P:$P,$B56,'Data Fertilizers'!$Q:$Q,"&lt;=-91",'Data Fertilizers'!$Q:$Q,"&gt;=-120")</f>
        <v>0</v>
      </c>
      <c r="T56" s="19">
        <f>SUMIFS('Data Fertilizers'!$D:$D,'Data Fertilizers'!$P:$P,$B56,'Data Fertilizers'!$Q:$Q,"&lt;=-121",'Data Fertilizers'!$Q:$Q,"&gt;=-180")</f>
        <v>0</v>
      </c>
      <c r="U56" s="19">
        <f>SUMIFS('Data Fertilizers'!$D:$D,'Data Fertilizers'!$P:$P,$B56,'Data Fertilizers'!$Q:$Q,"&lt;=-181",'Data Fertilizers'!$Q:$Q,"&gt;=-360")</f>
        <v>0</v>
      </c>
      <c r="V56" s="23">
        <f>SUMIFS('Data Fertilizers'!$D:$D,'Data Fertilizers'!$P:$P,$B56,'Data Fertilizers'!$Q:$Q,"&lt;-360")</f>
        <v>0</v>
      </c>
      <c r="W56" s="19" t="e">
        <f>SUMIFS('Bad Debt Provision'!#REF!,'Bad Debt Provision'!#REF!,'Painel Fertilizers'!$B37)</f>
        <v>#REF!</v>
      </c>
      <c r="X56" s="5"/>
      <c r="Y56" s="20"/>
      <c r="Z56" s="20"/>
      <c r="AA56" s="21"/>
      <c r="AB56" s="5"/>
      <c r="AC56" s="19"/>
      <c r="AD56" s="20"/>
      <c r="AE56" s="22"/>
      <c r="AF56" s="22"/>
      <c r="AG56" s="5"/>
      <c r="AH56" s="28">
        <f t="shared" si="9"/>
        <v>0</v>
      </c>
      <c r="AJ56" s="26"/>
    </row>
    <row r="57" spans="2:38" x14ac:dyDescent="0.25">
      <c r="B57" s="47" t="s">
        <v>371</v>
      </c>
      <c r="C57" s="97" t="str" cm="1">
        <f t="array" ref="C57">IFERROR(INDEX('Limite de crédito'!$D:$D, MATCH(MAX(IF('Limite de crédito'!$C:$C=$B57, 'Limite de crédito'!$A:$A)), 'Limite de crédito'!$A:$A, 0)),"")</f>
        <v/>
      </c>
      <c r="D57" s="107" cm="1">
        <f t="array" ref="D57">IFERROR(INDEX('Limite de crédito'!$F:$F, MATCH(MAX(IF('Limite de crédito'!$C:$C=$B57, 'Limite de crédito'!$A:$A)), 'Limite de crédito'!$A:$A, 0)),0)</f>
        <v>0</v>
      </c>
      <c r="E57" s="18">
        <f t="shared" si="6"/>
        <v>0</v>
      </c>
      <c r="F57" s="18">
        <f t="shared" si="7"/>
        <v>0</v>
      </c>
      <c r="G57" s="19">
        <f>SUMIFS('Data Fertilizers'!$D:$D,'Data Fertilizers'!$P:$P,$B57,'Data Fertilizers'!$Q:$Q,"&gt;0",'Data Fertilizers'!$Q:$Q,"&lt;=30")</f>
        <v>0</v>
      </c>
      <c r="H57" s="19">
        <f>SUMIFS('Data Fertilizers'!$D:$D,'Data Fertilizers'!$P:$P,$B57,'Data Fertilizers'!$Q:$Q,"&gt;30",'Data Fertilizers'!$Q:$Q,"&lt;=60")</f>
        <v>0</v>
      </c>
      <c r="I57" s="19">
        <f>SUMIFS('Data Fertilizers'!$D:$D,'Data Fertilizers'!$P:$P,$B57,'Data Fertilizers'!$Q:$Q,"&gt;60",'Data Fertilizers'!$Q:$Q,"&lt;=90")</f>
        <v>0</v>
      </c>
      <c r="J57" s="19">
        <f>SUMIFS('Data Fertilizers'!$D:$D,'Data Fertilizers'!$P:$P,$B57,'Data Fertilizers'!$Q:$Q,"&gt;90",'Data Fertilizers'!$Q:$Q,"&lt;=120")</f>
        <v>0</v>
      </c>
      <c r="K57" s="19">
        <f>SUMIFS('Data Fertilizers'!$D:$D,'Data Fertilizers'!$P:$P,$B57,'Data Fertilizers'!$Q:$Q,"&gt;120",'Data Fertilizers'!$Q:$Q,"&lt;=180")</f>
        <v>0</v>
      </c>
      <c r="L57" s="19">
        <f>SUMIFS('Data Fertilizers'!$D:$D,'Data Fertilizers'!$P:$P,$B57,'Data Fertilizers'!$Q:$Q,"&gt;180",'Data Fertilizers'!$Q:$Q,"&lt;=360")</f>
        <v>0</v>
      </c>
      <c r="M57" s="23">
        <f>SUMIFS('Data Fertilizers'!$D:$D,'Data Fertilizers'!$P:$P,$B57,'Data Fertilizers'!$Q:$Q,"&gt;360")</f>
        <v>0</v>
      </c>
      <c r="N57" s="19">
        <f>SUMIFS('Data Fertilizers'!$D:$D,'Data Fertilizers'!$P:$P,$B57,'Data Fertilizers'!$Q:$Q,"&gt;0")</f>
        <v>0</v>
      </c>
      <c r="O57" s="19">
        <f t="shared" si="8"/>
        <v>0</v>
      </c>
      <c r="P57" s="19">
        <f>SUMIFS('Data Fertilizers'!$D:$D,'Data Fertilizers'!$P:$P,$B57,'Data Fertilizers'!$Q:$Q,"&lt;=0",'Data Fertilizers'!$Q:$Q,"&gt;=-30")</f>
        <v>0</v>
      </c>
      <c r="Q57" s="19">
        <f>SUMIFS('Data Fertilizers'!$D:$D,'Data Fertilizers'!$P:$P,$B57,'Data Fertilizers'!$Q:$Q,"&lt;=-31",'Data Fertilizers'!$Q:$Q,"&gt;=-60")</f>
        <v>0</v>
      </c>
      <c r="R57" s="19">
        <f>SUMIFS('Data Fertilizers'!$D:$D,'Data Fertilizers'!$P:$P,$B57,'Data Fertilizers'!$Q:$Q,"&lt;=-61",'Data Fertilizers'!$Q:$Q,"&gt;=-90")</f>
        <v>0</v>
      </c>
      <c r="S57" s="19">
        <f>SUMIFS('Data Fertilizers'!$D:$D,'Data Fertilizers'!$P:$P,$B57,'Data Fertilizers'!$Q:$Q,"&lt;=-91",'Data Fertilizers'!$Q:$Q,"&gt;=-120")</f>
        <v>0</v>
      </c>
      <c r="T57" s="19">
        <f>SUMIFS('Data Fertilizers'!$D:$D,'Data Fertilizers'!$P:$P,$B57,'Data Fertilizers'!$Q:$Q,"&lt;=-121",'Data Fertilizers'!$Q:$Q,"&gt;=-180")</f>
        <v>0</v>
      </c>
      <c r="U57" s="19">
        <f>SUMIFS('Data Fertilizers'!$D:$D,'Data Fertilizers'!$P:$P,$B57,'Data Fertilizers'!$Q:$Q,"&lt;=-181",'Data Fertilizers'!$Q:$Q,"&gt;=-360")</f>
        <v>0</v>
      </c>
      <c r="V57" s="23">
        <f>SUMIFS('Data Fertilizers'!$D:$D,'Data Fertilizers'!$P:$P,$B57,'Data Fertilizers'!$Q:$Q,"&lt;-360")</f>
        <v>0</v>
      </c>
      <c r="W57" s="19" t="e">
        <f>SUMIFS('Bad Debt Provision'!#REF!,'Bad Debt Provision'!#REF!,'Painel Fertilizers'!#REF!)</f>
        <v>#REF!</v>
      </c>
      <c r="X57" s="5"/>
      <c r="Y57" s="20"/>
      <c r="Z57" s="20"/>
      <c r="AA57" s="21"/>
      <c r="AB57" s="5"/>
      <c r="AC57" s="19"/>
      <c r="AD57" s="20"/>
      <c r="AE57" s="22"/>
      <c r="AF57" s="22"/>
      <c r="AG57" s="5"/>
      <c r="AH57" s="28">
        <f t="shared" si="9"/>
        <v>0</v>
      </c>
      <c r="AJ57" s="26"/>
    </row>
    <row r="58" spans="2:38" x14ac:dyDescent="0.25">
      <c r="B58" s="47" t="s">
        <v>370</v>
      </c>
      <c r="C58" s="97" t="str" cm="1">
        <f t="array" ref="C58">IFERROR(INDEX('Limite de crédito'!$D:$D, MATCH(MAX(IF('Limite de crédito'!$C:$C=$B58, 'Limite de crédito'!$A:$A)), 'Limite de crédito'!$A:$A, 0)),"")</f>
        <v/>
      </c>
      <c r="D58" s="107" cm="1">
        <f t="array" ref="D58">IFERROR(INDEX('Limite de crédito'!$F:$F, MATCH(MAX(IF('Limite de crédito'!$C:$C=$B58, 'Limite de crédito'!$A:$A)), 'Limite de crédito'!$A:$A, 0)),0)</f>
        <v>0</v>
      </c>
      <c r="E58" s="18">
        <f t="shared" si="6"/>
        <v>0</v>
      </c>
      <c r="F58" s="18">
        <f t="shared" si="7"/>
        <v>0</v>
      </c>
      <c r="G58" s="19">
        <f>SUMIFS('Data Fertilizers'!$D:$D,'Data Fertilizers'!$P:$P,$B58,'Data Fertilizers'!$Q:$Q,"&gt;0",'Data Fertilizers'!$Q:$Q,"&lt;=30")</f>
        <v>0</v>
      </c>
      <c r="H58" s="19">
        <f>SUMIFS('Data Fertilizers'!$D:$D,'Data Fertilizers'!$P:$P,$B58,'Data Fertilizers'!$Q:$Q,"&gt;30",'Data Fertilizers'!$Q:$Q,"&lt;=60")</f>
        <v>0</v>
      </c>
      <c r="I58" s="19">
        <f>SUMIFS('Data Fertilizers'!$D:$D,'Data Fertilizers'!$P:$P,$B58,'Data Fertilizers'!$Q:$Q,"&gt;60",'Data Fertilizers'!$Q:$Q,"&lt;=90")</f>
        <v>0</v>
      </c>
      <c r="J58" s="19">
        <f>SUMIFS('Data Fertilizers'!$D:$D,'Data Fertilizers'!$P:$P,$B58,'Data Fertilizers'!$Q:$Q,"&gt;90",'Data Fertilizers'!$Q:$Q,"&lt;=120")</f>
        <v>0</v>
      </c>
      <c r="K58" s="19">
        <f>SUMIFS('Data Fertilizers'!$D:$D,'Data Fertilizers'!$P:$P,$B58,'Data Fertilizers'!$Q:$Q,"&gt;120",'Data Fertilizers'!$Q:$Q,"&lt;=180")</f>
        <v>0</v>
      </c>
      <c r="L58" s="19">
        <f>SUMIFS('Data Fertilizers'!$D:$D,'Data Fertilizers'!$P:$P,$B58,'Data Fertilizers'!$Q:$Q,"&gt;180",'Data Fertilizers'!$Q:$Q,"&lt;=360")</f>
        <v>0</v>
      </c>
      <c r="M58" s="23">
        <f>SUMIFS('Data Fertilizers'!$D:$D,'Data Fertilizers'!$P:$P,$B58,'Data Fertilizers'!$Q:$Q,"&gt;360")</f>
        <v>0</v>
      </c>
      <c r="N58" s="19">
        <f>SUMIFS('Data Fertilizers'!$D:$D,'Data Fertilizers'!$P:$P,$B58,'Data Fertilizers'!$Q:$Q,"&gt;0")</f>
        <v>0</v>
      </c>
      <c r="O58" s="19">
        <f t="shared" si="8"/>
        <v>0</v>
      </c>
      <c r="P58" s="19">
        <f>SUMIFS('Data Fertilizers'!$D:$D,'Data Fertilizers'!$P:$P,$B58,'Data Fertilizers'!$Q:$Q,"&lt;=0",'Data Fertilizers'!$Q:$Q,"&gt;=-30")</f>
        <v>0</v>
      </c>
      <c r="Q58" s="19">
        <f>SUMIFS('Data Fertilizers'!$D:$D,'Data Fertilizers'!$P:$P,$B58,'Data Fertilizers'!$Q:$Q,"&lt;=-31",'Data Fertilizers'!$Q:$Q,"&gt;=-60")</f>
        <v>0</v>
      </c>
      <c r="R58" s="19">
        <f>SUMIFS('Data Fertilizers'!$D:$D,'Data Fertilizers'!$P:$P,$B58,'Data Fertilizers'!$Q:$Q,"&lt;=-61",'Data Fertilizers'!$Q:$Q,"&gt;=-90")</f>
        <v>0</v>
      </c>
      <c r="S58" s="19">
        <f>SUMIFS('Data Fertilizers'!$D:$D,'Data Fertilizers'!$P:$P,$B58,'Data Fertilizers'!$Q:$Q,"&lt;=-91",'Data Fertilizers'!$Q:$Q,"&gt;=-120")</f>
        <v>0</v>
      </c>
      <c r="T58" s="19">
        <f>SUMIFS('Data Fertilizers'!$D:$D,'Data Fertilizers'!$P:$P,$B58,'Data Fertilizers'!$Q:$Q,"&lt;=-121",'Data Fertilizers'!$Q:$Q,"&gt;=-180")</f>
        <v>0</v>
      </c>
      <c r="U58" s="19">
        <f>SUMIFS('Data Fertilizers'!$D:$D,'Data Fertilizers'!$P:$P,$B58,'Data Fertilizers'!$Q:$Q,"&lt;=-181",'Data Fertilizers'!$Q:$Q,"&gt;=-360")</f>
        <v>0</v>
      </c>
      <c r="V58" s="23">
        <f>SUMIFS('Data Fertilizers'!$D:$D,'Data Fertilizers'!$P:$P,$B58,'Data Fertilizers'!$Q:$Q,"&lt;-360")</f>
        <v>0</v>
      </c>
      <c r="W58" s="19" t="e">
        <f>SUMIFS('Bad Debt Provision'!#REF!,'Bad Debt Provision'!#REF!,'Painel Fertilizers'!$B38)</f>
        <v>#REF!</v>
      </c>
      <c r="X58" s="5"/>
      <c r="Y58" s="20"/>
      <c r="Z58" s="20"/>
      <c r="AA58" s="21"/>
      <c r="AB58" s="5"/>
      <c r="AC58" s="19"/>
      <c r="AD58" s="20"/>
      <c r="AE58" s="22"/>
      <c r="AF58" s="22"/>
      <c r="AG58" s="5"/>
      <c r="AH58" s="28">
        <f t="shared" si="9"/>
        <v>0</v>
      </c>
      <c r="AJ58" s="26"/>
    </row>
    <row r="59" spans="2:38" x14ac:dyDescent="0.25">
      <c r="B59" s="47" t="s">
        <v>386</v>
      </c>
      <c r="C59" s="97" t="str" cm="1">
        <f t="array" ref="C59">IFERROR(INDEX('Limite de crédito'!$D:$D, MATCH(MAX(IF('Limite de crédito'!$C:$C=$B59, 'Limite de crédito'!$A:$A)), 'Limite de crédito'!$A:$A, 0)),"")</f>
        <v/>
      </c>
      <c r="D59" s="107" cm="1">
        <f t="array" ref="D59">IFERROR(INDEX('Limite de crédito'!$F:$F, MATCH(MAX(IF('Limite de crédito'!$C:$C=$B59, 'Limite de crédito'!$A:$A)), 'Limite de crédito'!$A:$A, 0)),0)</f>
        <v>0</v>
      </c>
      <c r="E59" s="18">
        <f t="shared" si="6"/>
        <v>0</v>
      </c>
      <c r="F59" s="18">
        <f t="shared" si="7"/>
        <v>0</v>
      </c>
      <c r="G59" s="19">
        <f>SUMIFS('Data Fertilizers'!$D:$D,'Data Fertilizers'!$P:$P,$B59,'Data Fertilizers'!$Q:$Q,"&gt;0",'Data Fertilizers'!$Q:$Q,"&lt;=30")</f>
        <v>0</v>
      </c>
      <c r="H59" s="19">
        <f>SUMIFS('Data Fertilizers'!$D:$D,'Data Fertilizers'!$P:$P,$B59,'Data Fertilizers'!$Q:$Q,"&gt;30",'Data Fertilizers'!$Q:$Q,"&lt;=60")</f>
        <v>0</v>
      </c>
      <c r="I59" s="19">
        <f>SUMIFS('Data Fertilizers'!$D:$D,'Data Fertilizers'!$P:$P,$B59,'Data Fertilizers'!$Q:$Q,"&gt;60",'Data Fertilizers'!$Q:$Q,"&lt;=90")</f>
        <v>0</v>
      </c>
      <c r="J59" s="19">
        <f>SUMIFS('Data Fertilizers'!$D:$D,'Data Fertilizers'!$P:$P,$B59,'Data Fertilizers'!$Q:$Q,"&gt;90",'Data Fertilizers'!$Q:$Q,"&lt;=120")</f>
        <v>0</v>
      </c>
      <c r="K59" s="19">
        <f>SUMIFS('Data Fertilizers'!$D:$D,'Data Fertilizers'!$P:$P,$B59,'Data Fertilizers'!$Q:$Q,"&gt;120",'Data Fertilizers'!$Q:$Q,"&lt;=180")</f>
        <v>0</v>
      </c>
      <c r="L59" s="19">
        <f>SUMIFS('Data Fertilizers'!$D:$D,'Data Fertilizers'!$P:$P,$B59,'Data Fertilizers'!$Q:$Q,"&gt;180",'Data Fertilizers'!$Q:$Q,"&lt;=360")</f>
        <v>0</v>
      </c>
      <c r="M59" s="23">
        <f>SUMIFS('Data Fertilizers'!$D:$D,'Data Fertilizers'!$P:$P,$B59,'Data Fertilizers'!$Q:$Q,"&gt;360")</f>
        <v>0</v>
      </c>
      <c r="N59" s="19">
        <f>SUMIFS('Data Fertilizers'!$D:$D,'Data Fertilizers'!$P:$P,$B59,'Data Fertilizers'!$Q:$Q,"&gt;0")</f>
        <v>0</v>
      </c>
      <c r="O59" s="19">
        <f t="shared" si="8"/>
        <v>0</v>
      </c>
      <c r="P59" s="19">
        <f>SUMIFS('Data Fertilizers'!$D:$D,'Data Fertilizers'!$P:$P,$B59,'Data Fertilizers'!$Q:$Q,"&lt;=0",'Data Fertilizers'!$Q:$Q,"&gt;=-30")</f>
        <v>0</v>
      </c>
      <c r="Q59" s="19">
        <f>SUMIFS('Data Fertilizers'!$D:$D,'Data Fertilizers'!$P:$P,$B59,'Data Fertilizers'!$Q:$Q,"&lt;=-31",'Data Fertilizers'!$Q:$Q,"&gt;=-60")</f>
        <v>0</v>
      </c>
      <c r="R59" s="19">
        <f>SUMIFS('Data Fertilizers'!$D:$D,'Data Fertilizers'!$P:$P,$B59,'Data Fertilizers'!$Q:$Q,"&lt;=-61",'Data Fertilizers'!$Q:$Q,"&gt;=-90")</f>
        <v>0</v>
      </c>
      <c r="S59" s="19">
        <f>SUMIFS('Data Fertilizers'!$D:$D,'Data Fertilizers'!$P:$P,$B59,'Data Fertilizers'!$Q:$Q,"&lt;=-91",'Data Fertilizers'!$Q:$Q,"&gt;=-120")</f>
        <v>0</v>
      </c>
      <c r="T59" s="19">
        <f>SUMIFS('Data Fertilizers'!$D:$D,'Data Fertilizers'!$P:$P,$B59,'Data Fertilizers'!$Q:$Q,"&lt;=-121",'Data Fertilizers'!$Q:$Q,"&gt;=-180")</f>
        <v>0</v>
      </c>
      <c r="U59" s="19">
        <f>SUMIFS('Data Fertilizers'!$D:$D,'Data Fertilizers'!$P:$P,$B59,'Data Fertilizers'!$Q:$Q,"&lt;=-181",'Data Fertilizers'!$Q:$Q,"&gt;=-360")</f>
        <v>0</v>
      </c>
      <c r="V59" s="23">
        <f>SUMIFS('Data Fertilizers'!$D:$D,'Data Fertilizers'!$P:$P,$B59,'Data Fertilizers'!$Q:$Q,"&lt;-360")</f>
        <v>0</v>
      </c>
      <c r="W59" s="19" t="e">
        <f>SUMIFS('Bad Debt Provision'!#REF!,'Bad Debt Provision'!#REF!,'Painel Fertilizers'!#REF!)</f>
        <v>#REF!</v>
      </c>
      <c r="X59" s="5"/>
      <c r="Y59" s="20"/>
      <c r="Z59" s="20"/>
      <c r="AA59" s="21"/>
      <c r="AB59" s="5"/>
      <c r="AC59" s="19"/>
      <c r="AD59" s="20"/>
      <c r="AE59" s="22"/>
      <c r="AF59" s="22"/>
      <c r="AG59" s="5"/>
      <c r="AH59" s="28">
        <f t="shared" si="9"/>
        <v>0</v>
      </c>
      <c r="AJ59" s="26"/>
    </row>
    <row r="60" spans="2:38" x14ac:dyDescent="0.25">
      <c r="B60" s="47" t="s">
        <v>387</v>
      </c>
      <c r="C60" s="97" t="str" cm="1">
        <f t="array" ref="C60">IFERROR(INDEX('Limite de crédito'!$D:$D, MATCH(MAX(IF('Limite de crédito'!$C:$C=$B60, 'Limite de crédito'!$A:$A)), 'Limite de crédito'!$A:$A, 0)),"")</f>
        <v/>
      </c>
      <c r="D60" s="107" cm="1">
        <f t="array" ref="D60">IFERROR(INDEX('Limite de crédito'!$F:$F, MATCH(MAX(IF('Limite de crédito'!$C:$C=$B60, 'Limite de crédito'!$A:$A)), 'Limite de crédito'!$A:$A, 0)),0)</f>
        <v>0</v>
      </c>
      <c r="E60" s="18">
        <f t="shared" si="6"/>
        <v>0</v>
      </c>
      <c r="F60" s="18">
        <f t="shared" si="7"/>
        <v>0</v>
      </c>
      <c r="G60" s="19">
        <f>SUMIFS('Data Fertilizers'!$D:$D,'Data Fertilizers'!$P:$P,$B60,'Data Fertilizers'!$Q:$Q,"&gt;0",'Data Fertilizers'!$Q:$Q,"&lt;=30")</f>
        <v>0</v>
      </c>
      <c r="H60" s="19">
        <f>SUMIFS('Data Fertilizers'!$D:$D,'Data Fertilizers'!$P:$P,$B60,'Data Fertilizers'!$Q:$Q,"&gt;30",'Data Fertilizers'!$Q:$Q,"&lt;=60")</f>
        <v>0</v>
      </c>
      <c r="I60" s="19">
        <f>SUMIFS('Data Fertilizers'!$D:$D,'Data Fertilizers'!$P:$P,$B60,'Data Fertilizers'!$Q:$Q,"&gt;60",'Data Fertilizers'!$Q:$Q,"&lt;=90")</f>
        <v>0</v>
      </c>
      <c r="J60" s="19">
        <f>SUMIFS('Data Fertilizers'!$D:$D,'Data Fertilizers'!$P:$P,$B60,'Data Fertilizers'!$Q:$Q,"&gt;90",'Data Fertilizers'!$Q:$Q,"&lt;=120")</f>
        <v>0</v>
      </c>
      <c r="K60" s="19">
        <f>SUMIFS('Data Fertilizers'!$D:$D,'Data Fertilizers'!$P:$P,$B60,'Data Fertilizers'!$Q:$Q,"&gt;120",'Data Fertilizers'!$Q:$Q,"&lt;=180")</f>
        <v>0</v>
      </c>
      <c r="L60" s="19">
        <f>SUMIFS('Data Fertilizers'!$D:$D,'Data Fertilizers'!$P:$P,$B60,'Data Fertilizers'!$Q:$Q,"&gt;180",'Data Fertilizers'!$Q:$Q,"&lt;=360")</f>
        <v>0</v>
      </c>
      <c r="M60" s="23">
        <f>SUMIFS('Data Fertilizers'!$D:$D,'Data Fertilizers'!$P:$P,$B60,'Data Fertilizers'!$Q:$Q,"&gt;360")</f>
        <v>0</v>
      </c>
      <c r="N60" s="19">
        <f>SUMIFS('Data Fertilizers'!$D:$D,'Data Fertilizers'!$P:$P,$B60,'Data Fertilizers'!$Q:$Q,"&gt;0")</f>
        <v>0</v>
      </c>
      <c r="O60" s="19">
        <f t="shared" si="8"/>
        <v>0</v>
      </c>
      <c r="P60" s="19">
        <f>SUMIFS('Data Fertilizers'!$D:$D,'Data Fertilizers'!$P:$P,$B60,'Data Fertilizers'!$Q:$Q,"&lt;=0",'Data Fertilizers'!$Q:$Q,"&gt;=-30")</f>
        <v>0</v>
      </c>
      <c r="Q60" s="19">
        <f>SUMIFS('Data Fertilizers'!$D:$D,'Data Fertilizers'!$P:$P,$B60,'Data Fertilizers'!$Q:$Q,"&lt;=-31",'Data Fertilizers'!$Q:$Q,"&gt;=-60")</f>
        <v>0</v>
      </c>
      <c r="R60" s="19">
        <f>SUMIFS('Data Fertilizers'!$D:$D,'Data Fertilizers'!$P:$P,$B60,'Data Fertilizers'!$Q:$Q,"&lt;=-61",'Data Fertilizers'!$Q:$Q,"&gt;=-90")</f>
        <v>0</v>
      </c>
      <c r="S60" s="19">
        <f>SUMIFS('Data Fertilizers'!$D:$D,'Data Fertilizers'!$P:$P,$B60,'Data Fertilizers'!$Q:$Q,"&lt;=-91",'Data Fertilizers'!$Q:$Q,"&gt;=-120")</f>
        <v>0</v>
      </c>
      <c r="T60" s="19">
        <f>SUMIFS('Data Fertilizers'!$D:$D,'Data Fertilizers'!$P:$P,$B60,'Data Fertilizers'!$Q:$Q,"&lt;=-121",'Data Fertilizers'!$Q:$Q,"&gt;=-180")</f>
        <v>0</v>
      </c>
      <c r="U60" s="19">
        <f>SUMIFS('Data Fertilizers'!$D:$D,'Data Fertilizers'!$P:$P,$B60,'Data Fertilizers'!$Q:$Q,"&lt;=-181",'Data Fertilizers'!$Q:$Q,"&gt;=-360")</f>
        <v>0</v>
      </c>
      <c r="V60" s="23">
        <f>SUMIFS('Data Fertilizers'!$D:$D,'Data Fertilizers'!$P:$P,$B60,'Data Fertilizers'!$Q:$Q,"&lt;-360")</f>
        <v>0</v>
      </c>
      <c r="W60" s="19" t="e">
        <f>SUMIFS('Bad Debt Provision'!#REF!,'Bad Debt Provision'!#REF!,'Painel Fertilizers'!$B39)</f>
        <v>#REF!</v>
      </c>
      <c r="X60" s="5"/>
      <c r="Y60" s="20"/>
      <c r="Z60" s="20"/>
      <c r="AA60" s="21"/>
      <c r="AB60" s="5"/>
      <c r="AC60" s="19"/>
      <c r="AD60" s="20"/>
      <c r="AE60" s="22"/>
      <c r="AF60" s="22"/>
      <c r="AG60" s="5"/>
      <c r="AH60" s="28">
        <f t="shared" si="9"/>
        <v>0</v>
      </c>
      <c r="AJ60" s="26"/>
    </row>
    <row r="61" spans="2:38" x14ac:dyDescent="0.25">
      <c r="B61" s="111" t="s">
        <v>204</v>
      </c>
      <c r="C61" s="104" t="str" cm="1">
        <f t="array" ref="C61">IFERROR(INDEX('Limite de crédito'!$D:$D, MATCH(MAX(IF('Limite de crédito'!$C:$C=$B61, 'Limite de crédito'!$A:$A)), 'Limite de crédito'!$A:$A, 0)),"")</f>
        <v/>
      </c>
      <c r="D61" s="107" cm="1">
        <f t="array" ref="D61">IFERROR(INDEX('Limite de crédito'!$F:$F, MATCH(MAX(IF('Limite de crédito'!$C:$C=$B61, 'Limite de crédito'!$A:$A)), 'Limite de crédito'!$A:$A, 0)),0)</f>
        <v>0</v>
      </c>
      <c r="E61" s="18">
        <f t="shared" si="6"/>
        <v>0</v>
      </c>
      <c r="F61" s="18">
        <f t="shared" si="7"/>
        <v>0</v>
      </c>
      <c r="G61" s="19">
        <f>SUMIFS('Data Fertilizers'!$D:$D,'Data Fertilizers'!$P:$P,$B61,'Data Fertilizers'!$Q:$Q,"&gt;0",'Data Fertilizers'!$Q:$Q,"&lt;=30")</f>
        <v>0</v>
      </c>
      <c r="H61" s="19">
        <f>SUMIFS('Data Fertilizers'!$D:$D,'Data Fertilizers'!$P:$P,$B61,'Data Fertilizers'!$Q:$Q,"&gt;30",'Data Fertilizers'!$Q:$Q,"&lt;=60")</f>
        <v>0</v>
      </c>
      <c r="I61" s="19">
        <f>SUMIFS('Data Fertilizers'!$D:$D,'Data Fertilizers'!$P:$P,$B61,'Data Fertilizers'!$Q:$Q,"&gt;60",'Data Fertilizers'!$Q:$Q,"&lt;=90")</f>
        <v>0</v>
      </c>
      <c r="J61" s="19">
        <f>SUMIFS('Data Fertilizers'!$D:$D,'Data Fertilizers'!$P:$P,$B61,'Data Fertilizers'!$Q:$Q,"&gt;90",'Data Fertilizers'!$Q:$Q,"&lt;=120")</f>
        <v>0</v>
      </c>
      <c r="K61" s="19">
        <f>SUMIFS('Data Fertilizers'!$D:$D,'Data Fertilizers'!$P:$P,$B61,'Data Fertilizers'!$Q:$Q,"&gt;120",'Data Fertilizers'!$Q:$Q,"&lt;=180")</f>
        <v>0</v>
      </c>
      <c r="L61" s="19">
        <f>SUMIFS('Data Fertilizers'!$D:$D,'Data Fertilizers'!$P:$P,$B61,'Data Fertilizers'!$Q:$Q,"&gt;180",'Data Fertilizers'!$Q:$Q,"&lt;=360")</f>
        <v>0</v>
      </c>
      <c r="M61" s="23">
        <f>SUMIFS('Data Fertilizers'!$D:$D,'Data Fertilizers'!$P:$P,$B61,'Data Fertilizers'!$Q:$Q,"&gt;360")</f>
        <v>0</v>
      </c>
      <c r="N61" s="19">
        <f>SUMIFS('Data Fertilizers'!$D:$D,'Data Fertilizers'!$P:$P,$B61,'Data Fertilizers'!$Q:$Q,"&gt;0")</f>
        <v>0</v>
      </c>
      <c r="O61" s="19">
        <f t="shared" si="8"/>
        <v>0</v>
      </c>
      <c r="P61" s="19">
        <f>SUMIFS('Data Fertilizers'!$D:$D,'Data Fertilizers'!$P:$P,$B61,'Data Fertilizers'!$Q:$Q,"&lt;=0",'Data Fertilizers'!$Q:$Q,"&gt;=-30")</f>
        <v>0</v>
      </c>
      <c r="Q61" s="19">
        <f>SUMIFS('Data Fertilizers'!$D:$D,'Data Fertilizers'!$P:$P,$B61,'Data Fertilizers'!$Q:$Q,"&lt;=-31",'Data Fertilizers'!$Q:$Q,"&gt;=-60")</f>
        <v>0</v>
      </c>
      <c r="R61" s="19">
        <f>SUMIFS('Data Fertilizers'!$D:$D,'Data Fertilizers'!$P:$P,$B61,'Data Fertilizers'!$Q:$Q,"&lt;=-61",'Data Fertilizers'!$Q:$Q,"&gt;=-90")</f>
        <v>0</v>
      </c>
      <c r="S61" s="19">
        <f>SUMIFS('Data Fertilizers'!$D:$D,'Data Fertilizers'!$P:$P,$B61,'Data Fertilizers'!$Q:$Q,"&lt;=-91",'Data Fertilizers'!$Q:$Q,"&gt;=-120")</f>
        <v>0</v>
      </c>
      <c r="T61" s="19">
        <f>SUMIFS('Data Fertilizers'!$D:$D,'Data Fertilizers'!$P:$P,$B61,'Data Fertilizers'!$Q:$Q,"&lt;=-121",'Data Fertilizers'!$Q:$Q,"&gt;=-180")</f>
        <v>0</v>
      </c>
      <c r="U61" s="19">
        <f>SUMIFS('Data Fertilizers'!$D:$D,'Data Fertilizers'!$P:$P,$B61,'Data Fertilizers'!$Q:$Q,"&lt;=-181",'Data Fertilizers'!$Q:$Q,"&gt;=-360")</f>
        <v>0</v>
      </c>
      <c r="V61" s="23">
        <f>SUMIFS('Data Fertilizers'!$D:$D,'Data Fertilizers'!$P:$P,$B61,'Data Fertilizers'!$Q:$Q,"&lt;-360")</f>
        <v>0</v>
      </c>
      <c r="W61" s="19" t="e">
        <f>SUMIFS('Bad Debt Provision'!#REF!,'Bad Debt Provision'!#REF!,'Painel Fertilizers'!$B8)</f>
        <v>#REF!</v>
      </c>
      <c r="X61" s="5"/>
      <c r="Y61" s="20">
        <v>20000</v>
      </c>
      <c r="Z61" s="20" t="s">
        <v>228</v>
      </c>
      <c r="AA61" s="21">
        <v>0</v>
      </c>
      <c r="AB61" s="5"/>
      <c r="AC61" s="19">
        <v>0</v>
      </c>
      <c r="AD61" s="20">
        <v>0</v>
      </c>
      <c r="AE61" s="22"/>
      <c r="AF61" s="22"/>
      <c r="AG61" s="5"/>
      <c r="AH61" s="28">
        <f t="shared" si="9"/>
        <v>0</v>
      </c>
      <c r="AI61" s="5"/>
      <c r="AJ61" s="26"/>
    </row>
    <row r="62" spans="2:38" x14ac:dyDescent="0.25">
      <c r="B62" s="111" t="s">
        <v>151</v>
      </c>
      <c r="C62" s="104" cm="1">
        <f t="array" ref="C62">IFERROR(INDEX('Limite de crédito'!$D:$D, MATCH(MAX(IF('Limite de crédito'!$C:$C=$B62, 'Limite de crédito'!$A:$A)), 'Limite de crédito'!$A:$A, 0)),"")</f>
        <v>45966</v>
      </c>
      <c r="D62" s="107" t="str" cm="1">
        <f t="array" ref="D62">IFERROR(INDEX('Limite de crédito'!$F:$F, MATCH(MAX(IF('Limite de crédito'!$C:$C=$B62, 'Limite de crédito'!$A:$A)), 'Limite de crédito'!$A:$A, 0)),0)</f>
        <v>Sim</v>
      </c>
      <c r="E62" s="18" t="e">
        <f t="shared" si="6"/>
        <v>#VALUE!</v>
      </c>
      <c r="F62" s="18">
        <f t="shared" si="7"/>
        <v>0</v>
      </c>
      <c r="G62" s="19">
        <f>SUMIFS('Data Fertilizers'!$D:$D,'Data Fertilizers'!$P:$P,$B62,'Data Fertilizers'!$Q:$Q,"&gt;0",'Data Fertilizers'!$Q:$Q,"&lt;=30")</f>
        <v>0</v>
      </c>
      <c r="H62" s="19">
        <f>SUMIFS('Data Fertilizers'!$D:$D,'Data Fertilizers'!$P:$P,$B62,'Data Fertilizers'!$Q:$Q,"&gt;30",'Data Fertilizers'!$Q:$Q,"&lt;=60")</f>
        <v>0</v>
      </c>
      <c r="I62" s="19">
        <f>SUMIFS('Data Fertilizers'!$D:$D,'Data Fertilizers'!$P:$P,$B62,'Data Fertilizers'!$Q:$Q,"&gt;60",'Data Fertilizers'!$Q:$Q,"&lt;=90")</f>
        <v>0</v>
      </c>
      <c r="J62" s="19">
        <f>SUMIFS('Data Fertilizers'!$D:$D,'Data Fertilizers'!$P:$P,$B62,'Data Fertilizers'!$Q:$Q,"&gt;90",'Data Fertilizers'!$Q:$Q,"&lt;=120")</f>
        <v>0</v>
      </c>
      <c r="K62" s="19">
        <f>SUMIFS('Data Fertilizers'!$D:$D,'Data Fertilizers'!$P:$P,$B62,'Data Fertilizers'!$Q:$Q,"&gt;120",'Data Fertilizers'!$Q:$Q,"&lt;=180")</f>
        <v>0</v>
      </c>
      <c r="L62" s="19">
        <f>SUMIFS('Data Fertilizers'!$D:$D,'Data Fertilizers'!$P:$P,$B62,'Data Fertilizers'!$Q:$Q,"&gt;180",'Data Fertilizers'!$Q:$Q,"&lt;=360")</f>
        <v>0</v>
      </c>
      <c r="M62" s="23">
        <f>SUMIFS('Data Fertilizers'!$D:$D,'Data Fertilizers'!$P:$P,$B62,'Data Fertilizers'!$Q:$Q,"&gt;360")</f>
        <v>0</v>
      </c>
      <c r="N62" s="19">
        <f>SUMIFS('Data Fertilizers'!$D:$D,'Data Fertilizers'!$P:$P,$B62,'Data Fertilizers'!$Q:$Q,"&gt;0")</f>
        <v>0</v>
      </c>
      <c r="O62" s="19">
        <f t="shared" si="8"/>
        <v>0</v>
      </c>
      <c r="P62" s="19">
        <f>SUMIFS('Data Fertilizers'!$D:$D,'Data Fertilizers'!$P:$P,$B62,'Data Fertilizers'!$Q:$Q,"&lt;=0",'Data Fertilizers'!$Q:$Q,"&gt;=-30")</f>
        <v>0</v>
      </c>
      <c r="Q62" s="19">
        <f>SUMIFS('Data Fertilizers'!$D:$D,'Data Fertilizers'!$P:$P,$B62,'Data Fertilizers'!$Q:$Q,"&lt;=-31",'Data Fertilizers'!$Q:$Q,"&gt;=-60")</f>
        <v>0</v>
      </c>
      <c r="R62" s="19">
        <f>SUMIFS('Data Fertilizers'!$D:$D,'Data Fertilizers'!$P:$P,$B62,'Data Fertilizers'!$Q:$Q,"&lt;=-61",'Data Fertilizers'!$Q:$Q,"&gt;=-90")</f>
        <v>0</v>
      </c>
      <c r="S62" s="19">
        <f>SUMIFS('Data Fertilizers'!$D:$D,'Data Fertilizers'!$P:$P,$B62,'Data Fertilizers'!$Q:$Q,"&lt;=-91",'Data Fertilizers'!$Q:$Q,"&gt;=-120")</f>
        <v>0</v>
      </c>
      <c r="T62" s="19">
        <f>SUMIFS('Data Fertilizers'!$D:$D,'Data Fertilizers'!$P:$P,$B62,'Data Fertilizers'!$Q:$Q,"&lt;=-121",'Data Fertilizers'!$Q:$Q,"&gt;=-180")</f>
        <v>0</v>
      </c>
      <c r="U62" s="19">
        <f>SUMIFS('Data Fertilizers'!$D:$D,'Data Fertilizers'!$P:$P,$B62,'Data Fertilizers'!$Q:$Q,"&lt;=-181",'Data Fertilizers'!$Q:$Q,"&gt;=-360")</f>
        <v>0</v>
      </c>
      <c r="V62" s="23">
        <f>SUMIFS('Data Fertilizers'!$D:$D,'Data Fertilizers'!$P:$P,$B62,'Data Fertilizers'!$Q:$Q,"&lt;-360")</f>
        <v>0</v>
      </c>
      <c r="W62" s="19" t="e">
        <f>SUMIFS('Bad Debt Provision'!#REF!,'Bad Debt Provision'!#REF!,'Painel Fertilizers'!$B9)</f>
        <v>#REF!</v>
      </c>
      <c r="X62" s="5"/>
      <c r="Y62" s="20">
        <v>0</v>
      </c>
      <c r="Z62" s="20">
        <v>0</v>
      </c>
      <c r="AA62" s="21">
        <v>0</v>
      </c>
      <c r="AB62" s="5"/>
      <c r="AC62" s="19">
        <v>0</v>
      </c>
      <c r="AD62" s="20">
        <v>0</v>
      </c>
      <c r="AE62" s="22"/>
      <c r="AF62" s="22"/>
      <c r="AG62" s="5"/>
      <c r="AH62" s="28">
        <f t="shared" si="9"/>
        <v>0</v>
      </c>
      <c r="AI62" s="5"/>
      <c r="AJ62" s="26"/>
      <c r="AL62" s="36"/>
    </row>
    <row r="63" spans="2:38" x14ac:dyDescent="0.25">
      <c r="B63" s="47" t="s">
        <v>472</v>
      </c>
      <c r="C63" s="97" t="str" cm="1">
        <f t="array" ref="C63">IFERROR(INDEX('Limite de crédito'!$D:$D, MATCH(MAX(IF('Limite de crédito'!$C:$C=$B63, 'Limite de crédito'!$A:$A)), 'Limite de crédito'!$A:$A, 0)),"")</f>
        <v/>
      </c>
      <c r="D63" s="107" cm="1">
        <f t="array" ref="D63">IFERROR(INDEX('Limite de crédito'!$F:$F, MATCH(MAX(IF('Limite de crédito'!$C:$C=$B63, 'Limite de crédito'!$A:$A)), 'Limite de crédito'!$A:$A, 0)),0)</f>
        <v>0</v>
      </c>
      <c r="E63" s="18">
        <f t="shared" ref="E63" si="10">D63-F63</f>
        <v>0</v>
      </c>
      <c r="F63" s="18">
        <f t="shared" ref="F63" si="11">O63+N63</f>
        <v>0</v>
      </c>
      <c r="G63" s="19">
        <f>SUMIFS('Data Fertilizers'!$D:$D,'Data Fertilizers'!$P:$P,$B63,'Data Fertilizers'!$Q:$Q,"&gt;0",'Data Fertilizers'!$Q:$Q,"&lt;=30")</f>
        <v>0</v>
      </c>
      <c r="H63" s="19">
        <f>SUMIFS('Data Fertilizers'!$D:$D,'Data Fertilizers'!$P:$P,$B63,'Data Fertilizers'!$Q:$Q,"&gt;30",'Data Fertilizers'!$Q:$Q,"&lt;=60")</f>
        <v>0</v>
      </c>
      <c r="I63" s="19">
        <f>SUMIFS('Data Fertilizers'!$D:$D,'Data Fertilizers'!$P:$P,$B63,'Data Fertilizers'!$Q:$Q,"&gt;60",'Data Fertilizers'!$Q:$Q,"&lt;=90")</f>
        <v>0</v>
      </c>
      <c r="J63" s="19">
        <f>SUMIFS('Data Fertilizers'!$D:$D,'Data Fertilizers'!$P:$P,$B63,'Data Fertilizers'!$Q:$Q,"&gt;90",'Data Fertilizers'!$Q:$Q,"&lt;=120")</f>
        <v>0</v>
      </c>
      <c r="K63" s="19">
        <f>SUMIFS('Data Fertilizers'!$D:$D,'Data Fertilizers'!$P:$P,$B63,'Data Fertilizers'!$Q:$Q,"&gt;120",'Data Fertilizers'!$Q:$Q,"&lt;=180")</f>
        <v>0</v>
      </c>
      <c r="L63" s="19">
        <f>SUMIFS('Data Fertilizers'!$D:$D,'Data Fertilizers'!$P:$P,$B63,'Data Fertilizers'!$Q:$Q,"&gt;180",'Data Fertilizers'!$Q:$Q,"&lt;=360")</f>
        <v>0</v>
      </c>
      <c r="M63" s="23">
        <f>SUMIFS('Data Fertilizers'!$D:$D,'Data Fertilizers'!$P:$P,$B63,'Data Fertilizers'!$Q:$Q,"&gt;360")</f>
        <v>0</v>
      </c>
      <c r="N63" s="19">
        <f>SUMIFS('Data Fertilizers'!$D:$D,'Data Fertilizers'!$P:$P,$B63,'Data Fertilizers'!$Q:$Q,"&gt;0")</f>
        <v>0</v>
      </c>
      <c r="O63" s="19">
        <f t="shared" ref="O63" si="12">SUBTOTAL(9,P63:V63)</f>
        <v>0</v>
      </c>
      <c r="P63" s="19">
        <f>SUMIFS('Data Fertilizers'!$D:$D,'Data Fertilizers'!$P:$P,$B63,'Data Fertilizers'!$Q:$Q,"&lt;=0",'Data Fertilizers'!$Q:$Q,"&gt;=-30")</f>
        <v>0</v>
      </c>
      <c r="Q63" s="19">
        <f>SUMIFS('Data Fertilizers'!$D:$D,'Data Fertilizers'!$P:$P,$B63,'Data Fertilizers'!$Q:$Q,"&lt;=-31",'Data Fertilizers'!$Q:$Q,"&gt;=-60")</f>
        <v>0</v>
      </c>
      <c r="R63" s="19">
        <f>SUMIFS('Data Fertilizers'!$D:$D,'Data Fertilizers'!$P:$P,$B63,'Data Fertilizers'!$Q:$Q,"&lt;=-61",'Data Fertilizers'!$Q:$Q,"&gt;=-90")</f>
        <v>0</v>
      </c>
      <c r="S63" s="19">
        <f>SUMIFS('Data Fertilizers'!$D:$D,'Data Fertilizers'!$P:$P,$B63,'Data Fertilizers'!$Q:$Q,"&lt;=-91",'Data Fertilizers'!$Q:$Q,"&gt;=-120")</f>
        <v>0</v>
      </c>
      <c r="T63" s="19">
        <f>SUMIFS('Data Fertilizers'!$D:$D,'Data Fertilizers'!$P:$P,$B63,'Data Fertilizers'!$Q:$Q,"&lt;=-121",'Data Fertilizers'!$Q:$Q,"&gt;=-180")</f>
        <v>0</v>
      </c>
      <c r="U63" s="19">
        <f>SUMIFS('Data Fertilizers'!$D:$D,'Data Fertilizers'!$P:$P,$B63,'Data Fertilizers'!$Q:$Q,"&lt;=-181",'Data Fertilizers'!$Q:$Q,"&gt;=-360")</f>
        <v>0</v>
      </c>
      <c r="V63" s="23">
        <f>SUMIFS('Data Fertilizers'!$D:$D,'Data Fertilizers'!$P:$P,$B63,'Data Fertilizers'!$Q:$Q,"&lt;-360")</f>
        <v>0</v>
      </c>
      <c r="W63" s="19" t="e">
        <f>SUMIFS('Bad Debt Provision'!#REF!,'Bad Debt Provision'!#REF!,'Painel Fertilizers'!#REF!)</f>
        <v>#REF!</v>
      </c>
      <c r="Y63" s="20"/>
      <c r="Z63" s="20"/>
      <c r="AA63" s="21"/>
      <c r="AB63" s="5"/>
      <c r="AC63" s="19"/>
      <c r="AD63" s="20"/>
      <c r="AE63" s="22"/>
      <c r="AF63" s="22"/>
      <c r="AG63" s="5"/>
      <c r="AH63" s="28">
        <f t="shared" ref="AH63" si="13">AC63-F63</f>
        <v>0</v>
      </c>
    </row>
  </sheetData>
  <autoFilter ref="A3:AL62" xr:uid="{09089C1F-5E89-4D89-BD47-6410F9E22C3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85F-7CFA-4620-8217-7766EBCCEB05}">
  <sheetPr>
    <tabColor theme="4"/>
  </sheetPr>
  <dimension ref="A1:AL38"/>
  <sheetViews>
    <sheetView showGridLines="0" zoomScale="90" zoomScaleNormal="90" workbookViewId="0">
      <pane xSplit="2" ySplit="3" topLeftCell="C21" activePane="bottomRight" state="frozen"/>
      <selection sqref="A1:XFD1048576"/>
      <selection pane="topRight" sqref="A1:XFD1048576"/>
      <selection pane="bottomLeft" sqref="A1:XFD1048576"/>
      <selection pane="bottomRight" activeCell="A1048576" sqref="A1048576"/>
    </sheetView>
  </sheetViews>
  <sheetFormatPr defaultRowHeight="13.2" outlineLevelCol="1" x14ac:dyDescent="0.25"/>
  <cols>
    <col min="1" max="1" width="3.109375" customWidth="1"/>
    <col min="2" max="2" width="47.109375" bestFit="1" customWidth="1"/>
    <col min="3" max="3" width="8.33203125" customWidth="1"/>
    <col min="4" max="4" width="12.33203125" customWidth="1"/>
    <col min="5" max="5" width="18.441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45673</v>
      </c>
      <c r="C1" s="11"/>
      <c r="D1" s="11"/>
      <c r="E1" s="11"/>
      <c r="F1" s="9">
        <f t="shared" ref="F1:N1" si="0">SUBTOTAL(9,F4:F128)</f>
        <v>4824936.17</v>
      </c>
      <c r="G1" s="9">
        <f t="shared" si="0"/>
        <v>157607.13</v>
      </c>
      <c r="H1" s="9">
        <f t="shared" si="0"/>
        <v>0</v>
      </c>
      <c r="I1" s="9">
        <f t="shared" si="0"/>
        <v>0</v>
      </c>
      <c r="J1" s="9">
        <f t="shared" si="0"/>
        <v>14548.35</v>
      </c>
      <c r="K1" s="9">
        <f t="shared" si="0"/>
        <v>0</v>
      </c>
      <c r="L1" s="9">
        <f t="shared" si="0"/>
        <v>0</v>
      </c>
      <c r="M1" s="9">
        <f t="shared" si="0"/>
        <v>0</v>
      </c>
      <c r="N1" s="9">
        <f t="shared" si="0"/>
        <v>172155.48</v>
      </c>
      <c r="O1" s="9">
        <f t="shared" ref="O1:W1" si="1">SUM(O4:O129)</f>
        <v>4652780.6899999995</v>
      </c>
      <c r="P1" s="9">
        <f t="shared" si="1"/>
        <v>1045883.75</v>
      </c>
      <c r="Q1" s="9">
        <f t="shared" si="1"/>
        <v>3530416.7099999995</v>
      </c>
      <c r="R1" s="9">
        <f t="shared" si="1"/>
        <v>0</v>
      </c>
      <c r="S1" s="9">
        <f t="shared" si="1"/>
        <v>0</v>
      </c>
      <c r="T1" s="9">
        <f t="shared" si="1"/>
        <v>0</v>
      </c>
      <c r="U1" s="9">
        <f t="shared" si="1"/>
        <v>76480.23</v>
      </c>
      <c r="V1" s="9">
        <f t="shared" si="1"/>
        <v>0</v>
      </c>
      <c r="W1" s="9" t="e">
        <f t="shared" si="1"/>
        <v>#REF!</v>
      </c>
      <c r="X1" s="10"/>
      <c r="Y1" s="42">
        <f>N1/F1</f>
        <v>3.5680364244072477E-2</v>
      </c>
      <c r="Z1" s="10"/>
      <c r="AA1" s="14"/>
      <c r="AB1" s="10"/>
      <c r="AE1" s="10"/>
      <c r="AF1" s="14"/>
      <c r="AG1" s="10"/>
      <c r="AH1" s="27"/>
      <c r="AI1" s="10"/>
    </row>
    <row r="2" spans="1:38" ht="18.600000000000001" customHeight="1" thickBot="1" x14ac:dyDescent="0.3">
      <c r="B2" s="8"/>
      <c r="C2" s="8"/>
      <c r="D2" s="8"/>
      <c r="E2" s="8"/>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95" t="s">
        <v>436</v>
      </c>
      <c r="D3" s="95"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3.8" thickTop="1" x14ac:dyDescent="0.25">
      <c r="B4" s="41" t="s">
        <v>337</v>
      </c>
      <c r="C4" s="19" t="str" cm="1">
        <f t="array" ref="C4">IFERROR(INDEX('Limite de crédito'!$D:$D, MATCH(MAX(IF('Limite de crédito'!$C:$C=$B4, 'Limite de crédito'!$A:$A)), 'Limite de crédito'!$A:$A, 0)),"")</f>
        <v/>
      </c>
      <c r="D4" s="105" cm="1">
        <f t="array" ref="D4">IFERROR(INDEX('Limite de crédito'!$F:$F, MATCH(MAX(IF('Limite de crédito'!$C:$C=$B4, 'Limite de crédito'!$A:$A)), 'Limite de crédito'!$A:$A, 0)),0)</f>
        <v>0</v>
      </c>
      <c r="E4" s="18">
        <f t="shared" ref="E4:E37" si="2">D4-F4</f>
        <v>0</v>
      </c>
      <c r="F4" s="18">
        <f t="shared" ref="F4:F37" si="3">O4+N4</f>
        <v>0</v>
      </c>
      <c r="G4" s="19">
        <f>SUMIFS('Data International'!$D:$D,'Data International'!$P:$P,'Painel International'!#REF!,'Data International'!$Q:$Q,"&gt;0",'Data International'!$Q:$Q,"&lt;=30")</f>
        <v>0</v>
      </c>
      <c r="H4" s="19">
        <f>SUMIFS('Data International'!$D:$D,'Data International'!$P:$P,'Painel International'!#REF!,'Data International'!$Q:$Q,"&gt;30",'Data International'!$Q:$Q,"&lt;=60")</f>
        <v>0</v>
      </c>
      <c r="I4" s="19">
        <f>SUMIFS('Data International'!$D:$D,'Data International'!$P:$P,'Painel International'!#REF!,'Data International'!$Q:$Q,"&gt;60",'Data International'!$Q:$Q,"&lt;=90")</f>
        <v>0</v>
      </c>
      <c r="J4" s="19">
        <f>SUMIFS('Data International'!$D:$D,'Data International'!$P:$P,'Painel International'!#REF!,'Data International'!$Q:$Q,"&gt;90",'Data International'!$Q:$Q,"&lt;=120")</f>
        <v>0</v>
      </c>
      <c r="K4" s="19">
        <f>SUMIFS('Data International'!$D:$D,'Data International'!$P:$P,'Painel International'!#REF!,'Data International'!$Q:$Q,"&gt;120",'Data International'!$Q:$Q,"&lt;=180")</f>
        <v>0</v>
      </c>
      <c r="L4" s="19">
        <f>SUMIFS('Data International'!$D:$D,'Data International'!$P:$P,'Painel International'!#REF!,'Data International'!$Q:$Q,"&gt;180",'Data International'!$Q:$Q,"&lt;=360")</f>
        <v>0</v>
      </c>
      <c r="M4" s="23">
        <f>SUMIFS('Data International'!$D:$D,'Data International'!$P:$P,'Painel International'!#REF!,'Data International'!$Q:$Q,"&gt;360")</f>
        <v>0</v>
      </c>
      <c r="N4" s="19">
        <f>SUMIFS('Data International'!$D:$D,'Data International'!$P:$P,'Painel International'!#REF!,'Data International'!$Q:$Q,"&gt;0")</f>
        <v>0</v>
      </c>
      <c r="O4" s="19">
        <f t="shared" ref="O4:O37" si="4">SUBTOTAL(9,P4:V4)</f>
        <v>0</v>
      </c>
      <c r="P4" s="19">
        <f>SUMIFS('Data International'!$D:$D,'Data International'!$P:$P,'Painel International'!#REF!,'Data International'!$Q:$Q,"&lt;=0",'Data International'!$Q:$Q,"&gt;=-30")</f>
        <v>0</v>
      </c>
      <c r="Q4" s="19">
        <f>SUMIFS('Data International'!$D:$D,'Data International'!$P:$P,'Painel International'!#REF!,'Data International'!$Q:$Q,"&lt;=-31",'Data International'!$Q:$Q,"&gt;=-60")</f>
        <v>0</v>
      </c>
      <c r="R4" s="19">
        <f>SUMIFS('Data International'!$D:$D,'Data International'!$P:$P,'Painel International'!#REF!,'Data International'!$Q:$Q,"&lt;=-61",'Data International'!$Q:$Q,"&gt;=-90")</f>
        <v>0</v>
      </c>
      <c r="S4" s="19">
        <f>SUMIFS('Data International'!$D:$D,'Data International'!$P:$P,'Painel International'!#REF!,'Data International'!$Q:$Q,"&lt;=-91",'Data International'!$Q:$Q,"&gt;=-120")</f>
        <v>0</v>
      </c>
      <c r="T4" s="19">
        <f>SUMIFS('Data International'!$D:$D,'Data International'!$P:$P,'Painel International'!#REF!,'Data International'!$Q:$Q,"&lt;=-121",'Data International'!$Q:$Q,"&gt;=-180")</f>
        <v>0</v>
      </c>
      <c r="U4" s="19">
        <f>SUMIFS('Data International'!$D:$D,'Data International'!$P:$P,'Painel International'!#REF!,'Data International'!$Q:$Q,"&lt;=-181",'Data International'!$Q:$Q,"&gt;=-360")</f>
        <v>0</v>
      </c>
      <c r="V4" s="23">
        <f>SUMIFS('Data International'!$D:$D,'Data International'!$P:$P,'Painel International'!#REF!,'Data International'!$Q:$Q,"&lt;-360")</f>
        <v>0</v>
      </c>
      <c r="W4" s="19" t="e">
        <f>SUMIFS('Bad Debt Provision'!#REF!,'Bad Debt Provision'!#REF!,'Painel International'!#REF!)</f>
        <v>#REF!</v>
      </c>
      <c r="X4" s="5"/>
      <c r="Y4" s="20"/>
      <c r="Z4" s="20"/>
      <c r="AA4" s="21"/>
      <c r="AB4" s="5"/>
      <c r="AC4" s="19"/>
      <c r="AD4" s="20"/>
      <c r="AE4" s="22"/>
      <c r="AF4" s="22"/>
      <c r="AG4" s="5"/>
      <c r="AH4" s="28">
        <f t="shared" ref="AH4:AH37" si="5">AC4-F4</f>
        <v>0</v>
      </c>
    </row>
    <row r="5" spans="1:38" x14ac:dyDescent="0.25">
      <c r="B5" s="17" t="s">
        <v>330</v>
      </c>
      <c r="C5" s="105" t="str" cm="1">
        <f t="array" ref="C5">IFERROR(INDEX('Limite de crédito'!$D:$D, MATCH(MAX(IF('Limite de crédito'!$C:$C=$B5, 'Limite de crédito'!$A:$A)), 'Limite de crédito'!$A:$A, 0)),"")</f>
        <v/>
      </c>
      <c r="D5" s="105" cm="1">
        <f t="array" ref="D5">IFERROR(INDEX('Limite de crédito'!$F:$F, MATCH(MAX(IF('Limite de crédito'!$C:$C=$B5, 'Limite de crédito'!$A:$A)), 'Limite de crédito'!$A:$A, 0)),0)</f>
        <v>0</v>
      </c>
      <c r="E5" s="18">
        <f t="shared" si="2"/>
        <v>0</v>
      </c>
      <c r="F5" s="18">
        <f t="shared" si="3"/>
        <v>0</v>
      </c>
      <c r="G5" s="19">
        <f>SUMIFS('Data International'!$D:$D,'Data International'!$P:$P,'Painel International'!#REF!,'Data International'!$Q:$Q,"&gt;0",'Data International'!$Q:$Q,"&lt;=30")</f>
        <v>0</v>
      </c>
      <c r="H5" s="19">
        <f>SUMIFS('Data International'!$D:$D,'Data International'!$P:$P,'Painel International'!#REF!,'Data International'!$Q:$Q,"&gt;30",'Data International'!$Q:$Q,"&lt;=60")</f>
        <v>0</v>
      </c>
      <c r="I5" s="19">
        <f>SUMIFS('Data International'!$D:$D,'Data International'!$P:$P,'Painel International'!#REF!,'Data International'!$Q:$Q,"&gt;60",'Data International'!$Q:$Q,"&lt;=90")</f>
        <v>0</v>
      </c>
      <c r="J5" s="19">
        <f>SUMIFS('Data International'!$D:$D,'Data International'!$P:$P,'Painel International'!#REF!,'Data International'!$Q:$Q,"&gt;90",'Data International'!$Q:$Q,"&lt;=120")</f>
        <v>0</v>
      </c>
      <c r="K5" s="19">
        <f>SUMIFS('Data International'!$D:$D,'Data International'!$P:$P,'Painel International'!#REF!,'Data International'!$Q:$Q,"&gt;120",'Data International'!$Q:$Q,"&lt;=180")</f>
        <v>0</v>
      </c>
      <c r="L5" s="19">
        <f>SUMIFS('Data International'!$D:$D,'Data International'!$P:$P,'Painel International'!#REF!,'Data International'!$Q:$Q,"&gt;180",'Data International'!$Q:$Q,"&lt;=360")</f>
        <v>0</v>
      </c>
      <c r="M5" s="23">
        <f>SUMIFS('Data International'!$D:$D,'Data International'!$P:$P,'Painel International'!#REF!,'Data International'!$Q:$Q,"&gt;360")</f>
        <v>0</v>
      </c>
      <c r="N5" s="19">
        <f>SUMIFS('Data International'!$D:$D,'Data International'!$P:$P,'Painel International'!#REF!,'Data International'!$Q:$Q,"&gt;0")</f>
        <v>0</v>
      </c>
      <c r="O5" s="19">
        <f t="shared" si="4"/>
        <v>0</v>
      </c>
      <c r="P5" s="19">
        <f>SUMIFS('Data International'!$D:$D,'Data International'!$P:$P,'Painel International'!#REF!,'Data International'!$Q:$Q,"&lt;=0",'Data International'!$Q:$Q,"&gt;=-30")</f>
        <v>0</v>
      </c>
      <c r="Q5" s="19">
        <f>SUMIFS('Data International'!$D:$D,'Data International'!$P:$P,'Painel International'!#REF!,'Data International'!$Q:$Q,"&lt;=-31",'Data International'!$Q:$Q,"&gt;=-60")</f>
        <v>0</v>
      </c>
      <c r="R5" s="19">
        <f>SUMIFS('Data International'!$D:$D,'Data International'!$P:$P,'Painel International'!#REF!,'Data International'!$Q:$Q,"&lt;=-61",'Data International'!$Q:$Q,"&gt;=-90")</f>
        <v>0</v>
      </c>
      <c r="S5" s="19">
        <f>SUMIFS('Data International'!$D:$D,'Data International'!$P:$P,'Painel International'!#REF!,'Data International'!$Q:$Q,"&lt;=-91",'Data International'!$Q:$Q,"&gt;=-120")</f>
        <v>0</v>
      </c>
      <c r="T5" s="19">
        <f>SUMIFS('Data International'!$D:$D,'Data International'!$P:$P,'Painel International'!#REF!,'Data International'!$Q:$Q,"&lt;=-121",'Data International'!$Q:$Q,"&gt;=-180")</f>
        <v>0</v>
      </c>
      <c r="U5" s="19">
        <f>SUMIFS('Data International'!$D:$D,'Data International'!$P:$P,'Painel International'!#REF!,'Data International'!$Q:$Q,"&lt;=-181",'Data International'!$Q:$Q,"&gt;=-360")</f>
        <v>0</v>
      </c>
      <c r="V5" s="23">
        <f>SUMIFS('Data International'!$D:$D,'Data International'!$P:$P,'Painel International'!#REF!,'Data International'!$Q:$Q,"&lt;-360")</f>
        <v>0</v>
      </c>
      <c r="W5" s="19" t="e">
        <f>SUMIFS('Bad Debt Provision'!#REF!,'Bad Debt Provision'!#REF!,'Painel International'!#REF!)</f>
        <v>#REF!</v>
      </c>
      <c r="X5" s="5"/>
      <c r="Y5" s="20"/>
      <c r="Z5" s="20"/>
      <c r="AA5" s="21"/>
      <c r="AB5" s="5"/>
      <c r="AC5" s="19"/>
      <c r="AD5" s="20"/>
      <c r="AE5" s="22"/>
      <c r="AF5" s="22"/>
      <c r="AG5" s="5"/>
      <c r="AH5" s="28">
        <f t="shared" si="5"/>
        <v>0</v>
      </c>
    </row>
    <row r="6" spans="1:38" x14ac:dyDescent="0.25">
      <c r="B6" s="41" t="s">
        <v>374</v>
      </c>
      <c r="C6" s="19" cm="1">
        <f t="array" ref="C6">IFERROR(INDEX('Limite de crédito'!$D:$D, MATCH(MAX(IF('Limite de crédito'!$C:$C=$B6, 'Limite de crédito'!$A:$A)), 'Limite de crédito'!$A:$A, 0)),"")</f>
        <v>45982</v>
      </c>
      <c r="D6" s="105" t="str" cm="1">
        <f t="array" ref="D6">IFERROR(INDEX('Limite de crédito'!$F:$F, MATCH(MAX(IF('Limite de crédito'!$C:$C=$B6, 'Limite de crédito'!$A:$A)), 'Limite de crédito'!$A:$A, 0)),0)</f>
        <v>Sim</v>
      </c>
      <c r="E6" s="18" t="e">
        <f t="shared" si="2"/>
        <v>#VALUE!</v>
      </c>
      <c r="F6" s="18">
        <f t="shared" si="3"/>
        <v>0</v>
      </c>
      <c r="G6" s="19">
        <f>SUMIFS('Data International'!$D:$D,'Data International'!$P:$P,'Painel International'!#REF!,'Data International'!$Q:$Q,"&gt;0",'Data International'!$Q:$Q,"&lt;=30")</f>
        <v>0</v>
      </c>
      <c r="H6" s="19">
        <f>SUMIFS('Data International'!$D:$D,'Data International'!$P:$P,'Painel International'!#REF!,'Data International'!$Q:$Q,"&gt;30",'Data International'!$Q:$Q,"&lt;=60")</f>
        <v>0</v>
      </c>
      <c r="I6" s="19">
        <f>SUMIFS('Data International'!$D:$D,'Data International'!$P:$P,'Painel International'!#REF!,'Data International'!$Q:$Q,"&gt;60",'Data International'!$Q:$Q,"&lt;=90")</f>
        <v>0</v>
      </c>
      <c r="J6" s="19">
        <f>SUMIFS('Data International'!$D:$D,'Data International'!$P:$P,'Painel International'!#REF!,'Data International'!$Q:$Q,"&gt;90",'Data International'!$Q:$Q,"&lt;=120")</f>
        <v>0</v>
      </c>
      <c r="K6" s="19">
        <f>SUMIFS('Data International'!$D:$D,'Data International'!$P:$P,'Painel International'!#REF!,'Data International'!$Q:$Q,"&gt;120",'Data International'!$Q:$Q,"&lt;=180")</f>
        <v>0</v>
      </c>
      <c r="L6" s="19">
        <f>SUMIFS('Data International'!$D:$D,'Data International'!$P:$P,'Painel International'!#REF!,'Data International'!$Q:$Q,"&gt;180",'Data International'!$Q:$Q,"&lt;=360")</f>
        <v>0</v>
      </c>
      <c r="M6" s="23">
        <f>SUMIFS('Data International'!$D:$D,'Data International'!$P:$P,'Painel International'!#REF!,'Data International'!$Q:$Q,"&gt;360")</f>
        <v>0</v>
      </c>
      <c r="N6" s="19">
        <f>SUMIFS('Data International'!$D:$D,'Data International'!$P:$P,'Painel International'!#REF!,'Data International'!$Q:$Q,"&gt;0")</f>
        <v>0</v>
      </c>
      <c r="O6" s="19">
        <f t="shared" si="4"/>
        <v>0</v>
      </c>
      <c r="P6" s="19">
        <f>SUMIFS('Data International'!$D:$D,'Data International'!$P:$P,'Painel International'!#REF!,'Data International'!$Q:$Q,"&lt;=0",'Data International'!$Q:$Q,"&gt;=-30")</f>
        <v>0</v>
      </c>
      <c r="Q6" s="19">
        <f>SUMIFS('Data International'!$D:$D,'Data International'!$P:$P,'Painel International'!#REF!,'Data International'!$Q:$Q,"&lt;=-31",'Data International'!$Q:$Q,"&gt;=-60")</f>
        <v>0</v>
      </c>
      <c r="R6" s="19">
        <f>SUMIFS('Data International'!$D:$D,'Data International'!$P:$P,'Painel International'!#REF!,'Data International'!$Q:$Q,"&lt;=-61",'Data International'!$Q:$Q,"&gt;=-90")</f>
        <v>0</v>
      </c>
      <c r="S6" s="19">
        <f>SUMIFS('Data International'!$D:$D,'Data International'!$P:$P,'Painel International'!#REF!,'Data International'!$Q:$Q,"&lt;=-91",'Data International'!$Q:$Q,"&gt;=-120")</f>
        <v>0</v>
      </c>
      <c r="T6" s="19">
        <f>SUMIFS('Data International'!$D:$D,'Data International'!$P:$P,'Painel International'!#REF!,'Data International'!$Q:$Q,"&lt;=-121",'Data International'!$Q:$Q,"&gt;=-180")</f>
        <v>0</v>
      </c>
      <c r="U6" s="19">
        <f>SUMIFS('Data International'!$D:$D,'Data International'!$P:$P,'Painel International'!#REF!,'Data International'!$Q:$Q,"&lt;=-181",'Data International'!$Q:$Q,"&gt;=-360")</f>
        <v>0</v>
      </c>
      <c r="V6" s="23">
        <f>SUMIFS('Data International'!$D:$D,'Data International'!$P:$P,'Painel International'!#REF!,'Data International'!$Q:$Q,"&lt;-360")</f>
        <v>0</v>
      </c>
      <c r="W6" s="19" t="e">
        <f>SUMIFS('Bad Debt Provision'!#REF!,'Bad Debt Provision'!#REF!,'Painel International'!#REF!)</f>
        <v>#REF!</v>
      </c>
      <c r="X6" s="5"/>
      <c r="Y6" s="20"/>
      <c r="Z6" s="20"/>
      <c r="AA6" s="21"/>
      <c r="AB6" s="5"/>
      <c r="AC6" s="19"/>
      <c r="AD6" s="20"/>
      <c r="AE6" s="22"/>
      <c r="AF6" s="22"/>
      <c r="AG6" s="5"/>
      <c r="AH6" s="28">
        <f t="shared" si="5"/>
        <v>0</v>
      </c>
    </row>
    <row r="7" spans="1:38" x14ac:dyDescent="0.25">
      <c r="B7" s="17" t="s">
        <v>293</v>
      </c>
      <c r="C7" s="105" t="str" cm="1">
        <f t="array" ref="C7">IFERROR(INDEX('Limite de crédito'!$D:$D, MATCH(MAX(IF('Limite de crédito'!$C:$C=$B7, 'Limite de crédito'!$A:$A)), 'Limite de crédito'!$A:$A, 0)),"")</f>
        <v/>
      </c>
      <c r="D7" s="105" cm="1">
        <f t="array" ref="D7">IFERROR(INDEX('Limite de crédito'!$F:$F, MATCH(MAX(IF('Limite de crédito'!$C:$C=$B7, 'Limite de crédito'!$A:$A)), 'Limite de crédito'!$A:$A, 0)),0)</f>
        <v>0</v>
      </c>
      <c r="E7" s="18">
        <f t="shared" si="2"/>
        <v>0</v>
      </c>
      <c r="F7" s="18">
        <f t="shared" si="3"/>
        <v>0</v>
      </c>
      <c r="G7" s="19">
        <f>SUMIFS('Data International'!$D:$D,'Data International'!$P:$P,'Painel International'!$B15,'Data International'!$Q:$Q,"&gt;0",'Data International'!$Q:$Q,"&lt;=30")</f>
        <v>0</v>
      </c>
      <c r="H7" s="19">
        <f>SUMIFS('Data International'!$D:$D,'Data International'!$P:$P,'Painel International'!$B15,'Data International'!$Q:$Q,"&gt;30",'Data International'!$Q:$Q,"&lt;=60")</f>
        <v>0</v>
      </c>
      <c r="I7" s="19">
        <f>SUMIFS('Data International'!$D:$D,'Data International'!$P:$P,'Painel International'!$B15,'Data International'!$Q:$Q,"&gt;60",'Data International'!$Q:$Q,"&lt;=90")</f>
        <v>0</v>
      </c>
      <c r="J7" s="19">
        <f>SUMIFS('Data International'!$D:$D,'Data International'!$P:$P,'Painel International'!$B15,'Data International'!$Q:$Q,"&gt;90",'Data International'!$Q:$Q,"&lt;=120")</f>
        <v>0</v>
      </c>
      <c r="K7" s="19">
        <f>SUMIFS('Data International'!$D:$D,'Data International'!$P:$P,'Painel International'!$B15,'Data International'!$Q:$Q,"&gt;120",'Data International'!$Q:$Q,"&lt;=180")</f>
        <v>0</v>
      </c>
      <c r="L7" s="19">
        <f>SUMIFS('Data International'!$D:$D,'Data International'!$P:$P,'Painel International'!$B15,'Data International'!$Q:$Q,"&gt;180",'Data International'!$Q:$Q,"&lt;=360")</f>
        <v>0</v>
      </c>
      <c r="M7" s="23">
        <f>SUMIFS('Data International'!$D:$D,'Data International'!$P:$P,'Painel International'!$B15,'Data International'!$Q:$Q,"&gt;360")</f>
        <v>0</v>
      </c>
      <c r="N7" s="19">
        <f>SUMIFS('Data International'!$D:$D,'Data International'!$P:$P,'Painel International'!$B15,'Data International'!$Q:$Q,"&gt;0")</f>
        <v>0</v>
      </c>
      <c r="O7" s="19">
        <f t="shared" si="4"/>
        <v>0</v>
      </c>
      <c r="P7" s="19">
        <f>SUMIFS('Data International'!$D:$D,'Data International'!$P:$P,'Painel International'!$B15,'Data International'!$Q:$Q,"&lt;=0",'Data International'!$Q:$Q,"&gt;=-30")</f>
        <v>0</v>
      </c>
      <c r="Q7" s="19">
        <f>SUMIFS('Data International'!$D:$D,'Data International'!$P:$P,'Painel International'!$B15,'Data International'!$Q:$Q,"&lt;=-31",'Data International'!$Q:$Q,"&gt;=-60")</f>
        <v>0</v>
      </c>
      <c r="R7" s="19">
        <f>SUMIFS('Data International'!$D:$D,'Data International'!$P:$P,'Painel International'!$B15,'Data International'!$Q:$Q,"&lt;=-61",'Data International'!$Q:$Q,"&gt;=-90")</f>
        <v>0</v>
      </c>
      <c r="S7" s="19">
        <f>SUMIFS('Data International'!$D:$D,'Data International'!$P:$P,'Painel International'!$B15,'Data International'!$Q:$Q,"&lt;=-91",'Data International'!$Q:$Q,"&gt;=-120")</f>
        <v>0</v>
      </c>
      <c r="T7" s="19">
        <f>SUMIFS('Data International'!$D:$D,'Data International'!$P:$P,'Painel International'!$B15,'Data International'!$Q:$Q,"&lt;=-121",'Data International'!$Q:$Q,"&gt;=-180")</f>
        <v>0</v>
      </c>
      <c r="U7" s="19">
        <f>SUMIFS('Data International'!$D:$D,'Data International'!$P:$P,'Painel International'!$B15,'Data International'!$Q:$Q,"&lt;=-181",'Data International'!$Q:$Q,"&gt;=-360")</f>
        <v>0</v>
      </c>
      <c r="V7" s="23">
        <f>SUMIFS('Data International'!$D:$D,'Data International'!$P:$P,'Painel International'!$B15,'Data International'!$Q:$Q,"&lt;-360")</f>
        <v>0</v>
      </c>
      <c r="W7" s="19" t="e">
        <f>SUMIFS('Bad Debt Provision'!#REF!,'Bad Debt Provision'!#REF!,'Painel International'!$B15)</f>
        <v>#REF!</v>
      </c>
      <c r="X7" s="5"/>
      <c r="Y7" s="20"/>
      <c r="Z7" s="20"/>
      <c r="AA7" s="21"/>
      <c r="AB7" s="5"/>
      <c r="AC7" s="19"/>
      <c r="AD7" s="20"/>
      <c r="AE7" s="22"/>
      <c r="AF7" s="22"/>
      <c r="AG7" s="5"/>
      <c r="AH7" s="28">
        <f t="shared" si="5"/>
        <v>0</v>
      </c>
    </row>
    <row r="8" spans="1:38" x14ac:dyDescent="0.25">
      <c r="B8" s="17" t="s">
        <v>295</v>
      </c>
      <c r="C8" s="105" cm="1">
        <f t="array" ref="C8">IFERROR(INDEX('Limite de crédito'!$D:$D, MATCH(MAX(IF('Limite de crédito'!$C:$C=$B8, 'Limite de crédito'!$A:$A)), 'Limite de crédito'!$A:$A, 0)),"")</f>
        <v>45994</v>
      </c>
      <c r="D8" s="105" t="str" cm="1">
        <f t="array" ref="D8">IFERROR(INDEX('Limite de crédito'!$F:$F, MATCH(MAX(IF('Limite de crédito'!$C:$C=$B8, 'Limite de crédito'!$A:$A)), 'Limite de crédito'!$A:$A, 0)),0)</f>
        <v>Sim</v>
      </c>
      <c r="E8" s="18" t="e">
        <f t="shared" si="2"/>
        <v>#VALUE!</v>
      </c>
      <c r="F8" s="18">
        <f t="shared" si="3"/>
        <v>0</v>
      </c>
      <c r="G8" s="19">
        <f>SUMIFS('Data International'!$D:$D,'Data International'!$P:$P,'Painel International'!$B16,'Data International'!$Q:$Q,"&gt;0",'Data International'!$Q:$Q,"&lt;=30")</f>
        <v>0</v>
      </c>
      <c r="H8" s="19">
        <f>SUMIFS('Data International'!$D:$D,'Data International'!$P:$P,'Painel International'!$B16,'Data International'!$Q:$Q,"&gt;30",'Data International'!$Q:$Q,"&lt;=60")</f>
        <v>0</v>
      </c>
      <c r="I8" s="19">
        <f>SUMIFS('Data International'!$D:$D,'Data International'!$P:$P,'Painel International'!$B16,'Data International'!$Q:$Q,"&gt;60",'Data International'!$Q:$Q,"&lt;=90")</f>
        <v>0</v>
      </c>
      <c r="J8" s="19">
        <f>SUMIFS('Data International'!$D:$D,'Data International'!$P:$P,'Painel International'!$B16,'Data International'!$Q:$Q,"&gt;90",'Data International'!$Q:$Q,"&lt;=120")</f>
        <v>0</v>
      </c>
      <c r="K8" s="19">
        <f>SUMIFS('Data International'!$D:$D,'Data International'!$P:$P,'Painel International'!$B16,'Data International'!$Q:$Q,"&gt;120",'Data International'!$Q:$Q,"&lt;=180")</f>
        <v>0</v>
      </c>
      <c r="L8" s="19">
        <f>SUMIFS('Data International'!$D:$D,'Data International'!$P:$P,'Painel International'!$B16,'Data International'!$Q:$Q,"&gt;180",'Data International'!$Q:$Q,"&lt;=360")</f>
        <v>0</v>
      </c>
      <c r="M8" s="23">
        <f>SUMIFS('Data International'!$D:$D,'Data International'!$P:$P,'Painel International'!$B16,'Data International'!$Q:$Q,"&gt;360")</f>
        <v>0</v>
      </c>
      <c r="N8" s="19">
        <f>SUMIFS('Data International'!$D:$D,'Data International'!$P:$P,'Painel International'!$B16,'Data International'!$Q:$Q,"&gt;0")</f>
        <v>0</v>
      </c>
      <c r="O8" s="19">
        <f t="shared" si="4"/>
        <v>0</v>
      </c>
      <c r="P8" s="19">
        <f>SUMIFS('Data International'!$D:$D,'Data International'!$P:$P,'Painel International'!$B16,'Data International'!$Q:$Q,"&lt;=0",'Data International'!$Q:$Q,"&gt;=-30")</f>
        <v>0</v>
      </c>
      <c r="Q8" s="19">
        <f>SUMIFS('Data International'!$D:$D,'Data International'!$P:$P,'Painel International'!$B16,'Data International'!$Q:$Q,"&lt;=-31",'Data International'!$Q:$Q,"&gt;=-60")</f>
        <v>0</v>
      </c>
      <c r="R8" s="19">
        <f>SUMIFS('Data International'!$D:$D,'Data International'!$P:$P,'Painel International'!$B16,'Data International'!$Q:$Q,"&lt;=-61",'Data International'!$Q:$Q,"&gt;=-90")</f>
        <v>0</v>
      </c>
      <c r="S8" s="19">
        <f>SUMIFS('Data International'!$D:$D,'Data International'!$P:$P,'Painel International'!$B16,'Data International'!$Q:$Q,"&lt;=-91",'Data International'!$Q:$Q,"&gt;=-120")</f>
        <v>0</v>
      </c>
      <c r="T8" s="19">
        <f>SUMIFS('Data International'!$D:$D,'Data International'!$P:$P,'Painel International'!$B16,'Data International'!$Q:$Q,"&lt;=-121",'Data International'!$Q:$Q,"&gt;=-180")</f>
        <v>0</v>
      </c>
      <c r="U8" s="19">
        <f>SUMIFS('Data International'!$D:$D,'Data International'!$P:$P,'Painel International'!$B16,'Data International'!$Q:$Q,"&lt;=-181",'Data International'!$Q:$Q,"&gt;=-360")</f>
        <v>0</v>
      </c>
      <c r="V8" s="23">
        <f>SUMIFS('Data International'!$D:$D,'Data International'!$P:$P,'Painel International'!$B16,'Data International'!$Q:$Q,"&lt;-360")</f>
        <v>0</v>
      </c>
      <c r="W8" s="19" t="e">
        <f>SUMIFS('Bad Debt Provision'!#REF!,'Bad Debt Provision'!#REF!,'Painel International'!$B16)</f>
        <v>#REF!</v>
      </c>
      <c r="X8" s="5"/>
      <c r="Y8" s="20"/>
      <c r="Z8" s="20"/>
      <c r="AA8" s="21"/>
      <c r="AB8" s="5"/>
      <c r="AC8" s="19"/>
      <c r="AD8" s="20"/>
      <c r="AE8" s="22"/>
      <c r="AF8" s="22"/>
      <c r="AG8" s="5"/>
      <c r="AH8" s="28">
        <f t="shared" si="5"/>
        <v>0</v>
      </c>
    </row>
    <row r="9" spans="1:38" x14ac:dyDescent="0.25">
      <c r="B9" s="17" t="s">
        <v>128</v>
      </c>
      <c r="C9" s="105" t="str" cm="1">
        <f t="array" ref="C9">IFERROR(INDEX('Limite de crédito'!$D:$D, MATCH(MAX(IF('Limite de crédito'!$C:$C=$B9, 'Limite de crédito'!$A:$A)), 'Limite de crédito'!$A:$A, 0)),"")</f>
        <v/>
      </c>
      <c r="D9" s="105" cm="1">
        <f t="array" ref="D9">IFERROR(INDEX('Limite de crédito'!$F:$F, MATCH(MAX(IF('Limite de crédito'!$C:$C=$B9, 'Limite de crédito'!$A:$A)), 'Limite de crédito'!$A:$A, 0)),0)</f>
        <v>0</v>
      </c>
      <c r="E9" s="18">
        <f t="shared" si="2"/>
        <v>0</v>
      </c>
      <c r="F9" s="18">
        <f t="shared" si="3"/>
        <v>0</v>
      </c>
      <c r="G9" s="19">
        <f>SUMIFS('Data International'!$D:$D,'Data International'!$P:$P,'Painel International'!$B5,'Data International'!$Q:$Q,"&gt;0",'Data International'!$Q:$Q,"&lt;=30")</f>
        <v>0</v>
      </c>
      <c r="H9" s="19">
        <f>SUMIFS('Data International'!$D:$D,'Data International'!$P:$P,'Painel International'!$B5,'Data International'!$Q:$Q,"&gt;30",'Data International'!$Q:$Q,"&lt;=60")</f>
        <v>0</v>
      </c>
      <c r="I9" s="19">
        <f>SUMIFS('Data International'!$D:$D,'Data International'!$P:$P,'Painel International'!$B5,'Data International'!$Q:$Q,"&gt;60",'Data International'!$Q:$Q,"&lt;=90")</f>
        <v>0</v>
      </c>
      <c r="J9" s="19">
        <f>SUMIFS('Data International'!$D:$D,'Data International'!$P:$P,'Painel International'!$B5,'Data International'!$Q:$Q,"&gt;90",'Data International'!$Q:$Q,"&lt;=120")</f>
        <v>0</v>
      </c>
      <c r="K9" s="19">
        <f>SUMIFS('Data International'!$D:$D,'Data International'!$P:$P,'Painel International'!$B5,'Data International'!$Q:$Q,"&gt;120",'Data International'!$Q:$Q,"&lt;=180")</f>
        <v>0</v>
      </c>
      <c r="L9" s="19">
        <f>SUMIFS('Data International'!$D:$D,'Data International'!$P:$P,'Painel International'!$B5,'Data International'!$Q:$Q,"&gt;180",'Data International'!$Q:$Q,"&lt;=360")</f>
        <v>0</v>
      </c>
      <c r="M9" s="23">
        <f>SUMIFS('Data International'!$D:$D,'Data International'!$P:$P,'Painel International'!$B5,'Data International'!$Q:$Q,"&gt;360")</f>
        <v>0</v>
      </c>
      <c r="N9" s="19">
        <f>SUMIFS('Data International'!$D:$D,'Data International'!$P:$P,'Painel International'!$B5,'Data International'!$Q:$Q,"&gt;0")</f>
        <v>0</v>
      </c>
      <c r="O9" s="19">
        <f t="shared" si="4"/>
        <v>0</v>
      </c>
      <c r="P9" s="19">
        <f>SUMIFS('Data International'!$D:$D,'Data International'!$P:$P,'Painel International'!$B5,'Data International'!$Q:$Q,"&lt;=0",'Data International'!$Q:$Q,"&gt;=-30")</f>
        <v>0</v>
      </c>
      <c r="Q9" s="19">
        <f>SUMIFS('Data International'!$D:$D,'Data International'!$P:$P,'Painel International'!$B5,'Data International'!$Q:$Q,"&lt;=-31",'Data International'!$Q:$Q,"&gt;=-60")</f>
        <v>0</v>
      </c>
      <c r="R9" s="19">
        <f>SUMIFS('Data International'!$D:$D,'Data International'!$P:$P,'Painel International'!$B5,'Data International'!$Q:$Q,"&lt;=-61",'Data International'!$Q:$Q,"&gt;=-90")</f>
        <v>0</v>
      </c>
      <c r="S9" s="19">
        <f>SUMIFS('Data International'!$D:$D,'Data International'!$P:$P,'Painel International'!$B5,'Data International'!$Q:$Q,"&lt;=-91",'Data International'!$Q:$Q,"&gt;=-120")</f>
        <v>0</v>
      </c>
      <c r="T9" s="19">
        <f>SUMIFS('Data International'!$D:$D,'Data International'!$P:$P,'Painel International'!$B5,'Data International'!$Q:$Q,"&lt;=-121",'Data International'!$Q:$Q,"&gt;=-180")</f>
        <v>0</v>
      </c>
      <c r="U9" s="19">
        <f>SUMIFS('Data International'!$D:$D,'Data International'!$P:$P,'Painel International'!$B5,'Data International'!$Q:$Q,"&lt;=-181",'Data International'!$Q:$Q,"&gt;=-360")</f>
        <v>0</v>
      </c>
      <c r="V9" s="23">
        <f>SUMIFS('Data International'!$D:$D,'Data International'!$P:$P,'Painel International'!$B5,'Data International'!$Q:$Q,"&lt;-360")</f>
        <v>0</v>
      </c>
      <c r="W9" s="19" t="e">
        <f>SUMIFS('Bad Debt Provision'!#REF!,'Bad Debt Provision'!#REF!,'Painel International'!$B5)</f>
        <v>#REF!</v>
      </c>
      <c r="X9" s="5"/>
      <c r="Y9" s="20"/>
      <c r="Z9" s="20"/>
      <c r="AA9" s="21"/>
      <c r="AB9" s="5"/>
      <c r="AC9" s="19"/>
      <c r="AD9" s="20"/>
      <c r="AE9" s="22"/>
      <c r="AF9" s="22"/>
      <c r="AG9" s="5"/>
      <c r="AH9" s="28">
        <f t="shared" si="5"/>
        <v>0</v>
      </c>
      <c r="AI9" s="5"/>
    </row>
    <row r="10" spans="1:38" x14ac:dyDescent="0.25">
      <c r="B10" s="41" t="s">
        <v>361</v>
      </c>
      <c r="C10" s="19" cm="1">
        <f t="array" ref="C10">IFERROR(INDEX('Limite de crédito'!$D:$D, MATCH(MAX(IF('Limite de crédito'!$C:$C=$B10, 'Limite de crédito'!$A:$A)), 'Limite de crédito'!$A:$A, 0)),"")</f>
        <v>45868</v>
      </c>
      <c r="D10" s="105" t="str" cm="1">
        <f t="array" ref="D10">IFERROR(INDEX('Limite de crédito'!$F:$F, MATCH(MAX(IF('Limite de crédito'!$C:$C=$B10, 'Limite de crédito'!$A:$A)), 'Limite de crédito'!$A:$A, 0)),0)</f>
        <v>Sim</v>
      </c>
      <c r="E10" s="18" t="e">
        <f t="shared" si="2"/>
        <v>#VALUE!</v>
      </c>
      <c r="F10" s="18">
        <f t="shared" si="3"/>
        <v>0</v>
      </c>
      <c r="G10" s="19">
        <f>SUMIFS('Data International'!$D:$D,'Data International'!$P:$P,'Painel International'!#REF!,'Data International'!$Q:$Q,"&gt;0",'Data International'!$Q:$Q,"&lt;=30")</f>
        <v>0</v>
      </c>
      <c r="H10" s="19">
        <f>SUMIFS('Data International'!$D:$D,'Data International'!$P:$P,'Painel International'!#REF!,'Data International'!$Q:$Q,"&gt;30",'Data International'!$Q:$Q,"&lt;=60")</f>
        <v>0</v>
      </c>
      <c r="I10" s="19">
        <f>SUMIFS('Data International'!$D:$D,'Data International'!$P:$P,'Painel International'!#REF!,'Data International'!$Q:$Q,"&gt;60",'Data International'!$Q:$Q,"&lt;=90")</f>
        <v>0</v>
      </c>
      <c r="J10" s="19">
        <f>SUMIFS('Data International'!$D:$D,'Data International'!$P:$P,'Painel International'!#REF!,'Data International'!$Q:$Q,"&gt;90",'Data International'!$Q:$Q,"&lt;=120")</f>
        <v>0</v>
      </c>
      <c r="K10" s="19">
        <f>SUMIFS('Data International'!$D:$D,'Data International'!$P:$P,'Painel International'!#REF!,'Data International'!$Q:$Q,"&gt;120",'Data International'!$Q:$Q,"&lt;=180")</f>
        <v>0</v>
      </c>
      <c r="L10" s="19">
        <f>SUMIFS('Data International'!$D:$D,'Data International'!$P:$P,'Painel International'!#REF!,'Data International'!$Q:$Q,"&gt;180",'Data International'!$Q:$Q,"&lt;=360")</f>
        <v>0</v>
      </c>
      <c r="M10" s="23">
        <f>SUMIFS('Data International'!$D:$D,'Data International'!$P:$P,'Painel International'!#REF!,'Data International'!$Q:$Q,"&gt;360")</f>
        <v>0</v>
      </c>
      <c r="N10" s="19">
        <f>SUMIFS('Data International'!$D:$D,'Data International'!$P:$P,'Painel International'!#REF!,'Data International'!$Q:$Q,"&gt;0")</f>
        <v>0</v>
      </c>
      <c r="O10" s="19">
        <f t="shared" si="4"/>
        <v>0</v>
      </c>
      <c r="P10" s="19">
        <f>SUMIFS('Data International'!$D:$D,'Data International'!$P:$P,'Painel International'!#REF!,'Data International'!$Q:$Q,"&lt;=0",'Data International'!$Q:$Q,"&gt;=-30")</f>
        <v>0</v>
      </c>
      <c r="Q10" s="19">
        <f>SUMIFS('Data International'!$D:$D,'Data International'!$P:$P,'Painel International'!#REF!,'Data International'!$Q:$Q,"&lt;=-31",'Data International'!$Q:$Q,"&gt;=-60")</f>
        <v>0</v>
      </c>
      <c r="R10" s="19">
        <f>SUMIFS('Data International'!$D:$D,'Data International'!$P:$P,'Painel International'!#REF!,'Data International'!$Q:$Q,"&lt;=-61",'Data International'!$Q:$Q,"&gt;=-90")</f>
        <v>0</v>
      </c>
      <c r="S10" s="19">
        <f>SUMIFS('Data International'!$D:$D,'Data International'!$P:$P,'Painel International'!#REF!,'Data International'!$Q:$Q,"&lt;=-91",'Data International'!$Q:$Q,"&gt;=-120")</f>
        <v>0</v>
      </c>
      <c r="T10" s="19">
        <f>SUMIFS('Data International'!$D:$D,'Data International'!$P:$P,'Painel International'!#REF!,'Data International'!$Q:$Q,"&lt;=-121",'Data International'!$Q:$Q,"&gt;=-180")</f>
        <v>0</v>
      </c>
      <c r="U10" s="19">
        <f>SUMIFS('Data International'!$D:$D,'Data International'!$P:$P,'Painel International'!#REF!,'Data International'!$Q:$Q,"&lt;=-181",'Data International'!$Q:$Q,"&gt;=-360")</f>
        <v>0</v>
      </c>
      <c r="V10" s="23">
        <f>SUMIFS('Data International'!$D:$D,'Data International'!$P:$P,'Painel International'!#REF!,'Data International'!$Q:$Q,"&lt;-360")</f>
        <v>0</v>
      </c>
      <c r="W10" s="19" t="e">
        <f>SUMIFS('Bad Debt Provision'!#REF!,'Bad Debt Provision'!#REF!,'Painel International'!#REF!)</f>
        <v>#REF!</v>
      </c>
      <c r="X10" s="5"/>
      <c r="Y10" s="20"/>
      <c r="Z10" s="20"/>
      <c r="AA10" s="21"/>
      <c r="AB10" s="5"/>
      <c r="AC10" s="19"/>
      <c r="AD10" s="20"/>
      <c r="AE10" s="22"/>
      <c r="AF10" s="22"/>
      <c r="AG10" s="5"/>
      <c r="AH10" s="28">
        <f t="shared" si="5"/>
        <v>0</v>
      </c>
    </row>
    <row r="11" spans="1:38" x14ac:dyDescent="0.25">
      <c r="B11" s="41" t="s">
        <v>423</v>
      </c>
      <c r="C11" s="19" t="str" cm="1">
        <f t="array" ref="C11">IFERROR(INDEX('Limite de crédito'!$D:$D, MATCH(MAX(IF('Limite de crédito'!$C:$C=$B11, 'Limite de crédito'!$A:$A)), 'Limite de crédito'!$A:$A, 0)),"")</f>
        <v/>
      </c>
      <c r="D11" s="105" cm="1">
        <f t="array" ref="D11">IFERROR(INDEX('Limite de crédito'!$F:$F, MATCH(MAX(IF('Limite de crédito'!$C:$C=$B11, 'Limite de crédito'!$A:$A)), 'Limite de crédito'!$A:$A, 0)),0)</f>
        <v>0</v>
      </c>
      <c r="E11" s="18">
        <f t="shared" si="2"/>
        <v>0</v>
      </c>
      <c r="F11" s="18">
        <f t="shared" si="3"/>
        <v>0</v>
      </c>
      <c r="G11" s="19">
        <f>SUMIFS('Data International'!$D:$D,'Data International'!$P:$P,'Painel International'!#REF!,'Data International'!$Q:$Q,"&gt;0",'Data International'!$Q:$Q,"&lt;=30")</f>
        <v>0</v>
      </c>
      <c r="H11" s="19">
        <f>SUMIFS('Data International'!$D:$D,'Data International'!$P:$P,'Painel International'!#REF!,'Data International'!$Q:$Q,"&gt;30",'Data International'!$Q:$Q,"&lt;=60")</f>
        <v>0</v>
      </c>
      <c r="I11" s="19">
        <f>SUMIFS('Data International'!$D:$D,'Data International'!$P:$P,'Painel International'!#REF!,'Data International'!$Q:$Q,"&gt;60",'Data International'!$Q:$Q,"&lt;=90")</f>
        <v>0</v>
      </c>
      <c r="J11" s="19">
        <f>SUMIFS('Data International'!$D:$D,'Data International'!$P:$P,'Painel International'!#REF!,'Data International'!$Q:$Q,"&gt;90",'Data International'!$Q:$Q,"&lt;=120")</f>
        <v>0</v>
      </c>
      <c r="K11" s="19">
        <f>SUMIFS('Data International'!$D:$D,'Data International'!$P:$P,'Painel International'!#REF!,'Data International'!$Q:$Q,"&gt;120",'Data International'!$Q:$Q,"&lt;=180")</f>
        <v>0</v>
      </c>
      <c r="L11" s="19">
        <f>SUMIFS('Data International'!$D:$D,'Data International'!$P:$P,'Painel International'!#REF!,'Data International'!$Q:$Q,"&gt;180",'Data International'!$Q:$Q,"&lt;=360")</f>
        <v>0</v>
      </c>
      <c r="M11" s="23">
        <f>SUMIFS('Data International'!$D:$D,'Data International'!$P:$P,'Painel International'!#REF!,'Data International'!$Q:$Q,"&gt;360")</f>
        <v>0</v>
      </c>
      <c r="N11" s="19">
        <f>SUMIFS('Data International'!$D:$D,'Data International'!$P:$P,'Painel International'!#REF!,'Data International'!$Q:$Q,"&gt;0")</f>
        <v>0</v>
      </c>
      <c r="O11" s="19">
        <f t="shared" si="4"/>
        <v>0</v>
      </c>
      <c r="P11" s="19">
        <f>SUMIFS('Data International'!$D:$D,'Data International'!$P:$P,'Painel International'!#REF!,'Data International'!$Q:$Q,"&lt;=0",'Data International'!$Q:$Q,"&gt;=-30")</f>
        <v>0</v>
      </c>
      <c r="Q11" s="19">
        <f>SUMIFS('Data International'!$D:$D,'Data International'!$P:$P,'Painel International'!#REF!,'Data International'!$Q:$Q,"&lt;=-31",'Data International'!$Q:$Q,"&gt;=-60")</f>
        <v>0</v>
      </c>
      <c r="R11" s="19">
        <f>SUMIFS('Data International'!$D:$D,'Data International'!$P:$P,'Painel International'!#REF!,'Data International'!$Q:$Q,"&lt;=-61",'Data International'!$Q:$Q,"&gt;=-90")</f>
        <v>0</v>
      </c>
      <c r="S11" s="19">
        <f>SUMIFS('Data International'!$D:$D,'Data International'!$P:$P,'Painel International'!#REF!,'Data International'!$Q:$Q,"&lt;=-91",'Data International'!$Q:$Q,"&gt;=-120")</f>
        <v>0</v>
      </c>
      <c r="T11" s="19">
        <f>SUMIFS('Data International'!$D:$D,'Data International'!$P:$P,'Painel International'!#REF!,'Data International'!$Q:$Q,"&lt;=-121",'Data International'!$Q:$Q,"&gt;=-180")</f>
        <v>0</v>
      </c>
      <c r="U11" s="19">
        <f>SUMIFS('Data International'!$D:$D,'Data International'!$P:$P,'Painel International'!#REF!,'Data International'!$Q:$Q,"&lt;=-181",'Data International'!$Q:$Q,"&gt;=-360")</f>
        <v>0</v>
      </c>
      <c r="V11" s="23">
        <f>SUMIFS('Data International'!$D:$D,'Data International'!$P:$P,'Painel International'!#REF!,'Data International'!$Q:$Q,"&lt;-360")</f>
        <v>0</v>
      </c>
      <c r="W11" s="19" t="e">
        <f>SUMIFS('Bad Debt Provision'!#REF!,'Bad Debt Provision'!#REF!,'Painel International'!#REF!)</f>
        <v>#REF!</v>
      </c>
      <c r="Y11" s="20"/>
      <c r="Z11" s="20"/>
      <c r="AA11" s="21"/>
      <c r="AB11" s="5"/>
      <c r="AC11" s="19"/>
      <c r="AD11" s="20"/>
      <c r="AE11" s="22"/>
      <c r="AF11" s="22"/>
      <c r="AG11" s="5"/>
      <c r="AH11" s="28">
        <f t="shared" si="5"/>
        <v>0</v>
      </c>
    </row>
    <row r="12" spans="1:38" x14ac:dyDescent="0.25">
      <c r="B12" s="41" t="s">
        <v>403</v>
      </c>
      <c r="C12" s="19" cm="1">
        <f t="array" ref="C12">IFERROR(INDEX('Limite de crédito'!$D:$D, MATCH(MAX(IF('Limite de crédito'!$C:$C=$B12, 'Limite de crédito'!$A:$A)), 'Limite de crédito'!$A:$A, 0)),"")</f>
        <v>45831</v>
      </c>
      <c r="D12" s="105" t="str" cm="1">
        <f t="array" ref="D12">IFERROR(INDEX('Limite de crédito'!$F:$F, MATCH(MAX(IF('Limite de crédito'!$C:$C=$B12, 'Limite de crédito'!$A:$A)), 'Limite de crédito'!$A:$A, 0)),0)</f>
        <v>Sim</v>
      </c>
      <c r="E12" s="18" t="e">
        <f t="shared" si="2"/>
        <v>#VALUE!</v>
      </c>
      <c r="F12" s="18">
        <f t="shared" si="3"/>
        <v>0</v>
      </c>
      <c r="G12" s="19">
        <f>SUMIFS('Data International'!$D:$D,'Data International'!$P:$P,'Painel International'!#REF!,'Data International'!$Q:$Q,"&gt;0",'Data International'!$Q:$Q,"&lt;=30")</f>
        <v>0</v>
      </c>
      <c r="H12" s="19">
        <f>SUMIFS('Data International'!$D:$D,'Data International'!$P:$P,'Painel International'!#REF!,'Data International'!$Q:$Q,"&gt;30",'Data International'!$Q:$Q,"&lt;=60")</f>
        <v>0</v>
      </c>
      <c r="I12" s="19">
        <f>SUMIFS('Data International'!$D:$D,'Data International'!$P:$P,'Painel International'!#REF!,'Data International'!$Q:$Q,"&gt;60",'Data International'!$Q:$Q,"&lt;=90")</f>
        <v>0</v>
      </c>
      <c r="J12" s="19">
        <f>SUMIFS('Data International'!$D:$D,'Data International'!$P:$P,'Painel International'!#REF!,'Data International'!$Q:$Q,"&gt;90",'Data International'!$Q:$Q,"&lt;=120")</f>
        <v>0</v>
      </c>
      <c r="K12" s="19">
        <f>SUMIFS('Data International'!$D:$D,'Data International'!$P:$P,'Painel International'!#REF!,'Data International'!$Q:$Q,"&gt;120",'Data International'!$Q:$Q,"&lt;=180")</f>
        <v>0</v>
      </c>
      <c r="L12" s="19">
        <f>SUMIFS('Data International'!$D:$D,'Data International'!$P:$P,'Painel International'!#REF!,'Data International'!$Q:$Q,"&gt;180",'Data International'!$Q:$Q,"&lt;=360")</f>
        <v>0</v>
      </c>
      <c r="M12" s="23">
        <f>SUMIFS('Data International'!$D:$D,'Data International'!$P:$P,'Painel International'!#REF!,'Data International'!$Q:$Q,"&gt;360")</f>
        <v>0</v>
      </c>
      <c r="N12" s="19">
        <f>SUMIFS('Data International'!$D:$D,'Data International'!$P:$P,'Painel International'!#REF!,'Data International'!$Q:$Q,"&gt;0")</f>
        <v>0</v>
      </c>
      <c r="O12" s="19">
        <f t="shared" si="4"/>
        <v>0</v>
      </c>
      <c r="P12" s="19">
        <f>SUMIFS('Data International'!$D:$D,'Data International'!$P:$P,'Painel International'!#REF!,'Data International'!$Q:$Q,"&lt;=0",'Data International'!$Q:$Q,"&gt;=-30")</f>
        <v>0</v>
      </c>
      <c r="Q12" s="19">
        <f>SUMIFS('Data International'!$D:$D,'Data International'!$P:$P,'Painel International'!#REF!,'Data International'!$Q:$Q,"&lt;=-31",'Data International'!$Q:$Q,"&gt;=-60")</f>
        <v>0</v>
      </c>
      <c r="R12" s="19">
        <f>SUMIFS('Data International'!$D:$D,'Data International'!$P:$P,'Painel International'!#REF!,'Data International'!$Q:$Q,"&lt;=-61",'Data International'!$Q:$Q,"&gt;=-90")</f>
        <v>0</v>
      </c>
      <c r="S12" s="19">
        <f>SUMIFS('Data International'!$D:$D,'Data International'!$P:$P,'Painel International'!#REF!,'Data International'!$Q:$Q,"&lt;=-91",'Data International'!$Q:$Q,"&gt;=-120")</f>
        <v>0</v>
      </c>
      <c r="T12" s="19">
        <f>SUMIFS('Data International'!$D:$D,'Data International'!$P:$P,'Painel International'!#REF!,'Data International'!$Q:$Q,"&lt;=-121",'Data International'!$Q:$Q,"&gt;=-180")</f>
        <v>0</v>
      </c>
      <c r="U12" s="19">
        <f>SUMIFS('Data International'!$D:$D,'Data International'!$P:$P,'Painel International'!#REF!,'Data International'!$Q:$Q,"&lt;=-181",'Data International'!$Q:$Q,"&gt;=-360")</f>
        <v>0</v>
      </c>
      <c r="V12" s="23">
        <f>SUMIFS('Data International'!$D:$D,'Data International'!$P:$P,'Painel International'!#REF!,'Data International'!$Q:$Q,"&lt;-360")</f>
        <v>0</v>
      </c>
      <c r="W12" s="19" t="e">
        <f>SUMIFS('Bad Debt Provision'!#REF!,'Bad Debt Provision'!#REF!,'Painel International'!#REF!)</f>
        <v>#REF!</v>
      </c>
      <c r="X12" s="5"/>
      <c r="Y12" s="20"/>
      <c r="Z12" s="20"/>
      <c r="AA12" s="21"/>
      <c r="AB12" s="5"/>
      <c r="AC12" s="19"/>
      <c r="AD12" s="20"/>
      <c r="AE12" s="22"/>
      <c r="AF12" s="22"/>
      <c r="AG12" s="5"/>
      <c r="AH12" s="28">
        <f t="shared" si="5"/>
        <v>0</v>
      </c>
    </row>
    <row r="13" spans="1:38" x14ac:dyDescent="0.25">
      <c r="B13" s="17" t="s">
        <v>131</v>
      </c>
      <c r="C13" s="106" cm="1">
        <f t="array" ref="C13">IFERROR(INDEX('Limite de crédito'!$D:$D, MATCH(MAX(IF('Limite de crédito'!$C:$C=$B13, 'Limite de crédito'!$A:$A)), 'Limite de crédito'!$A:$A, 0)),"")</f>
        <v>46030</v>
      </c>
      <c r="D13" s="107" t="str" cm="1">
        <f t="array" ref="D13">IFERROR(INDEX('Limite de crédito'!$F:$F, MATCH(MAX(IF('Limite de crédito'!$C:$C=$B13, 'Limite de crédito'!$A:$A)), 'Limite de crédito'!$A:$A, 0)),0)</f>
        <v>Sim</v>
      </c>
      <c r="E13" s="18" t="e">
        <f t="shared" si="2"/>
        <v>#VALUE!</v>
      </c>
      <c r="F13" s="18">
        <f t="shared" si="3"/>
        <v>0</v>
      </c>
      <c r="G13" s="19">
        <f>SUMIFS('Data International'!$D:$D,'Data International'!$P:$P,'Painel International'!$B4,'Data International'!$Q:$Q,"&gt;0",'Data International'!$Q:$Q,"&lt;=30")</f>
        <v>0</v>
      </c>
      <c r="H13" s="19">
        <f>SUMIFS('Data International'!$D:$D,'Data International'!$P:$P,'Painel International'!$B4,'Data International'!$Q:$Q,"&gt;30",'Data International'!$Q:$Q,"&lt;=60")</f>
        <v>0</v>
      </c>
      <c r="I13" s="19">
        <f>SUMIFS('Data International'!$D:$D,'Data International'!$P:$P,'Painel International'!$B4,'Data International'!$Q:$Q,"&gt;60",'Data International'!$Q:$Q,"&lt;=90")</f>
        <v>0</v>
      </c>
      <c r="J13" s="19">
        <f>SUMIFS('Data International'!$D:$D,'Data International'!$P:$P,'Painel International'!$B4,'Data International'!$Q:$Q,"&gt;90",'Data International'!$Q:$Q,"&lt;=120")</f>
        <v>0</v>
      </c>
      <c r="K13" s="19">
        <f>SUMIFS('Data International'!$D:$D,'Data International'!$P:$P,'Painel International'!$B4,'Data International'!$Q:$Q,"&gt;120",'Data International'!$Q:$Q,"&lt;=180")</f>
        <v>0</v>
      </c>
      <c r="L13" s="19">
        <f>SUMIFS('Data International'!$D:$D,'Data International'!$P:$P,'Painel International'!$B4,'Data International'!$Q:$Q,"&gt;180",'Data International'!$Q:$Q,"&lt;=360")</f>
        <v>0</v>
      </c>
      <c r="M13" s="23">
        <f>SUMIFS('Data International'!$D:$D,'Data International'!$P:$P,'Painel International'!$B4,'Data International'!$Q:$Q,"&gt;360")</f>
        <v>0</v>
      </c>
      <c r="N13" s="19">
        <f>SUMIFS('Data International'!$D:$D,'Data International'!$P:$P,'Painel International'!$B4,'Data International'!$Q:$Q,"&gt;0")</f>
        <v>0</v>
      </c>
      <c r="O13" s="19">
        <f t="shared" si="4"/>
        <v>0</v>
      </c>
      <c r="P13" s="19">
        <f>SUMIFS('Data International'!$D:$D,'Data International'!$P:$P,'Painel International'!$B4,'Data International'!$Q:$Q,"&lt;=0",'Data International'!$Q:$Q,"&gt;=-30")</f>
        <v>0</v>
      </c>
      <c r="Q13" s="19">
        <f>SUMIFS('Data International'!$D:$D,'Data International'!$P:$P,'Painel International'!$B4,'Data International'!$Q:$Q,"&lt;=-31",'Data International'!$Q:$Q,"&gt;=-60")</f>
        <v>0</v>
      </c>
      <c r="R13" s="19">
        <f>SUMIFS('Data International'!$D:$D,'Data International'!$P:$P,'Painel International'!$B4,'Data International'!$Q:$Q,"&lt;=-61",'Data International'!$Q:$Q,"&gt;=-90")</f>
        <v>0</v>
      </c>
      <c r="S13" s="19">
        <f>SUMIFS('Data International'!$D:$D,'Data International'!$P:$P,'Painel International'!$B4,'Data International'!$Q:$Q,"&lt;=-91",'Data International'!$Q:$Q,"&gt;=-120")</f>
        <v>0</v>
      </c>
      <c r="T13" s="19">
        <f>SUMIFS('Data International'!$D:$D,'Data International'!$P:$P,'Painel International'!$B4,'Data International'!$Q:$Q,"&lt;=-121",'Data International'!$Q:$Q,"&gt;=-180")</f>
        <v>0</v>
      </c>
      <c r="U13" s="19">
        <f>SUMIFS('Data International'!$D:$D,'Data International'!$P:$P,'Painel International'!$B4,'Data International'!$Q:$Q,"&lt;=-181",'Data International'!$Q:$Q,"&gt;=-360")</f>
        <v>0</v>
      </c>
      <c r="V13" s="23">
        <f>SUMIFS('Data International'!$D:$D,'Data International'!$P:$P,'Painel International'!$B4,'Data International'!$Q:$Q,"&lt;-360")</f>
        <v>0</v>
      </c>
      <c r="W13" s="19" t="e">
        <f>SUMIFS('Bad Debt Provision'!#REF!,'Bad Debt Provision'!#REF!,'Painel International'!$B4)</f>
        <v>#REF!</v>
      </c>
      <c r="X13" s="5"/>
      <c r="Y13" s="20"/>
      <c r="Z13" s="20"/>
      <c r="AA13" s="21"/>
      <c r="AB13" s="5"/>
      <c r="AC13" s="19"/>
      <c r="AD13" s="20"/>
      <c r="AE13" s="22"/>
      <c r="AF13" s="22"/>
      <c r="AG13" s="5"/>
      <c r="AH13" s="28">
        <f t="shared" si="5"/>
        <v>0</v>
      </c>
      <c r="AI13" s="5"/>
    </row>
    <row r="14" spans="1:38" x14ac:dyDescent="0.25">
      <c r="B14" s="17" t="s">
        <v>129</v>
      </c>
      <c r="C14" s="105" cm="1">
        <f t="array" ref="C14">IFERROR(INDEX('Limite de crédito'!$D:$D, MATCH(MAX(IF('Limite de crédito'!$C:$C=$B14, 'Limite de crédito'!$A:$A)), 'Limite de crédito'!$A:$A, 0)),"")</f>
        <v>45831</v>
      </c>
      <c r="D14" s="105" t="str" cm="1">
        <f t="array" ref="D14">IFERROR(INDEX('Limite de crédito'!$F:$F, MATCH(MAX(IF('Limite de crédito'!$C:$C=$B14, 'Limite de crédito'!$A:$A)), 'Limite de crédito'!$A:$A, 0)),0)</f>
        <v>Sim</v>
      </c>
      <c r="E14" s="18" t="e">
        <f t="shared" si="2"/>
        <v>#VALUE!</v>
      </c>
      <c r="F14" s="18">
        <f t="shared" si="3"/>
        <v>459208.36</v>
      </c>
      <c r="G14" s="19">
        <f>SUMIFS('Data International'!$D:$D,'Data International'!$P:$P,'Painel International'!$B6,'Data International'!$Q:$Q,"&gt;0",'Data International'!$Q:$Q,"&lt;=30")</f>
        <v>157607.13</v>
      </c>
      <c r="H14" s="19">
        <f>SUMIFS('Data International'!$D:$D,'Data International'!$P:$P,'Painel International'!$B6,'Data International'!$Q:$Q,"&gt;30",'Data International'!$Q:$Q,"&lt;=60")</f>
        <v>0</v>
      </c>
      <c r="I14" s="19">
        <f>SUMIFS('Data International'!$D:$D,'Data International'!$P:$P,'Painel International'!$B6,'Data International'!$Q:$Q,"&gt;60",'Data International'!$Q:$Q,"&lt;=90")</f>
        <v>0</v>
      </c>
      <c r="J14" s="19">
        <f>SUMIFS('Data International'!$D:$D,'Data International'!$P:$P,'Painel International'!$B6,'Data International'!$Q:$Q,"&gt;90",'Data International'!$Q:$Q,"&lt;=120")</f>
        <v>0</v>
      </c>
      <c r="K14" s="19">
        <f>SUMIFS('Data International'!$D:$D,'Data International'!$P:$P,'Painel International'!$B6,'Data International'!$Q:$Q,"&gt;120",'Data International'!$Q:$Q,"&lt;=180")</f>
        <v>0</v>
      </c>
      <c r="L14" s="19">
        <f>SUMIFS('Data International'!$D:$D,'Data International'!$P:$P,'Painel International'!$B6,'Data International'!$Q:$Q,"&gt;180",'Data International'!$Q:$Q,"&lt;=360")</f>
        <v>0</v>
      </c>
      <c r="M14" s="23">
        <f>SUMIFS('Data International'!$D:$D,'Data International'!$P:$P,'Painel International'!$B6,'Data International'!$Q:$Q,"&gt;360")</f>
        <v>0</v>
      </c>
      <c r="N14" s="19">
        <f>SUMIFS('Data International'!$D:$D,'Data International'!$P:$P,'Painel International'!$B6,'Data International'!$Q:$Q,"&gt;0")</f>
        <v>157607.13</v>
      </c>
      <c r="O14" s="19">
        <f t="shared" si="4"/>
        <v>301601.23</v>
      </c>
      <c r="P14" s="19">
        <f>SUMIFS('Data International'!$D:$D,'Data International'!$P:$P,'Painel International'!$B6,'Data International'!$Q:$Q,"&lt;=0",'Data International'!$Q:$Q,"&gt;=-30")</f>
        <v>301601.23</v>
      </c>
      <c r="Q14" s="19">
        <f>SUMIFS('Data International'!$D:$D,'Data International'!$P:$P,'Painel International'!$B6,'Data International'!$Q:$Q,"&lt;=-31",'Data International'!$Q:$Q,"&gt;=-60")</f>
        <v>0</v>
      </c>
      <c r="R14" s="19">
        <f>SUMIFS('Data International'!$D:$D,'Data International'!$P:$P,'Painel International'!$B6,'Data International'!$Q:$Q,"&lt;=-61",'Data International'!$Q:$Q,"&gt;=-90")</f>
        <v>0</v>
      </c>
      <c r="S14" s="19">
        <f>SUMIFS('Data International'!$D:$D,'Data International'!$P:$P,'Painel International'!$B6,'Data International'!$Q:$Q,"&lt;=-91",'Data International'!$Q:$Q,"&gt;=-120")</f>
        <v>0</v>
      </c>
      <c r="T14" s="19">
        <f>SUMIFS('Data International'!$D:$D,'Data International'!$P:$P,'Painel International'!$B6,'Data International'!$Q:$Q,"&lt;=-121",'Data International'!$Q:$Q,"&gt;=-180")</f>
        <v>0</v>
      </c>
      <c r="U14" s="19">
        <f>SUMIFS('Data International'!$D:$D,'Data International'!$P:$P,'Painel International'!$B6,'Data International'!$Q:$Q,"&lt;=-181",'Data International'!$Q:$Q,"&gt;=-360")</f>
        <v>0</v>
      </c>
      <c r="V14" s="23">
        <f>SUMIFS('Data International'!$D:$D,'Data International'!$P:$P,'Painel International'!$B6,'Data International'!$Q:$Q,"&lt;-360")</f>
        <v>0</v>
      </c>
      <c r="W14" s="19" t="e">
        <f>SUMIFS('Bad Debt Provision'!#REF!,'Bad Debt Provision'!#REF!,'Painel International'!$B6)</f>
        <v>#REF!</v>
      </c>
      <c r="X14" s="5"/>
      <c r="Y14" s="20"/>
      <c r="Z14" s="20"/>
      <c r="AA14" s="21"/>
      <c r="AB14" s="5"/>
      <c r="AC14" s="19"/>
      <c r="AD14" s="20"/>
      <c r="AE14" s="22"/>
      <c r="AF14" s="22"/>
      <c r="AG14" s="5"/>
      <c r="AH14" s="28">
        <f t="shared" si="5"/>
        <v>-459208.36</v>
      </c>
      <c r="AI14" s="5"/>
    </row>
    <row r="15" spans="1:38" x14ac:dyDescent="0.25">
      <c r="B15" s="17" t="s">
        <v>126</v>
      </c>
      <c r="C15" s="105" cm="1">
        <f t="array" ref="C15">IFERROR(INDEX('Limite de crédito'!$D:$D, MATCH(MAX(IF('Limite de crédito'!$C:$C=$B15, 'Limite de crédito'!$A:$A)), 'Limite de crédito'!$A:$A, 0)),"")</f>
        <v>45994</v>
      </c>
      <c r="D15" s="105" t="str" cm="1">
        <f t="array" ref="D15">IFERROR(INDEX('Limite de crédito'!$F:$F, MATCH(MAX(IF('Limite de crédito'!$C:$C=$B15, 'Limite de crédito'!$A:$A)), 'Limite de crédito'!$A:$A, 0)),0)</f>
        <v>Sim</v>
      </c>
      <c r="E15" s="18" t="e">
        <f t="shared" si="2"/>
        <v>#VALUE!</v>
      </c>
      <c r="F15" s="18">
        <f t="shared" si="3"/>
        <v>350009.44999999995</v>
      </c>
      <c r="G15" s="19">
        <f>SUMIFS('Data International'!$D:$D,'Data International'!$P:$P,'Painel International'!$B7,'Data International'!$Q:$Q,"&gt;0",'Data International'!$Q:$Q,"&lt;=30")</f>
        <v>0</v>
      </c>
      <c r="H15" s="19">
        <f>SUMIFS('Data International'!$D:$D,'Data International'!$P:$P,'Painel International'!$B7,'Data International'!$Q:$Q,"&gt;30",'Data International'!$Q:$Q,"&lt;=60")</f>
        <v>0</v>
      </c>
      <c r="I15" s="19">
        <f>SUMIFS('Data International'!$D:$D,'Data International'!$P:$P,'Painel International'!$B7,'Data International'!$Q:$Q,"&gt;60",'Data International'!$Q:$Q,"&lt;=90")</f>
        <v>0</v>
      </c>
      <c r="J15" s="19">
        <f>SUMIFS('Data International'!$D:$D,'Data International'!$P:$P,'Painel International'!$B7,'Data International'!$Q:$Q,"&gt;90",'Data International'!$Q:$Q,"&lt;=120")</f>
        <v>0</v>
      </c>
      <c r="K15" s="19">
        <f>SUMIFS('Data International'!$D:$D,'Data International'!$P:$P,'Painel International'!$B7,'Data International'!$Q:$Q,"&gt;120",'Data International'!$Q:$Q,"&lt;=180")</f>
        <v>0</v>
      </c>
      <c r="L15" s="19">
        <f>SUMIFS('Data International'!$D:$D,'Data International'!$P:$P,'Painel International'!$B7,'Data International'!$Q:$Q,"&gt;180",'Data International'!$Q:$Q,"&lt;=360")</f>
        <v>0</v>
      </c>
      <c r="M15" s="23">
        <f>SUMIFS('Data International'!$D:$D,'Data International'!$P:$P,'Painel International'!$B7,'Data International'!$Q:$Q,"&gt;360")</f>
        <v>0</v>
      </c>
      <c r="N15" s="19">
        <f>SUMIFS('Data International'!$D:$D,'Data International'!$P:$P,'Painel International'!$B7,'Data International'!$Q:$Q,"&gt;0")</f>
        <v>0</v>
      </c>
      <c r="O15" s="19">
        <f t="shared" si="4"/>
        <v>350009.44999999995</v>
      </c>
      <c r="P15" s="19">
        <f>SUMIFS('Data International'!$D:$D,'Data International'!$P:$P,'Painel International'!$B7,'Data International'!$Q:$Q,"&lt;=0",'Data International'!$Q:$Q,"&gt;=-30")</f>
        <v>350009.44999999995</v>
      </c>
      <c r="Q15" s="19">
        <f>SUMIFS('Data International'!$D:$D,'Data International'!$P:$P,'Painel International'!$B7,'Data International'!$Q:$Q,"&lt;=-31",'Data International'!$Q:$Q,"&gt;=-60")</f>
        <v>0</v>
      </c>
      <c r="R15" s="19">
        <f>SUMIFS('Data International'!$D:$D,'Data International'!$P:$P,'Painel International'!$B7,'Data International'!$Q:$Q,"&lt;=-61",'Data International'!$Q:$Q,"&gt;=-90")</f>
        <v>0</v>
      </c>
      <c r="S15" s="19">
        <f>SUMIFS('Data International'!$D:$D,'Data International'!$P:$P,'Painel International'!$B7,'Data International'!$Q:$Q,"&lt;=-91",'Data International'!$Q:$Q,"&gt;=-120")</f>
        <v>0</v>
      </c>
      <c r="T15" s="19">
        <f>SUMIFS('Data International'!$D:$D,'Data International'!$P:$P,'Painel International'!$B7,'Data International'!$Q:$Q,"&lt;=-121",'Data International'!$Q:$Q,"&gt;=-180")</f>
        <v>0</v>
      </c>
      <c r="U15" s="19">
        <f>SUMIFS('Data International'!$D:$D,'Data International'!$P:$P,'Painel International'!$B7,'Data International'!$Q:$Q,"&lt;=-181",'Data International'!$Q:$Q,"&gt;=-360")</f>
        <v>0</v>
      </c>
      <c r="V15" s="23">
        <f>SUMIFS('Data International'!$D:$D,'Data International'!$P:$P,'Painel International'!$B7,'Data International'!$Q:$Q,"&lt;-360")</f>
        <v>0</v>
      </c>
      <c r="W15" s="19" t="e">
        <f>SUMIFS('Bad Debt Provision'!#REF!,'Bad Debt Provision'!#REF!,'Painel International'!$B7)</f>
        <v>#REF!</v>
      </c>
      <c r="X15" s="5"/>
      <c r="Y15" s="20"/>
      <c r="Z15" s="20"/>
      <c r="AA15" s="21"/>
      <c r="AB15" s="5"/>
      <c r="AC15" s="19"/>
      <c r="AD15" s="20"/>
      <c r="AE15" s="22"/>
      <c r="AF15" s="22"/>
      <c r="AG15" s="5"/>
      <c r="AH15" s="28">
        <f t="shared" si="5"/>
        <v>-350009.44999999995</v>
      </c>
      <c r="AI15" s="5"/>
    </row>
    <row r="16" spans="1:38" x14ac:dyDescent="0.25">
      <c r="B16" s="17" t="s">
        <v>130</v>
      </c>
      <c r="C16" s="105" cm="1">
        <f t="array" ref="C16">IFERROR(INDEX('Limite de crédito'!$D:$D, MATCH(MAX(IF('Limite de crédito'!$C:$C=$B16, 'Limite de crédito'!$A:$A)), 'Limite de crédito'!$A:$A, 0)),"")</f>
        <v>45831</v>
      </c>
      <c r="D16" s="105" t="str" cm="1">
        <f t="array" ref="D16">IFERROR(INDEX('Limite de crédito'!$F:$F, MATCH(MAX(IF('Limite de crédito'!$C:$C=$B16, 'Limite de crédito'!$A:$A)), 'Limite de crédito'!$A:$A, 0)),0)</f>
        <v>Sim</v>
      </c>
      <c r="E16" s="18" t="e">
        <f t="shared" si="2"/>
        <v>#VALUE!</v>
      </c>
      <c r="F16" s="18">
        <f t="shared" si="3"/>
        <v>131960.06</v>
      </c>
      <c r="G16" s="19">
        <f>SUMIFS('Data International'!$D:$D,'Data International'!$P:$P,'Painel International'!$B8,'Data International'!$Q:$Q,"&gt;0",'Data International'!$Q:$Q,"&lt;=30")</f>
        <v>0</v>
      </c>
      <c r="H16" s="19">
        <f>SUMIFS('Data International'!$D:$D,'Data International'!$P:$P,'Painel International'!$B8,'Data International'!$Q:$Q,"&gt;30",'Data International'!$Q:$Q,"&lt;=60")</f>
        <v>0</v>
      </c>
      <c r="I16" s="19">
        <f>SUMIFS('Data International'!$D:$D,'Data International'!$P:$P,'Painel International'!$B8,'Data International'!$Q:$Q,"&gt;60",'Data International'!$Q:$Q,"&lt;=90")</f>
        <v>0</v>
      </c>
      <c r="J16" s="19">
        <f>SUMIFS('Data International'!$D:$D,'Data International'!$P:$P,'Painel International'!$B8,'Data International'!$Q:$Q,"&gt;90",'Data International'!$Q:$Q,"&lt;=120")</f>
        <v>0</v>
      </c>
      <c r="K16" s="19">
        <f>SUMIFS('Data International'!$D:$D,'Data International'!$P:$P,'Painel International'!$B8,'Data International'!$Q:$Q,"&gt;120",'Data International'!$Q:$Q,"&lt;=180")</f>
        <v>0</v>
      </c>
      <c r="L16" s="19">
        <f>SUMIFS('Data International'!$D:$D,'Data International'!$P:$P,'Painel International'!$B8,'Data International'!$Q:$Q,"&gt;180",'Data International'!$Q:$Q,"&lt;=360")</f>
        <v>0</v>
      </c>
      <c r="M16" s="23">
        <f>SUMIFS('Data International'!$D:$D,'Data International'!$P:$P,'Painel International'!$B8,'Data International'!$Q:$Q,"&gt;360")</f>
        <v>0</v>
      </c>
      <c r="N16" s="19">
        <f>SUMIFS('Data International'!$D:$D,'Data International'!$P:$P,'Painel International'!$B8,'Data International'!$Q:$Q,"&gt;0")</f>
        <v>0</v>
      </c>
      <c r="O16" s="19">
        <f t="shared" si="4"/>
        <v>131960.06</v>
      </c>
      <c r="P16" s="19">
        <f>SUMIFS('Data International'!$D:$D,'Data International'!$P:$P,'Painel International'!$B8,'Data International'!$Q:$Q,"&lt;=0",'Data International'!$Q:$Q,"&gt;=-30")</f>
        <v>131960.06</v>
      </c>
      <c r="Q16" s="19">
        <f>SUMIFS('Data International'!$D:$D,'Data International'!$P:$P,'Painel International'!$B8,'Data International'!$Q:$Q,"&lt;=-31",'Data International'!$Q:$Q,"&gt;=-60")</f>
        <v>0</v>
      </c>
      <c r="R16" s="19">
        <f>SUMIFS('Data International'!$D:$D,'Data International'!$P:$P,'Painel International'!$B8,'Data International'!$Q:$Q,"&lt;=-61",'Data International'!$Q:$Q,"&gt;=-90")</f>
        <v>0</v>
      </c>
      <c r="S16" s="19">
        <f>SUMIFS('Data International'!$D:$D,'Data International'!$P:$P,'Painel International'!$B8,'Data International'!$Q:$Q,"&lt;=-91",'Data International'!$Q:$Q,"&gt;=-120")</f>
        <v>0</v>
      </c>
      <c r="T16" s="19">
        <f>SUMIFS('Data International'!$D:$D,'Data International'!$P:$P,'Painel International'!$B8,'Data International'!$Q:$Q,"&lt;=-121",'Data International'!$Q:$Q,"&gt;=-180")</f>
        <v>0</v>
      </c>
      <c r="U16" s="19">
        <f>SUMIFS('Data International'!$D:$D,'Data International'!$P:$P,'Painel International'!$B8,'Data International'!$Q:$Q,"&lt;=-181",'Data International'!$Q:$Q,"&gt;=-360")</f>
        <v>0</v>
      </c>
      <c r="V16" s="23">
        <f>SUMIFS('Data International'!$D:$D,'Data International'!$P:$P,'Painel International'!$B8,'Data International'!$Q:$Q,"&lt;-360")</f>
        <v>0</v>
      </c>
      <c r="W16" s="19" t="e">
        <f>SUMIFS('Bad Debt Provision'!#REF!,'Bad Debt Provision'!#REF!,'Painel International'!$B8)</f>
        <v>#REF!</v>
      </c>
      <c r="X16" s="5"/>
      <c r="Y16" s="20"/>
      <c r="Z16" s="20"/>
      <c r="AA16" s="21"/>
      <c r="AB16" s="5"/>
      <c r="AC16" s="19"/>
      <c r="AD16" s="20"/>
      <c r="AE16" s="22"/>
      <c r="AF16" s="22"/>
      <c r="AG16" s="5"/>
      <c r="AH16" s="28">
        <f t="shared" si="5"/>
        <v>-131960.06</v>
      </c>
      <c r="AI16" s="5"/>
    </row>
    <row r="17" spans="2:35" x14ac:dyDescent="0.25">
      <c r="B17" s="17" t="s">
        <v>186</v>
      </c>
      <c r="C17" s="105" t="str" cm="1">
        <f t="array" ref="C17">IFERROR(INDEX('Limite de crédito'!$D:$D, MATCH(MAX(IF('Limite de crédito'!$C:$C=$B17, 'Limite de crédito'!$A:$A)), 'Limite de crédito'!$A:$A, 0)),"")</f>
        <v/>
      </c>
      <c r="D17" s="105" cm="1">
        <f t="array" ref="D17">IFERROR(INDEX('Limite de crédito'!$F:$F, MATCH(MAX(IF('Limite de crédito'!$C:$C=$B17, 'Limite de crédito'!$A:$A)), 'Limite de crédito'!$A:$A, 0)),0)</f>
        <v>0</v>
      </c>
      <c r="E17" s="18">
        <f t="shared" si="2"/>
        <v>0</v>
      </c>
      <c r="F17" s="18">
        <f t="shared" si="3"/>
        <v>0</v>
      </c>
      <c r="G17" s="19">
        <f>SUMIFS('Data International'!$D:$D,'Data International'!$P:$P,'Painel International'!#REF!,'Data International'!$Q:$Q,"&gt;0",'Data International'!$Q:$Q,"&lt;=30")</f>
        <v>0</v>
      </c>
      <c r="H17" s="19">
        <f>SUMIFS('Data International'!$D:$D,'Data International'!$P:$P,'Painel International'!#REF!,'Data International'!$Q:$Q,"&gt;30",'Data International'!$Q:$Q,"&lt;=60")</f>
        <v>0</v>
      </c>
      <c r="I17" s="19">
        <f>SUMIFS('Data International'!$D:$D,'Data International'!$P:$P,'Painel International'!#REF!,'Data International'!$Q:$Q,"&gt;60",'Data International'!$Q:$Q,"&lt;=90")</f>
        <v>0</v>
      </c>
      <c r="J17" s="19">
        <f>SUMIFS('Data International'!$D:$D,'Data International'!$P:$P,'Painel International'!#REF!,'Data International'!$Q:$Q,"&gt;90",'Data International'!$Q:$Q,"&lt;=120")</f>
        <v>0</v>
      </c>
      <c r="K17" s="19">
        <f>SUMIFS('Data International'!$D:$D,'Data International'!$P:$P,'Painel International'!#REF!,'Data International'!$Q:$Q,"&gt;120",'Data International'!$Q:$Q,"&lt;=180")</f>
        <v>0</v>
      </c>
      <c r="L17" s="19">
        <f>SUMIFS('Data International'!$D:$D,'Data International'!$P:$P,'Painel International'!#REF!,'Data International'!$Q:$Q,"&gt;180",'Data International'!$Q:$Q,"&lt;=360")</f>
        <v>0</v>
      </c>
      <c r="M17" s="23">
        <f>SUMIFS('Data International'!$D:$D,'Data International'!$P:$P,'Painel International'!#REF!,'Data International'!$Q:$Q,"&gt;360")</f>
        <v>0</v>
      </c>
      <c r="N17" s="19">
        <f>SUMIFS('Data International'!$D:$D,'Data International'!$P:$P,'Painel International'!#REF!,'Data International'!$Q:$Q,"&gt;0")</f>
        <v>0</v>
      </c>
      <c r="O17" s="19">
        <f t="shared" si="4"/>
        <v>0</v>
      </c>
      <c r="P17" s="19">
        <f>SUMIFS('Data International'!$D:$D,'Data International'!$P:$P,'Painel International'!#REF!,'Data International'!$Q:$Q,"&lt;=0",'Data International'!$Q:$Q,"&gt;=-30")</f>
        <v>0</v>
      </c>
      <c r="Q17" s="19">
        <f>SUMIFS('Data International'!$D:$D,'Data International'!$P:$P,'Painel International'!#REF!,'Data International'!$Q:$Q,"&lt;=-31",'Data International'!$Q:$Q,"&gt;=-60")</f>
        <v>0</v>
      </c>
      <c r="R17" s="19">
        <f>SUMIFS('Data International'!$D:$D,'Data International'!$P:$P,'Painel International'!#REF!,'Data International'!$Q:$Q,"&lt;=-61",'Data International'!$Q:$Q,"&gt;=-90")</f>
        <v>0</v>
      </c>
      <c r="S17" s="19">
        <f>SUMIFS('Data International'!$D:$D,'Data International'!$P:$P,'Painel International'!#REF!,'Data International'!$Q:$Q,"&lt;=-91",'Data International'!$Q:$Q,"&gt;=-120")</f>
        <v>0</v>
      </c>
      <c r="T17" s="19">
        <f>SUMIFS('Data International'!$D:$D,'Data International'!$P:$P,'Painel International'!#REF!,'Data International'!$Q:$Q,"&lt;=-121",'Data International'!$Q:$Q,"&gt;=-180")</f>
        <v>0</v>
      </c>
      <c r="U17" s="19">
        <f>SUMIFS('Data International'!$D:$D,'Data International'!$P:$P,'Painel International'!#REF!,'Data International'!$Q:$Q,"&lt;=-181",'Data International'!$Q:$Q,"&gt;=-360")</f>
        <v>0</v>
      </c>
      <c r="V17" s="23">
        <f>SUMIFS('Data International'!$D:$D,'Data International'!$P:$P,'Painel International'!#REF!,'Data International'!$Q:$Q,"&lt;-360")</f>
        <v>0</v>
      </c>
      <c r="W17" s="19" t="e">
        <f>SUMIFS('Bad Debt Provision'!#REF!,'Bad Debt Provision'!#REF!,'Painel International'!#REF!)</f>
        <v>#REF!</v>
      </c>
      <c r="X17" s="5"/>
      <c r="Y17" s="20"/>
      <c r="Z17" s="20"/>
      <c r="AA17" s="21"/>
      <c r="AB17" s="5"/>
      <c r="AC17" s="19"/>
      <c r="AD17" s="20"/>
      <c r="AE17" s="22"/>
      <c r="AF17" s="22"/>
      <c r="AG17" s="5"/>
      <c r="AH17" s="28">
        <f t="shared" si="5"/>
        <v>0</v>
      </c>
      <c r="AI17" s="5"/>
    </row>
    <row r="18" spans="2:35" x14ac:dyDescent="0.25">
      <c r="B18" s="17" t="s">
        <v>134</v>
      </c>
      <c r="C18" s="105" t="str" cm="1">
        <f t="array" ref="C18">IFERROR(INDEX('Limite de crédito'!$D:$D, MATCH(MAX(IF('Limite de crédito'!$C:$C=$B18, 'Limite de crédito'!$A:$A)), 'Limite de crédito'!$A:$A, 0)),"")</f>
        <v/>
      </c>
      <c r="D18" s="105" cm="1">
        <f t="array" ref="D18">IFERROR(INDEX('Limite de crédito'!$F:$F, MATCH(MAX(IF('Limite de crédito'!$C:$C=$B18, 'Limite de crédito'!$A:$A)), 'Limite de crédito'!$A:$A, 0)),0)</f>
        <v>0</v>
      </c>
      <c r="E18" s="18">
        <f t="shared" si="2"/>
        <v>-14548.35</v>
      </c>
      <c r="F18" s="18">
        <f t="shared" si="3"/>
        <v>14548.35</v>
      </c>
      <c r="G18" s="19">
        <f>SUMIFS('Data International'!$D:$D,'Data International'!$P:$P,'Painel International'!$B11,'Data International'!$Q:$Q,"&gt;0",'Data International'!$Q:$Q,"&lt;=30")</f>
        <v>0</v>
      </c>
      <c r="H18" s="19">
        <f>SUMIFS('Data International'!$D:$D,'Data International'!$P:$P,'Painel International'!$B11,'Data International'!$Q:$Q,"&gt;30",'Data International'!$Q:$Q,"&lt;=60")</f>
        <v>0</v>
      </c>
      <c r="I18" s="19">
        <f>SUMIFS('Data International'!$D:$D,'Data International'!$P:$P,'Painel International'!$B11,'Data International'!$Q:$Q,"&gt;60",'Data International'!$Q:$Q,"&lt;=90")</f>
        <v>0</v>
      </c>
      <c r="J18" s="19">
        <f>SUMIFS('Data International'!$D:$D,'Data International'!$P:$P,'Painel International'!$B11,'Data International'!$Q:$Q,"&gt;90",'Data International'!$Q:$Q,"&lt;=120")</f>
        <v>14548.35</v>
      </c>
      <c r="K18" s="19">
        <f>SUMIFS('Data International'!$D:$D,'Data International'!$P:$P,'Painel International'!$B11,'Data International'!$Q:$Q,"&gt;120",'Data International'!$Q:$Q,"&lt;=180")</f>
        <v>0</v>
      </c>
      <c r="L18" s="19">
        <f>SUMIFS('Data International'!$D:$D,'Data International'!$P:$P,'Painel International'!$B11,'Data International'!$Q:$Q,"&gt;180",'Data International'!$Q:$Q,"&lt;=360")</f>
        <v>0</v>
      </c>
      <c r="M18" s="23">
        <f>SUMIFS('Data International'!$D:$D,'Data International'!$P:$P,'Painel International'!$B11,'Data International'!$Q:$Q,"&gt;360")</f>
        <v>0</v>
      </c>
      <c r="N18" s="19">
        <f>SUMIFS('Data International'!$D:$D,'Data International'!$P:$P,'Painel International'!$B11,'Data International'!$Q:$Q,"&gt;0")</f>
        <v>14548.35</v>
      </c>
      <c r="O18" s="19">
        <f t="shared" si="4"/>
        <v>0</v>
      </c>
      <c r="P18" s="19">
        <f>SUMIFS('Data International'!$D:$D,'Data International'!$P:$P,'Painel International'!$B11,'Data International'!$Q:$Q,"&lt;=0",'Data International'!$Q:$Q,"&gt;=-30")</f>
        <v>0</v>
      </c>
      <c r="Q18" s="19">
        <f>SUMIFS('Data International'!$D:$D,'Data International'!$P:$P,'Painel International'!$B11,'Data International'!$Q:$Q,"&lt;=-31",'Data International'!$Q:$Q,"&gt;=-60")</f>
        <v>0</v>
      </c>
      <c r="R18" s="19">
        <f>SUMIFS('Data International'!$D:$D,'Data International'!$P:$P,'Painel International'!$B11,'Data International'!$Q:$Q,"&lt;=-61",'Data International'!$Q:$Q,"&gt;=-90")</f>
        <v>0</v>
      </c>
      <c r="S18" s="19">
        <f>SUMIFS('Data International'!$D:$D,'Data International'!$P:$P,'Painel International'!$B11,'Data International'!$Q:$Q,"&lt;=-91",'Data International'!$Q:$Q,"&gt;=-120")</f>
        <v>0</v>
      </c>
      <c r="T18" s="19">
        <f>SUMIFS('Data International'!$D:$D,'Data International'!$P:$P,'Painel International'!$B11,'Data International'!$Q:$Q,"&lt;=-121",'Data International'!$Q:$Q,"&gt;=-180")</f>
        <v>0</v>
      </c>
      <c r="U18" s="19">
        <f>SUMIFS('Data International'!$D:$D,'Data International'!$P:$P,'Painel International'!$B11,'Data International'!$Q:$Q,"&lt;=-181",'Data International'!$Q:$Q,"&gt;=-360")</f>
        <v>0</v>
      </c>
      <c r="V18" s="23">
        <f>SUMIFS('Data International'!$D:$D,'Data International'!$P:$P,'Painel International'!$B11,'Data International'!$Q:$Q,"&lt;-360")</f>
        <v>0</v>
      </c>
      <c r="W18" s="19" t="e">
        <f>SUMIFS('Bad Debt Provision'!#REF!,'Bad Debt Provision'!#REF!,'Painel International'!$B11)</f>
        <v>#REF!</v>
      </c>
      <c r="X18" s="5"/>
      <c r="Y18" s="20"/>
      <c r="Z18" s="20"/>
      <c r="AA18" s="21"/>
      <c r="AB18" s="5"/>
      <c r="AC18" s="19"/>
      <c r="AD18" s="20"/>
      <c r="AE18" s="22"/>
      <c r="AF18" s="22"/>
      <c r="AG18" s="5"/>
      <c r="AH18" s="28">
        <f t="shared" si="5"/>
        <v>-14548.35</v>
      </c>
      <c r="AI18" s="5"/>
    </row>
    <row r="19" spans="2:35" x14ac:dyDescent="0.25">
      <c r="B19" s="17" t="s">
        <v>135</v>
      </c>
      <c r="C19" s="105" t="str" cm="1">
        <f t="array" ref="C19">IFERROR(INDEX('Limite de crédito'!$D:$D, MATCH(MAX(IF('Limite de crédito'!$C:$C=$B19, 'Limite de crédito'!$A:$A)), 'Limite de crédito'!$A:$A, 0)),"")</f>
        <v/>
      </c>
      <c r="D19" s="105" cm="1">
        <f t="array" ref="D19">IFERROR(INDEX('Limite de crédito'!$F:$F, MATCH(MAX(IF('Limite de crédito'!$C:$C=$B19, 'Limite de crédito'!$A:$A)), 'Limite de crédito'!$A:$A, 0)),0)</f>
        <v>0</v>
      </c>
      <c r="E19" s="18">
        <f t="shared" si="2"/>
        <v>-250261.53</v>
      </c>
      <c r="F19" s="18">
        <f t="shared" si="3"/>
        <v>250261.53</v>
      </c>
      <c r="G19" s="19">
        <f>SUMIFS('Data International'!$D:$D,'Data International'!$P:$P,'Painel International'!$B12,'Data International'!$Q:$Q,"&gt;0",'Data International'!$Q:$Q,"&lt;=30")</f>
        <v>0</v>
      </c>
      <c r="H19" s="19">
        <f>SUMIFS('Data International'!$D:$D,'Data International'!$P:$P,'Painel International'!$B12,'Data International'!$Q:$Q,"&gt;30",'Data International'!$Q:$Q,"&lt;=60")</f>
        <v>0</v>
      </c>
      <c r="I19" s="19">
        <f>SUMIFS('Data International'!$D:$D,'Data International'!$P:$P,'Painel International'!$B12,'Data International'!$Q:$Q,"&gt;60",'Data International'!$Q:$Q,"&lt;=90")</f>
        <v>0</v>
      </c>
      <c r="J19" s="19">
        <f>SUMIFS('Data International'!$D:$D,'Data International'!$P:$P,'Painel International'!$B12,'Data International'!$Q:$Q,"&gt;90",'Data International'!$Q:$Q,"&lt;=120")</f>
        <v>0</v>
      </c>
      <c r="K19" s="19">
        <f>SUMIFS('Data International'!$D:$D,'Data International'!$P:$P,'Painel International'!$B12,'Data International'!$Q:$Q,"&gt;120",'Data International'!$Q:$Q,"&lt;=180")</f>
        <v>0</v>
      </c>
      <c r="L19" s="19">
        <f>SUMIFS('Data International'!$D:$D,'Data International'!$P:$P,'Painel International'!$B12,'Data International'!$Q:$Q,"&gt;180",'Data International'!$Q:$Q,"&lt;=360")</f>
        <v>0</v>
      </c>
      <c r="M19" s="23">
        <f>SUMIFS('Data International'!$D:$D,'Data International'!$P:$P,'Painel International'!$B12,'Data International'!$Q:$Q,"&gt;360")</f>
        <v>0</v>
      </c>
      <c r="N19" s="19">
        <f>SUMIFS('Data International'!$D:$D,'Data International'!$P:$P,'Painel International'!$B12,'Data International'!$Q:$Q,"&gt;0")</f>
        <v>0</v>
      </c>
      <c r="O19" s="19">
        <f t="shared" si="4"/>
        <v>250261.53</v>
      </c>
      <c r="P19" s="19">
        <f>SUMIFS('Data International'!$D:$D,'Data International'!$P:$P,'Painel International'!$B12,'Data International'!$Q:$Q,"&lt;=0",'Data International'!$Q:$Q,"&gt;=-30")</f>
        <v>0</v>
      </c>
      <c r="Q19" s="19">
        <f>SUMIFS('Data International'!$D:$D,'Data International'!$P:$P,'Painel International'!$B12,'Data International'!$Q:$Q,"&lt;=-31",'Data International'!$Q:$Q,"&gt;=-60")</f>
        <v>250261.53</v>
      </c>
      <c r="R19" s="19">
        <f>SUMIFS('Data International'!$D:$D,'Data International'!$P:$P,'Painel International'!$B12,'Data International'!$Q:$Q,"&lt;=-61",'Data International'!$Q:$Q,"&gt;=-90")</f>
        <v>0</v>
      </c>
      <c r="S19" s="19">
        <f>SUMIFS('Data International'!$D:$D,'Data International'!$P:$P,'Painel International'!$B12,'Data International'!$Q:$Q,"&lt;=-91",'Data International'!$Q:$Q,"&gt;=-120")</f>
        <v>0</v>
      </c>
      <c r="T19" s="19">
        <f>SUMIFS('Data International'!$D:$D,'Data International'!$P:$P,'Painel International'!$B12,'Data International'!$Q:$Q,"&lt;=-121",'Data International'!$Q:$Q,"&gt;=-180")</f>
        <v>0</v>
      </c>
      <c r="U19" s="19">
        <f>SUMIFS('Data International'!$D:$D,'Data International'!$P:$P,'Painel International'!$B12,'Data International'!$Q:$Q,"&lt;=-181",'Data International'!$Q:$Q,"&gt;=-360")</f>
        <v>0</v>
      </c>
      <c r="V19" s="23">
        <f>SUMIFS('Data International'!$D:$D,'Data International'!$P:$P,'Painel International'!$B12,'Data International'!$Q:$Q,"&lt;-360")</f>
        <v>0</v>
      </c>
      <c r="W19" s="19" t="e">
        <f>SUMIFS('Bad Debt Provision'!#REF!,'Bad Debt Provision'!#REF!,'Painel International'!$B12)</f>
        <v>#REF!</v>
      </c>
      <c r="X19" s="5"/>
      <c r="Y19" s="20"/>
      <c r="Z19" s="20"/>
      <c r="AA19" s="21"/>
      <c r="AB19" s="5"/>
      <c r="AC19" s="19"/>
      <c r="AD19" s="20"/>
      <c r="AE19" s="22"/>
      <c r="AF19" s="22"/>
      <c r="AG19" s="5"/>
      <c r="AH19" s="28">
        <f t="shared" si="5"/>
        <v>-250261.53</v>
      </c>
      <c r="AI19" s="5"/>
    </row>
    <row r="20" spans="2:35" x14ac:dyDescent="0.25">
      <c r="B20" s="17" t="s">
        <v>248</v>
      </c>
      <c r="C20" s="105" t="str" cm="1">
        <f t="array" ref="C20">IFERROR(INDEX('Limite de crédito'!$D:$D, MATCH(MAX(IF('Limite de crédito'!$C:$C=$B20, 'Limite de crédito'!$A:$A)), 'Limite de crédito'!$A:$A, 0)),"")</f>
        <v/>
      </c>
      <c r="D20" s="105" cm="1">
        <f t="array" ref="D20">IFERROR(INDEX('Limite de crédito'!$F:$F, MATCH(MAX(IF('Limite de crédito'!$C:$C=$B20, 'Limite de crédito'!$A:$A)), 'Limite de crédito'!$A:$A, 0)),0)</f>
        <v>0</v>
      </c>
      <c r="E20" s="18">
        <f t="shared" si="2"/>
        <v>-3280155.1799999997</v>
      </c>
      <c r="F20" s="18">
        <f t="shared" si="3"/>
        <v>3280155.1799999997</v>
      </c>
      <c r="G20" s="19">
        <f>SUMIFS('Data International'!$D:$D,'Data International'!$P:$P,'Painel International'!$B13,'Data International'!$Q:$Q,"&gt;0",'Data International'!$Q:$Q,"&lt;=30")</f>
        <v>0</v>
      </c>
      <c r="H20" s="19">
        <f>SUMIFS('Data International'!$D:$D,'Data International'!$P:$P,'Painel International'!$B13,'Data International'!$Q:$Q,"&gt;30",'Data International'!$Q:$Q,"&lt;=60")</f>
        <v>0</v>
      </c>
      <c r="I20" s="19">
        <f>SUMIFS('Data International'!$D:$D,'Data International'!$P:$P,'Painel International'!$B13,'Data International'!$Q:$Q,"&gt;60",'Data International'!$Q:$Q,"&lt;=90")</f>
        <v>0</v>
      </c>
      <c r="J20" s="19">
        <f>SUMIFS('Data International'!$D:$D,'Data International'!$P:$P,'Painel International'!$B13,'Data International'!$Q:$Q,"&gt;90",'Data International'!$Q:$Q,"&lt;=120")</f>
        <v>0</v>
      </c>
      <c r="K20" s="19">
        <f>SUMIFS('Data International'!$D:$D,'Data International'!$P:$P,'Painel International'!$B13,'Data International'!$Q:$Q,"&gt;120",'Data International'!$Q:$Q,"&lt;=180")</f>
        <v>0</v>
      </c>
      <c r="L20" s="19">
        <f>SUMIFS('Data International'!$D:$D,'Data International'!$P:$P,'Painel International'!$B13,'Data International'!$Q:$Q,"&gt;180",'Data International'!$Q:$Q,"&lt;=360")</f>
        <v>0</v>
      </c>
      <c r="M20" s="23">
        <f>SUMIFS('Data International'!$D:$D,'Data International'!$P:$P,'Painel International'!$B13,'Data International'!$Q:$Q,"&gt;360")</f>
        <v>0</v>
      </c>
      <c r="N20" s="19">
        <f>SUMIFS('Data International'!$D:$D,'Data International'!$P:$P,'Painel International'!$B13,'Data International'!$Q:$Q,"&gt;0")</f>
        <v>0</v>
      </c>
      <c r="O20" s="19">
        <f t="shared" si="4"/>
        <v>3280155.1799999997</v>
      </c>
      <c r="P20" s="19">
        <f>SUMIFS('Data International'!$D:$D,'Data International'!$P:$P,'Painel International'!$B13,'Data International'!$Q:$Q,"&lt;=0",'Data International'!$Q:$Q,"&gt;=-30")</f>
        <v>0</v>
      </c>
      <c r="Q20" s="19">
        <f>SUMIFS('Data International'!$D:$D,'Data International'!$P:$P,'Painel International'!$B13,'Data International'!$Q:$Q,"&lt;=-31",'Data International'!$Q:$Q,"&gt;=-60")</f>
        <v>3280155.1799999997</v>
      </c>
      <c r="R20" s="19">
        <f>SUMIFS('Data International'!$D:$D,'Data International'!$P:$P,'Painel International'!$B13,'Data International'!$Q:$Q,"&lt;=-61",'Data International'!$Q:$Q,"&gt;=-90")</f>
        <v>0</v>
      </c>
      <c r="S20" s="19">
        <f>SUMIFS('Data International'!$D:$D,'Data International'!$P:$P,'Painel International'!$B13,'Data International'!$Q:$Q,"&lt;=-91",'Data International'!$Q:$Q,"&gt;=-120")</f>
        <v>0</v>
      </c>
      <c r="T20" s="19">
        <f>SUMIFS('Data International'!$D:$D,'Data International'!$P:$P,'Painel International'!$B13,'Data International'!$Q:$Q,"&lt;=-121",'Data International'!$Q:$Q,"&gt;=-180")</f>
        <v>0</v>
      </c>
      <c r="U20" s="19">
        <f>SUMIFS('Data International'!$D:$D,'Data International'!$P:$P,'Painel International'!$B13,'Data International'!$Q:$Q,"&lt;=-181",'Data International'!$Q:$Q,"&gt;=-360")</f>
        <v>0</v>
      </c>
      <c r="V20" s="23">
        <f>SUMIFS('Data International'!$D:$D,'Data International'!$P:$P,'Painel International'!$B13,'Data International'!$Q:$Q,"&lt;-360")</f>
        <v>0</v>
      </c>
      <c r="W20" s="19" t="e">
        <f>SUMIFS('Bad Debt Provision'!#REF!,'Bad Debt Provision'!#REF!,'Painel International'!$B13)</f>
        <v>#REF!</v>
      </c>
      <c r="X20" s="5"/>
      <c r="Y20" s="20"/>
      <c r="Z20" s="20"/>
      <c r="AA20" s="21"/>
      <c r="AB20" s="5"/>
      <c r="AC20" s="19"/>
      <c r="AD20" s="20"/>
      <c r="AE20" s="22"/>
      <c r="AF20" s="22"/>
      <c r="AG20" s="5"/>
      <c r="AH20" s="28">
        <f t="shared" si="5"/>
        <v>-3280155.1799999997</v>
      </c>
    </row>
    <row r="21" spans="2:35" x14ac:dyDescent="0.25">
      <c r="B21" s="17" t="s">
        <v>262</v>
      </c>
      <c r="C21" s="105" cm="1">
        <f t="array" ref="C21">IFERROR(INDEX('Limite de crédito'!$D:$D, MATCH(MAX(IF('Limite de crédito'!$C:$C=$B21, 'Limite de crédito'!$A:$A)), 'Limite de crédito'!$A:$A, 0)),"")</f>
        <v>45831</v>
      </c>
      <c r="D21" s="105" t="str" cm="1">
        <f t="array" ref="D21">IFERROR(INDEX('Limite de crédito'!$F:$F, MATCH(MAX(IF('Limite de crédito'!$C:$C=$B21, 'Limite de crédito'!$A:$A)), 'Limite de crédito'!$A:$A, 0)),0)</f>
        <v>Sim</v>
      </c>
      <c r="E21" s="18" t="e">
        <f t="shared" si="2"/>
        <v>#VALUE!</v>
      </c>
      <c r="F21" s="18">
        <f t="shared" si="3"/>
        <v>0</v>
      </c>
      <c r="G21" s="19">
        <f>SUMIFS('Data International'!$D:$D,'Data International'!$P:$P,'Painel International'!$B14,'Data International'!$Q:$Q,"&gt;0",'Data International'!$Q:$Q,"&lt;=30")</f>
        <v>0</v>
      </c>
      <c r="H21" s="19">
        <f>SUMIFS('Data International'!$D:$D,'Data International'!$P:$P,'Painel International'!$B14,'Data International'!$Q:$Q,"&gt;30",'Data International'!$Q:$Q,"&lt;=60")</f>
        <v>0</v>
      </c>
      <c r="I21" s="19">
        <f>SUMIFS('Data International'!$D:$D,'Data International'!$P:$P,'Painel International'!$B14,'Data International'!$Q:$Q,"&gt;60",'Data International'!$Q:$Q,"&lt;=90")</f>
        <v>0</v>
      </c>
      <c r="J21" s="19">
        <f>SUMIFS('Data International'!$D:$D,'Data International'!$P:$P,'Painel International'!$B14,'Data International'!$Q:$Q,"&gt;90",'Data International'!$Q:$Q,"&lt;=120")</f>
        <v>0</v>
      </c>
      <c r="K21" s="19">
        <f>SUMIFS('Data International'!$D:$D,'Data International'!$P:$P,'Painel International'!$B14,'Data International'!$Q:$Q,"&gt;120",'Data International'!$Q:$Q,"&lt;=180")</f>
        <v>0</v>
      </c>
      <c r="L21" s="19">
        <f>SUMIFS('Data International'!$D:$D,'Data International'!$P:$P,'Painel International'!$B14,'Data International'!$Q:$Q,"&gt;180",'Data International'!$Q:$Q,"&lt;=360")</f>
        <v>0</v>
      </c>
      <c r="M21" s="23">
        <f>SUMIFS('Data International'!$D:$D,'Data International'!$P:$P,'Painel International'!$B14,'Data International'!$Q:$Q,"&gt;360")</f>
        <v>0</v>
      </c>
      <c r="N21" s="19">
        <f>SUMIFS('Data International'!$D:$D,'Data International'!$P:$P,'Painel International'!$B14,'Data International'!$Q:$Q,"&gt;0")</f>
        <v>0</v>
      </c>
      <c r="O21" s="19">
        <f t="shared" si="4"/>
        <v>0</v>
      </c>
      <c r="P21" s="19">
        <f>SUMIFS('Data International'!$D:$D,'Data International'!$P:$P,'Painel International'!$B14,'Data International'!$Q:$Q,"&lt;=0",'Data International'!$Q:$Q,"&gt;=-30")</f>
        <v>0</v>
      </c>
      <c r="Q21" s="19">
        <f>SUMIFS('Data International'!$D:$D,'Data International'!$P:$P,'Painel International'!$B14,'Data International'!$Q:$Q,"&lt;=-31",'Data International'!$Q:$Q,"&gt;=-60")</f>
        <v>0</v>
      </c>
      <c r="R21" s="19">
        <f>SUMIFS('Data International'!$D:$D,'Data International'!$P:$P,'Painel International'!$B14,'Data International'!$Q:$Q,"&lt;=-61",'Data International'!$Q:$Q,"&gt;=-90")</f>
        <v>0</v>
      </c>
      <c r="S21" s="19">
        <f>SUMIFS('Data International'!$D:$D,'Data International'!$P:$P,'Painel International'!$B14,'Data International'!$Q:$Q,"&lt;=-91",'Data International'!$Q:$Q,"&gt;=-120")</f>
        <v>0</v>
      </c>
      <c r="T21" s="19">
        <f>SUMIFS('Data International'!$D:$D,'Data International'!$P:$P,'Painel International'!$B14,'Data International'!$Q:$Q,"&lt;=-121",'Data International'!$Q:$Q,"&gt;=-180")</f>
        <v>0</v>
      </c>
      <c r="U21" s="19">
        <f>SUMIFS('Data International'!$D:$D,'Data International'!$P:$P,'Painel International'!$B14,'Data International'!$Q:$Q,"&lt;=-181",'Data International'!$Q:$Q,"&gt;=-360")</f>
        <v>0</v>
      </c>
      <c r="V21" s="23">
        <f>SUMIFS('Data International'!$D:$D,'Data International'!$P:$P,'Painel International'!$B14,'Data International'!$Q:$Q,"&lt;-360")</f>
        <v>0</v>
      </c>
      <c r="W21" s="19" t="e">
        <f>SUMIFS('Bad Debt Provision'!#REF!,'Bad Debt Provision'!#REF!,'Painel International'!$B14)</f>
        <v>#REF!</v>
      </c>
      <c r="X21" s="5"/>
      <c r="Y21" s="20"/>
      <c r="Z21" s="20"/>
      <c r="AA21" s="21"/>
      <c r="AB21" s="5"/>
      <c r="AC21" s="19"/>
      <c r="AD21" s="20"/>
      <c r="AE21" s="22"/>
      <c r="AF21" s="22"/>
      <c r="AG21" s="5"/>
      <c r="AH21" s="28">
        <f t="shared" si="5"/>
        <v>0</v>
      </c>
    </row>
    <row r="22" spans="2:35" x14ac:dyDescent="0.25">
      <c r="B22" s="41" t="s">
        <v>382</v>
      </c>
      <c r="C22" s="19" cm="1">
        <f t="array" ref="C22">IFERROR(INDEX('Limite de crédito'!$D:$D, MATCH(MAX(IF('Limite de crédito'!$C:$C=$B22, 'Limite de crédito'!$A:$A)), 'Limite de crédito'!$A:$A, 0)),"")</f>
        <v>46030</v>
      </c>
      <c r="D22" s="105" t="str" cm="1">
        <f t="array" ref="D22">IFERROR(INDEX('Limite de crédito'!$F:$F, MATCH(MAX(IF('Limite de crédito'!$C:$C=$B22, 'Limite de crédito'!$A:$A)), 'Limite de crédito'!$A:$A, 0)),0)</f>
        <v>Sim</v>
      </c>
      <c r="E22" s="18" t="e">
        <f t="shared" si="2"/>
        <v>#VALUE!</v>
      </c>
      <c r="F22" s="18">
        <f t="shared" si="3"/>
        <v>0</v>
      </c>
      <c r="G22" s="19">
        <f>SUMIFS('Data International'!$D:$D,'Data International'!$P:$P,'Painel International'!#REF!,'Data International'!$Q:$Q,"&gt;0",'Data International'!$Q:$Q,"&lt;=30")</f>
        <v>0</v>
      </c>
      <c r="H22" s="19">
        <f>SUMIFS('Data International'!$D:$D,'Data International'!$P:$P,'Painel International'!#REF!,'Data International'!$Q:$Q,"&gt;30",'Data International'!$Q:$Q,"&lt;=60")</f>
        <v>0</v>
      </c>
      <c r="I22" s="19">
        <f>SUMIFS('Data International'!$D:$D,'Data International'!$P:$P,'Painel International'!#REF!,'Data International'!$Q:$Q,"&gt;60",'Data International'!$Q:$Q,"&lt;=90")</f>
        <v>0</v>
      </c>
      <c r="J22" s="19">
        <f>SUMIFS('Data International'!$D:$D,'Data International'!$P:$P,'Painel International'!#REF!,'Data International'!$Q:$Q,"&gt;90",'Data International'!$Q:$Q,"&lt;=120")</f>
        <v>0</v>
      </c>
      <c r="K22" s="19">
        <f>SUMIFS('Data International'!$D:$D,'Data International'!$P:$P,'Painel International'!#REF!,'Data International'!$Q:$Q,"&gt;120",'Data International'!$Q:$Q,"&lt;=180")</f>
        <v>0</v>
      </c>
      <c r="L22" s="19">
        <f>SUMIFS('Data International'!$D:$D,'Data International'!$P:$P,'Painel International'!#REF!,'Data International'!$Q:$Q,"&gt;180",'Data International'!$Q:$Q,"&lt;=360")</f>
        <v>0</v>
      </c>
      <c r="M22" s="23">
        <f>SUMIFS('Data International'!$D:$D,'Data International'!$P:$P,'Painel International'!#REF!,'Data International'!$Q:$Q,"&gt;360")</f>
        <v>0</v>
      </c>
      <c r="N22" s="19">
        <f>SUMIFS('Data International'!$D:$D,'Data International'!$P:$P,'Painel International'!#REF!,'Data International'!$Q:$Q,"&gt;0")</f>
        <v>0</v>
      </c>
      <c r="O22" s="19">
        <f t="shared" si="4"/>
        <v>0</v>
      </c>
      <c r="P22" s="19">
        <f>SUMIFS('Data International'!$D:$D,'Data International'!$P:$P,'Painel International'!#REF!,'Data International'!$Q:$Q,"&lt;=0",'Data International'!$Q:$Q,"&gt;=-30")</f>
        <v>0</v>
      </c>
      <c r="Q22" s="19">
        <f>SUMIFS('Data International'!$D:$D,'Data International'!$P:$P,'Painel International'!#REF!,'Data International'!$Q:$Q,"&lt;=-31",'Data International'!$Q:$Q,"&gt;=-60")</f>
        <v>0</v>
      </c>
      <c r="R22" s="19">
        <f>SUMIFS('Data International'!$D:$D,'Data International'!$P:$P,'Painel International'!#REF!,'Data International'!$Q:$Q,"&lt;=-61",'Data International'!$Q:$Q,"&gt;=-90")</f>
        <v>0</v>
      </c>
      <c r="S22" s="19">
        <f>SUMIFS('Data International'!$D:$D,'Data International'!$P:$P,'Painel International'!#REF!,'Data International'!$Q:$Q,"&lt;=-91",'Data International'!$Q:$Q,"&gt;=-120")</f>
        <v>0</v>
      </c>
      <c r="T22" s="19">
        <f>SUMIFS('Data International'!$D:$D,'Data International'!$P:$P,'Painel International'!#REF!,'Data International'!$Q:$Q,"&lt;=-121",'Data International'!$Q:$Q,"&gt;=-180")</f>
        <v>0</v>
      </c>
      <c r="U22" s="19">
        <f>SUMIFS('Data International'!$D:$D,'Data International'!$P:$P,'Painel International'!#REF!,'Data International'!$Q:$Q,"&lt;=-181",'Data International'!$Q:$Q,"&gt;=-360")</f>
        <v>0</v>
      </c>
      <c r="V22" s="23">
        <f>SUMIFS('Data International'!$D:$D,'Data International'!$P:$P,'Painel International'!#REF!,'Data International'!$Q:$Q,"&lt;-360")</f>
        <v>0</v>
      </c>
      <c r="W22" s="19" t="e">
        <f>SUMIFS('Bad Debt Provision'!#REF!,'Bad Debt Provision'!#REF!,'Painel International'!#REF!)</f>
        <v>#REF!</v>
      </c>
      <c r="X22" s="5"/>
      <c r="Y22" s="20"/>
      <c r="Z22" s="20"/>
      <c r="AA22" s="21"/>
      <c r="AB22" s="5"/>
      <c r="AC22" s="19"/>
      <c r="AD22" s="20"/>
      <c r="AE22" s="22"/>
      <c r="AF22" s="22"/>
      <c r="AG22" s="5"/>
      <c r="AH22" s="28">
        <f t="shared" si="5"/>
        <v>0</v>
      </c>
    </row>
    <row r="23" spans="2:35" x14ac:dyDescent="0.25">
      <c r="B23" s="17" t="s">
        <v>305</v>
      </c>
      <c r="C23" s="105" cm="1">
        <f t="array" ref="C23">IFERROR(INDEX('Limite de crédito'!$D:$D, MATCH(MAX(IF('Limite de crédito'!$C:$C=$B23, 'Limite de crédito'!$A:$A)), 'Limite de crédito'!$A:$A, 0)),"")</f>
        <v>45831</v>
      </c>
      <c r="D23" s="105" t="str" cm="1">
        <f t="array" ref="D23">IFERROR(INDEX('Limite de crédito'!$F:$F, MATCH(MAX(IF('Limite de crédito'!$C:$C=$B23, 'Limite de crédito'!$A:$A)), 'Limite de crédito'!$A:$A, 0)),0)</f>
        <v>Sim</v>
      </c>
      <c r="E23" s="18" t="e">
        <f t="shared" si="2"/>
        <v>#VALUE!</v>
      </c>
      <c r="F23" s="18">
        <f t="shared" si="3"/>
        <v>262313.01</v>
      </c>
      <c r="G23" s="19">
        <f>SUMIFS('Data International'!$D:$D,'Data International'!$P:$P,'Painel International'!$B17,'Data International'!$Q:$Q,"&gt;0",'Data International'!$Q:$Q,"&lt;=30")</f>
        <v>0</v>
      </c>
      <c r="H23" s="19">
        <f>SUMIFS('Data International'!$D:$D,'Data International'!$P:$P,'Painel International'!$B17,'Data International'!$Q:$Q,"&gt;30",'Data International'!$Q:$Q,"&lt;=60")</f>
        <v>0</v>
      </c>
      <c r="I23" s="19">
        <f>SUMIFS('Data International'!$D:$D,'Data International'!$P:$P,'Painel International'!$B17,'Data International'!$Q:$Q,"&gt;60",'Data International'!$Q:$Q,"&lt;=90")</f>
        <v>0</v>
      </c>
      <c r="J23" s="19">
        <f>SUMIFS('Data International'!$D:$D,'Data International'!$P:$P,'Painel International'!$B17,'Data International'!$Q:$Q,"&gt;90",'Data International'!$Q:$Q,"&lt;=120")</f>
        <v>0</v>
      </c>
      <c r="K23" s="19">
        <f>SUMIFS('Data International'!$D:$D,'Data International'!$P:$P,'Painel International'!$B17,'Data International'!$Q:$Q,"&gt;120",'Data International'!$Q:$Q,"&lt;=180")</f>
        <v>0</v>
      </c>
      <c r="L23" s="19">
        <f>SUMIFS('Data International'!$D:$D,'Data International'!$P:$P,'Painel International'!$B17,'Data International'!$Q:$Q,"&gt;180",'Data International'!$Q:$Q,"&lt;=360")</f>
        <v>0</v>
      </c>
      <c r="M23" s="23">
        <f>SUMIFS('Data International'!$D:$D,'Data International'!$P:$P,'Painel International'!$B17,'Data International'!$Q:$Q,"&gt;360")</f>
        <v>0</v>
      </c>
      <c r="N23" s="19">
        <f>SUMIFS('Data International'!$D:$D,'Data International'!$P:$P,'Painel International'!$B17,'Data International'!$Q:$Q,"&gt;0")</f>
        <v>0</v>
      </c>
      <c r="O23" s="19">
        <f t="shared" si="4"/>
        <v>262313.01</v>
      </c>
      <c r="P23" s="19">
        <f>SUMIFS('Data International'!$D:$D,'Data International'!$P:$P,'Painel International'!$B17,'Data International'!$Q:$Q,"&lt;=0",'Data International'!$Q:$Q,"&gt;=-30")</f>
        <v>262313.01</v>
      </c>
      <c r="Q23" s="19">
        <f>SUMIFS('Data International'!$D:$D,'Data International'!$P:$P,'Painel International'!$B17,'Data International'!$Q:$Q,"&lt;=-31",'Data International'!$Q:$Q,"&gt;=-60")</f>
        <v>0</v>
      </c>
      <c r="R23" s="19">
        <f>SUMIFS('Data International'!$D:$D,'Data International'!$P:$P,'Painel International'!$B17,'Data International'!$Q:$Q,"&lt;=-61",'Data International'!$Q:$Q,"&gt;=-90")</f>
        <v>0</v>
      </c>
      <c r="S23" s="19">
        <f>SUMIFS('Data International'!$D:$D,'Data International'!$P:$P,'Painel International'!$B17,'Data International'!$Q:$Q,"&lt;=-91",'Data International'!$Q:$Q,"&gt;=-120")</f>
        <v>0</v>
      </c>
      <c r="T23" s="19">
        <f>SUMIFS('Data International'!$D:$D,'Data International'!$P:$P,'Painel International'!$B17,'Data International'!$Q:$Q,"&lt;=-121",'Data International'!$Q:$Q,"&gt;=-180")</f>
        <v>0</v>
      </c>
      <c r="U23" s="19">
        <f>SUMIFS('Data International'!$D:$D,'Data International'!$P:$P,'Painel International'!$B17,'Data International'!$Q:$Q,"&lt;=-181",'Data International'!$Q:$Q,"&gt;=-360")</f>
        <v>0</v>
      </c>
      <c r="V23" s="23">
        <f>SUMIFS('Data International'!$D:$D,'Data International'!$P:$P,'Painel International'!$B17,'Data International'!$Q:$Q,"&lt;-360")</f>
        <v>0</v>
      </c>
      <c r="W23" s="19" t="e">
        <f>SUMIFS('Bad Debt Provision'!#REF!,'Bad Debt Provision'!#REF!,'Painel International'!$B17)</f>
        <v>#REF!</v>
      </c>
      <c r="X23" s="5"/>
      <c r="Y23" s="20"/>
      <c r="Z23" s="20"/>
      <c r="AA23" s="21"/>
      <c r="AB23" s="5"/>
      <c r="AC23" s="19"/>
      <c r="AD23" s="20"/>
      <c r="AE23" s="22"/>
      <c r="AF23" s="22"/>
      <c r="AG23" s="5"/>
      <c r="AH23" s="28">
        <f t="shared" si="5"/>
        <v>-262313.01</v>
      </c>
    </row>
    <row r="24" spans="2:35" x14ac:dyDescent="0.25">
      <c r="B24" s="17" t="s">
        <v>308</v>
      </c>
      <c r="C24" s="105" cm="1">
        <f t="array" ref="C24">IFERROR(INDEX('Limite de crédito'!$D:$D, MATCH(MAX(IF('Limite de crédito'!$C:$C=$B24, 'Limite de crédito'!$A:$A)), 'Limite de crédito'!$A:$A, 0)),"")</f>
        <v>46001</v>
      </c>
      <c r="D24" s="105" t="str" cm="1">
        <f t="array" ref="D24">IFERROR(INDEX('Limite de crédito'!$F:$F, MATCH(MAX(IF('Limite de crédito'!$C:$C=$B24, 'Limite de crédito'!$A:$A)), 'Limite de crédito'!$A:$A, 0)),0)</f>
        <v>Sim</v>
      </c>
      <c r="E24" s="18" t="e">
        <f t="shared" si="2"/>
        <v>#VALUE!</v>
      </c>
      <c r="F24" s="18">
        <f t="shared" si="3"/>
        <v>0</v>
      </c>
      <c r="G24" s="19">
        <f>SUMIFS('Data International'!$D:$D,'Data International'!$P:$P,'Painel International'!#REF!,'Data International'!$Q:$Q,"&gt;0",'Data International'!$Q:$Q,"&lt;=30")</f>
        <v>0</v>
      </c>
      <c r="H24" s="19">
        <f>SUMIFS('Data International'!$D:$D,'Data International'!$P:$P,'Painel International'!#REF!,'Data International'!$Q:$Q,"&gt;30",'Data International'!$Q:$Q,"&lt;=60")</f>
        <v>0</v>
      </c>
      <c r="I24" s="19">
        <f>SUMIFS('Data International'!$D:$D,'Data International'!$P:$P,'Painel International'!#REF!,'Data International'!$Q:$Q,"&gt;60",'Data International'!$Q:$Q,"&lt;=90")</f>
        <v>0</v>
      </c>
      <c r="J24" s="19">
        <f>SUMIFS('Data International'!$D:$D,'Data International'!$P:$P,'Painel International'!#REF!,'Data International'!$Q:$Q,"&gt;90",'Data International'!$Q:$Q,"&lt;=120")</f>
        <v>0</v>
      </c>
      <c r="K24" s="19">
        <f>SUMIFS('Data International'!$D:$D,'Data International'!$P:$P,'Painel International'!#REF!,'Data International'!$Q:$Q,"&gt;120",'Data International'!$Q:$Q,"&lt;=180")</f>
        <v>0</v>
      </c>
      <c r="L24" s="19">
        <f>SUMIFS('Data International'!$D:$D,'Data International'!$P:$P,'Painel International'!#REF!,'Data International'!$Q:$Q,"&gt;180",'Data International'!$Q:$Q,"&lt;=360")</f>
        <v>0</v>
      </c>
      <c r="M24" s="23">
        <f>SUMIFS('Data International'!$D:$D,'Data International'!$P:$P,'Painel International'!#REF!,'Data International'!$Q:$Q,"&gt;360")</f>
        <v>0</v>
      </c>
      <c r="N24" s="19">
        <f>SUMIFS('Data International'!$D:$D,'Data International'!$P:$P,'Painel International'!#REF!,'Data International'!$Q:$Q,"&gt;0")</f>
        <v>0</v>
      </c>
      <c r="O24" s="19">
        <f t="shared" si="4"/>
        <v>0</v>
      </c>
      <c r="P24" s="19">
        <f>SUMIFS('Data International'!$D:$D,'Data International'!$P:$P,'Painel International'!#REF!,'Data International'!$Q:$Q,"&lt;=0",'Data International'!$Q:$Q,"&gt;=-30")</f>
        <v>0</v>
      </c>
      <c r="Q24" s="19">
        <f>SUMIFS('Data International'!$D:$D,'Data International'!$P:$P,'Painel International'!#REF!,'Data International'!$Q:$Q,"&lt;=-31",'Data International'!$Q:$Q,"&gt;=-60")</f>
        <v>0</v>
      </c>
      <c r="R24" s="19">
        <f>SUMIFS('Data International'!$D:$D,'Data International'!$P:$P,'Painel International'!#REF!,'Data International'!$Q:$Q,"&lt;=-61",'Data International'!$Q:$Q,"&gt;=-90")</f>
        <v>0</v>
      </c>
      <c r="S24" s="19">
        <f>SUMIFS('Data International'!$D:$D,'Data International'!$P:$P,'Painel International'!#REF!,'Data International'!$Q:$Q,"&lt;=-91",'Data International'!$Q:$Q,"&gt;=-120")</f>
        <v>0</v>
      </c>
      <c r="T24" s="19">
        <f>SUMIFS('Data International'!$D:$D,'Data International'!$P:$P,'Painel International'!#REF!,'Data International'!$Q:$Q,"&lt;=-121",'Data International'!$Q:$Q,"&gt;=-180")</f>
        <v>0</v>
      </c>
      <c r="U24" s="19">
        <f>SUMIFS('Data International'!$D:$D,'Data International'!$P:$P,'Painel International'!#REF!,'Data International'!$Q:$Q,"&lt;=-181",'Data International'!$Q:$Q,"&gt;=-360")</f>
        <v>0</v>
      </c>
      <c r="V24" s="23">
        <f>SUMIFS('Data International'!$D:$D,'Data International'!$P:$P,'Painel International'!#REF!,'Data International'!$Q:$Q,"&lt;-360")</f>
        <v>0</v>
      </c>
      <c r="W24" s="19" t="e">
        <f>SUMIFS('Bad Debt Provision'!#REF!,'Bad Debt Provision'!#REF!,'Painel International'!#REF!)</f>
        <v>#REF!</v>
      </c>
      <c r="X24" s="5"/>
      <c r="Y24" s="20"/>
      <c r="Z24" s="20"/>
      <c r="AA24" s="21"/>
      <c r="AB24" s="5"/>
      <c r="AC24" s="19"/>
      <c r="AD24" s="20"/>
      <c r="AE24" s="22"/>
      <c r="AF24" s="22"/>
      <c r="AG24" s="5"/>
      <c r="AH24" s="28">
        <f t="shared" si="5"/>
        <v>0</v>
      </c>
    </row>
    <row r="25" spans="2:35" x14ac:dyDescent="0.25">
      <c r="B25" s="17" t="s">
        <v>329</v>
      </c>
      <c r="C25" s="105" t="str" cm="1">
        <f t="array" ref="C25">IFERROR(INDEX('Limite de crédito'!$D:$D, MATCH(MAX(IF('Limite de crédito'!$C:$C=$B25, 'Limite de crédito'!$A:$A)), 'Limite de crédito'!$A:$A, 0)),"")</f>
        <v/>
      </c>
      <c r="D25" s="105" cm="1">
        <f t="array" ref="D25">IFERROR(INDEX('Limite de crédito'!$F:$F, MATCH(MAX(IF('Limite de crédito'!$C:$C=$B25, 'Limite de crédito'!$A:$A)), 'Limite de crédito'!$A:$A, 0)),0)</f>
        <v>0</v>
      </c>
      <c r="E25" s="18">
        <f t="shared" si="2"/>
        <v>0</v>
      </c>
      <c r="F25" s="18">
        <f t="shared" si="3"/>
        <v>0</v>
      </c>
      <c r="G25" s="19">
        <f>SUMIFS('Data International'!$D:$D,'Data International'!$P:$P,'Painel International'!#REF!,'Data International'!$Q:$Q,"&gt;0",'Data International'!$Q:$Q,"&lt;=30")</f>
        <v>0</v>
      </c>
      <c r="H25" s="19">
        <f>SUMIFS('Data International'!$D:$D,'Data International'!$P:$P,'Painel International'!#REF!,'Data International'!$Q:$Q,"&gt;30",'Data International'!$Q:$Q,"&lt;=60")</f>
        <v>0</v>
      </c>
      <c r="I25" s="19">
        <f>SUMIFS('Data International'!$D:$D,'Data International'!$P:$P,'Painel International'!#REF!,'Data International'!$Q:$Q,"&gt;60",'Data International'!$Q:$Q,"&lt;=90")</f>
        <v>0</v>
      </c>
      <c r="J25" s="19">
        <f>SUMIFS('Data International'!$D:$D,'Data International'!$P:$P,'Painel International'!#REF!,'Data International'!$Q:$Q,"&gt;90",'Data International'!$Q:$Q,"&lt;=120")</f>
        <v>0</v>
      </c>
      <c r="K25" s="19">
        <f>SUMIFS('Data International'!$D:$D,'Data International'!$P:$P,'Painel International'!#REF!,'Data International'!$Q:$Q,"&gt;120",'Data International'!$Q:$Q,"&lt;=180")</f>
        <v>0</v>
      </c>
      <c r="L25" s="19">
        <f>SUMIFS('Data International'!$D:$D,'Data International'!$P:$P,'Painel International'!#REF!,'Data International'!$Q:$Q,"&gt;180",'Data International'!$Q:$Q,"&lt;=360")</f>
        <v>0</v>
      </c>
      <c r="M25" s="23">
        <f>SUMIFS('Data International'!$D:$D,'Data International'!$P:$P,'Painel International'!#REF!,'Data International'!$Q:$Q,"&gt;360")</f>
        <v>0</v>
      </c>
      <c r="N25" s="19">
        <f>SUMIFS('Data International'!$D:$D,'Data International'!$P:$P,'Painel International'!#REF!,'Data International'!$Q:$Q,"&gt;0")</f>
        <v>0</v>
      </c>
      <c r="O25" s="19">
        <f t="shared" si="4"/>
        <v>0</v>
      </c>
      <c r="P25" s="19">
        <f>SUMIFS('Data International'!$D:$D,'Data International'!$P:$P,'Painel International'!#REF!,'Data International'!$Q:$Q,"&lt;=0",'Data International'!$Q:$Q,"&gt;=-30")</f>
        <v>0</v>
      </c>
      <c r="Q25" s="19">
        <f>SUMIFS('Data International'!$D:$D,'Data International'!$P:$P,'Painel International'!#REF!,'Data International'!$Q:$Q,"&lt;=-31",'Data International'!$Q:$Q,"&gt;=-60")</f>
        <v>0</v>
      </c>
      <c r="R25" s="19">
        <f>SUMIFS('Data International'!$D:$D,'Data International'!$P:$P,'Painel International'!#REF!,'Data International'!$Q:$Q,"&lt;=-61",'Data International'!$Q:$Q,"&gt;=-90")</f>
        <v>0</v>
      </c>
      <c r="S25" s="19">
        <f>SUMIFS('Data International'!$D:$D,'Data International'!$P:$P,'Painel International'!#REF!,'Data International'!$Q:$Q,"&lt;=-91",'Data International'!$Q:$Q,"&gt;=-120")</f>
        <v>0</v>
      </c>
      <c r="T25" s="19">
        <f>SUMIFS('Data International'!$D:$D,'Data International'!$P:$P,'Painel International'!#REF!,'Data International'!$Q:$Q,"&lt;=-121",'Data International'!$Q:$Q,"&gt;=-180")</f>
        <v>0</v>
      </c>
      <c r="U25" s="19">
        <f>SUMIFS('Data International'!$D:$D,'Data International'!$P:$P,'Painel International'!#REF!,'Data International'!$Q:$Q,"&lt;=-181",'Data International'!$Q:$Q,"&gt;=-360")</f>
        <v>0</v>
      </c>
      <c r="V25" s="23">
        <f>SUMIFS('Data International'!$D:$D,'Data International'!$P:$P,'Painel International'!#REF!,'Data International'!$Q:$Q,"&lt;-360")</f>
        <v>0</v>
      </c>
      <c r="W25" s="19" t="e">
        <f>SUMIFS('Bad Debt Provision'!#REF!,'Bad Debt Provision'!#REF!,'Painel International'!#REF!)</f>
        <v>#REF!</v>
      </c>
      <c r="X25" s="5"/>
      <c r="Y25" s="20"/>
      <c r="Z25" s="20"/>
      <c r="AA25" s="21"/>
      <c r="AB25" s="5"/>
      <c r="AC25" s="19"/>
      <c r="AD25" s="20"/>
      <c r="AE25" s="22"/>
      <c r="AF25" s="22"/>
      <c r="AG25" s="5"/>
      <c r="AH25" s="28">
        <f t="shared" si="5"/>
        <v>0</v>
      </c>
    </row>
    <row r="26" spans="2:35" x14ac:dyDescent="0.25">
      <c r="B26" s="41" t="s">
        <v>355</v>
      </c>
      <c r="C26" s="19" cm="1">
        <f t="array" ref="C26">IFERROR(INDEX('Limite de crédito'!$D:$D, MATCH(MAX(IF('Limite de crédito'!$C:$C=$B26, 'Limite de crédito'!$A:$A)), 'Limite de crédito'!$A:$A, 0)),"")</f>
        <v>45831</v>
      </c>
      <c r="D26" s="105" t="str" cm="1">
        <f t="array" ref="D26">IFERROR(INDEX('Limite de crédito'!$F:$F, MATCH(MAX(IF('Limite de crédito'!$C:$C=$B26, 'Limite de crédito'!$A:$A)), 'Limite de crédito'!$A:$A, 0)),0)</f>
        <v>Sim</v>
      </c>
      <c r="E26" s="18" t="e">
        <f t="shared" si="2"/>
        <v>#VALUE!</v>
      </c>
      <c r="F26" s="18">
        <f t="shared" si="3"/>
        <v>0</v>
      </c>
      <c r="G26" s="19">
        <f>SUMIFS('Data International'!$D:$D,'Data International'!$P:$P,'Painel International'!#REF!,'Data International'!$Q:$Q,"&gt;0",'Data International'!$Q:$Q,"&lt;=30")</f>
        <v>0</v>
      </c>
      <c r="H26" s="19">
        <f>SUMIFS('Data International'!$D:$D,'Data International'!$P:$P,'Painel International'!#REF!,'Data International'!$Q:$Q,"&gt;30",'Data International'!$Q:$Q,"&lt;=60")</f>
        <v>0</v>
      </c>
      <c r="I26" s="19">
        <f>SUMIFS('Data International'!$D:$D,'Data International'!$P:$P,'Painel International'!#REF!,'Data International'!$Q:$Q,"&gt;60",'Data International'!$Q:$Q,"&lt;=90")</f>
        <v>0</v>
      </c>
      <c r="J26" s="19">
        <f>SUMIFS('Data International'!$D:$D,'Data International'!$P:$P,'Painel International'!#REF!,'Data International'!$Q:$Q,"&gt;90",'Data International'!$Q:$Q,"&lt;=120")</f>
        <v>0</v>
      </c>
      <c r="K26" s="19">
        <f>SUMIFS('Data International'!$D:$D,'Data International'!$P:$P,'Painel International'!#REF!,'Data International'!$Q:$Q,"&gt;120",'Data International'!$Q:$Q,"&lt;=180")</f>
        <v>0</v>
      </c>
      <c r="L26" s="19">
        <f>SUMIFS('Data International'!$D:$D,'Data International'!$P:$P,'Painel International'!#REF!,'Data International'!$Q:$Q,"&gt;180",'Data International'!$Q:$Q,"&lt;=360")</f>
        <v>0</v>
      </c>
      <c r="M26" s="23">
        <f>SUMIFS('Data International'!$D:$D,'Data International'!$P:$P,'Painel International'!#REF!,'Data International'!$Q:$Q,"&gt;360")</f>
        <v>0</v>
      </c>
      <c r="N26" s="19">
        <f>SUMIFS('Data International'!$D:$D,'Data International'!$P:$P,'Painel International'!#REF!,'Data International'!$Q:$Q,"&gt;0")</f>
        <v>0</v>
      </c>
      <c r="O26" s="19">
        <f t="shared" si="4"/>
        <v>0</v>
      </c>
      <c r="P26" s="19">
        <f>SUMIFS('Data International'!$D:$D,'Data International'!$P:$P,'Painel International'!#REF!,'Data International'!$Q:$Q,"&lt;=0",'Data International'!$Q:$Q,"&gt;=-30")</f>
        <v>0</v>
      </c>
      <c r="Q26" s="19">
        <f>SUMIFS('Data International'!$D:$D,'Data International'!$P:$P,'Painel International'!#REF!,'Data International'!$Q:$Q,"&lt;=-31",'Data International'!$Q:$Q,"&gt;=-60")</f>
        <v>0</v>
      </c>
      <c r="R26" s="19">
        <f>SUMIFS('Data International'!$D:$D,'Data International'!$P:$P,'Painel International'!#REF!,'Data International'!$Q:$Q,"&lt;=-61",'Data International'!$Q:$Q,"&gt;=-90")</f>
        <v>0</v>
      </c>
      <c r="S26" s="19">
        <f>SUMIFS('Data International'!$D:$D,'Data International'!$P:$P,'Painel International'!#REF!,'Data International'!$Q:$Q,"&lt;=-91",'Data International'!$Q:$Q,"&gt;=-120")</f>
        <v>0</v>
      </c>
      <c r="T26" s="19">
        <f>SUMIFS('Data International'!$D:$D,'Data International'!$P:$P,'Painel International'!#REF!,'Data International'!$Q:$Q,"&lt;=-121",'Data International'!$Q:$Q,"&gt;=-180")</f>
        <v>0</v>
      </c>
      <c r="U26" s="19">
        <f>SUMIFS('Data International'!$D:$D,'Data International'!$P:$P,'Painel International'!#REF!,'Data International'!$Q:$Q,"&lt;=-181",'Data International'!$Q:$Q,"&gt;=-360")</f>
        <v>0</v>
      </c>
      <c r="V26" s="23">
        <f>SUMIFS('Data International'!$D:$D,'Data International'!$P:$P,'Painel International'!#REF!,'Data International'!$Q:$Q,"&lt;-360")</f>
        <v>0</v>
      </c>
      <c r="W26" s="19" t="e">
        <f>SUMIFS('Bad Debt Provision'!#REF!,'Bad Debt Provision'!#REF!,'Painel International'!#REF!)</f>
        <v>#REF!</v>
      </c>
      <c r="X26" s="5"/>
      <c r="Y26" s="20"/>
      <c r="Z26" s="20"/>
      <c r="AA26" s="21"/>
      <c r="AB26" s="5"/>
      <c r="AC26" s="19"/>
      <c r="AD26" s="20"/>
      <c r="AE26" s="22"/>
      <c r="AF26" s="22"/>
      <c r="AG26" s="5"/>
      <c r="AH26" s="28">
        <f t="shared" si="5"/>
        <v>0</v>
      </c>
    </row>
    <row r="27" spans="2:35" x14ac:dyDescent="0.25">
      <c r="B27" s="17" t="s">
        <v>179</v>
      </c>
      <c r="C27" s="105" cm="1">
        <f t="array" ref="C27">IFERROR(INDEX('Limite de crédito'!$D:$D, MATCH(MAX(IF('Limite de crédito'!$C:$C=$B27, 'Limite de crédito'!$A:$A)), 'Limite de crédito'!$A:$A, 0)),"")</f>
        <v>45838</v>
      </c>
      <c r="D27" s="105" t="str" cm="1">
        <f t="array" ref="D27">IFERROR(INDEX('Limite de crédito'!$F:$F, MATCH(MAX(IF('Limite de crédito'!$C:$C=$B27, 'Limite de crédito'!$A:$A)), 'Limite de crédito'!$A:$A, 0)),0)</f>
        <v>Sim</v>
      </c>
      <c r="E27" s="18" t="e">
        <f t="shared" si="2"/>
        <v>#VALUE!</v>
      </c>
      <c r="F27" s="18">
        <f t="shared" si="3"/>
        <v>0</v>
      </c>
      <c r="G27" s="19">
        <f>SUMIFS('Data International'!$D:$D,'Data International'!$P:$P,'Painel International'!$B9,'Data International'!$Q:$Q,"&gt;0",'Data International'!$Q:$Q,"&lt;=30")</f>
        <v>0</v>
      </c>
      <c r="H27" s="19">
        <f>SUMIFS('Data International'!$D:$D,'Data International'!$P:$P,'Painel International'!$B9,'Data International'!$Q:$Q,"&gt;30",'Data International'!$Q:$Q,"&lt;=60")</f>
        <v>0</v>
      </c>
      <c r="I27" s="19">
        <f>SUMIFS('Data International'!$D:$D,'Data International'!$P:$P,'Painel International'!$B9,'Data International'!$Q:$Q,"&gt;60",'Data International'!$Q:$Q,"&lt;=90")</f>
        <v>0</v>
      </c>
      <c r="J27" s="19">
        <f>SUMIFS('Data International'!$D:$D,'Data International'!$P:$P,'Painel International'!$B9,'Data International'!$Q:$Q,"&gt;90",'Data International'!$Q:$Q,"&lt;=120")</f>
        <v>0</v>
      </c>
      <c r="K27" s="19">
        <f>SUMIFS('Data International'!$D:$D,'Data International'!$P:$P,'Painel International'!$B9,'Data International'!$Q:$Q,"&gt;120",'Data International'!$Q:$Q,"&lt;=180")</f>
        <v>0</v>
      </c>
      <c r="L27" s="19">
        <f>SUMIFS('Data International'!$D:$D,'Data International'!$P:$P,'Painel International'!$B9,'Data International'!$Q:$Q,"&gt;180",'Data International'!$Q:$Q,"&lt;=360")</f>
        <v>0</v>
      </c>
      <c r="M27" s="23">
        <f>SUMIFS('Data International'!$D:$D,'Data International'!$P:$P,'Painel International'!$B9,'Data International'!$Q:$Q,"&gt;360")</f>
        <v>0</v>
      </c>
      <c r="N27" s="19">
        <f>SUMIFS('Data International'!$D:$D,'Data International'!$P:$P,'Painel International'!$B9,'Data International'!$Q:$Q,"&gt;0")</f>
        <v>0</v>
      </c>
      <c r="O27" s="19">
        <f t="shared" si="4"/>
        <v>0</v>
      </c>
      <c r="P27" s="19">
        <f>SUMIFS('Data International'!$D:$D,'Data International'!$P:$P,'Painel International'!$B9,'Data International'!$Q:$Q,"&lt;=0",'Data International'!$Q:$Q,"&gt;=-30")</f>
        <v>0</v>
      </c>
      <c r="Q27" s="19">
        <f>SUMIFS('Data International'!$D:$D,'Data International'!$P:$P,'Painel International'!$B9,'Data International'!$Q:$Q,"&lt;=-31",'Data International'!$Q:$Q,"&gt;=-60")</f>
        <v>0</v>
      </c>
      <c r="R27" s="19">
        <f>SUMIFS('Data International'!$D:$D,'Data International'!$P:$P,'Painel International'!$B9,'Data International'!$Q:$Q,"&lt;=-61",'Data International'!$Q:$Q,"&gt;=-90")</f>
        <v>0</v>
      </c>
      <c r="S27" s="19">
        <f>SUMIFS('Data International'!$D:$D,'Data International'!$P:$P,'Painel International'!$B9,'Data International'!$Q:$Q,"&lt;=-91",'Data International'!$Q:$Q,"&gt;=-120")</f>
        <v>0</v>
      </c>
      <c r="T27" s="19">
        <f>SUMIFS('Data International'!$D:$D,'Data International'!$P:$P,'Painel International'!$B9,'Data International'!$Q:$Q,"&lt;=-121",'Data International'!$Q:$Q,"&gt;=-180")</f>
        <v>0</v>
      </c>
      <c r="U27" s="19">
        <f>SUMIFS('Data International'!$D:$D,'Data International'!$P:$P,'Painel International'!$B9,'Data International'!$Q:$Q,"&lt;=-181",'Data International'!$Q:$Q,"&gt;=-360")</f>
        <v>0</v>
      </c>
      <c r="V27" s="23">
        <f>SUMIFS('Data International'!$D:$D,'Data International'!$P:$P,'Painel International'!$B9,'Data International'!$Q:$Q,"&lt;-360")</f>
        <v>0</v>
      </c>
      <c r="W27" s="19" t="e">
        <f>SUMIFS('Bad Debt Provision'!#REF!,'Bad Debt Provision'!#REF!,'Painel International'!$B9)</f>
        <v>#REF!</v>
      </c>
      <c r="X27" s="5"/>
      <c r="Y27" s="20"/>
      <c r="Z27" s="20"/>
      <c r="AA27" s="21"/>
      <c r="AB27" s="5"/>
      <c r="AC27" s="19"/>
      <c r="AD27" s="20"/>
      <c r="AE27" s="22"/>
      <c r="AF27" s="22"/>
      <c r="AG27" s="5"/>
      <c r="AH27" s="28">
        <f t="shared" si="5"/>
        <v>0</v>
      </c>
      <c r="AI27" s="5"/>
    </row>
    <row r="28" spans="2:35" x14ac:dyDescent="0.25">
      <c r="B28" s="17" t="s">
        <v>133</v>
      </c>
      <c r="C28" s="105" cm="1">
        <f t="array" ref="C28">IFERROR(INDEX('Limite de crédito'!$D:$D, MATCH(MAX(IF('Limite de crédito'!$C:$C=$B28, 'Limite de crédito'!$A:$A)), 'Limite de crédito'!$A:$A, 0)),"")</f>
        <v>46001</v>
      </c>
      <c r="D28" s="105" t="str" cm="1">
        <f t="array" ref="D28">IFERROR(INDEX('Limite de crédito'!$F:$F, MATCH(MAX(IF('Limite de crédito'!$C:$C=$B28, 'Limite de crédito'!$A:$A)), 'Limite de crédito'!$A:$A, 0)),0)</f>
        <v>Sim</v>
      </c>
      <c r="E28" s="18" t="e">
        <f t="shared" si="2"/>
        <v>#VALUE!</v>
      </c>
      <c r="F28" s="18">
        <f t="shared" si="3"/>
        <v>76480.23</v>
      </c>
      <c r="G28" s="19">
        <f>SUMIFS('Data International'!$D:$D,'Data International'!$P:$P,'Painel International'!$B10,'Data International'!$Q:$Q,"&gt;0",'Data International'!$Q:$Q,"&lt;=30")</f>
        <v>0</v>
      </c>
      <c r="H28" s="19">
        <f>SUMIFS('Data International'!$D:$D,'Data International'!$P:$P,'Painel International'!$B10,'Data International'!$Q:$Q,"&gt;30",'Data International'!$Q:$Q,"&lt;=60")</f>
        <v>0</v>
      </c>
      <c r="I28" s="19">
        <f>SUMIFS('Data International'!$D:$D,'Data International'!$P:$P,'Painel International'!$B10,'Data International'!$Q:$Q,"&gt;60",'Data International'!$Q:$Q,"&lt;=90")</f>
        <v>0</v>
      </c>
      <c r="J28" s="19">
        <f>SUMIFS('Data International'!$D:$D,'Data International'!$P:$P,'Painel International'!$B10,'Data International'!$Q:$Q,"&gt;90",'Data International'!$Q:$Q,"&lt;=120")</f>
        <v>0</v>
      </c>
      <c r="K28" s="19">
        <f>SUMIFS('Data International'!$D:$D,'Data International'!$P:$P,'Painel International'!$B10,'Data International'!$Q:$Q,"&gt;120",'Data International'!$Q:$Q,"&lt;=180")</f>
        <v>0</v>
      </c>
      <c r="L28" s="19">
        <f>SUMIFS('Data International'!$D:$D,'Data International'!$P:$P,'Painel International'!$B10,'Data International'!$Q:$Q,"&gt;180",'Data International'!$Q:$Q,"&lt;=360")</f>
        <v>0</v>
      </c>
      <c r="M28" s="23">
        <f>SUMIFS('Data International'!$D:$D,'Data International'!$P:$P,'Painel International'!$B10,'Data International'!$Q:$Q,"&gt;360")</f>
        <v>0</v>
      </c>
      <c r="N28" s="19">
        <f>SUMIFS('Data International'!$D:$D,'Data International'!$P:$P,'Painel International'!$B10,'Data International'!$Q:$Q,"&gt;0")</f>
        <v>0</v>
      </c>
      <c r="O28" s="19">
        <f t="shared" si="4"/>
        <v>76480.23</v>
      </c>
      <c r="P28" s="19">
        <f>SUMIFS('Data International'!$D:$D,'Data International'!$P:$P,'Painel International'!$B10,'Data International'!$Q:$Q,"&lt;=0",'Data International'!$Q:$Q,"&gt;=-30")</f>
        <v>0</v>
      </c>
      <c r="Q28" s="19">
        <f>SUMIFS('Data International'!$D:$D,'Data International'!$P:$P,'Painel International'!$B10,'Data International'!$Q:$Q,"&lt;=-31",'Data International'!$Q:$Q,"&gt;=-60")</f>
        <v>0</v>
      </c>
      <c r="R28" s="19">
        <f>SUMIFS('Data International'!$D:$D,'Data International'!$P:$P,'Painel International'!$B10,'Data International'!$Q:$Q,"&lt;=-61",'Data International'!$Q:$Q,"&gt;=-90")</f>
        <v>0</v>
      </c>
      <c r="S28" s="19">
        <f>SUMIFS('Data International'!$D:$D,'Data International'!$P:$P,'Painel International'!$B10,'Data International'!$Q:$Q,"&lt;=-91",'Data International'!$Q:$Q,"&gt;=-120")</f>
        <v>0</v>
      </c>
      <c r="T28" s="19">
        <f>SUMIFS('Data International'!$D:$D,'Data International'!$P:$P,'Painel International'!$B10,'Data International'!$Q:$Q,"&lt;=-121",'Data International'!$Q:$Q,"&gt;=-180")</f>
        <v>0</v>
      </c>
      <c r="U28" s="19">
        <f>SUMIFS('Data International'!$D:$D,'Data International'!$P:$P,'Painel International'!$B10,'Data International'!$Q:$Q,"&lt;=-181",'Data International'!$Q:$Q,"&gt;=-360")</f>
        <v>76480.23</v>
      </c>
      <c r="V28" s="23">
        <f>SUMIFS('Data International'!$D:$D,'Data International'!$P:$P,'Painel International'!$B10,'Data International'!$Q:$Q,"&lt;-360")</f>
        <v>0</v>
      </c>
      <c r="W28" s="19" t="e">
        <f>SUMIFS('Bad Debt Provision'!#REF!,'Bad Debt Provision'!#REF!,'Painel International'!$B10)</f>
        <v>#REF!</v>
      </c>
      <c r="X28" s="5"/>
      <c r="Y28" s="20"/>
      <c r="Z28" s="20"/>
      <c r="AA28" s="21"/>
      <c r="AB28" s="5"/>
      <c r="AC28" s="19"/>
      <c r="AD28" s="20"/>
      <c r="AE28" s="22"/>
      <c r="AF28" s="22"/>
      <c r="AG28" s="5"/>
      <c r="AH28" s="28">
        <f t="shared" si="5"/>
        <v>-76480.23</v>
      </c>
      <c r="AI28" s="5"/>
    </row>
    <row r="29" spans="2:35" x14ac:dyDescent="0.25">
      <c r="B29" s="41" t="s">
        <v>360</v>
      </c>
      <c r="C29" s="19" cm="1">
        <f t="array" ref="C29">IFERROR(INDEX('Limite de crédito'!$D:$D, MATCH(MAX(IF('Limite de crédito'!$C:$C=$B29, 'Limite de crédito'!$A:$A)), 'Limite de crédito'!$A:$A, 0)),"")</f>
        <v>45831</v>
      </c>
      <c r="D29" s="105" t="str" cm="1">
        <f t="array" ref="D29">IFERROR(INDEX('Limite de crédito'!$F:$F, MATCH(MAX(IF('Limite de crédito'!$C:$C=$B29, 'Limite de crédito'!$A:$A)), 'Limite de crédito'!$A:$A, 0)),0)</f>
        <v>Sim</v>
      </c>
      <c r="E29" s="18" t="e">
        <f t="shared" si="2"/>
        <v>#VALUE!</v>
      </c>
      <c r="F29" s="18">
        <f t="shared" si="3"/>
        <v>0</v>
      </c>
      <c r="G29" s="19">
        <f>SUMIFS('Data International'!$D:$D,'Data International'!$P:$P,'Painel International'!#REF!,'Data International'!$Q:$Q,"&gt;0",'Data International'!$Q:$Q,"&lt;=30")</f>
        <v>0</v>
      </c>
      <c r="H29" s="19">
        <f>SUMIFS('Data International'!$D:$D,'Data International'!$P:$P,'Painel International'!#REF!,'Data International'!$Q:$Q,"&gt;30",'Data International'!$Q:$Q,"&lt;=60")</f>
        <v>0</v>
      </c>
      <c r="I29" s="19">
        <f>SUMIFS('Data International'!$D:$D,'Data International'!$P:$P,'Painel International'!#REF!,'Data International'!$Q:$Q,"&gt;60",'Data International'!$Q:$Q,"&lt;=90")</f>
        <v>0</v>
      </c>
      <c r="J29" s="19">
        <f>SUMIFS('Data International'!$D:$D,'Data International'!$P:$P,'Painel International'!#REF!,'Data International'!$Q:$Q,"&gt;90",'Data International'!$Q:$Q,"&lt;=120")</f>
        <v>0</v>
      </c>
      <c r="K29" s="19">
        <f>SUMIFS('Data International'!$D:$D,'Data International'!$P:$P,'Painel International'!#REF!,'Data International'!$Q:$Q,"&gt;120",'Data International'!$Q:$Q,"&lt;=180")</f>
        <v>0</v>
      </c>
      <c r="L29" s="19">
        <f>SUMIFS('Data International'!$D:$D,'Data International'!$P:$P,'Painel International'!#REF!,'Data International'!$Q:$Q,"&gt;180",'Data International'!$Q:$Q,"&lt;=360")</f>
        <v>0</v>
      </c>
      <c r="M29" s="23">
        <f>SUMIFS('Data International'!$D:$D,'Data International'!$P:$P,'Painel International'!#REF!,'Data International'!$Q:$Q,"&gt;360")</f>
        <v>0</v>
      </c>
      <c r="N29" s="19">
        <f>SUMIFS('Data International'!$D:$D,'Data International'!$P:$P,'Painel International'!#REF!,'Data International'!$Q:$Q,"&gt;0")</f>
        <v>0</v>
      </c>
      <c r="O29" s="19">
        <f t="shared" si="4"/>
        <v>0</v>
      </c>
      <c r="P29" s="19">
        <f>SUMIFS('Data International'!$D:$D,'Data International'!$P:$P,'Painel International'!#REF!,'Data International'!$Q:$Q,"&lt;=0",'Data International'!$Q:$Q,"&gt;=-30")</f>
        <v>0</v>
      </c>
      <c r="Q29" s="19">
        <f>SUMIFS('Data International'!$D:$D,'Data International'!$P:$P,'Painel International'!#REF!,'Data International'!$Q:$Q,"&lt;=-31",'Data International'!$Q:$Q,"&gt;=-60")</f>
        <v>0</v>
      </c>
      <c r="R29" s="19">
        <f>SUMIFS('Data International'!$D:$D,'Data International'!$P:$P,'Painel International'!#REF!,'Data International'!$Q:$Q,"&lt;=-61",'Data International'!$Q:$Q,"&gt;=-90")</f>
        <v>0</v>
      </c>
      <c r="S29" s="19">
        <f>SUMIFS('Data International'!$D:$D,'Data International'!$P:$P,'Painel International'!#REF!,'Data International'!$Q:$Q,"&lt;=-91",'Data International'!$Q:$Q,"&gt;=-120")</f>
        <v>0</v>
      </c>
      <c r="T29" s="19">
        <f>SUMIFS('Data International'!$D:$D,'Data International'!$P:$P,'Painel International'!#REF!,'Data International'!$Q:$Q,"&lt;=-121",'Data International'!$Q:$Q,"&gt;=-180")</f>
        <v>0</v>
      </c>
      <c r="U29" s="19">
        <f>SUMIFS('Data International'!$D:$D,'Data International'!$P:$P,'Painel International'!#REF!,'Data International'!$Q:$Q,"&lt;=-181",'Data International'!$Q:$Q,"&gt;=-360")</f>
        <v>0</v>
      </c>
      <c r="V29" s="23">
        <f>SUMIFS('Data International'!$D:$D,'Data International'!$P:$P,'Painel International'!#REF!,'Data International'!$Q:$Q,"&lt;-360")</f>
        <v>0</v>
      </c>
      <c r="W29" s="19" t="e">
        <f>SUMIFS('Bad Debt Provision'!#REF!,'Bad Debt Provision'!#REF!,'Painel International'!#REF!)</f>
        <v>#REF!</v>
      </c>
      <c r="X29" s="5"/>
      <c r="Y29" s="20"/>
      <c r="Z29" s="20"/>
      <c r="AA29" s="21"/>
      <c r="AB29" s="5"/>
      <c r="AC29" s="19"/>
      <c r="AD29" s="20"/>
      <c r="AE29" s="22"/>
      <c r="AF29" s="22"/>
      <c r="AG29" s="5"/>
      <c r="AH29" s="28">
        <f t="shared" si="5"/>
        <v>0</v>
      </c>
    </row>
    <row r="30" spans="2:35" x14ac:dyDescent="0.25">
      <c r="B30" s="41" t="s">
        <v>385</v>
      </c>
      <c r="C30" s="19" t="str" cm="1">
        <f t="array" ref="C30">IFERROR(INDEX('Limite de crédito'!$D:$D, MATCH(MAX(IF('Limite de crédito'!$C:$C=$B30, 'Limite de crédito'!$A:$A)), 'Limite de crédito'!$A:$A, 0)),"")</f>
        <v/>
      </c>
      <c r="D30" s="105" cm="1">
        <f t="array" ref="D30">IFERROR(INDEX('Limite de crédito'!$F:$F, MATCH(MAX(IF('Limite de crédito'!$C:$C=$B30, 'Limite de crédito'!$A:$A)), 'Limite de crédito'!$A:$A, 0)),0)</f>
        <v>0</v>
      </c>
      <c r="E30" s="18">
        <f t="shared" si="2"/>
        <v>0</v>
      </c>
      <c r="F30" s="18">
        <f t="shared" si="3"/>
        <v>0</v>
      </c>
      <c r="G30" s="19">
        <f>SUMIFS('Data International'!$D:$D,'Data International'!$P:$P,'Painel International'!#REF!,'Data International'!$Q:$Q,"&gt;0",'Data International'!$Q:$Q,"&lt;=30")</f>
        <v>0</v>
      </c>
      <c r="H30" s="19">
        <f>SUMIFS('Data International'!$D:$D,'Data International'!$P:$P,'Painel International'!#REF!,'Data International'!$Q:$Q,"&gt;30",'Data International'!$Q:$Q,"&lt;=60")</f>
        <v>0</v>
      </c>
      <c r="I30" s="19">
        <f>SUMIFS('Data International'!$D:$D,'Data International'!$P:$P,'Painel International'!#REF!,'Data International'!$Q:$Q,"&gt;60",'Data International'!$Q:$Q,"&lt;=90")</f>
        <v>0</v>
      </c>
      <c r="J30" s="19">
        <f>SUMIFS('Data International'!$D:$D,'Data International'!$P:$P,'Painel International'!#REF!,'Data International'!$Q:$Q,"&gt;90",'Data International'!$Q:$Q,"&lt;=120")</f>
        <v>0</v>
      </c>
      <c r="K30" s="19">
        <f>SUMIFS('Data International'!$D:$D,'Data International'!$P:$P,'Painel International'!#REF!,'Data International'!$Q:$Q,"&gt;120",'Data International'!$Q:$Q,"&lt;=180")</f>
        <v>0</v>
      </c>
      <c r="L30" s="19">
        <f>SUMIFS('Data International'!$D:$D,'Data International'!$P:$P,'Painel International'!#REF!,'Data International'!$Q:$Q,"&gt;180",'Data International'!$Q:$Q,"&lt;=360")</f>
        <v>0</v>
      </c>
      <c r="M30" s="23">
        <f>SUMIFS('Data International'!$D:$D,'Data International'!$P:$P,'Painel International'!#REF!,'Data International'!$Q:$Q,"&gt;360")</f>
        <v>0</v>
      </c>
      <c r="N30" s="19">
        <f>SUMIFS('Data International'!$D:$D,'Data International'!$P:$P,'Painel International'!#REF!,'Data International'!$Q:$Q,"&gt;0")</f>
        <v>0</v>
      </c>
      <c r="O30" s="19">
        <f t="shared" si="4"/>
        <v>0</v>
      </c>
      <c r="P30" s="19">
        <f>SUMIFS('Data International'!$D:$D,'Data International'!$P:$P,'Painel International'!#REF!,'Data International'!$Q:$Q,"&lt;=0",'Data International'!$Q:$Q,"&gt;=-30")</f>
        <v>0</v>
      </c>
      <c r="Q30" s="19">
        <f>SUMIFS('Data International'!$D:$D,'Data International'!$P:$P,'Painel International'!#REF!,'Data International'!$Q:$Q,"&lt;=-31",'Data International'!$Q:$Q,"&gt;=-60")</f>
        <v>0</v>
      </c>
      <c r="R30" s="19">
        <f>SUMIFS('Data International'!$D:$D,'Data International'!$P:$P,'Painel International'!#REF!,'Data International'!$Q:$Q,"&lt;=-61",'Data International'!$Q:$Q,"&gt;=-90")</f>
        <v>0</v>
      </c>
      <c r="S30" s="19">
        <f>SUMIFS('Data International'!$D:$D,'Data International'!$P:$P,'Painel International'!#REF!,'Data International'!$Q:$Q,"&lt;=-91",'Data International'!$Q:$Q,"&gt;=-120")</f>
        <v>0</v>
      </c>
      <c r="T30" s="19">
        <f>SUMIFS('Data International'!$D:$D,'Data International'!$P:$P,'Painel International'!#REF!,'Data International'!$Q:$Q,"&lt;=-121",'Data International'!$Q:$Q,"&gt;=-180")</f>
        <v>0</v>
      </c>
      <c r="U30" s="19">
        <f>SUMIFS('Data International'!$D:$D,'Data International'!$P:$P,'Painel International'!#REF!,'Data International'!$Q:$Q,"&lt;=-181",'Data International'!$Q:$Q,"&gt;=-360")</f>
        <v>0</v>
      </c>
      <c r="V30" s="23">
        <f>SUMIFS('Data International'!$D:$D,'Data International'!$P:$P,'Painel International'!#REF!,'Data International'!$Q:$Q,"&lt;-360")</f>
        <v>0</v>
      </c>
      <c r="W30" s="19" t="e">
        <f>SUMIFS('Bad Debt Provision'!#REF!,'Bad Debt Provision'!#REF!,'Painel International'!#REF!)</f>
        <v>#REF!</v>
      </c>
      <c r="X30" s="5"/>
      <c r="Y30" s="20"/>
      <c r="Z30" s="20"/>
      <c r="AA30" s="21"/>
      <c r="AB30" s="5"/>
      <c r="AC30" s="19"/>
      <c r="AD30" s="20"/>
      <c r="AE30" s="22"/>
      <c r="AF30" s="22"/>
      <c r="AG30" s="5"/>
      <c r="AH30" s="28">
        <f t="shared" si="5"/>
        <v>0</v>
      </c>
    </row>
    <row r="31" spans="2:35" x14ac:dyDescent="0.25">
      <c r="B31" s="41" t="s">
        <v>392</v>
      </c>
      <c r="C31" s="19" cm="1">
        <f t="array" ref="C31">IFERROR(INDEX('Limite de crédito'!$D:$D, MATCH(MAX(IF('Limite de crédito'!$C:$C=$B31, 'Limite de crédito'!$A:$A)), 'Limite de crédito'!$A:$A, 0)),"")</f>
        <v>46001</v>
      </c>
      <c r="D31" s="105" t="str" cm="1">
        <f t="array" ref="D31">IFERROR(INDEX('Limite de crédito'!$F:$F, MATCH(MAX(IF('Limite de crédito'!$C:$C=$B31, 'Limite de crédito'!$A:$A)), 'Limite de crédito'!$A:$A, 0)),0)</f>
        <v>Sim</v>
      </c>
      <c r="E31" s="18" t="e">
        <f t="shared" si="2"/>
        <v>#VALUE!</v>
      </c>
      <c r="F31" s="18">
        <f t="shared" si="3"/>
        <v>0</v>
      </c>
      <c r="G31" s="19">
        <f>SUMIFS('Data International'!$D:$D,'Data International'!$P:$P,'Painel International'!#REF!,'Data International'!$Q:$Q,"&gt;0",'Data International'!$Q:$Q,"&lt;=30")</f>
        <v>0</v>
      </c>
      <c r="H31" s="19">
        <f>SUMIFS('Data International'!$D:$D,'Data International'!$P:$P,'Painel International'!#REF!,'Data International'!$Q:$Q,"&gt;30",'Data International'!$Q:$Q,"&lt;=60")</f>
        <v>0</v>
      </c>
      <c r="I31" s="19">
        <f>SUMIFS('Data International'!$D:$D,'Data International'!$P:$P,'Painel International'!#REF!,'Data International'!$Q:$Q,"&gt;60",'Data International'!$Q:$Q,"&lt;=90")</f>
        <v>0</v>
      </c>
      <c r="J31" s="19">
        <f>SUMIFS('Data International'!$D:$D,'Data International'!$P:$P,'Painel International'!#REF!,'Data International'!$Q:$Q,"&gt;90",'Data International'!$Q:$Q,"&lt;=120")</f>
        <v>0</v>
      </c>
      <c r="K31" s="19">
        <f>SUMIFS('Data International'!$D:$D,'Data International'!$P:$P,'Painel International'!#REF!,'Data International'!$Q:$Q,"&gt;120",'Data International'!$Q:$Q,"&lt;=180")</f>
        <v>0</v>
      </c>
      <c r="L31" s="19">
        <f>SUMIFS('Data International'!$D:$D,'Data International'!$P:$P,'Painel International'!#REF!,'Data International'!$Q:$Q,"&gt;180",'Data International'!$Q:$Q,"&lt;=360")</f>
        <v>0</v>
      </c>
      <c r="M31" s="23">
        <f>SUMIFS('Data International'!$D:$D,'Data International'!$P:$P,'Painel International'!#REF!,'Data International'!$Q:$Q,"&gt;360")</f>
        <v>0</v>
      </c>
      <c r="N31" s="19">
        <f>SUMIFS('Data International'!$D:$D,'Data International'!$P:$P,'Painel International'!#REF!,'Data International'!$Q:$Q,"&gt;0")</f>
        <v>0</v>
      </c>
      <c r="O31" s="19">
        <f t="shared" si="4"/>
        <v>0</v>
      </c>
      <c r="P31" s="19">
        <f>SUMIFS('Data International'!$D:$D,'Data International'!$P:$P,'Painel International'!#REF!,'Data International'!$Q:$Q,"&lt;=0",'Data International'!$Q:$Q,"&gt;=-30")</f>
        <v>0</v>
      </c>
      <c r="Q31" s="19">
        <f>SUMIFS('Data International'!$D:$D,'Data International'!$P:$P,'Painel International'!#REF!,'Data International'!$Q:$Q,"&lt;=-31",'Data International'!$Q:$Q,"&gt;=-60")</f>
        <v>0</v>
      </c>
      <c r="R31" s="19">
        <f>SUMIFS('Data International'!$D:$D,'Data International'!$P:$P,'Painel International'!#REF!,'Data International'!$Q:$Q,"&lt;=-61",'Data International'!$Q:$Q,"&gt;=-90")</f>
        <v>0</v>
      </c>
      <c r="S31" s="19">
        <f>SUMIFS('Data International'!$D:$D,'Data International'!$P:$P,'Painel International'!#REF!,'Data International'!$Q:$Q,"&lt;=-91",'Data International'!$Q:$Q,"&gt;=-120")</f>
        <v>0</v>
      </c>
      <c r="T31" s="19">
        <f>SUMIFS('Data International'!$D:$D,'Data International'!$P:$P,'Painel International'!#REF!,'Data International'!$Q:$Q,"&lt;=-121",'Data International'!$Q:$Q,"&gt;=-180")</f>
        <v>0</v>
      </c>
      <c r="U31" s="19">
        <f>SUMIFS('Data International'!$D:$D,'Data International'!$P:$P,'Painel International'!#REF!,'Data International'!$Q:$Q,"&lt;=-181",'Data International'!$Q:$Q,"&gt;=-360")</f>
        <v>0</v>
      </c>
      <c r="V31" s="23">
        <f>SUMIFS('Data International'!$D:$D,'Data International'!$P:$P,'Painel International'!#REF!,'Data International'!$Q:$Q,"&lt;-360")</f>
        <v>0</v>
      </c>
      <c r="W31" s="19" t="e">
        <f>SUMIFS('Bad Debt Provision'!#REF!,'Bad Debt Provision'!#REF!,'Painel International'!#REF!)</f>
        <v>#REF!</v>
      </c>
      <c r="X31" s="5"/>
      <c r="Y31" s="20"/>
      <c r="Z31" s="20"/>
      <c r="AA31" s="21"/>
      <c r="AB31" s="5"/>
      <c r="AC31" s="19"/>
      <c r="AD31" s="20"/>
      <c r="AE31" s="22"/>
      <c r="AF31" s="22"/>
      <c r="AG31" s="5"/>
      <c r="AH31" s="28">
        <f t="shared" si="5"/>
        <v>0</v>
      </c>
    </row>
    <row r="32" spans="2:35" x14ac:dyDescent="0.25">
      <c r="B32" s="41" t="s">
        <v>393</v>
      </c>
      <c r="C32" s="19" cm="1">
        <f t="array" ref="C32">IFERROR(INDEX('Limite de crédito'!$D:$D, MATCH(MAX(IF('Limite de crédito'!$C:$C=$B32, 'Limite de crédito'!$A:$A)), 'Limite de crédito'!$A:$A, 0)),"")</f>
        <v>46030</v>
      </c>
      <c r="D32" s="105" t="str" cm="1">
        <f t="array" ref="D32">IFERROR(INDEX('Limite de crédito'!$F:$F, MATCH(MAX(IF('Limite de crédito'!$C:$C=$B32, 'Limite de crédito'!$A:$A)), 'Limite de crédito'!$A:$A, 0)),0)</f>
        <v>Sim</v>
      </c>
      <c r="E32" s="18" t="e">
        <f t="shared" si="2"/>
        <v>#VALUE!</v>
      </c>
      <c r="F32" s="18">
        <f t="shared" si="3"/>
        <v>0</v>
      </c>
      <c r="G32" s="19">
        <f>SUMIFS('Data International'!$D:$D,'Data International'!$P:$P,'Painel International'!#REF!,'Data International'!$Q:$Q,"&gt;0",'Data International'!$Q:$Q,"&lt;=30")</f>
        <v>0</v>
      </c>
      <c r="H32" s="19">
        <f>SUMIFS('Data International'!$D:$D,'Data International'!$P:$P,'Painel International'!#REF!,'Data International'!$Q:$Q,"&gt;30",'Data International'!$Q:$Q,"&lt;=60")</f>
        <v>0</v>
      </c>
      <c r="I32" s="19">
        <f>SUMIFS('Data International'!$D:$D,'Data International'!$P:$P,'Painel International'!#REF!,'Data International'!$Q:$Q,"&gt;60",'Data International'!$Q:$Q,"&lt;=90")</f>
        <v>0</v>
      </c>
      <c r="J32" s="19">
        <f>SUMIFS('Data International'!$D:$D,'Data International'!$P:$P,'Painel International'!#REF!,'Data International'!$Q:$Q,"&gt;90",'Data International'!$Q:$Q,"&lt;=120")</f>
        <v>0</v>
      </c>
      <c r="K32" s="19">
        <f>SUMIFS('Data International'!$D:$D,'Data International'!$P:$P,'Painel International'!#REF!,'Data International'!$Q:$Q,"&gt;120",'Data International'!$Q:$Q,"&lt;=180")</f>
        <v>0</v>
      </c>
      <c r="L32" s="19">
        <f>SUMIFS('Data International'!$D:$D,'Data International'!$P:$P,'Painel International'!#REF!,'Data International'!$Q:$Q,"&gt;180",'Data International'!$Q:$Q,"&lt;=360")</f>
        <v>0</v>
      </c>
      <c r="M32" s="23">
        <f>SUMIFS('Data International'!$D:$D,'Data International'!$P:$P,'Painel International'!#REF!,'Data International'!$Q:$Q,"&gt;360")</f>
        <v>0</v>
      </c>
      <c r="N32" s="19">
        <f>SUMIFS('Data International'!$D:$D,'Data International'!$P:$P,'Painel International'!#REF!,'Data International'!$Q:$Q,"&gt;0")</f>
        <v>0</v>
      </c>
      <c r="O32" s="19">
        <f t="shared" si="4"/>
        <v>0</v>
      </c>
      <c r="P32" s="19">
        <f>SUMIFS('Data International'!$D:$D,'Data International'!$P:$P,'Painel International'!#REF!,'Data International'!$Q:$Q,"&lt;=0",'Data International'!$Q:$Q,"&gt;=-30")</f>
        <v>0</v>
      </c>
      <c r="Q32" s="19">
        <f>SUMIFS('Data International'!$D:$D,'Data International'!$P:$P,'Painel International'!#REF!,'Data International'!$Q:$Q,"&lt;=-31",'Data International'!$Q:$Q,"&gt;=-60")</f>
        <v>0</v>
      </c>
      <c r="R32" s="19">
        <f>SUMIFS('Data International'!$D:$D,'Data International'!$P:$P,'Painel International'!#REF!,'Data International'!$Q:$Q,"&lt;=-61",'Data International'!$Q:$Q,"&gt;=-90")</f>
        <v>0</v>
      </c>
      <c r="S32" s="19">
        <f>SUMIFS('Data International'!$D:$D,'Data International'!$P:$P,'Painel International'!#REF!,'Data International'!$Q:$Q,"&lt;=-91",'Data International'!$Q:$Q,"&gt;=-120")</f>
        <v>0</v>
      </c>
      <c r="T32" s="19">
        <f>SUMIFS('Data International'!$D:$D,'Data International'!$P:$P,'Painel International'!#REF!,'Data International'!$Q:$Q,"&lt;=-121",'Data International'!$Q:$Q,"&gt;=-180")</f>
        <v>0</v>
      </c>
      <c r="U32" s="19">
        <f>SUMIFS('Data International'!$D:$D,'Data International'!$P:$P,'Painel International'!#REF!,'Data International'!$Q:$Q,"&lt;=-181",'Data International'!$Q:$Q,"&gt;=-360")</f>
        <v>0</v>
      </c>
      <c r="V32" s="23">
        <f>SUMIFS('Data International'!$D:$D,'Data International'!$P:$P,'Painel International'!#REF!,'Data International'!$Q:$Q,"&lt;-360")</f>
        <v>0</v>
      </c>
      <c r="W32" s="19" t="e">
        <f>SUMIFS('Bad Debt Provision'!#REF!,'Bad Debt Provision'!#REF!,'Painel International'!#REF!)</f>
        <v>#REF!</v>
      </c>
      <c r="X32" s="5"/>
      <c r="Y32" s="20"/>
      <c r="Z32" s="20"/>
      <c r="AA32" s="21"/>
      <c r="AB32" s="5"/>
      <c r="AC32" s="19"/>
      <c r="AD32" s="20"/>
      <c r="AE32" s="22"/>
      <c r="AF32" s="22"/>
      <c r="AG32" s="5"/>
      <c r="AH32" s="28">
        <f t="shared" si="5"/>
        <v>0</v>
      </c>
    </row>
    <row r="33" spans="2:34" x14ac:dyDescent="0.25">
      <c r="B33" s="41" t="s">
        <v>394</v>
      </c>
      <c r="C33" s="19" cm="1">
        <f t="array" ref="C33">IFERROR(INDEX('Limite de crédito'!$D:$D, MATCH(MAX(IF('Limite de crédito'!$C:$C=$B33, 'Limite de crédito'!$A:$A)), 'Limite de crédito'!$A:$A, 0)),"")</f>
        <v>45831</v>
      </c>
      <c r="D33" s="105" t="str" cm="1">
        <f t="array" ref="D33">IFERROR(INDEX('Limite de crédito'!$F:$F, MATCH(MAX(IF('Limite de crédito'!$C:$C=$B33, 'Limite de crédito'!$A:$A)), 'Limite de crédito'!$A:$A, 0)),0)</f>
        <v>Sim</v>
      </c>
      <c r="E33" s="18" t="e">
        <f t="shared" si="2"/>
        <v>#VALUE!</v>
      </c>
      <c r="F33" s="18">
        <f t="shared" si="3"/>
        <v>0</v>
      </c>
      <c r="G33" s="19">
        <f>SUMIFS('Data International'!$D:$D,'Data International'!$P:$P,'Painel International'!#REF!,'Data International'!$Q:$Q,"&gt;0",'Data International'!$Q:$Q,"&lt;=30")</f>
        <v>0</v>
      </c>
      <c r="H33" s="19">
        <f>SUMIFS('Data International'!$D:$D,'Data International'!$P:$P,'Painel International'!#REF!,'Data International'!$Q:$Q,"&gt;30",'Data International'!$Q:$Q,"&lt;=60")</f>
        <v>0</v>
      </c>
      <c r="I33" s="19">
        <f>SUMIFS('Data International'!$D:$D,'Data International'!$P:$P,'Painel International'!#REF!,'Data International'!$Q:$Q,"&gt;60",'Data International'!$Q:$Q,"&lt;=90")</f>
        <v>0</v>
      </c>
      <c r="J33" s="19">
        <f>SUMIFS('Data International'!$D:$D,'Data International'!$P:$P,'Painel International'!#REF!,'Data International'!$Q:$Q,"&gt;90",'Data International'!$Q:$Q,"&lt;=120")</f>
        <v>0</v>
      </c>
      <c r="K33" s="19">
        <f>SUMIFS('Data International'!$D:$D,'Data International'!$P:$P,'Painel International'!#REF!,'Data International'!$Q:$Q,"&gt;120",'Data International'!$Q:$Q,"&lt;=180")</f>
        <v>0</v>
      </c>
      <c r="L33" s="19">
        <f>SUMIFS('Data International'!$D:$D,'Data International'!$P:$P,'Painel International'!#REF!,'Data International'!$Q:$Q,"&gt;180",'Data International'!$Q:$Q,"&lt;=360")</f>
        <v>0</v>
      </c>
      <c r="M33" s="23">
        <f>SUMIFS('Data International'!$D:$D,'Data International'!$P:$P,'Painel International'!#REF!,'Data International'!$Q:$Q,"&gt;360")</f>
        <v>0</v>
      </c>
      <c r="N33" s="19">
        <f>SUMIFS('Data International'!$D:$D,'Data International'!$P:$P,'Painel International'!#REF!,'Data International'!$Q:$Q,"&gt;0")</f>
        <v>0</v>
      </c>
      <c r="O33" s="19">
        <f t="shared" si="4"/>
        <v>0</v>
      </c>
      <c r="P33" s="19">
        <f>SUMIFS('Data International'!$D:$D,'Data International'!$P:$P,'Painel International'!#REF!,'Data International'!$Q:$Q,"&lt;=0",'Data International'!$Q:$Q,"&gt;=-30")</f>
        <v>0</v>
      </c>
      <c r="Q33" s="19">
        <f>SUMIFS('Data International'!$D:$D,'Data International'!$P:$P,'Painel International'!#REF!,'Data International'!$Q:$Q,"&lt;=-31",'Data International'!$Q:$Q,"&gt;=-60")</f>
        <v>0</v>
      </c>
      <c r="R33" s="19">
        <f>SUMIFS('Data International'!$D:$D,'Data International'!$P:$P,'Painel International'!#REF!,'Data International'!$Q:$Q,"&lt;=-61",'Data International'!$Q:$Q,"&gt;=-90")</f>
        <v>0</v>
      </c>
      <c r="S33" s="19">
        <f>SUMIFS('Data International'!$D:$D,'Data International'!$P:$P,'Painel International'!#REF!,'Data International'!$Q:$Q,"&lt;=-91",'Data International'!$Q:$Q,"&gt;=-120")</f>
        <v>0</v>
      </c>
      <c r="T33" s="19">
        <f>SUMIFS('Data International'!$D:$D,'Data International'!$P:$P,'Painel International'!#REF!,'Data International'!$Q:$Q,"&lt;=-121",'Data International'!$Q:$Q,"&gt;=-180")</f>
        <v>0</v>
      </c>
      <c r="U33" s="19">
        <f>SUMIFS('Data International'!$D:$D,'Data International'!$P:$P,'Painel International'!#REF!,'Data International'!$Q:$Q,"&lt;=-181",'Data International'!$Q:$Q,"&gt;=-360")</f>
        <v>0</v>
      </c>
      <c r="V33" s="23">
        <f>SUMIFS('Data International'!$D:$D,'Data International'!$P:$P,'Painel International'!#REF!,'Data International'!$Q:$Q,"&lt;-360")</f>
        <v>0</v>
      </c>
      <c r="W33" s="19" t="e">
        <f>SUMIFS('Bad Debt Provision'!#REF!,'Bad Debt Provision'!#REF!,'Painel International'!#REF!)</f>
        <v>#REF!</v>
      </c>
      <c r="X33" s="5"/>
      <c r="Y33" s="20"/>
      <c r="Z33" s="20"/>
      <c r="AA33" s="21"/>
      <c r="AB33" s="5"/>
      <c r="AC33" s="19"/>
      <c r="AD33" s="20"/>
      <c r="AE33" s="22"/>
      <c r="AF33" s="22"/>
      <c r="AG33" s="5"/>
      <c r="AH33" s="28">
        <f t="shared" si="5"/>
        <v>0</v>
      </c>
    </row>
    <row r="34" spans="2:34" x14ac:dyDescent="0.25">
      <c r="B34" s="41" t="s">
        <v>418</v>
      </c>
      <c r="C34" s="19" cm="1">
        <f t="array" ref="C34">IFERROR(INDEX('Limite de crédito'!$D:$D, MATCH(MAX(IF('Limite de crédito'!$C:$C=$B34, 'Limite de crédito'!$A:$A)), 'Limite de crédito'!$A:$A, 0)),"")</f>
        <v>45803</v>
      </c>
      <c r="D34" s="105" t="str" cm="1">
        <f t="array" ref="D34">IFERROR(INDEX('Limite de crédito'!$F:$F, MATCH(MAX(IF('Limite de crédito'!$C:$C=$B34, 'Limite de crédito'!$A:$A)), 'Limite de crédito'!$A:$A, 0)),0)</f>
        <v>Sim</v>
      </c>
      <c r="E34" s="18" t="e">
        <f t="shared" si="2"/>
        <v>#VALUE!</v>
      </c>
      <c r="F34" s="18">
        <f t="shared" si="3"/>
        <v>0</v>
      </c>
      <c r="G34" s="19">
        <f>SUMIFS('Data International'!$D:$D,'Data International'!$P:$P,'Painel International'!#REF!,'Data International'!$Q:$Q,"&gt;0",'Data International'!$Q:$Q,"&lt;=30")</f>
        <v>0</v>
      </c>
      <c r="H34" s="19">
        <f>SUMIFS('Data International'!$D:$D,'Data International'!$P:$P,'Painel International'!#REF!,'Data International'!$Q:$Q,"&gt;30",'Data International'!$Q:$Q,"&lt;=60")</f>
        <v>0</v>
      </c>
      <c r="I34" s="19">
        <f>SUMIFS('Data International'!$D:$D,'Data International'!$P:$P,'Painel International'!#REF!,'Data International'!$Q:$Q,"&gt;60",'Data International'!$Q:$Q,"&lt;=90")</f>
        <v>0</v>
      </c>
      <c r="J34" s="19">
        <f>SUMIFS('Data International'!$D:$D,'Data International'!$P:$P,'Painel International'!#REF!,'Data International'!$Q:$Q,"&gt;90",'Data International'!$Q:$Q,"&lt;=120")</f>
        <v>0</v>
      </c>
      <c r="K34" s="19">
        <f>SUMIFS('Data International'!$D:$D,'Data International'!$P:$P,'Painel International'!#REF!,'Data International'!$Q:$Q,"&gt;120",'Data International'!$Q:$Q,"&lt;=180")</f>
        <v>0</v>
      </c>
      <c r="L34" s="19">
        <f>SUMIFS('Data International'!$D:$D,'Data International'!$P:$P,'Painel International'!#REF!,'Data International'!$Q:$Q,"&gt;180",'Data International'!$Q:$Q,"&lt;=360")</f>
        <v>0</v>
      </c>
      <c r="M34" s="23">
        <f>SUMIFS('Data International'!$D:$D,'Data International'!$P:$P,'Painel International'!#REF!,'Data International'!$Q:$Q,"&gt;360")</f>
        <v>0</v>
      </c>
      <c r="N34" s="19">
        <f>SUMIFS('Data International'!$D:$D,'Data International'!$P:$P,'Painel International'!#REF!,'Data International'!$Q:$Q,"&gt;0")</f>
        <v>0</v>
      </c>
      <c r="O34" s="19">
        <f t="shared" si="4"/>
        <v>0</v>
      </c>
      <c r="P34" s="19">
        <f>SUMIFS('Data International'!$D:$D,'Data International'!$P:$P,'Painel International'!#REF!,'Data International'!$Q:$Q,"&lt;=0",'Data International'!$Q:$Q,"&gt;=-30")</f>
        <v>0</v>
      </c>
      <c r="Q34" s="19">
        <f>SUMIFS('Data International'!$D:$D,'Data International'!$P:$P,'Painel International'!#REF!,'Data International'!$Q:$Q,"&lt;=-31",'Data International'!$Q:$Q,"&gt;=-60")</f>
        <v>0</v>
      </c>
      <c r="R34" s="19">
        <f>SUMIFS('Data International'!$D:$D,'Data International'!$P:$P,'Painel International'!#REF!,'Data International'!$Q:$Q,"&lt;=-61",'Data International'!$Q:$Q,"&gt;=-90")</f>
        <v>0</v>
      </c>
      <c r="S34" s="19">
        <f>SUMIFS('Data International'!$D:$D,'Data International'!$P:$P,'Painel International'!#REF!,'Data International'!$Q:$Q,"&lt;=-91",'Data International'!$Q:$Q,"&gt;=-120")</f>
        <v>0</v>
      </c>
      <c r="T34" s="19">
        <f>SUMIFS('Data International'!$D:$D,'Data International'!$P:$P,'Painel International'!#REF!,'Data International'!$Q:$Q,"&lt;=-121",'Data International'!$Q:$Q,"&gt;=-180")</f>
        <v>0</v>
      </c>
      <c r="U34" s="19">
        <f>SUMIFS('Data International'!$D:$D,'Data International'!$P:$P,'Painel International'!#REF!,'Data International'!$Q:$Q,"&lt;=-181",'Data International'!$Q:$Q,"&gt;=-360")</f>
        <v>0</v>
      </c>
      <c r="V34" s="23">
        <f>SUMIFS('Data International'!$D:$D,'Data International'!$P:$P,'Painel International'!#REF!,'Data International'!$Q:$Q,"&lt;-360")</f>
        <v>0</v>
      </c>
      <c r="W34" s="19" t="e">
        <f>SUMIFS('Bad Debt Provision'!#REF!,'Bad Debt Provision'!#REF!,'Painel International'!#REF!)</f>
        <v>#REF!</v>
      </c>
      <c r="Y34" s="20"/>
      <c r="Z34" s="20"/>
      <c r="AA34" s="21"/>
      <c r="AB34" s="5"/>
      <c r="AC34" s="19"/>
      <c r="AD34" s="20"/>
      <c r="AE34" s="22"/>
      <c r="AF34" s="22"/>
      <c r="AG34" s="5"/>
      <c r="AH34" s="28">
        <f t="shared" si="5"/>
        <v>0</v>
      </c>
    </row>
    <row r="35" spans="2:34" x14ac:dyDescent="0.25">
      <c r="B35" s="41" t="s">
        <v>398</v>
      </c>
      <c r="C35" s="19" cm="1">
        <f t="array" ref="C35">IFERROR(INDEX('Limite de crédito'!$D:$D, MATCH(MAX(IF('Limite de crédito'!$C:$C=$B35, 'Limite de crédito'!$A:$A)), 'Limite de crédito'!$A:$A, 0)),"")</f>
        <v>45831</v>
      </c>
      <c r="D35" s="105" t="str" cm="1">
        <f t="array" ref="D35">IFERROR(INDEX('Limite de crédito'!$F:$F, MATCH(MAX(IF('Limite de crédito'!$C:$C=$B35, 'Limite de crédito'!$A:$A)), 'Limite de crédito'!$A:$A, 0)),0)</f>
        <v>Sim</v>
      </c>
      <c r="E35" s="18" t="e">
        <f t="shared" si="2"/>
        <v>#VALUE!</v>
      </c>
      <c r="F35" s="18">
        <f t="shared" si="3"/>
        <v>0</v>
      </c>
      <c r="G35" s="19">
        <f>SUMIFS('Data International'!$D:$D,'Data International'!$P:$P,'Painel International'!#REF!,'Data International'!$Q:$Q,"&gt;0",'Data International'!$Q:$Q,"&lt;=30")</f>
        <v>0</v>
      </c>
      <c r="H35" s="19">
        <f>SUMIFS('Data International'!$D:$D,'Data International'!$P:$P,'Painel International'!#REF!,'Data International'!$Q:$Q,"&gt;30",'Data International'!$Q:$Q,"&lt;=60")</f>
        <v>0</v>
      </c>
      <c r="I35" s="19">
        <f>SUMIFS('Data International'!$D:$D,'Data International'!$P:$P,'Painel International'!#REF!,'Data International'!$Q:$Q,"&gt;60",'Data International'!$Q:$Q,"&lt;=90")</f>
        <v>0</v>
      </c>
      <c r="J35" s="19">
        <f>SUMIFS('Data International'!$D:$D,'Data International'!$P:$P,'Painel International'!#REF!,'Data International'!$Q:$Q,"&gt;90",'Data International'!$Q:$Q,"&lt;=120")</f>
        <v>0</v>
      </c>
      <c r="K35" s="19">
        <f>SUMIFS('Data International'!$D:$D,'Data International'!$P:$P,'Painel International'!#REF!,'Data International'!$Q:$Q,"&gt;120",'Data International'!$Q:$Q,"&lt;=180")</f>
        <v>0</v>
      </c>
      <c r="L35" s="19">
        <f>SUMIFS('Data International'!$D:$D,'Data International'!$P:$P,'Painel International'!#REF!,'Data International'!$Q:$Q,"&gt;180",'Data International'!$Q:$Q,"&lt;=360")</f>
        <v>0</v>
      </c>
      <c r="M35" s="23">
        <f>SUMIFS('Data International'!$D:$D,'Data International'!$P:$P,'Painel International'!#REF!,'Data International'!$Q:$Q,"&gt;360")</f>
        <v>0</v>
      </c>
      <c r="N35" s="19">
        <f>SUMIFS('Data International'!$D:$D,'Data International'!$P:$P,'Painel International'!#REF!,'Data International'!$Q:$Q,"&gt;0")</f>
        <v>0</v>
      </c>
      <c r="O35" s="19">
        <f t="shared" si="4"/>
        <v>0</v>
      </c>
      <c r="P35" s="19">
        <f>SUMIFS('Data International'!$D:$D,'Data International'!$P:$P,'Painel International'!#REF!,'Data International'!$Q:$Q,"&lt;=0",'Data International'!$Q:$Q,"&gt;=-30")</f>
        <v>0</v>
      </c>
      <c r="Q35" s="19">
        <f>SUMIFS('Data International'!$D:$D,'Data International'!$P:$P,'Painel International'!#REF!,'Data International'!$Q:$Q,"&lt;=-31",'Data International'!$Q:$Q,"&gt;=-60")</f>
        <v>0</v>
      </c>
      <c r="R35" s="19">
        <f>SUMIFS('Data International'!$D:$D,'Data International'!$P:$P,'Painel International'!#REF!,'Data International'!$Q:$Q,"&lt;=-61",'Data International'!$Q:$Q,"&gt;=-90")</f>
        <v>0</v>
      </c>
      <c r="S35" s="19">
        <f>SUMIFS('Data International'!$D:$D,'Data International'!$P:$P,'Painel International'!#REF!,'Data International'!$Q:$Q,"&lt;=-91",'Data International'!$Q:$Q,"&gt;=-120")</f>
        <v>0</v>
      </c>
      <c r="T35" s="19">
        <f>SUMIFS('Data International'!$D:$D,'Data International'!$P:$P,'Painel International'!#REF!,'Data International'!$Q:$Q,"&lt;=-121",'Data International'!$Q:$Q,"&gt;=-180")</f>
        <v>0</v>
      </c>
      <c r="U35" s="19">
        <f>SUMIFS('Data International'!$D:$D,'Data International'!$P:$P,'Painel International'!#REF!,'Data International'!$Q:$Q,"&lt;=-181",'Data International'!$Q:$Q,"&gt;=-360")</f>
        <v>0</v>
      </c>
      <c r="V35" s="23">
        <f>SUMIFS('Data International'!$D:$D,'Data International'!$P:$P,'Painel International'!#REF!,'Data International'!$Q:$Q,"&lt;-360")</f>
        <v>0</v>
      </c>
      <c r="W35" s="19" t="e">
        <f>SUMIFS('Bad Debt Provision'!#REF!,'Bad Debt Provision'!#REF!,'Painel International'!#REF!)</f>
        <v>#REF!</v>
      </c>
      <c r="X35" s="5"/>
      <c r="Y35" s="20"/>
      <c r="Z35" s="20"/>
      <c r="AA35" s="21"/>
      <c r="AB35" s="5"/>
      <c r="AC35" s="19"/>
      <c r="AD35" s="20"/>
      <c r="AE35" s="22"/>
      <c r="AF35" s="22"/>
      <c r="AG35" s="5"/>
      <c r="AH35" s="28">
        <f t="shared" si="5"/>
        <v>0</v>
      </c>
    </row>
    <row r="36" spans="2:34" x14ac:dyDescent="0.25">
      <c r="B36" s="41" t="s">
        <v>413</v>
      </c>
      <c r="C36" s="19" t="str" cm="1">
        <f t="array" ref="C36">IFERROR(INDEX('Limite de crédito'!$D:$D, MATCH(MAX(IF('Limite de crédito'!$C:$C=$B36, 'Limite de crédito'!$A:$A)), 'Limite de crédito'!$A:$A, 0)),"")</f>
        <v/>
      </c>
      <c r="D36" s="105" cm="1">
        <f t="array" ref="D36">IFERROR(INDEX('Limite de crédito'!$F:$F, MATCH(MAX(IF('Limite de crédito'!$C:$C=$B36, 'Limite de crédito'!$A:$A)), 'Limite de crédito'!$A:$A, 0)),0)</f>
        <v>0</v>
      </c>
      <c r="E36" s="18">
        <f t="shared" si="2"/>
        <v>0</v>
      </c>
      <c r="F36" s="18">
        <f t="shared" si="3"/>
        <v>0</v>
      </c>
      <c r="G36" s="19">
        <f>SUMIFS('Data International'!$D:$D,'Data International'!$P:$P,'Painel International'!#REF!,'Data International'!$Q:$Q,"&gt;0",'Data International'!$Q:$Q,"&lt;=30")</f>
        <v>0</v>
      </c>
      <c r="H36" s="19">
        <f>SUMIFS('Data International'!$D:$D,'Data International'!$P:$P,'Painel International'!#REF!,'Data International'!$Q:$Q,"&gt;30",'Data International'!$Q:$Q,"&lt;=60")</f>
        <v>0</v>
      </c>
      <c r="I36" s="19">
        <f>SUMIFS('Data International'!$D:$D,'Data International'!$P:$P,'Painel International'!#REF!,'Data International'!$Q:$Q,"&gt;60",'Data International'!$Q:$Q,"&lt;=90")</f>
        <v>0</v>
      </c>
      <c r="J36" s="19">
        <f>SUMIFS('Data International'!$D:$D,'Data International'!$P:$P,'Painel International'!#REF!,'Data International'!$Q:$Q,"&gt;90",'Data International'!$Q:$Q,"&lt;=120")</f>
        <v>0</v>
      </c>
      <c r="K36" s="19">
        <f>SUMIFS('Data International'!$D:$D,'Data International'!$P:$P,'Painel International'!#REF!,'Data International'!$Q:$Q,"&gt;120",'Data International'!$Q:$Q,"&lt;=180")</f>
        <v>0</v>
      </c>
      <c r="L36" s="19">
        <f>SUMIFS('Data International'!$D:$D,'Data International'!$P:$P,'Painel International'!#REF!,'Data International'!$Q:$Q,"&gt;180",'Data International'!$Q:$Q,"&lt;=360")</f>
        <v>0</v>
      </c>
      <c r="M36" s="23">
        <f>SUMIFS('Data International'!$D:$D,'Data International'!$P:$P,'Painel International'!#REF!,'Data International'!$Q:$Q,"&gt;360")</f>
        <v>0</v>
      </c>
      <c r="N36" s="19">
        <f>SUMIFS('Data International'!$D:$D,'Data International'!$P:$P,'Painel International'!#REF!,'Data International'!$Q:$Q,"&gt;0")</f>
        <v>0</v>
      </c>
      <c r="O36" s="19">
        <f t="shared" si="4"/>
        <v>0</v>
      </c>
      <c r="P36" s="19">
        <f>SUMIFS('Data International'!$D:$D,'Data International'!$P:$P,'Painel International'!#REF!,'Data International'!$Q:$Q,"&lt;=0",'Data International'!$Q:$Q,"&gt;=-30")</f>
        <v>0</v>
      </c>
      <c r="Q36" s="19">
        <f>SUMIFS('Data International'!$D:$D,'Data International'!$P:$P,'Painel International'!#REF!,'Data International'!$Q:$Q,"&lt;=-31",'Data International'!$Q:$Q,"&gt;=-60")</f>
        <v>0</v>
      </c>
      <c r="R36" s="19">
        <f>SUMIFS('Data International'!$D:$D,'Data International'!$P:$P,'Painel International'!#REF!,'Data International'!$Q:$Q,"&lt;=-61",'Data International'!$Q:$Q,"&gt;=-90")</f>
        <v>0</v>
      </c>
      <c r="S36" s="19">
        <f>SUMIFS('Data International'!$D:$D,'Data International'!$P:$P,'Painel International'!#REF!,'Data International'!$Q:$Q,"&lt;=-91",'Data International'!$Q:$Q,"&gt;=-120")</f>
        <v>0</v>
      </c>
      <c r="T36" s="19">
        <f>SUMIFS('Data International'!$D:$D,'Data International'!$P:$P,'Painel International'!#REF!,'Data International'!$Q:$Q,"&lt;=-121",'Data International'!$Q:$Q,"&gt;=-180")</f>
        <v>0</v>
      </c>
      <c r="U36" s="19">
        <f>SUMIFS('Data International'!$D:$D,'Data International'!$P:$P,'Painel International'!#REF!,'Data International'!$Q:$Q,"&lt;=-181",'Data International'!$Q:$Q,"&gt;=-360")</f>
        <v>0</v>
      </c>
      <c r="V36" s="23">
        <f>SUMIFS('Data International'!$D:$D,'Data International'!$P:$P,'Painel International'!#REF!,'Data International'!$Q:$Q,"&lt;-360")</f>
        <v>0</v>
      </c>
      <c r="W36" s="19" t="e">
        <f>SUMIFS('Bad Debt Provision'!#REF!,'Bad Debt Provision'!#REF!,'Painel International'!#REF!)</f>
        <v>#REF!</v>
      </c>
      <c r="Y36" s="20"/>
      <c r="Z36" s="20"/>
      <c r="AA36" s="21"/>
      <c r="AB36" s="5"/>
      <c r="AC36" s="19"/>
      <c r="AD36" s="20"/>
      <c r="AE36" s="22"/>
      <c r="AF36" s="22"/>
      <c r="AG36" s="5"/>
      <c r="AH36" s="28">
        <f t="shared" si="5"/>
        <v>0</v>
      </c>
    </row>
    <row r="37" spans="2:34" x14ac:dyDescent="0.25">
      <c r="B37" s="41" t="s">
        <v>395</v>
      </c>
      <c r="C37" s="19" t="str" cm="1">
        <f t="array" ref="C37">IFERROR(INDEX('Limite de crédito'!$D:$D, MATCH(MAX(IF('Limite de crédito'!$C:$C=$B37, 'Limite de crédito'!$A:$A)), 'Limite de crédito'!$A:$A, 0)),"")</f>
        <v/>
      </c>
      <c r="D37" s="105" cm="1">
        <f t="array" ref="D37">IFERROR(INDEX('Limite de crédito'!$F:$F, MATCH(MAX(IF('Limite de crédito'!$C:$C=$B37, 'Limite de crédito'!$A:$A)), 'Limite de crédito'!$A:$A, 0)),0)</f>
        <v>0</v>
      </c>
      <c r="E37" s="18">
        <f t="shared" si="2"/>
        <v>0</v>
      </c>
      <c r="F37" s="18">
        <f t="shared" si="3"/>
        <v>0</v>
      </c>
      <c r="G37" s="19">
        <f>SUMIFS('Data International'!$D:$D,'Data International'!$P:$P,'Painel International'!#REF!,'Data International'!$Q:$Q,"&gt;0",'Data International'!$Q:$Q,"&lt;=30")</f>
        <v>0</v>
      </c>
      <c r="H37" s="19">
        <f>SUMIFS('Data International'!$D:$D,'Data International'!$P:$P,'Painel International'!#REF!,'Data International'!$Q:$Q,"&gt;30",'Data International'!$Q:$Q,"&lt;=60")</f>
        <v>0</v>
      </c>
      <c r="I37" s="19">
        <f>SUMIFS('Data International'!$D:$D,'Data International'!$P:$P,'Painel International'!#REF!,'Data International'!$Q:$Q,"&gt;60",'Data International'!$Q:$Q,"&lt;=90")</f>
        <v>0</v>
      </c>
      <c r="J37" s="19">
        <f>SUMIFS('Data International'!$D:$D,'Data International'!$P:$P,'Painel International'!#REF!,'Data International'!$Q:$Q,"&gt;90",'Data International'!$Q:$Q,"&lt;=120")</f>
        <v>0</v>
      </c>
      <c r="K37" s="19">
        <f>SUMIFS('Data International'!$D:$D,'Data International'!$P:$P,'Painel International'!#REF!,'Data International'!$Q:$Q,"&gt;120",'Data International'!$Q:$Q,"&lt;=180")</f>
        <v>0</v>
      </c>
      <c r="L37" s="19">
        <f>SUMIFS('Data International'!$D:$D,'Data International'!$P:$P,'Painel International'!#REF!,'Data International'!$Q:$Q,"&gt;180",'Data International'!$Q:$Q,"&lt;=360")</f>
        <v>0</v>
      </c>
      <c r="M37" s="23">
        <f>SUMIFS('Data International'!$D:$D,'Data International'!$P:$P,'Painel International'!#REF!,'Data International'!$Q:$Q,"&gt;360")</f>
        <v>0</v>
      </c>
      <c r="N37" s="19">
        <f>SUMIFS('Data International'!$D:$D,'Data International'!$P:$P,'Painel International'!#REF!,'Data International'!$Q:$Q,"&gt;0")</f>
        <v>0</v>
      </c>
      <c r="O37" s="19">
        <f t="shared" si="4"/>
        <v>0</v>
      </c>
      <c r="P37" s="19">
        <f>SUMIFS('Data International'!$D:$D,'Data International'!$P:$P,'Painel International'!#REF!,'Data International'!$Q:$Q,"&lt;=0",'Data International'!$Q:$Q,"&gt;=-30")</f>
        <v>0</v>
      </c>
      <c r="Q37" s="19">
        <f>SUMIFS('Data International'!$D:$D,'Data International'!$P:$P,'Painel International'!#REF!,'Data International'!$Q:$Q,"&lt;=-31",'Data International'!$Q:$Q,"&gt;=-60")</f>
        <v>0</v>
      </c>
      <c r="R37" s="19">
        <f>SUMIFS('Data International'!$D:$D,'Data International'!$P:$P,'Painel International'!#REF!,'Data International'!$Q:$Q,"&lt;=-61",'Data International'!$Q:$Q,"&gt;=-90")</f>
        <v>0</v>
      </c>
      <c r="S37" s="19">
        <f>SUMIFS('Data International'!$D:$D,'Data International'!$P:$P,'Painel International'!#REF!,'Data International'!$Q:$Q,"&lt;=-91",'Data International'!$Q:$Q,"&gt;=-120")</f>
        <v>0</v>
      </c>
      <c r="T37" s="19">
        <f>SUMIFS('Data International'!$D:$D,'Data International'!$P:$P,'Painel International'!#REF!,'Data International'!$Q:$Q,"&lt;=-121",'Data International'!$Q:$Q,"&gt;=-180")</f>
        <v>0</v>
      </c>
      <c r="U37" s="19">
        <f>SUMIFS('Data International'!$D:$D,'Data International'!$P:$P,'Painel International'!#REF!,'Data International'!$Q:$Q,"&lt;=-181",'Data International'!$Q:$Q,"&gt;=-360")</f>
        <v>0</v>
      </c>
      <c r="V37" s="23">
        <f>SUMIFS('Data International'!$D:$D,'Data International'!$P:$P,'Painel International'!#REF!,'Data International'!$Q:$Q,"&lt;-360")</f>
        <v>0</v>
      </c>
      <c r="W37" s="19" t="e">
        <f>SUMIFS('Bad Debt Provision'!#REF!,'Bad Debt Provision'!#REF!,'Painel International'!#REF!)</f>
        <v>#REF!</v>
      </c>
      <c r="X37" s="5"/>
      <c r="Y37" s="20"/>
      <c r="Z37" s="20"/>
      <c r="AA37" s="21"/>
      <c r="AB37" s="5"/>
      <c r="AC37" s="19"/>
      <c r="AD37" s="20"/>
      <c r="AE37" s="22"/>
      <c r="AF37" s="22"/>
      <c r="AG37" s="5"/>
      <c r="AH37" s="28">
        <f t="shared" si="5"/>
        <v>0</v>
      </c>
    </row>
    <row r="38" spans="2:34" x14ac:dyDescent="0.25">
      <c r="B38" s="41" t="s">
        <v>438</v>
      </c>
      <c r="C38" s="19" cm="1">
        <f t="array" ref="C38">IFERROR(INDEX('Limite de crédito'!$D:$D, MATCH(MAX(IF('Limite de crédito'!$C:$C=$B38, 'Limite de crédito'!$A:$A)), 'Limite de crédito'!$A:$A, 0)),"")</f>
        <v>45831</v>
      </c>
      <c r="D38" s="105" t="str" cm="1">
        <f t="array" ref="D38">IFERROR(INDEX('Limite de crédito'!$F:$F, MATCH(MAX(IF('Limite de crédito'!$C:$C=$B38, 'Limite de crédito'!$A:$A)), 'Limite de crédito'!$A:$A, 0)),0)</f>
        <v>Sim</v>
      </c>
      <c r="E38" s="18" t="e">
        <f t="shared" ref="E38" si="6">D38-F38</f>
        <v>#VALUE!</v>
      </c>
      <c r="F38" s="18">
        <f t="shared" ref="F38" si="7">O38+N38</f>
        <v>0</v>
      </c>
      <c r="G38" s="19">
        <f>SUMIFS('Data International'!$D:$D,'Data International'!$P:$P,'Painel International'!#REF!,'Data International'!$Q:$Q,"&gt;0",'Data International'!$Q:$Q,"&lt;=30")</f>
        <v>0</v>
      </c>
      <c r="H38" s="19">
        <f>SUMIFS('Data International'!$D:$D,'Data International'!$P:$P,'Painel International'!#REF!,'Data International'!$Q:$Q,"&gt;30",'Data International'!$Q:$Q,"&lt;=60")</f>
        <v>0</v>
      </c>
      <c r="I38" s="19">
        <f>SUMIFS('Data International'!$D:$D,'Data International'!$P:$P,'Painel International'!#REF!,'Data International'!$Q:$Q,"&gt;60",'Data International'!$Q:$Q,"&lt;=90")</f>
        <v>0</v>
      </c>
      <c r="J38" s="19">
        <f>SUMIFS('Data International'!$D:$D,'Data International'!$P:$P,'Painel International'!#REF!,'Data International'!$Q:$Q,"&gt;90",'Data International'!$Q:$Q,"&lt;=120")</f>
        <v>0</v>
      </c>
      <c r="K38" s="19">
        <f>SUMIFS('Data International'!$D:$D,'Data International'!$P:$P,'Painel International'!#REF!,'Data International'!$Q:$Q,"&gt;120",'Data International'!$Q:$Q,"&lt;=180")</f>
        <v>0</v>
      </c>
      <c r="L38" s="19">
        <f>SUMIFS('Data International'!$D:$D,'Data International'!$P:$P,'Painel International'!#REF!,'Data International'!$Q:$Q,"&gt;180",'Data International'!$Q:$Q,"&lt;=360")</f>
        <v>0</v>
      </c>
      <c r="M38" s="23">
        <f>SUMIFS('Data International'!$D:$D,'Data International'!$P:$P,'Painel International'!#REF!,'Data International'!$Q:$Q,"&gt;360")</f>
        <v>0</v>
      </c>
      <c r="N38" s="19">
        <f>SUMIFS('Data International'!$D:$D,'Data International'!$P:$P,'Painel International'!#REF!,'Data International'!$Q:$Q,"&gt;0")</f>
        <v>0</v>
      </c>
      <c r="O38" s="19">
        <f t="shared" ref="O38" si="8">SUBTOTAL(9,P38:V38)</f>
        <v>0</v>
      </c>
      <c r="P38" s="19">
        <f>SUMIFS('Data International'!$D:$D,'Data International'!$P:$P,'Painel International'!#REF!,'Data International'!$Q:$Q,"&lt;=0",'Data International'!$Q:$Q,"&gt;=-30")</f>
        <v>0</v>
      </c>
      <c r="Q38" s="19">
        <f>SUMIFS('Data International'!$D:$D,'Data International'!$P:$P,'Painel International'!#REF!,'Data International'!$Q:$Q,"&lt;=-31",'Data International'!$Q:$Q,"&gt;=-60")</f>
        <v>0</v>
      </c>
      <c r="R38" s="19">
        <f>SUMIFS('Data International'!$D:$D,'Data International'!$P:$P,'Painel International'!#REF!,'Data International'!$Q:$Q,"&lt;=-61",'Data International'!$Q:$Q,"&gt;=-90")</f>
        <v>0</v>
      </c>
      <c r="S38" s="19">
        <f>SUMIFS('Data International'!$D:$D,'Data International'!$P:$P,'Painel International'!#REF!,'Data International'!$Q:$Q,"&lt;=-91",'Data International'!$Q:$Q,"&gt;=-120")</f>
        <v>0</v>
      </c>
      <c r="T38" s="19">
        <f>SUMIFS('Data International'!$D:$D,'Data International'!$P:$P,'Painel International'!#REF!,'Data International'!$Q:$Q,"&lt;=-121",'Data International'!$Q:$Q,"&gt;=-180")</f>
        <v>0</v>
      </c>
      <c r="U38" s="19">
        <f>SUMIFS('Data International'!$D:$D,'Data International'!$P:$P,'Painel International'!#REF!,'Data International'!$Q:$Q,"&lt;=-181",'Data International'!$Q:$Q,"&gt;=-360")</f>
        <v>0</v>
      </c>
      <c r="V38" s="23">
        <f>SUMIFS('Data International'!$D:$D,'Data International'!$P:$P,'Painel International'!#REF!,'Data International'!$Q:$Q,"&lt;-360")</f>
        <v>0</v>
      </c>
      <c r="W38" s="19" t="e">
        <f>SUMIFS('Bad Debt Provision'!#REF!,'Bad Debt Provision'!#REF!,'Painel International'!#REF!)</f>
        <v>#REF!</v>
      </c>
      <c r="Y38" s="20"/>
      <c r="Z38" s="20"/>
      <c r="AA38" s="21"/>
      <c r="AB38" s="5"/>
      <c r="AC38" s="19"/>
      <c r="AD38" s="20"/>
      <c r="AE38" s="22"/>
      <c r="AF38" s="22"/>
      <c r="AG38" s="5"/>
      <c r="AH38" s="28">
        <f t="shared" ref="AH38" si="9">AC38-F38</f>
        <v>0</v>
      </c>
    </row>
  </sheetData>
  <autoFilter ref="A3:AL37" xr:uid="{3565C85F-7CFA-4620-8217-7766EBCCEB05}">
    <sortState xmlns:xlrd2="http://schemas.microsoft.com/office/spreadsheetml/2017/richdata2" ref="A4:AL37">
      <sortCondition descending="1" ref="F3:F37"/>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L49"/>
  <sheetViews>
    <sheetView showGridLines="0" zoomScale="85" zoomScaleNormal="85" workbookViewId="0">
      <pane xSplit="14" ySplit="3" topLeftCell="O4" activePane="bottomRight" state="frozen"/>
      <selection activeCell="C125" sqref="C125"/>
      <selection pane="topRight" activeCell="C125" sqref="C125"/>
      <selection pane="bottomLeft" activeCell="C125" sqref="C125"/>
      <selection pane="bottomRight" activeCell="B4" sqref="B4:AA49"/>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9" customWidth="1"/>
    <col min="34" max="34" width="1.6640625" customWidth="1"/>
    <col min="35" max="35" width="22.6640625" customWidth="1"/>
    <col min="36" max="36" width="23.5546875" customWidth="1"/>
    <col min="37" max="37" width="11.44140625" customWidth="1"/>
    <col min="38" max="38" width="9.6640625" customWidth="1"/>
  </cols>
  <sheetData>
    <row r="1" spans="1:38" s="9" customFormat="1" ht="12" x14ac:dyDescent="0.25">
      <c r="B1" s="96">
        <v>46135</v>
      </c>
      <c r="C1" s="11"/>
      <c r="D1" s="11"/>
      <c r="E1" s="11"/>
      <c r="F1" s="11"/>
      <c r="G1" s="9">
        <f t="shared" ref="G1:P1" si="0">SUBTOTAL(9,G4:G103)</f>
        <v>6984269.2899999972</v>
      </c>
      <c r="H1" s="9">
        <f t="shared" si="0"/>
        <v>157607.13</v>
      </c>
      <c r="I1" s="9">
        <f t="shared" si="0"/>
        <v>0</v>
      </c>
      <c r="J1" s="9">
        <f t="shared" si="0"/>
        <v>0</v>
      </c>
      <c r="K1" s="9">
        <f t="shared" si="0"/>
        <v>14548.35</v>
      </c>
      <c r="L1" s="9">
        <f t="shared" si="0"/>
        <v>0</v>
      </c>
      <c r="M1" s="9">
        <f t="shared" si="0"/>
        <v>450034.97</v>
      </c>
      <c r="N1" s="9">
        <f t="shared" si="0"/>
        <v>0</v>
      </c>
      <c r="O1" s="9">
        <f t="shared" si="0"/>
        <v>622190.44999999995</v>
      </c>
      <c r="P1" s="9">
        <f t="shared" si="0"/>
        <v>6362078.839999998</v>
      </c>
      <c r="Q1" s="9">
        <f t="shared" ref="Q1:W1" si="1">SUM(Q4:Q104)</f>
        <v>1693122.7199999997</v>
      </c>
      <c r="R1" s="9">
        <f t="shared" si="1"/>
        <v>4592475.8899999997</v>
      </c>
      <c r="S1" s="9">
        <f t="shared" si="1"/>
        <v>0</v>
      </c>
      <c r="T1" s="9">
        <f t="shared" si="1"/>
        <v>0</v>
      </c>
      <c r="U1" s="9">
        <f t="shared" si="1"/>
        <v>0</v>
      </c>
      <c r="V1" s="9">
        <f t="shared" si="1"/>
        <v>76480.23</v>
      </c>
      <c r="W1" s="9">
        <f t="shared" si="1"/>
        <v>0</v>
      </c>
      <c r="X1" s="9">
        <f>SUBTOTAL(9,X4:X103)</f>
        <v>13501.0491</v>
      </c>
      <c r="Y1" s="10"/>
      <c r="Z1" s="10"/>
      <c r="AA1" s="9">
        <f>SUBTOTAL(9,AA4:AA204)</f>
        <v>26620000</v>
      </c>
      <c r="AD1" s="10"/>
      <c r="AE1" s="14"/>
      <c r="AF1" s="10"/>
      <c r="AG1" s="27">
        <f>SUBTOTAL(9,AG4:AG207)</f>
        <v>19635730.710000005</v>
      </c>
      <c r="AH1" s="10"/>
      <c r="AI1" s="10"/>
      <c r="AJ1" s="233">
        <f>O1/G1</f>
        <v>8.9084544734099186E-2</v>
      </c>
    </row>
    <row r="2" spans="1:38" ht="18.600000000000001" customHeight="1" thickBot="1" x14ac:dyDescent="0.3">
      <c r="B2" s="8"/>
      <c r="C2" s="8"/>
      <c r="D2" s="8"/>
      <c r="E2" s="8"/>
      <c r="F2" s="8"/>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7"/>
      <c r="AJ2" s="39" t="s">
        <v>482</v>
      </c>
      <c r="AK2" s="39"/>
      <c r="AL2" s="39"/>
    </row>
    <row r="3" spans="1:38" ht="15"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298</v>
      </c>
      <c r="Y3" s="6" t="s">
        <v>225</v>
      </c>
      <c r="Z3" s="6" t="s">
        <v>225</v>
      </c>
      <c r="AA3" s="12" t="s">
        <v>480</v>
      </c>
      <c r="AB3" s="12" t="s">
        <v>486</v>
      </c>
      <c r="AC3" s="13" t="s">
        <v>20</v>
      </c>
      <c r="AD3" s="13" t="s">
        <v>19</v>
      </c>
      <c r="AE3" s="15" t="s">
        <v>23</v>
      </c>
      <c r="AF3" s="6" t="s">
        <v>225</v>
      </c>
      <c r="AG3" s="37" t="s">
        <v>481</v>
      </c>
      <c r="AH3" s="6" t="s">
        <v>225</v>
      </c>
      <c r="AI3" s="37" t="s">
        <v>662</v>
      </c>
      <c r="AJ3" s="112" t="s">
        <v>483</v>
      </c>
      <c r="AK3" s="113" t="s">
        <v>484</v>
      </c>
      <c r="AL3" s="113" t="s">
        <v>485</v>
      </c>
    </row>
    <row r="4" spans="1:38" ht="13.8" thickTop="1" x14ac:dyDescent="0.25">
      <c r="B4" s="41" t="s">
        <v>487</v>
      </c>
      <c r="C4" s="19" t="str">
        <f>IFERROR(_xlfn.XLOOKUP(B4,'Limite de crédito'!C:C,'Limite de crédito'!L:L,),0)</f>
        <v>A</v>
      </c>
      <c r="D4" s="19"/>
      <c r="E4" s="105">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3">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3">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2"/>
      <c r="AE4" s="22"/>
      <c r="AF4" s="5"/>
      <c r="AG4" s="28">
        <f>AA4-G4</f>
        <v>1375000</v>
      </c>
      <c r="AI4" s="262"/>
    </row>
    <row r="5" spans="1:38" x14ac:dyDescent="0.25">
      <c r="B5" s="41" t="s">
        <v>398</v>
      </c>
      <c r="C5" s="19" t="str">
        <f>IFERROR(_xlfn.XLOOKUP(B5,'Limite de crédito'!C:C,'Limite de crédito'!L:L,),0)</f>
        <v>B</v>
      </c>
      <c r="D5" s="19"/>
      <c r="E5" s="105">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3">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3">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2"/>
      <c r="AE5" s="22"/>
      <c r="AF5" s="5"/>
      <c r="AG5" s="28">
        <f t="shared" ref="AG5:AG41" si="5">AA5-G5</f>
        <v>1100000</v>
      </c>
      <c r="AI5" s="262">
        <v>100000</v>
      </c>
    </row>
    <row r="6" spans="1:38" x14ac:dyDescent="0.25">
      <c r="B6" s="17" t="s">
        <v>126</v>
      </c>
      <c r="C6" s="19" t="str">
        <f>IFERROR(_xlfn.XLOOKUP(B6,'Limite de crédito'!C:C,'Limite de crédito'!L:L,),0)</f>
        <v>B</v>
      </c>
      <c r="D6" s="105"/>
      <c r="E6" s="105">
        <f>_xlfn.XLOOKUP(B6,'Limite de crédito'!C:C,'Limite de crédito'!G:G,0)</f>
        <v>962500</v>
      </c>
      <c r="F6" s="18">
        <f t="shared" si="3"/>
        <v>503291.64</v>
      </c>
      <c r="G6" s="18">
        <f t="shared" si="2"/>
        <v>459208.36</v>
      </c>
      <c r="H6" s="19">
        <f>SUMIFS('Data International'!$D:$D,'Data International'!$P:$P,'Painel International'!$B6,'Data International'!$Q:$Q,"&gt;0",'Data International'!$Q:$Q,"&lt;=30")</f>
        <v>157607.13</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3">
        <f>SUMIFS('Data International'!$D:$D,'Data International'!$P:$P,'Painel International'!$B6,'Data International'!$Q:$Q,"&gt;360")</f>
        <v>0</v>
      </c>
      <c r="O6" s="19">
        <f>SUMIFS('Data International'!$D:$D,'Data International'!$P:$P,'Painel International'!$B6,'Data International'!$Q:$Q,"&gt;0")</f>
        <v>157607.13</v>
      </c>
      <c r="P6" s="19">
        <f t="shared" si="4"/>
        <v>301601.23</v>
      </c>
      <c r="Q6" s="19">
        <f>SUMIFS('Data International'!$D:$D,'Data International'!$P:$P,'Painel International'!$B6,'Data International'!$Q:$Q,"&lt;=0",'Data International'!$Q:$Q,"&gt;=-30")</f>
        <v>301601.23</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3">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2"/>
      <c r="AE6" s="22"/>
      <c r="AF6" s="5"/>
      <c r="AG6" s="28">
        <f t="shared" si="5"/>
        <v>503291.64</v>
      </c>
      <c r="AH6" s="5"/>
      <c r="AI6" s="262"/>
    </row>
    <row r="7" spans="1:38" x14ac:dyDescent="0.25">
      <c r="B7" s="41" t="s">
        <v>295</v>
      </c>
      <c r="C7" s="19" t="str">
        <f>IFERROR(_xlfn.XLOOKUP(B7,'Limite de crédito'!C:C,'Limite de crédito'!L:L,),0)</f>
        <v>B</v>
      </c>
      <c r="D7" s="105"/>
      <c r="E7" s="105">
        <f>_xlfn.XLOOKUP(B7,'Limite de crédito'!C:C,'Limite de crédito'!G:G,0)</f>
        <v>550000</v>
      </c>
      <c r="F7" s="18">
        <f t="shared" si="3"/>
        <v>199990.55000000005</v>
      </c>
      <c r="G7" s="18">
        <f t="shared" si="2"/>
        <v>350009.44999999995</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3">
        <f>SUMIFS('Data International'!$D:$D,'Data International'!$P:$P,'Painel International'!$B7,'Data International'!$Q:$Q,"&gt;360")</f>
        <v>0</v>
      </c>
      <c r="O7" s="19">
        <f>SUMIFS('Data International'!$D:$D,'Data International'!$P:$P,'Painel International'!$B7,'Data International'!$Q:$Q,"&gt;0")</f>
        <v>0</v>
      </c>
      <c r="P7" s="19">
        <f t="shared" si="4"/>
        <v>350009.44999999995</v>
      </c>
      <c r="Q7" s="19">
        <f>SUMIFS('Data International'!$D:$D,'Data International'!$P:$P,'Painel International'!$B7,'Data International'!$Q:$Q,"&lt;=0",'Data International'!$Q:$Q,"&gt;=-30")</f>
        <v>350009.44999999995</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3">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2"/>
      <c r="AE7" s="22"/>
      <c r="AF7" s="5"/>
      <c r="AG7" s="28">
        <f>AA7-G7</f>
        <v>199990.55000000005</v>
      </c>
      <c r="AI7" s="262"/>
    </row>
    <row r="8" spans="1:38" x14ac:dyDescent="0.25">
      <c r="B8" s="17" t="s">
        <v>130</v>
      </c>
      <c r="C8" s="19" t="str">
        <f>IFERROR(_xlfn.XLOOKUP(B8,'Limite de crédito'!C:C,'Limite de crédito'!L:L,),0)</f>
        <v>A</v>
      </c>
      <c r="D8" s="105"/>
      <c r="E8" s="105">
        <f>_xlfn.XLOOKUP(B8,'Limite de crédito'!C:C,'Limite de crédito'!G:G,0)</f>
        <v>687500</v>
      </c>
      <c r="F8" s="18">
        <f t="shared" si="3"/>
        <v>555539.93999999994</v>
      </c>
      <c r="G8" s="18">
        <f t="shared" si="2"/>
        <v>131960.06</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3">
        <f>SUMIFS('Data International'!$D:$D,'Data International'!$P:$P,'Painel International'!$B8,'Data International'!$Q:$Q,"&gt;360")</f>
        <v>0</v>
      </c>
      <c r="O8" s="19">
        <f>SUMIFS('Data International'!$D:$D,'Data International'!$P:$P,'Painel International'!$B8,'Data International'!$Q:$Q,"&gt;0")</f>
        <v>0</v>
      </c>
      <c r="P8" s="19">
        <f t="shared" si="4"/>
        <v>131960.06</v>
      </c>
      <c r="Q8" s="19">
        <f>SUMIFS('Data International'!$D:$D,'Data International'!$P:$P,'Painel International'!$B8,'Data International'!$Q:$Q,"&lt;=0",'Data International'!$Q:$Q,"&gt;=-30")</f>
        <v>131960.06</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3">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687500</v>
      </c>
      <c r="AB8" s="19"/>
      <c r="AC8" s="20"/>
      <c r="AD8" s="22"/>
      <c r="AE8" s="22"/>
      <c r="AF8" s="5"/>
      <c r="AG8" s="28">
        <f t="shared" si="5"/>
        <v>555539.93999999994</v>
      </c>
      <c r="AH8" s="5"/>
      <c r="AI8" s="262"/>
    </row>
    <row r="9" spans="1:38" x14ac:dyDescent="0.25">
      <c r="B9" s="41" t="s">
        <v>491</v>
      </c>
      <c r="C9" s="19" t="str">
        <f>IFERROR(_xlfn.XLOOKUP(B9,'Limite de crédito'!C:C,'Limite de crédito'!L:L,),0)</f>
        <v>B</v>
      </c>
      <c r="D9" s="19"/>
      <c r="E9" s="105">
        <f>_xlfn.XLOOKUP(B9,'Limite de crédito'!C:C,'Limite de crédito'!G:G,0)</f>
        <v>330000</v>
      </c>
      <c r="F9" s="18">
        <f t="shared" si="3"/>
        <v>330000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3">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3">
        <f>SUMIFS('Data International'!$D:$D,'Data International'!$P:$P,'Painel International'!$B9,'Data International'!$Q:$Q,"&lt;-360")</f>
        <v>0</v>
      </c>
      <c r="X9" s="19">
        <f>SUMIFS('Bad Debt Provision'!AB:AB,'Bad Debt Provision'!B:B,'Painel International'!B9)</f>
        <v>0</v>
      </c>
      <c r="Z9" s="5"/>
      <c r="AA9" s="19">
        <f>_xlfn.XLOOKUP(B9,'Limite de crédito'!C:C,'Limite de crédito'!O:O,0)</f>
        <v>330000</v>
      </c>
      <c r="AB9" s="19"/>
      <c r="AC9" s="20"/>
      <c r="AD9" s="22"/>
      <c r="AE9" s="22"/>
      <c r="AF9" s="5"/>
      <c r="AG9" s="28">
        <f t="shared" si="5"/>
        <v>330000</v>
      </c>
      <c r="AI9" s="262">
        <v>20000</v>
      </c>
    </row>
    <row r="10" spans="1:38" x14ac:dyDescent="0.25">
      <c r="B10" s="41" t="s">
        <v>492</v>
      </c>
      <c r="C10" s="19" t="str">
        <f>IFERROR(_xlfn.XLOOKUP(B10,'Limite de crédito'!C:C,'Limite de crédito'!L:L,),0)</f>
        <v>A</v>
      </c>
      <c r="D10" s="19"/>
      <c r="E10" s="105">
        <f>_xlfn.XLOOKUP(B10,'Limite de crédito'!C:C,'Limite de crédito'!G:G,0)</f>
        <v>302500</v>
      </c>
      <c r="F10" s="18">
        <f t="shared" si="3"/>
        <v>226019.77000000002</v>
      </c>
      <c r="G10" s="18">
        <f t="shared" si="2"/>
        <v>76480.23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3">
        <f>SUMIFS('Data International'!$D:$D,'Data International'!$P:$P,'Painel International'!$B10,'Data International'!$Q:$Q,"&gt;360")</f>
        <v>0</v>
      </c>
      <c r="O10" s="19">
        <f>SUMIFS('Data International'!$D:$D,'Data International'!$P:$P,'Painel International'!$B10,'Data International'!$Q:$Q,"&gt;0")</f>
        <v>0</v>
      </c>
      <c r="P10" s="19">
        <f t="shared" si="4"/>
        <v>76480.23</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76480.23</v>
      </c>
      <c r="W10" s="23">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2"/>
      <c r="AE10" s="22"/>
      <c r="AF10" s="5"/>
      <c r="AG10" s="28">
        <f t="shared" si="5"/>
        <v>226019.77000000002</v>
      </c>
      <c r="AI10" s="262">
        <v>10000</v>
      </c>
    </row>
    <row r="11" spans="1:38" x14ac:dyDescent="0.25">
      <c r="B11" s="41" t="s">
        <v>438</v>
      </c>
      <c r="C11" s="19" t="str">
        <f>IFERROR(_xlfn.XLOOKUP(B11,'Limite de crédito'!C:C,'Limite de crédito'!L:L,),0)</f>
        <v>B</v>
      </c>
      <c r="D11" s="19"/>
      <c r="E11" s="105">
        <f>_xlfn.XLOOKUP(B11,'Limite de crédito'!C:C,'Limite de crédito'!G:G,0)</f>
        <v>275000</v>
      </c>
      <c r="F11" s="18">
        <f t="shared" si="3"/>
        <v>260451.65</v>
      </c>
      <c r="G11" s="18">
        <f t="shared" si="2"/>
        <v>14548.35</v>
      </c>
      <c r="H11" s="19">
        <f>SUMIFS('Data International'!$D:$D,'Data International'!$P:$P,'Painel International'!$B11,'Data International'!$Q:$Q,"&gt;0",'Data International'!$Q:$Q,"&lt;=30")</f>
        <v>0</v>
      </c>
      <c r="I11" s="19">
        <f>SUMIFS('Data International'!$D:$D,'Data International'!$P:$P,'Painel International'!$B11,'Data International'!$Q:$Q,"&gt;30",'Data International'!$Q:$Q,"&lt;=60")</f>
        <v>0</v>
      </c>
      <c r="J11" s="19">
        <f>SUMIFS('Data International'!$D:$D,'Data International'!$P:$P,'Painel International'!$B11,'Data International'!$Q:$Q,"&gt;60",'Data International'!$Q:$Q,"&lt;=90")</f>
        <v>0</v>
      </c>
      <c r="K11" s="19">
        <f>SUMIFS('Data International'!$D:$D,'Data International'!$P:$P,'Painel International'!$B11,'Data International'!$Q:$Q,"&gt;90",'Data International'!$Q:$Q,"&lt;=120")</f>
        <v>14548.35</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3">
        <f>SUMIFS('Data International'!$D:$D,'Data International'!$P:$P,'Painel International'!$B11,'Data International'!$Q:$Q,"&gt;360")</f>
        <v>0</v>
      </c>
      <c r="O11" s="19">
        <f>SUMIFS('Data International'!$D:$D,'Data International'!$P:$P,'Painel International'!$B11,'Data International'!$Q:$Q,"&gt;0")</f>
        <v>14548.35</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3">
        <f>SUMIFS('Data International'!$D:$D,'Data International'!$P:$P,'Painel International'!$B11,'Data International'!$Q:$Q,"&lt;-360")</f>
        <v>0</v>
      </c>
      <c r="X11" s="19">
        <f>SUMIFS('Bad Debt Provision'!AB:AB,'Bad Debt Provision'!B:B,'Painel International'!B11)</f>
        <v>0</v>
      </c>
      <c r="Z11" s="5"/>
      <c r="AA11" s="19">
        <f>_xlfn.XLOOKUP(B11,'Limite de crédito'!C:C,'Limite de crédito'!O:O,0)</f>
        <v>275000</v>
      </c>
      <c r="AB11" s="19"/>
      <c r="AC11" s="20"/>
      <c r="AD11" s="22"/>
      <c r="AE11" s="22"/>
      <c r="AF11" s="5"/>
      <c r="AG11" s="28">
        <f t="shared" si="5"/>
        <v>260451.65</v>
      </c>
      <c r="AI11" s="262">
        <v>10000</v>
      </c>
    </row>
    <row r="12" spans="1:38" x14ac:dyDescent="0.25">
      <c r="B12" s="41" t="s">
        <v>403</v>
      </c>
      <c r="C12" s="19" t="str">
        <f>IFERROR(_xlfn.XLOOKUP(B12,'Limite de crédito'!C:C,'Limite de crédito'!L:L,),0)</f>
        <v>A</v>
      </c>
      <c r="D12" s="19"/>
      <c r="E12" s="105">
        <f>_xlfn.XLOOKUP(B12,'Limite de crédito'!C:C,'Limite de crédito'!G:G,0)</f>
        <v>660000</v>
      </c>
      <c r="F12" s="18">
        <f t="shared" si="3"/>
        <v>409738.47</v>
      </c>
      <c r="G12" s="18">
        <f t="shared" si="2"/>
        <v>250261.53</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3">
        <f>SUMIFS('Data International'!$D:$D,'Data International'!$P:$P,'Painel International'!$B12,'Data International'!$Q:$Q,"&gt;360")</f>
        <v>0</v>
      </c>
      <c r="O12" s="19">
        <f>SUMIFS('Data International'!$D:$D,'Data International'!$P:$P,'Painel International'!$B12,'Data International'!$Q:$Q,"&gt;0")</f>
        <v>0</v>
      </c>
      <c r="P12" s="19">
        <f t="shared" si="4"/>
        <v>250261.53</v>
      </c>
      <c r="Q12" s="19">
        <f>SUMIFS('Data International'!$D:$D,'Data International'!$P:$P,'Painel International'!$B12,'Data International'!$Q:$Q,"&lt;=0",'Data International'!$Q:$Q,"&gt;=-30")</f>
        <v>0</v>
      </c>
      <c r="R12" s="19">
        <f>SUMIFS('Data International'!$D:$D,'Data International'!$P:$P,'Painel International'!$B12,'Data International'!$Q:$Q,"&lt;=-31",'Data International'!$Q:$Q,"&gt;=-60")</f>
        <v>250261.53</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3">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2"/>
      <c r="AE12" s="22"/>
      <c r="AF12" s="5"/>
      <c r="AG12" s="28">
        <f t="shared" si="5"/>
        <v>409738.47</v>
      </c>
      <c r="AI12" s="262">
        <v>0</v>
      </c>
    </row>
    <row r="13" spans="1:38" x14ac:dyDescent="0.25">
      <c r="B13" s="41" t="s">
        <v>337</v>
      </c>
      <c r="C13" s="19">
        <f>IFERROR(_xlfn.XLOOKUP(B13,'Limite de crédito'!C:C,'Limite de crédito'!L:L,),0)</f>
        <v>0</v>
      </c>
      <c r="D13" s="19"/>
      <c r="E13" s="105">
        <f>_xlfn.XLOOKUP(B13,'Limite de crédito'!C:C,'Limite de crédito'!G:G,0)</f>
        <v>0</v>
      </c>
      <c r="F13" s="18">
        <f t="shared" si="3"/>
        <v>-3280155.1799999997</v>
      </c>
      <c r="G13" s="18">
        <f t="shared" si="2"/>
        <v>3280155.1799999997</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3">
        <f>SUMIFS('Data International'!$D:$D,'Data International'!$P:$P,'Painel International'!$B13,'Data International'!$Q:$Q,"&gt;360")</f>
        <v>0</v>
      </c>
      <c r="O13" s="19">
        <f>SUMIFS('Data International'!$D:$D,'Data International'!$P:$P,'Painel International'!$B13,'Data International'!$Q:$Q,"&gt;0")</f>
        <v>0</v>
      </c>
      <c r="P13" s="19">
        <f t="shared" si="4"/>
        <v>3280155.1799999997</v>
      </c>
      <c r="Q13" s="19">
        <f>SUMIFS('Data International'!$D:$D,'Data International'!$P:$P,'Painel International'!$B13,'Data International'!$Q:$Q,"&lt;=0",'Data International'!$Q:$Q,"&gt;=-30")</f>
        <v>0</v>
      </c>
      <c r="R13" s="19">
        <f>SUMIFS('Data International'!$D:$D,'Data International'!$P:$P,'Painel International'!$B13,'Data International'!$Q:$Q,"&lt;=-31",'Data International'!$Q:$Q,"&gt;=-60")</f>
        <v>3280155.1799999997</v>
      </c>
      <c r="S13" s="19">
        <f>SUMIFS('Data International'!$D:$D,'Data International'!$P:$P,'Painel International'!$B13,'Data International'!$Q:$Q,"&lt;=-61",'Data International'!$Q:$Q,"&gt;=-90")</f>
        <v>0</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3">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2"/>
      <c r="AE13" s="22"/>
      <c r="AF13" s="5"/>
      <c r="AG13" s="28">
        <f>AA13-G13</f>
        <v>-3280155.1799999997</v>
      </c>
      <c r="AI13" s="263">
        <v>400000</v>
      </c>
    </row>
    <row r="14" spans="1:38" x14ac:dyDescent="0.25">
      <c r="B14" s="41" t="s">
        <v>374</v>
      </c>
      <c r="C14" s="19" t="str">
        <f>IFERROR(_xlfn.XLOOKUP(B14,'Limite de crédito'!C:C,'Limite de crédito'!L:L,),0)</f>
        <v>D</v>
      </c>
      <c r="D14" s="19"/>
      <c r="E14" s="105">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3">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3">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2"/>
      <c r="AE14" s="22"/>
      <c r="AF14" s="5"/>
      <c r="AG14" s="28">
        <f t="shared" si="5"/>
        <v>550000</v>
      </c>
      <c r="AI14" s="262">
        <v>200000</v>
      </c>
    </row>
    <row r="15" spans="1:38" x14ac:dyDescent="0.25">
      <c r="B15" s="41" t="s">
        <v>361</v>
      </c>
      <c r="C15" s="19">
        <f>IFERROR(_xlfn.XLOOKUP(B15,'Limite de crédito'!C:C,'Limite de crédito'!L:L,),0)</f>
        <v>0</v>
      </c>
      <c r="D15" s="19"/>
      <c r="E15" s="105">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3">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3">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2"/>
      <c r="AE15" s="22"/>
      <c r="AF15" s="5"/>
      <c r="AG15" s="28">
        <f t="shared" si="5"/>
        <v>1375000</v>
      </c>
      <c r="AI15" s="262">
        <v>80000</v>
      </c>
    </row>
    <row r="16" spans="1:38" x14ac:dyDescent="0.25">
      <c r="B16" s="17" t="s">
        <v>133</v>
      </c>
      <c r="C16" s="19" t="str">
        <f>IFERROR(_xlfn.XLOOKUP(B16,'Limite de crédito'!C:C,'Limite de crédito'!L:L,),0)</f>
        <v>D</v>
      </c>
      <c r="D16" s="105"/>
      <c r="E16" s="105">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3">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3">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2"/>
      <c r="AE16" s="22"/>
      <c r="AF16" s="5"/>
      <c r="AG16" s="28">
        <f t="shared" si="5"/>
        <v>550000</v>
      </c>
      <c r="AH16" s="5"/>
      <c r="AI16" s="262">
        <v>50000</v>
      </c>
    </row>
    <row r="17" spans="2:35" x14ac:dyDescent="0.25">
      <c r="B17" s="41" t="s">
        <v>382</v>
      </c>
      <c r="C17" s="19" t="str">
        <f>IFERROR(_xlfn.XLOOKUP(B17,'Limite de crédito'!C:C,'Limite de crédito'!L:L,),0)</f>
        <v>B</v>
      </c>
      <c r="D17" s="19"/>
      <c r="E17" s="105">
        <f>_xlfn.XLOOKUP(B17,'Limite de crédito'!C:C,'Limite de crédito'!G:G,0)</f>
        <v>990000</v>
      </c>
      <c r="F17" s="18">
        <f t="shared" si="3"/>
        <v>727686.99</v>
      </c>
      <c r="G17" s="18">
        <f t="shared" si="2"/>
        <v>262313.01</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3">
        <f>SUMIFS('Data International'!$D:$D,'Data International'!$P:$P,'Painel International'!$B17,'Data International'!$Q:$Q,"&gt;360")</f>
        <v>0</v>
      </c>
      <c r="O17" s="19">
        <f>SUMIFS('Data International'!$D:$D,'Data International'!$P:$P,'Painel International'!$B17,'Data International'!$Q:$Q,"&gt;0")</f>
        <v>0</v>
      </c>
      <c r="P17" s="19">
        <f t="shared" si="4"/>
        <v>262313.01</v>
      </c>
      <c r="Q17" s="19">
        <f>SUMIFS('Data International'!$D:$D,'Data International'!$P:$P,'Painel International'!$B17,'Data International'!$Q:$Q,"&lt;=0",'Data International'!$Q:$Q,"&gt;=-30")</f>
        <v>262313.01</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3">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2"/>
      <c r="AE17" s="22"/>
      <c r="AF17" s="5"/>
      <c r="AG17" s="28">
        <f t="shared" si="5"/>
        <v>727686.99</v>
      </c>
      <c r="AI17" s="262"/>
    </row>
    <row r="18" spans="2:35" x14ac:dyDescent="0.25">
      <c r="B18" s="17" t="s">
        <v>131</v>
      </c>
      <c r="C18" s="19" t="str">
        <f>IFERROR(_xlfn.XLOOKUP(B18,'Limite de crédito'!C:C,'Limite de crédito'!L:L,),0)</f>
        <v>B</v>
      </c>
      <c r="D18" s="106"/>
      <c r="E18" s="105">
        <f>_xlfn.XLOOKUP(B18,'Limite de crédito'!C:C,'Limite de crédito'!G:G,0)</f>
        <v>660000</v>
      </c>
      <c r="F18" s="18">
        <f t="shared" si="3"/>
        <v>660000</v>
      </c>
      <c r="G18" s="18">
        <f t="shared" si="2"/>
        <v>0</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3">
        <f>SUMIFS('Data International'!$D:$D,'Data International'!$P:$P,'Painel International'!$B18,'Data International'!$Q:$Q,"&gt;360")</f>
        <v>0</v>
      </c>
      <c r="O18" s="19">
        <f>SUMIFS('Data International'!$D:$D,'Data International'!$P:$P,'Painel International'!$B18,'Data International'!$Q:$Q,"&gt;0")</f>
        <v>0</v>
      </c>
      <c r="P18" s="19">
        <f t="shared" si="4"/>
        <v>0</v>
      </c>
      <c r="Q18" s="19">
        <f>SUMIFS('Data International'!$D:$D,'Data International'!$P:$P,'Painel International'!$B18,'Data International'!$Q:$Q,"&lt;=0",'Data International'!$Q:$Q,"&gt;=-30")</f>
        <v>0</v>
      </c>
      <c r="R18" s="19">
        <f>SUMIFS('Data International'!$D:$D,'Data International'!$P:$P,'Painel International'!$B18,'Data International'!$Q:$Q,"&lt;=-31",'Data International'!$Q:$Q,"&gt;=-60")</f>
        <v>0</v>
      </c>
      <c r="S18" s="19">
        <f>SUMIFS('Data International'!$D:$D,'Data International'!$P:$P,'Painel International'!$B18,'Data International'!$Q:$Q,"&lt;=-61",'Data International'!$Q:$Q,"&gt;=-90")</f>
        <v>0</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3">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2"/>
      <c r="AE18" s="22"/>
      <c r="AF18" s="5"/>
      <c r="AG18" s="28">
        <f t="shared" si="5"/>
        <v>660000</v>
      </c>
      <c r="AH18" s="5"/>
      <c r="AI18" s="262"/>
    </row>
    <row r="19" spans="2:35" x14ac:dyDescent="0.25">
      <c r="B19" s="41" t="s">
        <v>497</v>
      </c>
      <c r="C19" s="19">
        <f>IFERROR(_xlfn.XLOOKUP(B19,'Limite de crédito'!C:C,'Limite de crédito'!L:L,),0)</f>
        <v>0</v>
      </c>
      <c r="D19" s="19"/>
      <c r="E19" s="105">
        <f>_xlfn.XLOOKUP(B19,'Limite de crédito'!C:C,'Limite de crédito'!G:G,0)</f>
        <v>0</v>
      </c>
      <c r="F19" s="18">
        <f t="shared" si="3"/>
        <v>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3">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3">
        <f>SUMIFS('Data International'!$D:$D,'Data International'!$P:$P,'Painel International'!$B19,'Data International'!$Q:$Q,"&lt;-360")</f>
        <v>0</v>
      </c>
      <c r="X19" s="19">
        <f>SUMIFS('Bad Debt Provision'!AB:AB,'Bad Debt Provision'!B:B,'Painel International'!B19)</f>
        <v>0</v>
      </c>
      <c r="Z19" s="5"/>
      <c r="AA19" s="19">
        <f>_xlfn.XLOOKUP(B19,'Limite de crédito'!C:C,'Limite de crédito'!O:O,0)</f>
        <v>0</v>
      </c>
      <c r="AB19" s="19"/>
      <c r="AC19" s="20"/>
      <c r="AD19" s="22"/>
      <c r="AE19" s="22"/>
      <c r="AF19" s="5"/>
      <c r="AG19" s="28">
        <f t="shared" si="5"/>
        <v>0</v>
      </c>
      <c r="AI19" s="262">
        <v>20000</v>
      </c>
    </row>
    <row r="20" spans="2:35" ht="13.95" customHeight="1" x14ac:dyDescent="0.25">
      <c r="B20" s="41" t="s">
        <v>355</v>
      </c>
      <c r="C20" s="19" t="str">
        <f>IFERROR(_xlfn.XLOOKUP(B20,'Limite de crédito'!C:C,'Limite de crédito'!L:L,),0)</f>
        <v>A</v>
      </c>
      <c r="D20" s="19"/>
      <c r="E20" s="105">
        <f>_xlfn.XLOOKUP(B20,'Limite de crédito'!C:C,'Limite de crédito'!G:G,0)</f>
        <v>770000</v>
      </c>
      <c r="F20" s="18">
        <f t="shared" si="3"/>
        <v>369912.15</v>
      </c>
      <c r="G20" s="18">
        <f t="shared" si="2"/>
        <v>400087.85</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3">
        <f>SUMIFS('Data International'!$D:$D,'Data International'!$P:$P,'Painel International'!$B20,'Data International'!$Q:$Q,"&gt;360")</f>
        <v>0</v>
      </c>
      <c r="O20" s="19">
        <f>SUMIFS('Data International'!$D:$D,'Data International'!$P:$P,'Painel International'!$B20,'Data International'!$Q:$Q,"&gt;0")</f>
        <v>0</v>
      </c>
      <c r="P20" s="19">
        <f t="shared" si="4"/>
        <v>400087.85</v>
      </c>
      <c r="Q20" s="19">
        <f>SUMIFS('Data International'!$D:$D,'Data International'!$P:$P,'Painel International'!$B20,'Data International'!$Q:$Q,"&lt;=0",'Data International'!$Q:$Q,"&gt;=-30")</f>
        <v>224812.61</v>
      </c>
      <c r="R20" s="19">
        <f>SUMIFS('Data International'!$D:$D,'Data International'!$P:$P,'Painel International'!$B20,'Data International'!$Q:$Q,"&lt;=-31",'Data International'!$Q:$Q,"&gt;=-60")</f>
        <v>175275.24</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3">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2"/>
      <c r="AE20" s="22"/>
      <c r="AF20" s="5"/>
      <c r="AG20" s="28">
        <f t="shared" si="5"/>
        <v>369912.15</v>
      </c>
      <c r="AI20" s="262">
        <v>100000</v>
      </c>
    </row>
    <row r="21" spans="2:35" x14ac:dyDescent="0.25">
      <c r="B21" s="41" t="s">
        <v>179</v>
      </c>
      <c r="C21" s="19" t="str">
        <f>IFERROR(_xlfn.XLOOKUP(B21,'Limite de crédito'!C:C,'Limite de crédito'!L:L,),0)</f>
        <v>B</v>
      </c>
      <c r="D21" s="19"/>
      <c r="E21" s="105">
        <f>_xlfn.XLOOKUP(B21,'Limite de crédito'!C:C,'Limite de crédito'!G:G,0)</f>
        <v>275000</v>
      </c>
      <c r="F21" s="18">
        <f t="shared" si="3"/>
        <v>275000</v>
      </c>
      <c r="G21" s="18">
        <f t="shared" si="2"/>
        <v>0</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3">
        <f>SUMIFS('Data International'!$D:$D,'Data International'!$P:$P,'Painel International'!$B21,'Data International'!$Q:$Q,"&gt;360")</f>
        <v>0</v>
      </c>
      <c r="O21" s="19">
        <f>SUMIFS('Data International'!$D:$D,'Data International'!$P:$P,'Painel International'!$B21,'Data International'!$Q:$Q,"&gt;0")</f>
        <v>0</v>
      </c>
      <c r="P21" s="19">
        <f t="shared" si="4"/>
        <v>0</v>
      </c>
      <c r="Q21" s="19">
        <f>SUMIFS('Data International'!$D:$D,'Data International'!$P:$P,'Painel International'!$B21,'Data International'!$Q:$Q,"&lt;=0",'Data International'!$Q:$Q,"&gt;=-30")</f>
        <v>0</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3">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2"/>
      <c r="AE21" s="22"/>
      <c r="AF21" s="5"/>
      <c r="AG21" s="28">
        <f t="shared" si="5"/>
        <v>275000</v>
      </c>
      <c r="AI21" s="262"/>
    </row>
    <row r="22" spans="2:35" x14ac:dyDescent="0.25">
      <c r="B22" s="41" t="s">
        <v>534</v>
      </c>
      <c r="C22" s="19" t="str">
        <f>IFERROR(_xlfn.XLOOKUP(B22,'Limite de crédito'!C:C,'Limite de crédito'!L:L,),0)</f>
        <v>AA</v>
      </c>
      <c r="D22" s="19"/>
      <c r="E22" s="105">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3">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3">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2"/>
      <c r="AE22" s="22"/>
      <c r="AF22" s="5"/>
      <c r="AG22" s="28">
        <f t="shared" si="5"/>
        <v>1375000</v>
      </c>
      <c r="AI22" s="262">
        <v>0</v>
      </c>
    </row>
    <row r="23" spans="2:35" x14ac:dyDescent="0.25">
      <c r="B23" s="41" t="s">
        <v>535</v>
      </c>
      <c r="C23" s="19" t="str">
        <f>IFERROR(_xlfn.XLOOKUP(B23,'Limite de crédito'!C:C,'Limite de crédito'!L:L,),0)</f>
        <v>B</v>
      </c>
      <c r="D23" s="19"/>
      <c r="E23" s="105">
        <f>_xlfn.XLOOKUP(B23,'Limite de crédito'!C:C,'Limite de crédito'!G:G,0)</f>
        <v>1100000</v>
      </c>
      <c r="F23" s="18">
        <f t="shared" si="3"/>
        <v>996580.11</v>
      </c>
      <c r="G23" s="18">
        <f t="shared" si="2"/>
        <v>103419.88999999998</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3">
        <f>SUMIFS('Data International'!$D:$D,'Data International'!$P:$P,'Painel International'!$B23,'Data International'!$Q:$Q,"&gt;360")</f>
        <v>0</v>
      </c>
      <c r="O23" s="19">
        <f>SUMIFS('Data International'!$D:$D,'Data International'!$P:$P,'Painel International'!$B23,'Data International'!$Q:$Q,"&gt;0")</f>
        <v>0</v>
      </c>
      <c r="P23" s="19">
        <f t="shared" si="4"/>
        <v>103419.88999999998</v>
      </c>
      <c r="Q23" s="19">
        <f>SUMIFS('Data International'!$D:$D,'Data International'!$P:$P,'Painel International'!$B23,'Data International'!$Q:$Q,"&lt;=0",'Data International'!$Q:$Q,"&gt;=-30")</f>
        <v>0</v>
      </c>
      <c r="R23" s="19">
        <f>SUMIFS('Data International'!$D:$D,'Data International'!$P:$P,'Painel International'!$B23,'Data International'!$Q:$Q,"&lt;=-31",'Data International'!$Q:$Q,"&gt;=-60")</f>
        <v>103419.88999999998</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3">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2"/>
      <c r="AE23" s="22"/>
      <c r="AF23" s="5"/>
      <c r="AG23" s="28">
        <f>AA23-G23</f>
        <v>446580.11</v>
      </c>
      <c r="AI23" s="262">
        <v>100000</v>
      </c>
    </row>
    <row r="24" spans="2:35" x14ac:dyDescent="0.25">
      <c r="B24" s="41" t="s">
        <v>330</v>
      </c>
      <c r="C24" s="19">
        <f>IFERROR(_xlfn.XLOOKUP(B24,'Limite de crédito'!C:C,'Limite de crédito'!L:L,),0)</f>
        <v>0</v>
      </c>
      <c r="D24" s="19"/>
      <c r="E24" s="105">
        <f>_xlfn.XLOOKUP(B24,'Limite de crédito'!C:C,'Limite de crédito'!G:G,0)</f>
        <v>0</v>
      </c>
      <c r="F24" s="18">
        <f t="shared" si="3"/>
        <v>0</v>
      </c>
      <c r="G24" s="18">
        <f t="shared" si="2"/>
        <v>0</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3">
        <f>SUMIFS('Data International'!$D:$D,'Data International'!$P:$P,'Painel International'!$B24,'Data International'!$Q:$Q,"&gt;360")</f>
        <v>0</v>
      </c>
      <c r="O24" s="19">
        <f>SUMIFS('Data International'!$D:$D,'Data International'!$P:$P,'Painel International'!$B24,'Data International'!$Q:$Q,"&gt;0")</f>
        <v>0</v>
      </c>
      <c r="P24" s="19">
        <f t="shared" si="4"/>
        <v>0</v>
      </c>
      <c r="Q24" s="19">
        <f>SUMIFS('Data International'!$D:$D,'Data International'!$P:$P,'Painel International'!$B24,'Data International'!$Q:$Q,"&lt;=0",'Data International'!$Q:$Q,"&gt;=-30")</f>
        <v>0</v>
      </c>
      <c r="R24" s="19">
        <f>SUMIFS('Data International'!$D:$D,'Data International'!$P:$P,'Painel International'!$B24,'Data International'!$Q:$Q,"&lt;=-31",'Data International'!$Q:$Q,"&gt;=-60")</f>
        <v>0</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3">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2"/>
      <c r="AE24" s="22"/>
      <c r="AF24" s="5"/>
      <c r="AG24" s="28">
        <f>AA24-G24</f>
        <v>0</v>
      </c>
      <c r="AI24" s="262">
        <v>200000</v>
      </c>
    </row>
    <row r="25" spans="2:35" x14ac:dyDescent="0.25">
      <c r="B25" s="41" t="s">
        <v>360</v>
      </c>
      <c r="C25" s="19" t="str">
        <f>IFERROR(_xlfn.XLOOKUP(B25,'Limite de crédito'!C:C,'Limite de crédito'!L:L,),0)</f>
        <v>B</v>
      </c>
      <c r="D25" s="19"/>
      <c r="E25" s="105">
        <f>_xlfn.XLOOKUP(B25,'Limite de crédito'!C:C,'Limite de crédito'!G:G,0)</f>
        <v>1100000</v>
      </c>
      <c r="F25" s="18">
        <f t="shared" si="3"/>
        <v>1059982.3600000001</v>
      </c>
      <c r="G25" s="18">
        <f t="shared" si="2"/>
        <v>40017.64</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3">
        <f>SUMIFS('Data International'!$D:$D,'Data International'!$P:$P,'Painel International'!$B25,'Data International'!$Q:$Q,"&gt;360")</f>
        <v>0</v>
      </c>
      <c r="O25" s="19">
        <f>SUMIFS('Data International'!$D:$D,'Data International'!$P:$P,'Painel International'!$B25,'Data International'!$Q:$Q,"&gt;0")</f>
        <v>0</v>
      </c>
      <c r="P25" s="19">
        <f t="shared" si="4"/>
        <v>40017.64</v>
      </c>
      <c r="Q25" s="19">
        <f>SUMIFS('Data International'!$D:$D,'Data International'!$P:$P,'Painel International'!$B25,'Data International'!$Q:$Q,"&lt;=0",'Data International'!$Q:$Q,"&gt;=-30")</f>
        <v>40017.64</v>
      </c>
      <c r="R25" s="19">
        <f>SUMIFS('Data International'!$D:$D,'Data International'!$P:$P,'Painel International'!$B25,'Data International'!$Q:$Q,"&lt;=-31",'Data International'!$Q:$Q,"&gt;=-60")</f>
        <v>0</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3">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2"/>
      <c r="AE25" s="22"/>
      <c r="AF25" s="5"/>
      <c r="AG25" s="28">
        <f t="shared" si="5"/>
        <v>1059982.3600000001</v>
      </c>
      <c r="AI25" s="262">
        <v>100000</v>
      </c>
    </row>
    <row r="26" spans="2:35" ht="13.95" customHeight="1" x14ac:dyDescent="0.25">
      <c r="B26" s="41" t="s">
        <v>393</v>
      </c>
      <c r="C26" s="19" t="str">
        <f>IFERROR(_xlfn.XLOOKUP(B26,'Limite de crédito'!C:C,'Limite de crédito'!L:L,),0)</f>
        <v>B</v>
      </c>
      <c r="D26" s="19"/>
      <c r="E26" s="105">
        <f>_xlfn.XLOOKUP(B26,'Limite de crédito'!C:C,'Limite de crédito'!G:G,0)</f>
        <v>605000</v>
      </c>
      <c r="F26" s="18">
        <f t="shared" si="3"/>
        <v>605000</v>
      </c>
      <c r="G26" s="18">
        <f t="shared" si="2"/>
        <v>0</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3">
        <f>SUMIFS('Data International'!$D:$D,'Data International'!$P:$P,'Painel International'!$B26,'Data International'!$Q:$Q,"&gt;360")</f>
        <v>0</v>
      </c>
      <c r="O26" s="19">
        <f>SUMIFS('Data International'!$D:$D,'Data International'!$P:$P,'Painel International'!$B26,'Data International'!$Q:$Q,"&gt;0")</f>
        <v>0</v>
      </c>
      <c r="P26" s="19">
        <f t="shared" si="4"/>
        <v>0</v>
      </c>
      <c r="Q26" s="19">
        <f>SUMIFS('Data International'!$D:$D,'Data International'!$P:$P,'Painel International'!$B26,'Data International'!$Q:$Q,"&lt;=0",'Data International'!$Q:$Q,"&gt;=-30")</f>
        <v>0</v>
      </c>
      <c r="R26" s="19">
        <f>SUMIFS('Data International'!$D:$D,'Data International'!$P:$P,'Painel International'!$B26,'Data International'!$Q:$Q,"&lt;=-31",'Data International'!$Q:$Q,"&gt;=-60")</f>
        <v>0</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3">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2"/>
      <c r="AE26" s="22"/>
      <c r="AF26" s="5"/>
      <c r="AG26" s="28">
        <f t="shared" si="5"/>
        <v>605000</v>
      </c>
      <c r="AI26" s="262">
        <v>100000</v>
      </c>
    </row>
    <row r="27" spans="2:35" x14ac:dyDescent="0.25">
      <c r="B27" s="41" t="s">
        <v>128</v>
      </c>
      <c r="C27" s="19">
        <f>IFERROR(_xlfn.XLOOKUP(B27,'Limite de crédito'!C:C,'Limite de crédito'!L:L,),0)</f>
        <v>0</v>
      </c>
      <c r="D27" s="19"/>
      <c r="E27" s="105">
        <f>_xlfn.XLOOKUP(B27,'Limite de crédito'!C:C,'Limite de crédito'!G:G,0)</f>
        <v>0</v>
      </c>
      <c r="F27" s="18">
        <f t="shared" si="3"/>
        <v>-449507.68999999994</v>
      </c>
      <c r="G27" s="18">
        <f t="shared" si="2"/>
        <v>449507.68999999994</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0</v>
      </c>
      <c r="M27" s="19">
        <f>SUMIFS('Data International'!$D:$D,'Data International'!$P:$P,'Painel International'!$B27,'Data International'!$Q:$Q,"&gt;180",'Data International'!$Q:$Q,"&lt;=360")</f>
        <v>449507.68999999994</v>
      </c>
      <c r="N27" s="23">
        <f>SUMIFS('Data International'!$D:$D,'Data International'!$P:$P,'Painel International'!$B27,'Data International'!$Q:$Q,"&gt;360")</f>
        <v>0</v>
      </c>
      <c r="O27" s="19">
        <f>SUMIFS('Data International'!$D:$D,'Data International'!$P:$P,'Painel International'!$B27,'Data International'!$Q:$Q,"&gt;0")</f>
        <v>449507.68999999994</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3">
        <f>SUMIFS('Data International'!$D:$D,'Data International'!$P:$P,'Painel International'!$B27,'Data International'!$Q:$Q,"&lt;-360")</f>
        <v>0</v>
      </c>
      <c r="X27" s="19">
        <f>SUMIFS('Bad Debt Provision'!AB:AB,'Bad Debt Provision'!B:B,'Painel International'!B27)</f>
        <v>13485.2307</v>
      </c>
      <c r="Z27" s="5"/>
      <c r="AA27" s="19">
        <f>_xlfn.XLOOKUP(B27,'Limite de crédito'!C:C,'Limite de crédito'!O:O,0)</f>
        <v>0</v>
      </c>
      <c r="AB27" s="19"/>
      <c r="AC27" s="20"/>
      <c r="AD27" s="22"/>
      <c r="AE27" s="22"/>
      <c r="AF27" s="5"/>
      <c r="AG27" s="28">
        <f>AA27-G27</f>
        <v>-449507.68999999994</v>
      </c>
      <c r="AI27" s="262">
        <v>20000</v>
      </c>
    </row>
    <row r="28" spans="2:35" x14ac:dyDescent="0.25">
      <c r="B28" s="41" t="s">
        <v>571</v>
      </c>
      <c r="C28" s="19" t="str">
        <f>IFERROR(_xlfn.XLOOKUP(B28,'Limite de crédito'!C:C,'Limite de crédito'!L:L,),0)</f>
        <v>B</v>
      </c>
      <c r="D28" s="19"/>
      <c r="E28" s="105">
        <f>_xlfn.XLOOKUP(B28,'Limite de crédito'!C:C,'Limite de crédito'!G:G,0)</f>
        <v>550000</v>
      </c>
      <c r="F28" s="18">
        <f t="shared" si="3"/>
        <v>412283.08999999997</v>
      </c>
      <c r="G28" s="18">
        <f t="shared" si="2"/>
        <v>137716.91</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3">
        <f>SUMIFS('Data International'!$D:$D,'Data International'!$P:$P,'Painel International'!$B28,'Data International'!$Q:$Q,"&gt;360")</f>
        <v>0</v>
      </c>
      <c r="O28" s="19">
        <f>SUMIFS('Data International'!$D:$D,'Data International'!$P:$P,'Painel International'!$B28,'Data International'!$Q:$Q,"&gt;0")</f>
        <v>0</v>
      </c>
      <c r="P28" s="19">
        <f t="shared" si="4"/>
        <v>137716.91</v>
      </c>
      <c r="Q28" s="19">
        <f>SUMIFS('Data International'!$D:$D,'Data International'!$P:$P,'Painel International'!$B28,'Data International'!$Q:$Q,"&lt;=0",'Data International'!$Q:$Q,"&gt;=-30")</f>
        <v>137716.91</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3">
        <f>SUMIFS('Data International'!$D:$D,'Data International'!$P:$P,'Painel International'!$B28,'Data International'!$Q:$Q,"&lt;-360")</f>
        <v>0</v>
      </c>
      <c r="X28" s="19">
        <f>SUMIFS('Bad Debt Provision'!AB:AB,'Bad Debt Provision'!B:B,'Painel International'!B28)</f>
        <v>0</v>
      </c>
      <c r="Z28" s="5"/>
      <c r="AA28" s="19">
        <f>_xlfn.XLOOKUP(B28,'Limite de crédito'!C:C,'Limite de crédito'!O:O,0)</f>
        <v>550000</v>
      </c>
      <c r="AB28" s="19"/>
      <c r="AC28" s="20"/>
      <c r="AD28" s="22"/>
      <c r="AE28" s="22"/>
      <c r="AF28" s="5"/>
      <c r="AG28" s="28">
        <f t="shared" si="5"/>
        <v>412283.08999999997</v>
      </c>
      <c r="AI28" s="262"/>
    </row>
    <row r="29" spans="2:35" x14ac:dyDescent="0.25">
      <c r="B29" s="41" t="s">
        <v>591</v>
      </c>
      <c r="C29" s="19" t="str">
        <f>IFERROR(_xlfn.XLOOKUP(B29,'Limite de crédito'!C:C,'Limite de crédito'!L:L,),0)</f>
        <v>A</v>
      </c>
      <c r="D29" s="19"/>
      <c r="E29" s="105">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3">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3">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2"/>
      <c r="AE29" s="22"/>
      <c r="AF29" s="5"/>
      <c r="AG29" s="28">
        <f t="shared" si="5"/>
        <v>660000</v>
      </c>
      <c r="AI29" s="262"/>
    </row>
    <row r="30" spans="2:35" x14ac:dyDescent="0.25">
      <c r="B30" s="41" t="s">
        <v>648</v>
      </c>
      <c r="C30" s="19" t="str">
        <f>IFERROR(_xlfn.XLOOKUP(B30,'Limite de crédito'!C:C,'Limite de crédito'!L:L,),0)</f>
        <v>B</v>
      </c>
      <c r="D30" s="19"/>
      <c r="E30" s="105">
        <f>_xlfn.XLOOKUP(B30,'Limite de crédito'!C:C,'Limite de crédito'!G:G,0)</f>
        <v>550000</v>
      </c>
      <c r="F30" s="18">
        <f t="shared" ref="F30" si="9">E30-G30</f>
        <v>500043.32</v>
      </c>
      <c r="G30" s="18">
        <f t="shared" ref="G30" si="10">P30+O30</f>
        <v>49956.68</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3">
        <f>SUMIFS('Data International'!$D:$D,'Data International'!$P:$P,'Painel International'!$B30,'Data International'!$Q:$Q,"&gt;360")</f>
        <v>0</v>
      </c>
      <c r="O30" s="19">
        <f>SUMIFS('Data International'!$D:$D,'Data International'!$P:$P,'Painel International'!$B30,'Data International'!$Q:$Q,"&gt;0")</f>
        <v>0</v>
      </c>
      <c r="P30" s="19">
        <f t="shared" ref="P30" si="11">SUM(Q30:W30)</f>
        <v>49956.68</v>
      </c>
      <c r="Q30" s="19">
        <f>SUMIFS('Data International'!$D:$D,'Data International'!$P:$P,'Painel International'!$B30,'Data International'!$Q:$Q,"&lt;=0",'Data International'!$Q:$Q,"&gt;=-30")</f>
        <v>0</v>
      </c>
      <c r="R30" s="19">
        <f>SUMIFS('Data International'!$D:$D,'Data International'!$P:$P,'Painel International'!$B30,'Data International'!$Q:$Q,"&lt;=-31",'Data International'!$Q:$Q,"&gt;=-60")</f>
        <v>49956.68</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3">
        <f>SUMIFS('Data International'!$D:$D,'Data International'!$P:$P,'Painel International'!$B30,'Data International'!$Q:$Q,"&lt;-360")</f>
        <v>0</v>
      </c>
      <c r="X30" s="19">
        <f>SUMIFS('Bad Debt Provision'!AB:AB,'Bad Debt Provision'!B:B,'Painel International'!B30)</f>
        <v>0</v>
      </c>
      <c r="Z30" s="5"/>
      <c r="AA30" s="19">
        <f>_xlfn.XLOOKUP(B30,'Limite de crédito'!C:C,'Limite de crédito'!O:O,0)</f>
        <v>550000</v>
      </c>
      <c r="AB30" s="19"/>
      <c r="AC30" s="20"/>
      <c r="AD30" s="22"/>
      <c r="AE30" s="22"/>
      <c r="AF30" s="5"/>
      <c r="AG30" s="28">
        <f t="shared" si="5"/>
        <v>500043.32</v>
      </c>
      <c r="AI30" s="262">
        <v>30000</v>
      </c>
    </row>
    <row r="31" spans="2:35" x14ac:dyDescent="0.25">
      <c r="B31" s="41" t="s">
        <v>305</v>
      </c>
      <c r="C31" s="19" t="str">
        <f>IFERROR(_xlfn.XLOOKUP(B31,'Limite de crédito'!C:C,'Limite de crédito'!L:L,),0)</f>
        <v>A</v>
      </c>
      <c r="D31" s="19"/>
      <c r="E31" s="105">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0</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3">
        <f>SUMIFS('Data International'!$D:$D,'Data International'!$P:$P,'Painel International'!$B31,'Data International'!$Q:$Q,"&gt;360")</f>
        <v>0</v>
      </c>
      <c r="O31" s="19">
        <f>SUMIFS('Data International'!$D:$D,'Data International'!$P:$P,'Painel International'!$B31,'Data International'!$Q:$Q,"&gt;0")</f>
        <v>0</v>
      </c>
      <c r="P31" s="19">
        <f t="shared" ref="P31" si="14">SUM(Q31:W31)</f>
        <v>86689.1</v>
      </c>
      <c r="Q31" s="19">
        <f>SUMIFS('Data International'!$D:$D,'Data International'!$P:$P,'Painel International'!$B31,'Data International'!$Q:$Q,"&lt;=0",'Data International'!$Q:$Q,"&gt;=-30")</f>
        <v>86689.1</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3">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2"/>
      <c r="AE31" s="22"/>
      <c r="AF31" s="5"/>
      <c r="AG31" s="28">
        <f t="shared" si="5"/>
        <v>463310.9</v>
      </c>
      <c r="AI31" s="262">
        <v>20000</v>
      </c>
    </row>
    <row r="32" spans="2:35" x14ac:dyDescent="0.25">
      <c r="B32" s="41" t="s">
        <v>655</v>
      </c>
      <c r="C32" s="19" t="str">
        <f>IFERROR(_xlfn.XLOOKUP(B32,'Limite de crédito'!C:C,'Limite de crédito'!L:L,),0)</f>
        <v>B</v>
      </c>
      <c r="D32" s="19"/>
      <c r="E32" s="105">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3">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3">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2"/>
      <c r="AE32" s="22"/>
      <c r="AF32" s="5"/>
      <c r="AG32" s="28">
        <f t="shared" si="5"/>
        <v>330000</v>
      </c>
      <c r="AI32" s="261"/>
    </row>
    <row r="33" spans="2:35" x14ac:dyDescent="0.25">
      <c r="B33" s="41" t="s">
        <v>392</v>
      </c>
      <c r="C33" s="19" t="str">
        <f>IFERROR(_xlfn.XLOOKUP(B33,'Limite de crédito'!C:C,'Limite de crédito'!L:L,),0)</f>
        <v>B</v>
      </c>
      <c r="D33" s="19"/>
      <c r="E33" s="105">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3">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3">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2"/>
      <c r="AE33" s="22"/>
      <c r="AF33" s="5"/>
      <c r="AG33" s="28">
        <f>AA33-G33</f>
        <v>412500</v>
      </c>
      <c r="AI33" s="261"/>
    </row>
    <row r="34" spans="2:35" x14ac:dyDescent="0.25">
      <c r="B34" s="41" t="s">
        <v>679</v>
      </c>
      <c r="C34" s="19">
        <f>IFERROR(_xlfn.XLOOKUP(B34,'Limite de crédito'!C:C,'Limite de crédito'!L:L,),0)</f>
        <v>0</v>
      </c>
      <c r="D34" s="19"/>
      <c r="E34" s="105">
        <f>_xlfn.XLOOKUP(B34,'Limite de crédito'!C:C,'Limite de crédito'!G:G,0)</f>
        <v>0</v>
      </c>
      <c r="F34" s="18">
        <f>E34-G34</f>
        <v>-1380.52</v>
      </c>
      <c r="G34" s="18">
        <f>P34+O34</f>
        <v>1380.52</v>
      </c>
      <c r="H34" s="19">
        <f>SUMIFS('Data International'!$D:$D,'Data International'!$P:$P,'Painel International'!$B34,'Data International'!$Q:$Q,"&gt;0",'Data International'!$Q:$Q,"&lt;=30")</f>
        <v>0</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0</v>
      </c>
      <c r="M34" s="19">
        <f>SUMIFS('Data International'!$D:$D,'Data International'!$P:$P,'Painel International'!$B34,'Data International'!$Q:$Q,"&gt;180",'Data International'!$Q:$Q,"&lt;=360")</f>
        <v>527.28</v>
      </c>
      <c r="N34" s="23">
        <f>SUMIFS('Data International'!$D:$D,'Data International'!$P:$P,'Painel International'!$B34,'Data International'!$Q:$Q,"&gt;360")</f>
        <v>0</v>
      </c>
      <c r="O34" s="19">
        <f>SUMIFS('Data International'!$D:$D,'Data International'!$P:$P,'Painel International'!$B34,'Data International'!$Q:$Q,"&gt;0")</f>
        <v>527.28</v>
      </c>
      <c r="P34" s="19">
        <f t="shared" ref="P34" si="21">SUM(Q34:W34)</f>
        <v>853.24</v>
      </c>
      <c r="Q34" s="19">
        <f>SUMIFS('Data International'!$D:$D,'Data International'!$P:$P,'Painel International'!$B34,'Data International'!$Q:$Q,"&lt;=0",'Data International'!$Q:$Q,"&gt;=-30")</f>
        <v>853.24</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3">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2"/>
      <c r="AE34" s="22"/>
      <c r="AF34" s="5"/>
      <c r="AG34" s="28">
        <f>AA34-G34</f>
        <v>-1380.52</v>
      </c>
      <c r="AI34" s="261"/>
    </row>
    <row r="35" spans="2:35" x14ac:dyDescent="0.25">
      <c r="B35" s="41" t="s">
        <v>666</v>
      </c>
      <c r="C35" s="19" t="str">
        <f>IFERROR(_xlfn.XLOOKUP(B35,'Limite de crédito'!C:C,'Limite de crédito'!L:L,),0)</f>
        <v>B</v>
      </c>
      <c r="D35" s="19"/>
      <c r="E35" s="105">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3">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3">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2"/>
      <c r="AE35" s="22"/>
      <c r="AF35" s="5"/>
      <c r="AG35" s="28">
        <f t="shared" si="5"/>
        <v>275000</v>
      </c>
      <c r="AI35" s="261"/>
    </row>
    <row r="36" spans="2:35" x14ac:dyDescent="0.25">
      <c r="B36" s="41" t="s">
        <v>687</v>
      </c>
      <c r="C36" s="19">
        <f>IFERROR(_xlfn.XLOOKUP(B36,'Limite de crédito'!C:C,'Limite de crédito'!L:L,),0)</f>
        <v>0</v>
      </c>
      <c r="D36" s="19"/>
      <c r="E36" s="105">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3">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3">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2"/>
      <c r="AE36" s="22"/>
      <c r="AF36" s="5"/>
      <c r="AG36" s="28">
        <f t="shared" si="5"/>
        <v>0</v>
      </c>
      <c r="AI36" s="261"/>
    </row>
    <row r="37" spans="2:35" x14ac:dyDescent="0.25">
      <c r="B37" s="41" t="s">
        <v>681</v>
      </c>
      <c r="C37" s="19" t="str">
        <f>IFERROR(_xlfn.XLOOKUP(B37,'Limite de crédito'!C:C,'Limite de crédito'!L:L,),0)</f>
        <v>B</v>
      </c>
      <c r="D37" s="19"/>
      <c r="E37" s="105">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3">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3">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2"/>
      <c r="AE37" s="22"/>
      <c r="AF37" s="5"/>
      <c r="AG37" s="28">
        <f t="shared" si="5"/>
        <v>275000</v>
      </c>
      <c r="AI37" s="261"/>
    </row>
    <row r="38" spans="2:35" x14ac:dyDescent="0.25">
      <c r="B38" s="41" t="s">
        <v>262</v>
      </c>
      <c r="C38" s="19" t="str">
        <f>IFERROR(_xlfn.XLOOKUP(B38,'Limite de crédito'!C:C,'Limite de crédito'!L:L,),0)</f>
        <v>B</v>
      </c>
      <c r="D38" s="19"/>
      <c r="E38" s="105">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3">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3">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2"/>
      <c r="AE38" s="22"/>
      <c r="AF38" s="5"/>
      <c r="AG38" s="28">
        <f t="shared" si="5"/>
        <v>1375000</v>
      </c>
      <c r="AI38" s="261"/>
    </row>
    <row r="39" spans="2:35" x14ac:dyDescent="0.25">
      <c r="B39" s="41" t="s">
        <v>696</v>
      </c>
      <c r="C39" s="19" t="str">
        <f>IFERROR(_xlfn.XLOOKUP(B39,'Limite de crédito'!C:C,'Limite de crédito'!L:L,),0)</f>
        <v>C</v>
      </c>
      <c r="D39" s="19"/>
      <c r="E39" s="105">
        <f>_xlfn.XLOOKUP(B39,'Limite de crédito'!C:C,'Limite de crédito'!G:G,0)</f>
        <v>550000</v>
      </c>
      <c r="F39" s="18">
        <f t="shared" si="28"/>
        <v>550000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3">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3">
        <f>SUMIFS('Data International'!$D:$D,'Data International'!$P:$P,'Painel International'!$B39,'Data International'!$Q:$Q,"&lt;-360")</f>
        <v>0</v>
      </c>
      <c r="X39" s="19">
        <f>SUMIFS('Bad Debt Provision'!AB:AB,'Bad Debt Provision'!B:B,'Painel International'!B39)</f>
        <v>0</v>
      </c>
      <c r="Z39" s="5"/>
      <c r="AA39" s="19">
        <f>_xlfn.XLOOKUP(B39,'Limite de crédito'!C:C,'Limite de crédito'!O:O,0)</f>
        <v>550000</v>
      </c>
      <c r="AB39" s="19"/>
      <c r="AC39" s="20"/>
      <c r="AD39" s="22"/>
      <c r="AE39" s="22"/>
      <c r="AF39" s="5"/>
      <c r="AG39" s="28">
        <f t="shared" si="5"/>
        <v>550000</v>
      </c>
      <c r="AI39" s="261"/>
    </row>
    <row r="40" spans="2:35" x14ac:dyDescent="0.25">
      <c r="B40" s="41" t="s">
        <v>394</v>
      </c>
      <c r="C40" s="19" t="str">
        <f>IFERROR(_xlfn.XLOOKUP(B40,'Limite de crédito'!C:C,'Limite de crédito'!L:L,),0)</f>
        <v>A</v>
      </c>
      <c r="D40" s="19"/>
      <c r="E40" s="105">
        <f>_xlfn.XLOOKUP(B40,'Limite de crédito'!C:C,'Limite de crédito'!G:G,0)</f>
        <v>825000</v>
      </c>
      <c r="F40" s="18">
        <f t="shared" si="28"/>
        <v>825000</v>
      </c>
      <c r="G40" s="18">
        <f t="shared" ref="G40" si="35">P40+O40</f>
        <v>0</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3">
        <f>SUMIFS('Data International'!$D:$D,'Data International'!$P:$P,'Painel International'!$B40,'Data International'!$Q:$Q,"&gt;360")</f>
        <v>0</v>
      </c>
      <c r="O40" s="19">
        <f>SUMIFS('Data International'!$D:$D,'Data International'!$P:$P,'Painel International'!$B40,'Data International'!$Q:$Q,"&gt;0")</f>
        <v>0</v>
      </c>
      <c r="P40" s="19">
        <f t="shared" ref="P40" si="36">SUM(Q40:W40)</f>
        <v>0</v>
      </c>
      <c r="Q40" s="19">
        <f>SUMIFS('Data International'!$D:$D,'Data International'!$P:$P,'Painel International'!$B40,'Data International'!$Q:$Q,"&lt;=0",'Data International'!$Q:$Q,"&gt;=-30")</f>
        <v>0</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3">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2"/>
      <c r="AE40" s="22"/>
      <c r="AF40" s="5"/>
      <c r="AG40" s="28">
        <f t="shared" si="5"/>
        <v>825000</v>
      </c>
      <c r="AI40" s="261"/>
    </row>
    <row r="41" spans="2:35" x14ac:dyDescent="0.25">
      <c r="B41" s="41" t="s">
        <v>700</v>
      </c>
      <c r="C41" s="19" t="str">
        <f>IFERROR(_xlfn.XLOOKUP(B41,'Limite de crédito'!C:C,'Limite de crédito'!L:L,),0)</f>
        <v>B</v>
      </c>
      <c r="D41" s="19"/>
      <c r="E41" s="105">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3">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3">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2"/>
      <c r="AE41" s="22"/>
      <c r="AF41" s="5"/>
      <c r="AG41" s="28">
        <f t="shared" si="5"/>
        <v>825000</v>
      </c>
      <c r="AI41" s="261"/>
    </row>
    <row r="42" spans="2:35" x14ac:dyDescent="0.25">
      <c r="B42" s="41" t="s">
        <v>697</v>
      </c>
      <c r="C42" s="19">
        <f>IFERROR(_xlfn.XLOOKUP(B42,'Limite de crédito'!C:C,'Limite de crédito'!L:L,),0)</f>
        <v>0</v>
      </c>
      <c r="D42" s="19"/>
      <c r="E42" s="105">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3">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3">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2"/>
      <c r="AE42" s="22"/>
      <c r="AF42" s="5"/>
      <c r="AG42" s="28">
        <f t="shared" ref="AG42" si="41">AA42-G42</f>
        <v>1375000</v>
      </c>
      <c r="AI42" s="261"/>
    </row>
    <row r="43" spans="2:35" x14ac:dyDescent="0.25">
      <c r="B43" s="41" t="s">
        <v>129</v>
      </c>
      <c r="C43" s="19" t="str">
        <f>IFERROR(_xlfn.XLOOKUP(B43,'Limite de crédito'!C:C,'Limite de crédito'!L:L,),0)</f>
        <v>A</v>
      </c>
      <c r="D43" s="19"/>
      <c r="E43" s="105">
        <f>_xlfn.XLOOKUP(B43,'Limite de crédito'!C:C,'Limite de crédito'!G:G,0)</f>
        <v>1375000</v>
      </c>
      <c r="F43" s="18">
        <f t="shared" ref="F43" si="42">E43-G43</f>
        <v>1217850.53</v>
      </c>
      <c r="G43" s="18">
        <f t="shared" si="39"/>
        <v>157149.47</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3">
        <f>SUMIFS('Data International'!$D:$D,'Data International'!$P:$P,'Painel International'!$B43,'Data International'!$Q:$Q,"&gt;360")</f>
        <v>0</v>
      </c>
      <c r="O43" s="19">
        <f>SUMIFS('Data International'!$D:$D,'Data International'!$P:$P,'Painel International'!$B43,'Data International'!$Q:$Q,"&gt;0")</f>
        <v>0</v>
      </c>
      <c r="P43" s="19">
        <f t="shared" ref="P43" si="43">SUM(Q43:W43)</f>
        <v>157149.47</v>
      </c>
      <c r="Q43" s="19">
        <f>SUMIFS('Data International'!$D:$D,'Data International'!$P:$P,'Painel International'!$B43,'Data International'!$Q:$Q,"&lt;=0",'Data International'!$Q:$Q,"&gt;=-30")</f>
        <v>157149.47</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3">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2"/>
      <c r="AE43" s="22"/>
      <c r="AF43" s="5"/>
      <c r="AG43" s="28">
        <f t="shared" ref="AG43" si="44">AA43-G43</f>
        <v>1217850.53</v>
      </c>
      <c r="AI43" s="261"/>
    </row>
    <row r="44" spans="2:35" x14ac:dyDescent="0.25">
      <c r="B44" s="41" t="s">
        <v>635</v>
      </c>
      <c r="C44" s="19" t="str">
        <f>IFERROR(_xlfn.XLOOKUP(B44,'Limite de crédito'!C:C,'Limite de crédito'!L:L,),0)</f>
        <v>A</v>
      </c>
      <c r="D44" s="19"/>
      <c r="E44" s="105">
        <f>_xlfn.XLOOKUP(B44,'Limite de crédito'!C:C,'Limite de crédito'!G:G,0)</f>
        <v>1100000</v>
      </c>
      <c r="F44" s="18">
        <f t="shared" ref="F44" si="45">E44-G44</f>
        <v>412311.08999999997</v>
      </c>
      <c r="G44" s="18">
        <f t="shared" si="39"/>
        <v>687688.91</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3">
        <f>SUMIFS('Data International'!$D:$D,'Data International'!$P:$P,'Painel International'!$B44,'Data International'!$Q:$Q,"&gt;360")</f>
        <v>0</v>
      </c>
      <c r="O44" s="19">
        <f>SUMIFS('Data International'!$D:$D,'Data International'!$P:$P,'Painel International'!$B44,'Data International'!$Q:$Q,"&gt;0")</f>
        <v>0</v>
      </c>
      <c r="P44" s="19">
        <f t="shared" ref="P44" si="46">SUM(Q44:W44)</f>
        <v>687688.91</v>
      </c>
      <c r="Q44" s="19">
        <f>SUMIFS('Data International'!$D:$D,'Data International'!$P:$P,'Painel International'!$B44,'Data International'!$Q:$Q,"&lt;=0",'Data International'!$Q:$Q,"&gt;=-30")</f>
        <v>0</v>
      </c>
      <c r="R44" s="19">
        <f>SUMIFS('Data International'!$D:$D,'Data International'!$P:$P,'Painel International'!$B44,'Data International'!$Q:$Q,"&lt;=-31",'Data International'!$Q:$Q,"&gt;=-60")</f>
        <v>687688.91</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3">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2"/>
      <c r="AE44" s="22"/>
      <c r="AF44" s="5"/>
      <c r="AG44" s="28">
        <f t="shared" ref="AG44" si="47">AA44-G44</f>
        <v>412311.08999999997</v>
      </c>
      <c r="AI44" s="261"/>
    </row>
    <row r="45" spans="2:35" x14ac:dyDescent="0.25">
      <c r="B45" s="41" t="s">
        <v>622</v>
      </c>
      <c r="C45" s="19">
        <f>IFERROR(_xlfn.XLOOKUP(B45,'Limite de crédito'!C:C,'Limite de crédito'!L:L,),0)</f>
        <v>0</v>
      </c>
      <c r="D45" s="19"/>
      <c r="E45" s="105">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3">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3">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2"/>
      <c r="AE45" s="22"/>
      <c r="AF45" s="5"/>
      <c r="AG45" s="28">
        <f t="shared" ref="AG45" si="50">AA45-G45</f>
        <v>0</v>
      </c>
      <c r="AI45" s="261"/>
    </row>
    <row r="46" spans="2:35" x14ac:dyDescent="0.25">
      <c r="B46" s="41" t="s">
        <v>758</v>
      </c>
      <c r="C46" s="19">
        <f>IFERROR(_xlfn.XLOOKUP(B46,'Limite de crédito'!C:C,'Limite de crédito'!L:L,),0)</f>
        <v>0</v>
      </c>
      <c r="D46" s="19"/>
      <c r="E46" s="105">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3">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3">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2"/>
      <c r="AE46" s="22"/>
      <c r="AF46" s="5"/>
      <c r="AG46" s="28">
        <f t="shared" ref="AG46" si="53">AA46-G46</f>
        <v>275000</v>
      </c>
      <c r="AI46" s="261"/>
    </row>
    <row r="47" spans="2:35" x14ac:dyDescent="0.25">
      <c r="B47" s="41" t="s">
        <v>844</v>
      </c>
      <c r="C47" s="19">
        <f>IFERROR(_xlfn.XLOOKUP(B47,'Limite de crédito'!C:C,'Limite de crédito'!L:L,),0)</f>
        <v>0</v>
      </c>
      <c r="D47" s="19"/>
      <c r="E47" s="105">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3">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3">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2"/>
      <c r="AE47" s="22"/>
      <c r="AF47" s="5"/>
      <c r="AG47" s="28">
        <f t="shared" ref="AG47" si="56">AA47-G47</f>
        <v>0</v>
      </c>
      <c r="AI47" s="261"/>
    </row>
    <row r="48" spans="2:35" x14ac:dyDescent="0.25">
      <c r="B48" s="41" t="s">
        <v>852</v>
      </c>
      <c r="C48" s="19" t="str">
        <f>IFERROR(_xlfn.XLOOKUP(B48,'Limite de crédito'!C:C,'Limite de crédito'!L:L,),0)</f>
        <v>D</v>
      </c>
      <c r="D48" s="19"/>
      <c r="E48" s="105">
        <f>_xlfn.XLOOKUP(B48,'Limite de crédito'!C:C,'Limite de crédito'!G:G,0)</f>
        <v>275000</v>
      </c>
      <c r="F48" s="18">
        <f t="shared" ref="F48" si="57">E48-G48</f>
        <v>229281.54</v>
      </c>
      <c r="G48" s="18">
        <f t="shared" ref="G48" si="58">P48+O48</f>
        <v>45718.46</v>
      </c>
      <c r="H48" s="19">
        <f>SUMIFS('Data International'!$D:$D,'Data International'!$P:$P,'Painel International'!$B48,'Data International'!$Q:$Q,"&gt;0",'Data International'!$Q:$Q,"&lt;=30")</f>
        <v>0</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3">
        <f>SUMIFS('Data International'!$D:$D,'Data International'!$P:$P,'Painel International'!$B48,'Data International'!$Q:$Q,"&gt;360")</f>
        <v>0</v>
      </c>
      <c r="O48" s="19">
        <f>SUMIFS('Data International'!$D:$D,'Data International'!$P:$P,'Painel International'!$B48,'Data International'!$Q:$Q,"&gt;0")</f>
        <v>0</v>
      </c>
      <c r="P48" s="19">
        <f t="shared" ref="P48" si="59">SUM(Q48:W48)</f>
        <v>45718.46</v>
      </c>
      <c r="Q48" s="19">
        <f>SUMIFS('Data International'!$D:$D,'Data International'!$P:$P,'Painel International'!$B48,'Data International'!$Q:$Q,"&lt;=0",'Data International'!$Q:$Q,"&gt;=-30")</f>
        <v>0</v>
      </c>
      <c r="R48" s="19">
        <f>SUMIFS('Data International'!$D:$D,'Data International'!$P:$P,'Painel International'!$B48,'Data International'!$Q:$Q,"&lt;=-31",'Data International'!$Q:$Q,"&gt;=-60")</f>
        <v>45718.46</v>
      </c>
      <c r="S48" s="19">
        <f>SUMIFS('Data International'!$D:$D,'Data International'!$P:$P,'Painel International'!$B48,'Data International'!$Q:$Q,"&lt;=-61",'Data International'!$Q:$Q,"&gt;=-90")</f>
        <v>0</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3">
        <f>SUMIFS('Data International'!$D:$D,'Data International'!$P:$P,'Painel International'!$B48,'Data International'!$Q:$Q,"&lt;-360")</f>
        <v>0</v>
      </c>
      <c r="X48" s="19">
        <f>SUMIFS('Bad Debt Provision'!AB:AB,'Bad Debt Provision'!B:B,'Painel International'!B48)</f>
        <v>0</v>
      </c>
      <c r="Z48" s="5"/>
      <c r="AA48" s="19">
        <f>_xlfn.XLOOKUP(B48,'Limite de crédito'!C:C,'Limite de crédito'!O:O,0)</f>
        <v>275000</v>
      </c>
      <c r="AB48" s="19"/>
      <c r="AC48" s="20"/>
      <c r="AD48" s="22"/>
      <c r="AE48" s="22"/>
      <c r="AF48" s="5"/>
      <c r="AG48" s="28">
        <f t="shared" ref="AG48" si="60">AA48-G48</f>
        <v>229281.54</v>
      </c>
      <c r="AI48" s="261"/>
    </row>
    <row r="49" spans="2:35" x14ac:dyDescent="0.25">
      <c r="B49" s="41" t="s">
        <v>905</v>
      </c>
      <c r="C49" s="19">
        <f>IFERROR(_xlfn.XLOOKUP(B49,'Limite de crédito'!C:C,'Limite de crédito'!L:L,),0)</f>
        <v>0</v>
      </c>
      <c r="D49" s="19"/>
      <c r="E49" s="105">
        <f>_xlfn.XLOOKUP(B49,'Limite de crédito'!C:C,'Limite de crédito'!G:G,0)</f>
        <v>0</v>
      </c>
      <c r="F49" s="18">
        <f t="shared" ref="F49" si="61">E49-G49</f>
        <v>0</v>
      </c>
      <c r="G49" s="18">
        <f t="shared" ref="G49" si="62">P49+O49</f>
        <v>0</v>
      </c>
      <c r="H49" s="19">
        <f>SUMIFS('Data International'!$D:$D,'Data International'!$P:$P,'Painel International'!$B49,'Data International'!$Q:$Q,"&gt;0",'Data International'!$Q:$Q,"&lt;=30")</f>
        <v>0</v>
      </c>
      <c r="I49" s="19">
        <f>SUMIFS('Data International'!$D:$D,'Data International'!$P:$P,'Painel International'!$B49,'Data International'!$Q:$Q,"&gt;30",'Data International'!$Q:$Q,"&lt;=60")</f>
        <v>0</v>
      </c>
      <c r="J49" s="19">
        <f>SUMIFS('Data International'!$D:$D,'Data International'!$P:$P,'Painel International'!$B49,'Data International'!$Q:$Q,"&gt;60",'Data International'!$Q:$Q,"&lt;=90")</f>
        <v>0</v>
      </c>
      <c r="K49" s="19">
        <f>SUMIFS('Data International'!$D:$D,'Data International'!$P:$P,'Painel International'!$B49,'Data International'!$Q:$Q,"&gt;90",'Data International'!$Q:$Q,"&lt;=120")</f>
        <v>0</v>
      </c>
      <c r="L49" s="19">
        <f>SUMIFS('Data International'!$D:$D,'Data International'!$P:$P,'Painel International'!$B49,'Data International'!$Q:$Q,"&gt;120",'Data International'!$Q:$Q,"&lt;=180")</f>
        <v>0</v>
      </c>
      <c r="M49" s="19">
        <f>SUMIFS('Data International'!$D:$D,'Data International'!$P:$P,'Painel International'!$B49,'Data International'!$Q:$Q,"&gt;180",'Data International'!$Q:$Q,"&lt;=360")</f>
        <v>0</v>
      </c>
      <c r="N49" s="23">
        <f>SUMIFS('Data International'!$D:$D,'Data International'!$P:$P,'Painel International'!$B49,'Data International'!$Q:$Q,"&gt;360")</f>
        <v>0</v>
      </c>
      <c r="O49" s="19">
        <f>SUMIFS('Data International'!$D:$D,'Data International'!$P:$P,'Painel International'!$B49,'Data International'!$Q:$Q,"&gt;0")</f>
        <v>0</v>
      </c>
      <c r="P49" s="19">
        <f t="shared" ref="P49" si="63">SUM(Q49:W49)</f>
        <v>0</v>
      </c>
      <c r="Q49" s="19">
        <f>SUMIFS('Data International'!$D:$D,'Data International'!$P:$P,'Painel International'!$B49,'Data International'!$Q:$Q,"&lt;=0",'Data International'!$Q:$Q,"&gt;=-30")</f>
        <v>0</v>
      </c>
      <c r="R49" s="19">
        <f>SUMIFS('Data International'!$D:$D,'Data International'!$P:$P,'Painel International'!$B49,'Data International'!$Q:$Q,"&lt;=-31",'Data International'!$Q:$Q,"&gt;=-60")</f>
        <v>0</v>
      </c>
      <c r="S49" s="19">
        <f>SUMIFS('Data International'!$D:$D,'Data International'!$P:$P,'Painel International'!$B49,'Data International'!$Q:$Q,"&lt;=-61",'Data International'!$Q:$Q,"&gt;=-90")</f>
        <v>0</v>
      </c>
      <c r="T49" s="19">
        <f>SUMIFS('Data International'!$D:$D,'Data International'!$P:$P,'Painel International'!$B49,'Data International'!$Q:$Q,"&lt;=-91",'Data International'!$Q:$Q,"&gt;=-120")</f>
        <v>0</v>
      </c>
      <c r="U49" s="19">
        <f>SUMIFS('Data International'!$D:$D,'Data International'!$P:$P,'Painel International'!$B49,'Data International'!$Q:$Q,"&lt;=-121",'Data International'!$Q:$Q,"&gt;=-180")</f>
        <v>0</v>
      </c>
      <c r="V49" s="19">
        <f>SUMIFS('Data International'!$D:$D,'Data International'!$P:$P,'Painel International'!$B49,'Data International'!$Q:$Q,"&lt;=-181",'Data International'!$Q:$Q,"&gt;=-360")</f>
        <v>0</v>
      </c>
      <c r="W49" s="23">
        <f>SUMIFS('Data International'!$D:$D,'Data International'!$P:$P,'Painel International'!$B49,'Data International'!$Q:$Q,"&lt;-360")</f>
        <v>0</v>
      </c>
      <c r="X49" s="19">
        <f>SUMIFS('Bad Debt Provision'!AB:AB,'Bad Debt Provision'!B:B,'Painel International'!B49)</f>
        <v>0</v>
      </c>
      <c r="Z49" s="5"/>
      <c r="AA49" s="19">
        <f>_xlfn.XLOOKUP(B49,'Limite de crédito'!C:C,'Limite de crédito'!O:O,0)</f>
        <v>0</v>
      </c>
      <c r="AB49" s="19"/>
      <c r="AC49" s="20"/>
      <c r="AD49" s="22"/>
      <c r="AE49" s="22"/>
      <c r="AF49" s="5"/>
      <c r="AG49" s="28">
        <f t="shared" ref="AG49" si="64">AA49-G49</f>
        <v>0</v>
      </c>
      <c r="AI49" s="261"/>
    </row>
  </sheetData>
  <autoFilter ref="A3:AL28" xr:uid="{8425CF93-5C5C-4FF0-82A9-E94788869630}"/>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35"/>
  <sheetViews>
    <sheetView topLeftCell="Q1" zoomScale="90" zoomScaleNormal="90" workbookViewId="0">
      <selection activeCell="Y1" sqref="Y1"/>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5" bestFit="1" customWidth="1"/>
    <col min="5" max="5" width="11.6640625" bestFit="1" customWidth="1"/>
    <col min="6" max="6" width="16" bestFit="1" customWidth="1"/>
    <col min="7" max="7" width="11.44140625" style="32"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2"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2" bestFit="1" customWidth="1"/>
    <col min="28" max="28" width="16.33203125" style="32" bestFit="1" customWidth="1"/>
    <col min="29" max="29" width="23.6640625" bestFit="1" customWidth="1"/>
    <col min="30" max="30" width="18.6640625" bestFit="1" customWidth="1"/>
    <col min="31" max="31" width="26.5546875" bestFit="1" customWidth="1"/>
  </cols>
  <sheetData>
    <row r="1" spans="1:31" s="277" customFormat="1" ht="15" thickBot="1" x14ac:dyDescent="0.35">
      <c r="A1" s="276"/>
      <c r="B1" s="276"/>
      <c r="C1" s="277">
        <f>A1+B1</f>
        <v>0</v>
      </c>
      <c r="D1" s="269">
        <f>SUBTOTAL(9,D4:D999868)</f>
        <v>61722956.230000034</v>
      </c>
      <c r="E1" s="270"/>
      <c r="F1" s="270"/>
      <c r="H1" s="277">
        <f>G1-B1</f>
        <v>0</v>
      </c>
      <c r="I1" s="278">
        <v>46053</v>
      </c>
      <c r="M1" s="269">
        <f>SUM(Q1:U1)</f>
        <v>61722956.230000004</v>
      </c>
      <c r="O1" s="277">
        <f t="shared" ref="O1" si="0">SUBTOTAL(9,O4:O999868)</f>
        <v>0</v>
      </c>
      <c r="P1" s="277">
        <f>SUBTOTAL(9,P4:P999868)</f>
        <v>10610662.462299995</v>
      </c>
      <c r="Q1" s="277">
        <f t="shared" ref="Q1:U1" si="1">SUBTOTAL(9,Q4:Q999868)</f>
        <v>38686455.550000004</v>
      </c>
      <c r="R1" s="277">
        <f t="shared" si="1"/>
        <v>87042.16</v>
      </c>
      <c r="S1" s="277">
        <f t="shared" si="1"/>
        <v>266419.12</v>
      </c>
      <c r="T1" s="277">
        <f t="shared" si="1"/>
        <v>1186379.29</v>
      </c>
      <c r="U1" s="277">
        <f t="shared" si="1"/>
        <v>21496660.110000007</v>
      </c>
      <c r="V1" s="269"/>
      <c r="W1" s="269">
        <f t="shared" ref="W1" si="2">SUBTOTAL(9,W4:W999868)</f>
        <v>546989.49270000029</v>
      </c>
      <c r="X1" s="269">
        <f>SUBTOTAL(9,X4:X999868)</f>
        <v>16276779.139600003</v>
      </c>
      <c r="Y1" s="269">
        <f>SUBTOTAL(9,Y4:Y999868)</f>
        <v>16276779.139600003</v>
      </c>
      <c r="Z1" s="269">
        <f>SUBTOTAL(9,Z4:Z999868)</f>
        <v>17180404.18999999</v>
      </c>
      <c r="AA1" s="269">
        <f>SUBTOTAL(9,AA4:AA999868)</f>
        <v>-6213106.169999999</v>
      </c>
      <c r="AB1" s="269">
        <f>SUBTOTAL(9,AB4:AB999868)</f>
        <v>10610662.462299995</v>
      </c>
      <c r="AC1" s="269"/>
      <c r="AE1" s="269">
        <f>SUBTOTAL(9,AE4:AE869)</f>
        <v>8704255.3543999977</v>
      </c>
    </row>
    <row r="2" spans="1:31" s="271" customFormat="1" x14ac:dyDescent="0.25">
      <c r="I2" s="279"/>
      <c r="V2" s="169"/>
      <c r="W2" s="204"/>
      <c r="X2" s="205"/>
      <c r="Y2" s="169"/>
    </row>
    <row r="3" spans="1:31" ht="13.8" x14ac:dyDescent="0.25">
      <c r="A3" s="206" t="s">
        <v>4</v>
      </c>
      <c r="B3" s="206" t="s">
        <v>3</v>
      </c>
      <c r="C3" s="206" t="s">
        <v>0</v>
      </c>
      <c r="D3" s="207" t="s">
        <v>274</v>
      </c>
      <c r="E3" s="206" t="s">
        <v>217</v>
      </c>
      <c r="F3" s="206" t="s">
        <v>2</v>
      </c>
      <c r="G3" s="272" t="s">
        <v>216</v>
      </c>
      <c r="H3" s="206" t="s">
        <v>218</v>
      </c>
      <c r="I3" s="206" t="s">
        <v>219</v>
      </c>
      <c r="J3" s="206" t="s">
        <v>1</v>
      </c>
      <c r="K3" s="206" t="s">
        <v>220</v>
      </c>
      <c r="L3" s="206" t="s">
        <v>221</v>
      </c>
      <c r="M3" s="206" t="s">
        <v>222</v>
      </c>
      <c r="N3" s="208" t="s">
        <v>275</v>
      </c>
      <c r="O3" s="273" t="s">
        <v>738</v>
      </c>
      <c r="P3" s="208" t="s">
        <v>320</v>
      </c>
      <c r="Q3" s="208" t="s">
        <v>276</v>
      </c>
      <c r="R3" s="208" t="s">
        <v>277</v>
      </c>
      <c r="S3" s="208" t="s">
        <v>278</v>
      </c>
      <c r="T3" s="208" t="s">
        <v>279</v>
      </c>
      <c r="U3" s="208" t="s">
        <v>280</v>
      </c>
      <c r="V3" s="209" t="s">
        <v>281</v>
      </c>
      <c r="W3" s="209" t="s">
        <v>282</v>
      </c>
      <c r="X3" s="210" t="s">
        <v>283</v>
      </c>
      <c r="Y3" s="209" t="s">
        <v>284</v>
      </c>
      <c r="Z3" s="211" t="s">
        <v>285</v>
      </c>
      <c r="AA3" s="274" t="s">
        <v>286</v>
      </c>
      <c r="AB3" s="274" t="s">
        <v>287</v>
      </c>
      <c r="AC3" s="211" t="s">
        <v>538</v>
      </c>
      <c r="AD3" s="211" t="s">
        <v>539</v>
      </c>
      <c r="AE3" s="274" t="s">
        <v>705</v>
      </c>
    </row>
    <row r="4" spans="1:31" x14ac:dyDescent="0.25">
      <c r="A4">
        <v>1953</v>
      </c>
      <c r="B4" t="s">
        <v>414</v>
      </c>
      <c r="C4" t="s">
        <v>882</v>
      </c>
      <c r="D4" s="35">
        <v>1200</v>
      </c>
      <c r="E4">
        <v>1246268567</v>
      </c>
      <c r="F4" s="324">
        <v>46116</v>
      </c>
      <c r="H4" t="s">
        <v>28</v>
      </c>
      <c r="I4" t="s">
        <v>29</v>
      </c>
      <c r="J4">
        <v>1246268567</v>
      </c>
      <c r="K4" s="324">
        <v>46101</v>
      </c>
      <c r="L4">
        <v>3042200</v>
      </c>
      <c r="M4" t="s">
        <v>857</v>
      </c>
      <c r="N4">
        <v>-4</v>
      </c>
      <c r="O4" s="32">
        <v>0</v>
      </c>
      <c r="P4" s="32">
        <v>0</v>
      </c>
      <c r="Q4" s="32">
        <v>1200</v>
      </c>
      <c r="R4" s="32">
        <v>0</v>
      </c>
      <c r="S4" s="32">
        <v>0</v>
      </c>
      <c r="T4" s="32">
        <v>0</v>
      </c>
      <c r="U4" s="32">
        <v>0</v>
      </c>
      <c r="V4" s="32">
        <v>0</v>
      </c>
      <c r="W4" s="32">
        <v>0</v>
      </c>
      <c r="X4" s="32">
        <v>0</v>
      </c>
      <c r="Y4" s="32">
        <v>0</v>
      </c>
      <c r="Z4" s="32">
        <v>0</v>
      </c>
      <c r="AA4" s="32">
        <v>0</v>
      </c>
      <c r="AB4" s="32">
        <v>0</v>
      </c>
      <c r="AC4" s="32" t="s">
        <v>475</v>
      </c>
      <c r="AD4" s="32"/>
      <c r="AE4" s="32">
        <v>0</v>
      </c>
    </row>
    <row r="5" spans="1:31" x14ac:dyDescent="0.25">
      <c r="A5">
        <v>1787</v>
      </c>
      <c r="B5" t="s">
        <v>531</v>
      </c>
      <c r="C5" t="s">
        <v>68</v>
      </c>
      <c r="D5" s="35">
        <v>3600</v>
      </c>
      <c r="E5">
        <v>1246031589</v>
      </c>
      <c r="F5" s="324">
        <v>44784</v>
      </c>
      <c r="H5" t="s">
        <v>28</v>
      </c>
      <c r="I5" t="s">
        <v>29</v>
      </c>
      <c r="J5">
        <v>1246031589</v>
      </c>
      <c r="K5" s="324">
        <v>44769</v>
      </c>
      <c r="L5">
        <v>3041000</v>
      </c>
      <c r="M5" t="s">
        <v>138</v>
      </c>
      <c r="N5">
        <v>1328</v>
      </c>
      <c r="O5" s="32">
        <v>0</v>
      </c>
      <c r="P5" s="32">
        <v>3600</v>
      </c>
      <c r="Q5" s="32">
        <v>0</v>
      </c>
      <c r="R5" s="32">
        <v>0</v>
      </c>
      <c r="S5" s="32">
        <v>0</v>
      </c>
      <c r="T5" s="32">
        <v>0</v>
      </c>
      <c r="U5" s="32">
        <v>3600</v>
      </c>
      <c r="V5" s="32">
        <v>0</v>
      </c>
      <c r="W5" s="32">
        <v>108</v>
      </c>
      <c r="X5" s="32">
        <v>3492</v>
      </c>
      <c r="Y5" s="32">
        <v>3492</v>
      </c>
      <c r="Z5" s="32">
        <v>3600</v>
      </c>
      <c r="AA5" s="32">
        <v>0</v>
      </c>
      <c r="AB5" s="32">
        <v>3600</v>
      </c>
      <c r="AC5" s="32" t="s">
        <v>540</v>
      </c>
      <c r="AD5" s="32"/>
      <c r="AE5" s="32">
        <v>3600</v>
      </c>
    </row>
    <row r="6" spans="1:31" x14ac:dyDescent="0.25">
      <c r="A6">
        <v>1787</v>
      </c>
      <c r="B6" t="s">
        <v>531</v>
      </c>
      <c r="C6" t="s">
        <v>68</v>
      </c>
      <c r="D6" s="35">
        <v>2700</v>
      </c>
      <c r="E6">
        <v>1246055596</v>
      </c>
      <c r="F6" s="324">
        <v>44889</v>
      </c>
      <c r="H6" t="s">
        <v>28</v>
      </c>
      <c r="I6" t="s">
        <v>29</v>
      </c>
      <c r="J6">
        <v>1246055596</v>
      </c>
      <c r="K6" s="324">
        <v>44889</v>
      </c>
      <c r="L6">
        <v>3041000</v>
      </c>
      <c r="M6" t="s">
        <v>138</v>
      </c>
      <c r="N6">
        <v>1223</v>
      </c>
      <c r="O6" s="32">
        <v>0</v>
      </c>
      <c r="P6" s="32">
        <v>2700</v>
      </c>
      <c r="Q6" s="32">
        <v>0</v>
      </c>
      <c r="R6" s="32">
        <v>0</v>
      </c>
      <c r="S6" s="32">
        <v>0</v>
      </c>
      <c r="T6" s="32">
        <v>0</v>
      </c>
      <c r="U6" s="32">
        <v>2700</v>
      </c>
      <c r="V6" s="32">
        <v>0</v>
      </c>
      <c r="W6" s="32">
        <v>81</v>
      </c>
      <c r="X6" s="32">
        <v>2619</v>
      </c>
      <c r="Y6" s="32">
        <v>2619</v>
      </c>
      <c r="Z6" s="32">
        <v>2700</v>
      </c>
      <c r="AA6" s="32">
        <v>0</v>
      </c>
      <c r="AB6" s="32">
        <v>2700</v>
      </c>
      <c r="AC6" s="32" t="s">
        <v>540</v>
      </c>
      <c r="AD6" s="32"/>
      <c r="AE6" s="32">
        <v>2700</v>
      </c>
    </row>
    <row r="7" spans="1:31" x14ac:dyDescent="0.25">
      <c r="A7">
        <v>1788</v>
      </c>
      <c r="B7" t="s">
        <v>531</v>
      </c>
      <c r="C7" t="s">
        <v>70</v>
      </c>
      <c r="D7" s="35">
        <v>5400</v>
      </c>
      <c r="E7">
        <v>1246055599</v>
      </c>
      <c r="F7" s="324">
        <v>44889</v>
      </c>
      <c r="H7" t="s">
        <v>28</v>
      </c>
      <c r="I7" t="s">
        <v>29</v>
      </c>
      <c r="J7">
        <v>1246055599</v>
      </c>
      <c r="K7" s="324">
        <v>44889</v>
      </c>
      <c r="L7">
        <v>3041000</v>
      </c>
      <c r="M7" t="s">
        <v>138</v>
      </c>
      <c r="N7">
        <v>1223</v>
      </c>
      <c r="O7" s="32">
        <v>0</v>
      </c>
      <c r="P7" s="32">
        <v>5400</v>
      </c>
      <c r="Q7" s="32">
        <v>0</v>
      </c>
      <c r="R7" s="32">
        <v>0</v>
      </c>
      <c r="S7" s="32">
        <v>0</v>
      </c>
      <c r="T7" s="32">
        <v>0</v>
      </c>
      <c r="U7" s="32">
        <v>5400</v>
      </c>
      <c r="V7" s="32">
        <v>0</v>
      </c>
      <c r="W7" s="32">
        <v>162</v>
      </c>
      <c r="X7" s="32">
        <v>5238</v>
      </c>
      <c r="Y7" s="32">
        <v>5238</v>
      </c>
      <c r="Z7" s="32">
        <v>5400</v>
      </c>
      <c r="AA7" s="32">
        <v>0</v>
      </c>
      <c r="AB7" s="32">
        <v>5400</v>
      </c>
      <c r="AC7" s="32" t="s">
        <v>540</v>
      </c>
      <c r="AD7" s="32"/>
      <c r="AE7" s="32">
        <v>5400</v>
      </c>
    </row>
    <row r="8" spans="1:31" x14ac:dyDescent="0.25">
      <c r="A8">
        <v>1788</v>
      </c>
      <c r="B8" t="s">
        <v>531</v>
      </c>
      <c r="C8" t="s">
        <v>70</v>
      </c>
      <c r="D8" s="35">
        <v>1200</v>
      </c>
      <c r="E8">
        <v>1246190701</v>
      </c>
      <c r="F8" s="324">
        <v>45674</v>
      </c>
      <c r="H8" t="s">
        <v>28</v>
      </c>
      <c r="I8" t="s">
        <v>29</v>
      </c>
      <c r="J8">
        <v>1246190701</v>
      </c>
      <c r="K8" s="324">
        <v>45659</v>
      </c>
      <c r="L8">
        <v>3041000</v>
      </c>
      <c r="M8" t="s">
        <v>138</v>
      </c>
      <c r="N8">
        <v>438</v>
      </c>
      <c r="O8" s="32">
        <v>0</v>
      </c>
      <c r="P8" s="32">
        <v>1200</v>
      </c>
      <c r="Q8" s="32">
        <v>0</v>
      </c>
      <c r="R8" s="32">
        <v>0</v>
      </c>
      <c r="S8" s="32">
        <v>0</v>
      </c>
      <c r="T8" s="32">
        <v>0</v>
      </c>
      <c r="U8" s="32">
        <v>1200</v>
      </c>
      <c r="V8" s="32">
        <v>0</v>
      </c>
      <c r="W8" s="32">
        <v>36</v>
      </c>
      <c r="X8" s="32">
        <v>1164</v>
      </c>
      <c r="Y8" s="32">
        <v>1164</v>
      </c>
      <c r="Z8" s="32">
        <v>1200</v>
      </c>
      <c r="AA8" s="32">
        <v>0</v>
      </c>
      <c r="AB8" s="32">
        <v>1200</v>
      </c>
      <c r="AC8" s="32" t="s">
        <v>540</v>
      </c>
      <c r="AD8" s="32"/>
      <c r="AE8" s="32">
        <v>1200</v>
      </c>
    </row>
    <row r="9" spans="1:31" x14ac:dyDescent="0.25">
      <c r="A9">
        <v>1789</v>
      </c>
      <c r="B9" t="s">
        <v>531</v>
      </c>
      <c r="C9" t="s">
        <v>72</v>
      </c>
      <c r="D9" s="35">
        <v>2700</v>
      </c>
      <c r="E9">
        <v>1246120461</v>
      </c>
      <c r="F9" s="324">
        <v>45294</v>
      </c>
      <c r="H9" t="s">
        <v>28</v>
      </c>
      <c r="I9" t="s">
        <v>29</v>
      </c>
      <c r="J9">
        <v>191223</v>
      </c>
      <c r="K9" s="324">
        <v>45279</v>
      </c>
      <c r="L9">
        <v>3041000</v>
      </c>
      <c r="M9" t="s">
        <v>138</v>
      </c>
      <c r="N9">
        <v>818</v>
      </c>
      <c r="O9" s="32">
        <v>0</v>
      </c>
      <c r="P9" s="32">
        <v>2700</v>
      </c>
      <c r="Q9" s="32">
        <v>0</v>
      </c>
      <c r="R9" s="32">
        <v>0</v>
      </c>
      <c r="S9" s="32">
        <v>0</v>
      </c>
      <c r="T9" s="32">
        <v>0</v>
      </c>
      <c r="U9" s="32">
        <v>2700</v>
      </c>
      <c r="V9" s="32">
        <v>0</v>
      </c>
      <c r="W9" s="32">
        <v>81</v>
      </c>
      <c r="X9" s="32">
        <v>2619</v>
      </c>
      <c r="Y9" s="32">
        <v>2619</v>
      </c>
      <c r="Z9" s="32">
        <v>2700</v>
      </c>
      <c r="AA9" s="32">
        <v>0</v>
      </c>
      <c r="AB9" s="32">
        <v>2700</v>
      </c>
      <c r="AC9" s="32" t="s">
        <v>540</v>
      </c>
      <c r="AD9" s="32"/>
      <c r="AE9" s="32">
        <v>2700</v>
      </c>
    </row>
    <row r="10" spans="1:31" x14ac:dyDescent="0.25">
      <c r="A10">
        <v>1789</v>
      </c>
      <c r="B10" t="s">
        <v>531</v>
      </c>
      <c r="C10" t="s">
        <v>72</v>
      </c>
      <c r="D10" s="35">
        <v>900</v>
      </c>
      <c r="E10">
        <v>1246146095</v>
      </c>
      <c r="F10" s="324">
        <v>45428</v>
      </c>
      <c r="H10" t="s">
        <v>28</v>
      </c>
      <c r="I10" t="s">
        <v>29</v>
      </c>
      <c r="J10">
        <v>1246120461</v>
      </c>
      <c r="K10" s="324">
        <v>45428</v>
      </c>
      <c r="L10">
        <v>3041000</v>
      </c>
      <c r="M10" t="s">
        <v>138</v>
      </c>
      <c r="N10">
        <v>684</v>
      </c>
      <c r="O10" s="32">
        <v>0</v>
      </c>
      <c r="P10" s="32">
        <v>900</v>
      </c>
      <c r="Q10" s="32">
        <v>0</v>
      </c>
      <c r="R10" s="32">
        <v>0</v>
      </c>
      <c r="S10" s="32">
        <v>0</v>
      </c>
      <c r="T10" s="32">
        <v>0</v>
      </c>
      <c r="U10" s="32">
        <v>900</v>
      </c>
      <c r="V10" s="32">
        <v>0</v>
      </c>
      <c r="W10" s="32">
        <v>27</v>
      </c>
      <c r="X10" s="32">
        <v>873</v>
      </c>
      <c r="Y10" s="32">
        <v>873</v>
      </c>
      <c r="Z10" s="32">
        <v>900</v>
      </c>
      <c r="AA10" s="32">
        <v>0</v>
      </c>
      <c r="AB10" s="32">
        <v>900</v>
      </c>
      <c r="AC10" s="32" t="s">
        <v>540</v>
      </c>
      <c r="AD10" s="32"/>
      <c r="AE10" s="32">
        <v>900</v>
      </c>
    </row>
    <row r="11" spans="1:31" x14ac:dyDescent="0.25">
      <c r="A11">
        <v>1159</v>
      </c>
      <c r="B11" t="s">
        <v>420</v>
      </c>
      <c r="C11" t="s">
        <v>61</v>
      </c>
      <c r="D11" s="35">
        <v>1800</v>
      </c>
      <c r="E11">
        <v>1246087936</v>
      </c>
      <c r="F11" s="324">
        <v>45112</v>
      </c>
      <c r="H11" t="s">
        <v>28</v>
      </c>
      <c r="I11" t="s">
        <v>29</v>
      </c>
      <c r="J11">
        <v>1246087936</v>
      </c>
      <c r="K11" s="324">
        <v>45097</v>
      </c>
      <c r="L11">
        <v>3041000</v>
      </c>
      <c r="M11" t="s">
        <v>138</v>
      </c>
      <c r="N11">
        <v>1000</v>
      </c>
      <c r="O11" s="32">
        <v>0</v>
      </c>
      <c r="P11" s="32">
        <v>1800</v>
      </c>
      <c r="Q11" s="32">
        <v>0</v>
      </c>
      <c r="R11" s="32">
        <v>0</v>
      </c>
      <c r="S11" s="32">
        <v>0</v>
      </c>
      <c r="T11" s="32">
        <v>0</v>
      </c>
      <c r="U11" s="32">
        <v>1800</v>
      </c>
      <c r="V11" s="32">
        <v>0</v>
      </c>
      <c r="W11" s="32">
        <v>54</v>
      </c>
      <c r="X11" s="32">
        <v>1746</v>
      </c>
      <c r="Y11" s="32">
        <v>1746</v>
      </c>
      <c r="Z11" s="32">
        <v>1800</v>
      </c>
      <c r="AA11" s="32">
        <v>0</v>
      </c>
      <c r="AB11" s="32">
        <v>1800</v>
      </c>
      <c r="AC11" s="32" t="s">
        <v>540</v>
      </c>
      <c r="AD11" s="32"/>
      <c r="AE11" s="32">
        <v>1800</v>
      </c>
    </row>
    <row r="12" spans="1:31" x14ac:dyDescent="0.25">
      <c r="A12">
        <v>1159</v>
      </c>
      <c r="B12" t="s">
        <v>420</v>
      </c>
      <c r="C12" t="s">
        <v>61</v>
      </c>
      <c r="D12" s="35">
        <v>2700</v>
      </c>
      <c r="E12">
        <v>1246087941</v>
      </c>
      <c r="F12" s="324">
        <v>45112</v>
      </c>
      <c r="H12" t="s">
        <v>28</v>
      </c>
      <c r="I12" t="s">
        <v>29</v>
      </c>
      <c r="J12">
        <v>1246087941</v>
      </c>
      <c r="K12" s="324">
        <v>45097</v>
      </c>
      <c r="L12">
        <v>3041000</v>
      </c>
      <c r="M12" t="s">
        <v>138</v>
      </c>
      <c r="N12">
        <v>1000</v>
      </c>
      <c r="O12" s="32">
        <v>0</v>
      </c>
      <c r="P12" s="32">
        <v>2700</v>
      </c>
      <c r="Q12" s="32">
        <v>0</v>
      </c>
      <c r="R12" s="32">
        <v>0</v>
      </c>
      <c r="S12" s="32">
        <v>0</v>
      </c>
      <c r="T12" s="32">
        <v>0</v>
      </c>
      <c r="U12" s="32">
        <v>2700</v>
      </c>
      <c r="V12" s="32">
        <v>0</v>
      </c>
      <c r="W12" s="32">
        <v>81</v>
      </c>
      <c r="X12" s="32">
        <v>2619</v>
      </c>
      <c r="Y12" s="32">
        <v>2619</v>
      </c>
      <c r="Z12" s="32">
        <v>2700</v>
      </c>
      <c r="AA12" s="32">
        <v>0</v>
      </c>
      <c r="AB12" s="32">
        <v>2700</v>
      </c>
      <c r="AC12" s="32" t="s">
        <v>540</v>
      </c>
      <c r="AD12" s="32"/>
      <c r="AE12" s="32">
        <v>2700</v>
      </c>
    </row>
    <row r="13" spans="1:31" x14ac:dyDescent="0.25">
      <c r="A13">
        <v>1159</v>
      </c>
      <c r="B13" t="s">
        <v>420</v>
      </c>
      <c r="C13" t="s">
        <v>61</v>
      </c>
      <c r="D13" s="35">
        <v>1800</v>
      </c>
      <c r="E13">
        <v>1246087939</v>
      </c>
      <c r="F13" s="324">
        <v>45112</v>
      </c>
      <c r="H13" t="s">
        <v>28</v>
      </c>
      <c r="I13" t="s">
        <v>29</v>
      </c>
      <c r="J13">
        <v>1246087939</v>
      </c>
      <c r="K13" s="324">
        <v>45097</v>
      </c>
      <c r="L13">
        <v>3041000</v>
      </c>
      <c r="M13" t="s">
        <v>138</v>
      </c>
      <c r="N13">
        <v>1000</v>
      </c>
      <c r="O13" s="32">
        <v>0</v>
      </c>
      <c r="P13" s="32">
        <v>1800</v>
      </c>
      <c r="Q13" s="32">
        <v>0</v>
      </c>
      <c r="R13" s="32">
        <v>0</v>
      </c>
      <c r="S13" s="32">
        <v>0</v>
      </c>
      <c r="T13" s="32">
        <v>0</v>
      </c>
      <c r="U13" s="32">
        <v>1800</v>
      </c>
      <c r="V13" s="32">
        <v>0</v>
      </c>
      <c r="W13" s="32">
        <v>54</v>
      </c>
      <c r="X13" s="32">
        <v>1746</v>
      </c>
      <c r="Y13" s="32">
        <v>1746</v>
      </c>
      <c r="Z13" s="32">
        <v>1800</v>
      </c>
      <c r="AA13" s="32">
        <v>0</v>
      </c>
      <c r="AB13" s="32">
        <v>1800</v>
      </c>
      <c r="AC13" s="32" t="s">
        <v>540</v>
      </c>
      <c r="AD13" s="32"/>
      <c r="AE13" s="32">
        <v>1800</v>
      </c>
    </row>
    <row r="14" spans="1:31" x14ac:dyDescent="0.25">
      <c r="A14">
        <v>1159</v>
      </c>
      <c r="B14" t="s">
        <v>420</v>
      </c>
      <c r="C14" t="s">
        <v>61</v>
      </c>
      <c r="D14" s="35">
        <v>1800</v>
      </c>
      <c r="E14">
        <v>1246087937</v>
      </c>
      <c r="F14" s="324">
        <v>45112</v>
      </c>
      <c r="H14" t="s">
        <v>28</v>
      </c>
      <c r="I14" t="s">
        <v>29</v>
      </c>
      <c r="J14">
        <v>1246087937</v>
      </c>
      <c r="K14" s="324">
        <v>45097</v>
      </c>
      <c r="L14">
        <v>3041000</v>
      </c>
      <c r="M14" t="s">
        <v>138</v>
      </c>
      <c r="N14">
        <v>1000</v>
      </c>
      <c r="O14" s="32">
        <v>0</v>
      </c>
      <c r="P14" s="32">
        <v>1800</v>
      </c>
      <c r="Q14" s="32">
        <v>0</v>
      </c>
      <c r="R14" s="32">
        <v>0</v>
      </c>
      <c r="S14" s="32">
        <v>0</v>
      </c>
      <c r="T14" s="32">
        <v>0</v>
      </c>
      <c r="U14" s="32">
        <v>1800</v>
      </c>
      <c r="V14" s="32">
        <v>0</v>
      </c>
      <c r="W14" s="32">
        <v>54</v>
      </c>
      <c r="X14" s="32">
        <v>1746</v>
      </c>
      <c r="Y14" s="32">
        <v>1746</v>
      </c>
      <c r="Z14" s="32">
        <v>1800</v>
      </c>
      <c r="AA14" s="32">
        <v>0</v>
      </c>
      <c r="AB14" s="32">
        <v>1800</v>
      </c>
      <c r="AC14" s="32" t="s">
        <v>540</v>
      </c>
      <c r="AD14" s="32"/>
      <c r="AE14" s="32">
        <v>1800</v>
      </c>
    </row>
    <row r="15" spans="1:31" x14ac:dyDescent="0.25">
      <c r="A15">
        <v>1159</v>
      </c>
      <c r="B15" t="s">
        <v>420</v>
      </c>
      <c r="C15" t="s">
        <v>61</v>
      </c>
      <c r="D15" s="35">
        <v>1800</v>
      </c>
      <c r="E15">
        <v>1246087943</v>
      </c>
      <c r="F15" s="324">
        <v>45112</v>
      </c>
      <c r="H15" t="s">
        <v>28</v>
      </c>
      <c r="I15" t="s">
        <v>29</v>
      </c>
      <c r="J15">
        <v>1246087943</v>
      </c>
      <c r="K15" s="324">
        <v>45097</v>
      </c>
      <c r="L15">
        <v>3041000</v>
      </c>
      <c r="M15" t="s">
        <v>138</v>
      </c>
      <c r="N15">
        <v>1000</v>
      </c>
      <c r="O15" s="32">
        <v>0</v>
      </c>
      <c r="P15" s="32">
        <v>1800</v>
      </c>
      <c r="Q15" s="32">
        <v>0</v>
      </c>
      <c r="R15" s="32">
        <v>0</v>
      </c>
      <c r="S15" s="32">
        <v>0</v>
      </c>
      <c r="T15" s="32">
        <v>0</v>
      </c>
      <c r="U15" s="32">
        <v>1800</v>
      </c>
      <c r="V15" s="32">
        <v>0</v>
      </c>
      <c r="W15" s="32">
        <v>54</v>
      </c>
      <c r="X15" s="32">
        <v>1746</v>
      </c>
      <c r="Y15" s="32">
        <v>1746</v>
      </c>
      <c r="Z15" s="32">
        <v>1800</v>
      </c>
      <c r="AA15" s="32">
        <v>0</v>
      </c>
      <c r="AB15" s="32">
        <v>1800</v>
      </c>
      <c r="AC15" s="32" t="s">
        <v>540</v>
      </c>
      <c r="AD15" s="32"/>
      <c r="AE15" s="32">
        <v>1800</v>
      </c>
    </row>
    <row r="16" spans="1:31" x14ac:dyDescent="0.25">
      <c r="A16">
        <v>1159</v>
      </c>
      <c r="B16" t="s">
        <v>420</v>
      </c>
      <c r="C16" t="s">
        <v>61</v>
      </c>
      <c r="D16" s="35">
        <v>2700</v>
      </c>
      <c r="E16">
        <v>1246121301</v>
      </c>
      <c r="F16" s="324">
        <v>45297</v>
      </c>
      <c r="H16" t="s">
        <v>28</v>
      </c>
      <c r="I16" t="s">
        <v>29</v>
      </c>
      <c r="J16">
        <v>1246121301</v>
      </c>
      <c r="K16" s="324">
        <v>45282</v>
      </c>
      <c r="L16">
        <v>3041000</v>
      </c>
      <c r="M16" t="s">
        <v>138</v>
      </c>
      <c r="N16">
        <v>815</v>
      </c>
      <c r="O16" s="32">
        <v>0</v>
      </c>
      <c r="P16" s="32">
        <v>2700</v>
      </c>
      <c r="Q16" s="32">
        <v>0</v>
      </c>
      <c r="R16" s="32">
        <v>0</v>
      </c>
      <c r="S16" s="32">
        <v>0</v>
      </c>
      <c r="T16" s="32">
        <v>0</v>
      </c>
      <c r="U16" s="32">
        <v>2700</v>
      </c>
      <c r="V16" s="32">
        <v>0</v>
      </c>
      <c r="W16" s="32">
        <v>81</v>
      </c>
      <c r="X16" s="32">
        <v>2619</v>
      </c>
      <c r="Y16" s="32">
        <v>2619</v>
      </c>
      <c r="Z16" s="32">
        <v>2700</v>
      </c>
      <c r="AA16" s="32">
        <v>0</v>
      </c>
      <c r="AB16" s="32">
        <v>2700</v>
      </c>
      <c r="AC16" s="32" t="s">
        <v>540</v>
      </c>
      <c r="AD16" s="32"/>
      <c r="AE16" s="32">
        <v>2700</v>
      </c>
    </row>
    <row r="17" spans="1:31" x14ac:dyDescent="0.25">
      <c r="A17">
        <v>1159</v>
      </c>
      <c r="B17" t="s">
        <v>420</v>
      </c>
      <c r="C17" t="s">
        <v>61</v>
      </c>
      <c r="D17" s="35">
        <v>4800</v>
      </c>
      <c r="E17">
        <v>1246121285</v>
      </c>
      <c r="F17" s="324">
        <v>45297</v>
      </c>
      <c r="H17" t="s">
        <v>28</v>
      </c>
      <c r="I17" t="s">
        <v>29</v>
      </c>
      <c r="J17">
        <v>1246121285</v>
      </c>
      <c r="K17" s="324">
        <v>45282</v>
      </c>
      <c r="L17">
        <v>3041000</v>
      </c>
      <c r="M17" t="s">
        <v>138</v>
      </c>
      <c r="N17">
        <v>815</v>
      </c>
      <c r="O17" s="32">
        <v>0</v>
      </c>
      <c r="P17" s="32">
        <v>4800</v>
      </c>
      <c r="Q17" s="32">
        <v>0</v>
      </c>
      <c r="R17" s="32">
        <v>0</v>
      </c>
      <c r="S17" s="32">
        <v>0</v>
      </c>
      <c r="T17" s="32">
        <v>0</v>
      </c>
      <c r="U17" s="32">
        <v>4800</v>
      </c>
      <c r="V17" s="32">
        <v>0</v>
      </c>
      <c r="W17" s="32">
        <v>144</v>
      </c>
      <c r="X17" s="32">
        <v>4656</v>
      </c>
      <c r="Y17" s="32">
        <v>4656</v>
      </c>
      <c r="Z17" s="32">
        <v>4800</v>
      </c>
      <c r="AA17" s="32">
        <v>0</v>
      </c>
      <c r="AB17" s="32">
        <v>4800</v>
      </c>
      <c r="AC17" s="32" t="s">
        <v>540</v>
      </c>
      <c r="AD17" s="32"/>
      <c r="AE17" s="32">
        <v>4800</v>
      </c>
    </row>
    <row r="18" spans="1:31" x14ac:dyDescent="0.25">
      <c r="A18">
        <v>1159</v>
      </c>
      <c r="B18" t="s">
        <v>420</v>
      </c>
      <c r="C18" t="s">
        <v>61</v>
      </c>
      <c r="D18" s="35">
        <v>2700</v>
      </c>
      <c r="E18">
        <v>1246121300</v>
      </c>
      <c r="F18" s="324">
        <v>45297</v>
      </c>
      <c r="H18" t="s">
        <v>28</v>
      </c>
      <c r="I18" t="s">
        <v>29</v>
      </c>
      <c r="J18">
        <v>1246121300</v>
      </c>
      <c r="K18" s="324">
        <v>45282</v>
      </c>
      <c r="L18">
        <v>3041000</v>
      </c>
      <c r="M18" t="s">
        <v>138</v>
      </c>
      <c r="N18">
        <v>815</v>
      </c>
      <c r="O18" s="32">
        <v>0</v>
      </c>
      <c r="P18" s="32">
        <v>2700</v>
      </c>
      <c r="Q18" s="32">
        <v>0</v>
      </c>
      <c r="R18" s="32">
        <v>0</v>
      </c>
      <c r="S18" s="32">
        <v>0</v>
      </c>
      <c r="T18" s="32">
        <v>0</v>
      </c>
      <c r="U18" s="32">
        <v>2700</v>
      </c>
      <c r="V18" s="32">
        <v>0</v>
      </c>
      <c r="W18" s="32">
        <v>81</v>
      </c>
      <c r="X18" s="32">
        <v>2619</v>
      </c>
      <c r="Y18" s="32">
        <v>2619</v>
      </c>
      <c r="Z18" s="32">
        <v>2700</v>
      </c>
      <c r="AA18" s="32">
        <v>0</v>
      </c>
      <c r="AB18" s="32">
        <v>2700</v>
      </c>
      <c r="AC18" s="32" t="s">
        <v>540</v>
      </c>
      <c r="AD18" s="32"/>
      <c r="AE18" s="32">
        <v>2700</v>
      </c>
    </row>
    <row r="19" spans="1:31" x14ac:dyDescent="0.25">
      <c r="A19">
        <v>1159</v>
      </c>
      <c r="B19" t="s">
        <v>420</v>
      </c>
      <c r="C19" t="s">
        <v>61</v>
      </c>
      <c r="D19" s="35">
        <v>1800</v>
      </c>
      <c r="E19">
        <v>1246121298</v>
      </c>
      <c r="F19" s="324">
        <v>45297</v>
      </c>
      <c r="H19" t="s">
        <v>28</v>
      </c>
      <c r="I19" t="s">
        <v>29</v>
      </c>
      <c r="J19">
        <v>1246121298</v>
      </c>
      <c r="K19" s="324">
        <v>45282</v>
      </c>
      <c r="L19">
        <v>3041000</v>
      </c>
      <c r="M19" t="s">
        <v>138</v>
      </c>
      <c r="N19">
        <v>815</v>
      </c>
      <c r="O19" s="32">
        <v>0</v>
      </c>
      <c r="P19" s="32">
        <v>1800</v>
      </c>
      <c r="Q19" s="32">
        <v>0</v>
      </c>
      <c r="R19" s="32">
        <v>0</v>
      </c>
      <c r="S19" s="32">
        <v>0</v>
      </c>
      <c r="T19" s="32">
        <v>0</v>
      </c>
      <c r="U19" s="32">
        <v>1800</v>
      </c>
      <c r="V19" s="32">
        <v>0</v>
      </c>
      <c r="W19" s="32">
        <v>54</v>
      </c>
      <c r="X19" s="32">
        <v>1746</v>
      </c>
      <c r="Y19" s="32">
        <v>1746</v>
      </c>
      <c r="Z19" s="32">
        <v>1800</v>
      </c>
      <c r="AA19" s="32">
        <v>0</v>
      </c>
      <c r="AB19" s="32">
        <v>1800</v>
      </c>
      <c r="AC19" s="32" t="s">
        <v>540</v>
      </c>
      <c r="AD19" s="32"/>
      <c r="AE19" s="32">
        <v>1800</v>
      </c>
    </row>
    <row r="20" spans="1:31" x14ac:dyDescent="0.25">
      <c r="A20">
        <v>1159</v>
      </c>
      <c r="B20" t="s">
        <v>420</v>
      </c>
      <c r="C20" t="s">
        <v>61</v>
      </c>
      <c r="D20" s="35">
        <v>2700</v>
      </c>
      <c r="E20">
        <v>1246121302</v>
      </c>
      <c r="F20" s="324">
        <v>45297</v>
      </c>
      <c r="H20" t="s">
        <v>28</v>
      </c>
      <c r="I20" t="s">
        <v>29</v>
      </c>
      <c r="J20">
        <v>1246121302</v>
      </c>
      <c r="K20" s="324">
        <v>45282</v>
      </c>
      <c r="L20">
        <v>3041000</v>
      </c>
      <c r="M20" t="s">
        <v>138</v>
      </c>
      <c r="N20">
        <v>815</v>
      </c>
      <c r="O20" s="32">
        <v>0</v>
      </c>
      <c r="P20" s="32">
        <v>2700</v>
      </c>
      <c r="Q20" s="32">
        <v>0</v>
      </c>
      <c r="R20" s="32">
        <v>0</v>
      </c>
      <c r="S20" s="32">
        <v>0</v>
      </c>
      <c r="T20" s="32">
        <v>0</v>
      </c>
      <c r="U20" s="32">
        <v>2700</v>
      </c>
      <c r="V20" s="32">
        <v>0</v>
      </c>
      <c r="W20" s="32">
        <v>81</v>
      </c>
      <c r="X20" s="32">
        <v>2619</v>
      </c>
      <c r="Y20" s="32">
        <v>2619</v>
      </c>
      <c r="Z20" s="32">
        <v>2700</v>
      </c>
      <c r="AA20" s="32">
        <v>0</v>
      </c>
      <c r="AB20" s="32">
        <v>2700</v>
      </c>
      <c r="AC20" s="32" t="s">
        <v>540</v>
      </c>
      <c r="AD20" s="32"/>
      <c r="AE20" s="32">
        <v>2700</v>
      </c>
    </row>
    <row r="21" spans="1:31" x14ac:dyDescent="0.25">
      <c r="A21">
        <v>1159</v>
      </c>
      <c r="B21" t="s">
        <v>420</v>
      </c>
      <c r="C21" t="s">
        <v>61</v>
      </c>
      <c r="D21" s="35">
        <v>1200</v>
      </c>
      <c r="E21">
        <v>1246121295</v>
      </c>
      <c r="F21" s="324">
        <v>45297</v>
      </c>
      <c r="H21" t="s">
        <v>28</v>
      </c>
      <c r="I21" t="s">
        <v>29</v>
      </c>
      <c r="J21">
        <v>1246121295</v>
      </c>
      <c r="K21" s="324">
        <v>45282</v>
      </c>
      <c r="L21">
        <v>3041000</v>
      </c>
      <c r="M21" t="s">
        <v>138</v>
      </c>
      <c r="N21">
        <v>815</v>
      </c>
      <c r="O21" s="32">
        <v>0</v>
      </c>
      <c r="P21" s="32">
        <v>1200</v>
      </c>
      <c r="Q21" s="32">
        <v>0</v>
      </c>
      <c r="R21" s="32">
        <v>0</v>
      </c>
      <c r="S21" s="32">
        <v>0</v>
      </c>
      <c r="T21" s="32">
        <v>0</v>
      </c>
      <c r="U21" s="32">
        <v>1200</v>
      </c>
      <c r="V21" s="32">
        <v>0</v>
      </c>
      <c r="W21" s="32">
        <v>36</v>
      </c>
      <c r="X21" s="32">
        <v>1164</v>
      </c>
      <c r="Y21" s="32">
        <v>1164</v>
      </c>
      <c r="Z21" s="32">
        <v>1200</v>
      </c>
      <c r="AA21" s="32">
        <v>0</v>
      </c>
      <c r="AB21" s="32">
        <v>1200</v>
      </c>
      <c r="AC21" s="32" t="s">
        <v>540</v>
      </c>
      <c r="AD21" s="32"/>
      <c r="AE21" s="32">
        <v>1200</v>
      </c>
    </row>
    <row r="22" spans="1:31" x14ac:dyDescent="0.25">
      <c r="A22">
        <v>1159</v>
      </c>
      <c r="B22" t="s">
        <v>420</v>
      </c>
      <c r="C22" t="s">
        <v>61</v>
      </c>
      <c r="D22" s="35">
        <v>2700</v>
      </c>
      <c r="E22">
        <v>1246121297</v>
      </c>
      <c r="F22" s="324">
        <v>45297</v>
      </c>
      <c r="H22" t="s">
        <v>28</v>
      </c>
      <c r="I22" t="s">
        <v>29</v>
      </c>
      <c r="J22">
        <v>1246121297</v>
      </c>
      <c r="K22" s="324">
        <v>45282</v>
      </c>
      <c r="L22">
        <v>3041000</v>
      </c>
      <c r="M22" t="s">
        <v>138</v>
      </c>
      <c r="N22">
        <v>815</v>
      </c>
      <c r="O22" s="32">
        <v>0</v>
      </c>
      <c r="P22" s="32">
        <v>2700</v>
      </c>
      <c r="Q22" s="32">
        <v>0</v>
      </c>
      <c r="R22" s="32">
        <v>0</v>
      </c>
      <c r="S22" s="32">
        <v>0</v>
      </c>
      <c r="T22" s="32">
        <v>0</v>
      </c>
      <c r="U22" s="32">
        <v>2700</v>
      </c>
      <c r="V22" s="32">
        <v>0</v>
      </c>
      <c r="W22" s="32">
        <v>81</v>
      </c>
      <c r="X22" s="32">
        <v>2619</v>
      </c>
      <c r="Y22" s="32">
        <v>2619</v>
      </c>
      <c r="Z22" s="32">
        <v>2700</v>
      </c>
      <c r="AA22" s="32">
        <v>0</v>
      </c>
      <c r="AB22" s="32">
        <v>2700</v>
      </c>
      <c r="AC22" s="32" t="s">
        <v>540</v>
      </c>
      <c r="AD22" s="32"/>
      <c r="AE22" s="32">
        <v>2700</v>
      </c>
    </row>
    <row r="23" spans="1:31" x14ac:dyDescent="0.25">
      <c r="A23">
        <v>1159</v>
      </c>
      <c r="B23" t="s">
        <v>420</v>
      </c>
      <c r="C23" t="s">
        <v>61</v>
      </c>
      <c r="D23" s="35">
        <v>6300</v>
      </c>
      <c r="E23">
        <v>1246121299</v>
      </c>
      <c r="F23" s="324">
        <v>45297</v>
      </c>
      <c r="H23" t="s">
        <v>28</v>
      </c>
      <c r="I23" t="s">
        <v>29</v>
      </c>
      <c r="J23">
        <v>1246121299</v>
      </c>
      <c r="K23" s="324">
        <v>45282</v>
      </c>
      <c r="L23">
        <v>3041000</v>
      </c>
      <c r="M23" t="s">
        <v>138</v>
      </c>
      <c r="N23">
        <v>815</v>
      </c>
      <c r="O23" s="32">
        <v>0</v>
      </c>
      <c r="P23" s="32">
        <v>6300</v>
      </c>
      <c r="Q23" s="32">
        <v>0</v>
      </c>
      <c r="R23" s="32">
        <v>0</v>
      </c>
      <c r="S23" s="32">
        <v>0</v>
      </c>
      <c r="T23" s="32">
        <v>0</v>
      </c>
      <c r="U23" s="32">
        <v>6300</v>
      </c>
      <c r="V23" s="32">
        <v>0</v>
      </c>
      <c r="W23" s="32">
        <v>189</v>
      </c>
      <c r="X23" s="32">
        <v>6111</v>
      </c>
      <c r="Y23" s="32">
        <v>6111</v>
      </c>
      <c r="Z23" s="32">
        <v>6300</v>
      </c>
      <c r="AA23" s="32">
        <v>0</v>
      </c>
      <c r="AB23" s="32">
        <v>6300</v>
      </c>
      <c r="AC23" s="32" t="s">
        <v>540</v>
      </c>
      <c r="AD23" s="32"/>
      <c r="AE23" s="32">
        <v>6300</v>
      </c>
    </row>
    <row r="24" spans="1:31" x14ac:dyDescent="0.25">
      <c r="A24">
        <v>1159</v>
      </c>
      <c r="B24" t="s">
        <v>420</v>
      </c>
      <c r="C24" t="s">
        <v>61</v>
      </c>
      <c r="D24" s="35">
        <v>3600</v>
      </c>
      <c r="E24">
        <v>1246121296</v>
      </c>
      <c r="F24" s="324">
        <v>45297</v>
      </c>
      <c r="H24" t="s">
        <v>28</v>
      </c>
      <c r="I24" t="s">
        <v>29</v>
      </c>
      <c r="J24">
        <v>1246121296</v>
      </c>
      <c r="K24" s="324">
        <v>45282</v>
      </c>
      <c r="L24">
        <v>3041000</v>
      </c>
      <c r="M24" t="s">
        <v>138</v>
      </c>
      <c r="N24">
        <v>815</v>
      </c>
      <c r="O24" s="32">
        <v>0</v>
      </c>
      <c r="P24" s="32">
        <v>3600</v>
      </c>
      <c r="Q24" s="32">
        <v>0</v>
      </c>
      <c r="R24" s="32">
        <v>0</v>
      </c>
      <c r="S24" s="32">
        <v>0</v>
      </c>
      <c r="T24" s="32">
        <v>0</v>
      </c>
      <c r="U24" s="32">
        <v>3600</v>
      </c>
      <c r="V24" s="32">
        <v>0</v>
      </c>
      <c r="W24" s="32">
        <v>108</v>
      </c>
      <c r="X24" s="32">
        <v>3492</v>
      </c>
      <c r="Y24" s="32">
        <v>3492</v>
      </c>
      <c r="Z24" s="32">
        <v>3600</v>
      </c>
      <c r="AA24" s="32">
        <v>0</v>
      </c>
      <c r="AB24" s="32">
        <v>3600</v>
      </c>
      <c r="AC24" s="32" t="s">
        <v>540</v>
      </c>
      <c r="AD24" s="32"/>
      <c r="AE24" s="32">
        <v>3600</v>
      </c>
    </row>
    <row r="25" spans="1:31" x14ac:dyDescent="0.25">
      <c r="A25">
        <v>1159</v>
      </c>
      <c r="B25" t="s">
        <v>420</v>
      </c>
      <c r="C25" t="s">
        <v>61</v>
      </c>
      <c r="D25" s="35">
        <v>1200</v>
      </c>
      <c r="E25">
        <v>1246135390</v>
      </c>
      <c r="F25" s="324">
        <v>45388</v>
      </c>
      <c r="H25" t="s">
        <v>28</v>
      </c>
      <c r="I25" t="s">
        <v>29</v>
      </c>
      <c r="J25">
        <v>1246135390</v>
      </c>
      <c r="K25" s="324">
        <v>45373</v>
      </c>
      <c r="L25">
        <v>3041000</v>
      </c>
      <c r="M25" t="s">
        <v>138</v>
      </c>
      <c r="N25">
        <v>724</v>
      </c>
      <c r="O25" s="32">
        <v>0</v>
      </c>
      <c r="P25" s="32">
        <v>1200</v>
      </c>
      <c r="Q25" s="32">
        <v>0</v>
      </c>
      <c r="R25" s="32">
        <v>0</v>
      </c>
      <c r="S25" s="32">
        <v>0</v>
      </c>
      <c r="T25" s="32">
        <v>0</v>
      </c>
      <c r="U25" s="32">
        <v>1200</v>
      </c>
      <c r="V25" s="32">
        <v>0</v>
      </c>
      <c r="W25" s="32">
        <v>36</v>
      </c>
      <c r="X25" s="32">
        <v>1164</v>
      </c>
      <c r="Y25" s="32">
        <v>1164</v>
      </c>
      <c r="Z25" s="32">
        <v>1200</v>
      </c>
      <c r="AA25" s="32">
        <v>0</v>
      </c>
      <c r="AB25" s="32">
        <v>1200</v>
      </c>
      <c r="AC25" s="32" t="s">
        <v>540</v>
      </c>
      <c r="AD25" s="32"/>
      <c r="AE25" s="32">
        <v>1200</v>
      </c>
    </row>
    <row r="26" spans="1:31" x14ac:dyDescent="0.25">
      <c r="A26">
        <v>1159</v>
      </c>
      <c r="B26" t="s">
        <v>420</v>
      </c>
      <c r="C26" t="s">
        <v>61</v>
      </c>
      <c r="D26" s="35">
        <v>2400</v>
      </c>
      <c r="E26">
        <v>1246135388</v>
      </c>
      <c r="F26" s="324">
        <v>45388</v>
      </c>
      <c r="H26" t="s">
        <v>28</v>
      </c>
      <c r="I26" t="s">
        <v>29</v>
      </c>
      <c r="J26">
        <v>1246135388</v>
      </c>
      <c r="K26" s="324">
        <v>45373</v>
      </c>
      <c r="L26">
        <v>3041000</v>
      </c>
      <c r="M26" t="s">
        <v>138</v>
      </c>
      <c r="N26">
        <v>724</v>
      </c>
      <c r="O26" s="32">
        <v>0</v>
      </c>
      <c r="P26" s="32">
        <v>2400</v>
      </c>
      <c r="Q26" s="32">
        <v>0</v>
      </c>
      <c r="R26" s="32">
        <v>0</v>
      </c>
      <c r="S26" s="32">
        <v>0</v>
      </c>
      <c r="T26" s="32">
        <v>0</v>
      </c>
      <c r="U26" s="32">
        <v>2400</v>
      </c>
      <c r="V26" s="32">
        <v>0</v>
      </c>
      <c r="W26" s="32">
        <v>72</v>
      </c>
      <c r="X26" s="32">
        <v>2328</v>
      </c>
      <c r="Y26" s="32">
        <v>2328</v>
      </c>
      <c r="Z26" s="32">
        <v>2400</v>
      </c>
      <c r="AA26" s="32">
        <v>0</v>
      </c>
      <c r="AB26" s="32">
        <v>2400</v>
      </c>
      <c r="AC26" s="32" t="s">
        <v>540</v>
      </c>
      <c r="AD26" s="32"/>
      <c r="AE26" s="32">
        <v>2400</v>
      </c>
    </row>
    <row r="27" spans="1:31" x14ac:dyDescent="0.25">
      <c r="A27">
        <v>1159</v>
      </c>
      <c r="B27" t="s">
        <v>420</v>
      </c>
      <c r="C27" t="s">
        <v>61</v>
      </c>
      <c r="D27" s="35">
        <v>1200</v>
      </c>
      <c r="E27">
        <v>1246135385</v>
      </c>
      <c r="F27" s="324">
        <v>45388</v>
      </c>
      <c r="H27" t="s">
        <v>28</v>
      </c>
      <c r="I27" t="s">
        <v>29</v>
      </c>
      <c r="J27">
        <v>1246135385</v>
      </c>
      <c r="K27" s="324">
        <v>45373</v>
      </c>
      <c r="L27">
        <v>3041000</v>
      </c>
      <c r="M27" t="s">
        <v>138</v>
      </c>
      <c r="N27">
        <v>724</v>
      </c>
      <c r="O27" s="32">
        <v>0</v>
      </c>
      <c r="P27" s="32">
        <v>1200</v>
      </c>
      <c r="Q27" s="32">
        <v>0</v>
      </c>
      <c r="R27" s="32">
        <v>0</v>
      </c>
      <c r="S27" s="32">
        <v>0</v>
      </c>
      <c r="T27" s="32">
        <v>0</v>
      </c>
      <c r="U27" s="32">
        <v>1200</v>
      </c>
      <c r="V27" s="32">
        <v>0</v>
      </c>
      <c r="W27" s="32">
        <v>36</v>
      </c>
      <c r="X27" s="32">
        <v>1164</v>
      </c>
      <c r="Y27" s="32">
        <v>1164</v>
      </c>
      <c r="Z27" s="32">
        <v>1200</v>
      </c>
      <c r="AA27" s="32">
        <v>0</v>
      </c>
      <c r="AB27" s="32">
        <v>1200</v>
      </c>
      <c r="AC27" s="32" t="s">
        <v>540</v>
      </c>
      <c r="AD27" s="32"/>
      <c r="AE27" s="32">
        <v>1200</v>
      </c>
    </row>
    <row r="28" spans="1:31" x14ac:dyDescent="0.25">
      <c r="A28">
        <v>1159</v>
      </c>
      <c r="B28" t="s">
        <v>420</v>
      </c>
      <c r="C28" t="s">
        <v>61</v>
      </c>
      <c r="D28" s="35">
        <v>3600</v>
      </c>
      <c r="E28">
        <v>1246135391</v>
      </c>
      <c r="F28" s="324">
        <v>45388</v>
      </c>
      <c r="H28" t="s">
        <v>28</v>
      </c>
      <c r="I28" t="s">
        <v>29</v>
      </c>
      <c r="J28">
        <v>1246135391</v>
      </c>
      <c r="K28" s="324">
        <v>45373</v>
      </c>
      <c r="L28">
        <v>3041000</v>
      </c>
      <c r="M28" t="s">
        <v>138</v>
      </c>
      <c r="N28">
        <v>724</v>
      </c>
      <c r="O28" s="32">
        <v>0</v>
      </c>
      <c r="P28" s="32">
        <v>3600</v>
      </c>
      <c r="Q28" s="32">
        <v>0</v>
      </c>
      <c r="R28" s="32">
        <v>0</v>
      </c>
      <c r="S28" s="32">
        <v>0</v>
      </c>
      <c r="T28" s="32">
        <v>0</v>
      </c>
      <c r="U28" s="32">
        <v>3600</v>
      </c>
      <c r="V28" s="32">
        <v>0</v>
      </c>
      <c r="W28" s="32">
        <v>108</v>
      </c>
      <c r="X28" s="32">
        <v>3492</v>
      </c>
      <c r="Y28" s="32">
        <v>3492</v>
      </c>
      <c r="Z28" s="32">
        <v>3600</v>
      </c>
      <c r="AA28" s="32">
        <v>0</v>
      </c>
      <c r="AB28" s="32">
        <v>3600</v>
      </c>
      <c r="AC28" s="32" t="s">
        <v>540</v>
      </c>
      <c r="AD28" s="32"/>
      <c r="AE28" s="32">
        <v>3600</v>
      </c>
    </row>
    <row r="29" spans="1:31" x14ac:dyDescent="0.25">
      <c r="A29">
        <v>1159</v>
      </c>
      <c r="B29" t="s">
        <v>420</v>
      </c>
      <c r="C29" t="s">
        <v>61</v>
      </c>
      <c r="D29" s="35">
        <v>2400</v>
      </c>
      <c r="E29">
        <v>1246135382</v>
      </c>
      <c r="F29" s="324">
        <v>45388</v>
      </c>
      <c r="H29" t="s">
        <v>28</v>
      </c>
      <c r="I29" t="s">
        <v>29</v>
      </c>
      <c r="J29">
        <v>1246135382</v>
      </c>
      <c r="K29" s="324">
        <v>45373</v>
      </c>
      <c r="L29">
        <v>3041000</v>
      </c>
      <c r="M29" t="s">
        <v>138</v>
      </c>
      <c r="N29">
        <v>724</v>
      </c>
      <c r="O29" s="32">
        <v>0</v>
      </c>
      <c r="P29" s="32">
        <v>2400</v>
      </c>
      <c r="Q29" s="32">
        <v>0</v>
      </c>
      <c r="R29" s="32">
        <v>0</v>
      </c>
      <c r="S29" s="32">
        <v>0</v>
      </c>
      <c r="T29" s="32">
        <v>0</v>
      </c>
      <c r="U29" s="32">
        <v>2400</v>
      </c>
      <c r="V29" s="32">
        <v>0</v>
      </c>
      <c r="W29" s="32">
        <v>72</v>
      </c>
      <c r="X29" s="32">
        <v>2328</v>
      </c>
      <c r="Y29" s="32">
        <v>2328</v>
      </c>
      <c r="Z29" s="32">
        <v>2400</v>
      </c>
      <c r="AA29" s="32">
        <v>0</v>
      </c>
      <c r="AB29" s="32">
        <v>2400</v>
      </c>
      <c r="AC29" s="32" t="s">
        <v>540</v>
      </c>
      <c r="AD29" s="32"/>
      <c r="AE29" s="32">
        <v>2400</v>
      </c>
    </row>
    <row r="30" spans="1:31" x14ac:dyDescent="0.25">
      <c r="A30">
        <v>1159</v>
      </c>
      <c r="B30" t="s">
        <v>420</v>
      </c>
      <c r="C30" t="s">
        <v>61</v>
      </c>
      <c r="D30" s="35">
        <v>3600</v>
      </c>
      <c r="E30">
        <v>1246173258</v>
      </c>
      <c r="F30" s="324">
        <v>45575</v>
      </c>
      <c r="H30" t="s">
        <v>28</v>
      </c>
      <c r="I30" t="s">
        <v>29</v>
      </c>
      <c r="J30">
        <v>1246173258</v>
      </c>
      <c r="K30" s="324">
        <v>45560</v>
      </c>
      <c r="L30">
        <v>3041000</v>
      </c>
      <c r="M30" t="s">
        <v>138</v>
      </c>
      <c r="N30">
        <v>537</v>
      </c>
      <c r="O30" s="32">
        <v>0</v>
      </c>
      <c r="P30" s="32">
        <v>3600</v>
      </c>
      <c r="Q30" s="32">
        <v>0</v>
      </c>
      <c r="R30" s="32">
        <v>0</v>
      </c>
      <c r="S30" s="32">
        <v>0</v>
      </c>
      <c r="T30" s="32">
        <v>0</v>
      </c>
      <c r="U30" s="32">
        <v>3600</v>
      </c>
      <c r="V30" s="32">
        <v>0</v>
      </c>
      <c r="W30" s="32">
        <v>108</v>
      </c>
      <c r="X30" s="32">
        <v>3492</v>
      </c>
      <c r="Y30" s="32">
        <v>3492</v>
      </c>
      <c r="Z30" s="32">
        <v>3600</v>
      </c>
      <c r="AA30" s="32">
        <v>0</v>
      </c>
      <c r="AB30" s="32">
        <v>3600</v>
      </c>
      <c r="AC30" s="32" t="s">
        <v>540</v>
      </c>
      <c r="AD30" s="32"/>
      <c r="AE30" s="32">
        <v>3600</v>
      </c>
    </row>
    <row r="31" spans="1:31" x14ac:dyDescent="0.25">
      <c r="A31">
        <v>1159</v>
      </c>
      <c r="B31" t="s">
        <v>420</v>
      </c>
      <c r="C31" t="s">
        <v>61</v>
      </c>
      <c r="D31" s="35">
        <v>1200</v>
      </c>
      <c r="E31">
        <v>1246173256</v>
      </c>
      <c r="F31" s="324">
        <v>45575</v>
      </c>
      <c r="H31" t="s">
        <v>28</v>
      </c>
      <c r="I31" t="s">
        <v>29</v>
      </c>
      <c r="J31">
        <v>1246173256</v>
      </c>
      <c r="K31" s="324">
        <v>45560</v>
      </c>
      <c r="L31">
        <v>3041000</v>
      </c>
      <c r="M31" t="s">
        <v>138</v>
      </c>
      <c r="N31">
        <v>537</v>
      </c>
      <c r="O31" s="32">
        <v>0</v>
      </c>
      <c r="P31" s="32">
        <v>1200</v>
      </c>
      <c r="Q31" s="32">
        <v>0</v>
      </c>
      <c r="R31" s="32">
        <v>0</v>
      </c>
      <c r="S31" s="32">
        <v>0</v>
      </c>
      <c r="T31" s="32">
        <v>0</v>
      </c>
      <c r="U31" s="32">
        <v>1200</v>
      </c>
      <c r="V31" s="32">
        <v>0</v>
      </c>
      <c r="W31" s="32">
        <v>36</v>
      </c>
      <c r="X31" s="32">
        <v>1164</v>
      </c>
      <c r="Y31" s="32">
        <v>1164</v>
      </c>
      <c r="Z31" s="32">
        <v>1200</v>
      </c>
      <c r="AA31" s="32">
        <v>0</v>
      </c>
      <c r="AB31" s="32">
        <v>1200</v>
      </c>
      <c r="AC31" s="32" t="s">
        <v>540</v>
      </c>
      <c r="AD31" s="32"/>
      <c r="AE31" s="32">
        <v>1200</v>
      </c>
    </row>
    <row r="32" spans="1:31" x14ac:dyDescent="0.25">
      <c r="A32">
        <v>1159</v>
      </c>
      <c r="B32" t="s">
        <v>420</v>
      </c>
      <c r="C32" t="s">
        <v>61</v>
      </c>
      <c r="D32" s="35">
        <v>2400</v>
      </c>
      <c r="E32">
        <v>1246173253</v>
      </c>
      <c r="F32" s="324">
        <v>45575</v>
      </c>
      <c r="H32" t="s">
        <v>28</v>
      </c>
      <c r="I32" t="s">
        <v>29</v>
      </c>
      <c r="J32">
        <v>1246173253</v>
      </c>
      <c r="K32" s="324">
        <v>45560</v>
      </c>
      <c r="L32">
        <v>3041000</v>
      </c>
      <c r="M32" t="s">
        <v>138</v>
      </c>
      <c r="N32">
        <v>537</v>
      </c>
      <c r="O32" s="32">
        <v>0</v>
      </c>
      <c r="P32" s="32">
        <v>2400</v>
      </c>
      <c r="Q32" s="32">
        <v>0</v>
      </c>
      <c r="R32" s="32">
        <v>0</v>
      </c>
      <c r="S32" s="32">
        <v>0</v>
      </c>
      <c r="T32" s="32">
        <v>0</v>
      </c>
      <c r="U32" s="32">
        <v>2400</v>
      </c>
      <c r="V32" s="32">
        <v>0</v>
      </c>
      <c r="W32" s="32">
        <v>72</v>
      </c>
      <c r="X32" s="32">
        <v>2328</v>
      </c>
      <c r="Y32" s="32">
        <v>2328</v>
      </c>
      <c r="Z32" s="32">
        <v>2400</v>
      </c>
      <c r="AA32" s="32">
        <v>0</v>
      </c>
      <c r="AB32" s="32">
        <v>2400</v>
      </c>
      <c r="AC32" s="32" t="s">
        <v>540</v>
      </c>
      <c r="AD32" s="32"/>
      <c r="AE32" s="32">
        <v>2400</v>
      </c>
    </row>
    <row r="33" spans="1:31" x14ac:dyDescent="0.25">
      <c r="A33">
        <v>1159</v>
      </c>
      <c r="B33" t="s">
        <v>420</v>
      </c>
      <c r="C33" t="s">
        <v>61</v>
      </c>
      <c r="D33" s="35">
        <v>1200</v>
      </c>
      <c r="E33">
        <v>1246173257</v>
      </c>
      <c r="F33" s="324">
        <v>45575</v>
      </c>
      <c r="H33" t="s">
        <v>28</v>
      </c>
      <c r="I33" t="s">
        <v>29</v>
      </c>
      <c r="J33">
        <v>1246173257</v>
      </c>
      <c r="K33" s="324">
        <v>45560</v>
      </c>
      <c r="L33">
        <v>3041000</v>
      </c>
      <c r="M33" t="s">
        <v>138</v>
      </c>
      <c r="N33">
        <v>537</v>
      </c>
      <c r="O33" s="32">
        <v>0</v>
      </c>
      <c r="P33" s="32">
        <v>1200</v>
      </c>
      <c r="Q33" s="32">
        <v>0</v>
      </c>
      <c r="R33" s="32">
        <v>0</v>
      </c>
      <c r="S33" s="32">
        <v>0</v>
      </c>
      <c r="T33" s="32">
        <v>0</v>
      </c>
      <c r="U33" s="32">
        <v>1200</v>
      </c>
      <c r="V33" s="32">
        <v>0</v>
      </c>
      <c r="W33" s="32">
        <v>36</v>
      </c>
      <c r="X33" s="32">
        <v>1164</v>
      </c>
      <c r="Y33" s="32">
        <v>1164</v>
      </c>
      <c r="Z33" s="32">
        <v>1200</v>
      </c>
      <c r="AA33" s="32">
        <v>0</v>
      </c>
      <c r="AB33" s="32">
        <v>1200</v>
      </c>
      <c r="AC33" s="32" t="s">
        <v>540</v>
      </c>
      <c r="AD33" s="32"/>
      <c r="AE33" s="32">
        <v>1200</v>
      </c>
    </row>
    <row r="34" spans="1:31" x14ac:dyDescent="0.25">
      <c r="A34">
        <v>1159</v>
      </c>
      <c r="B34" t="s">
        <v>420</v>
      </c>
      <c r="C34" t="s">
        <v>61</v>
      </c>
      <c r="D34" s="35">
        <v>10800</v>
      </c>
      <c r="E34">
        <v>1246264138</v>
      </c>
      <c r="F34" s="324">
        <v>46087</v>
      </c>
      <c r="H34" t="s">
        <v>28</v>
      </c>
      <c r="I34" t="s">
        <v>29</v>
      </c>
      <c r="J34">
        <v>1246264138</v>
      </c>
      <c r="K34" s="324">
        <v>46072</v>
      </c>
      <c r="L34">
        <v>3042200</v>
      </c>
      <c r="M34" t="s">
        <v>857</v>
      </c>
      <c r="N34">
        <v>25</v>
      </c>
      <c r="O34" s="32">
        <v>0</v>
      </c>
      <c r="P34" s="32">
        <v>0</v>
      </c>
      <c r="Q34" s="32">
        <v>0</v>
      </c>
      <c r="R34" s="32">
        <v>10800</v>
      </c>
      <c r="S34" s="32">
        <v>0</v>
      </c>
      <c r="T34" s="32">
        <v>0</v>
      </c>
      <c r="U34" s="32">
        <v>0</v>
      </c>
      <c r="V34" s="32">
        <v>0</v>
      </c>
      <c r="W34" s="32">
        <v>0</v>
      </c>
      <c r="X34" s="32">
        <v>0</v>
      </c>
      <c r="Y34" s="32">
        <v>0</v>
      </c>
      <c r="Z34" s="32">
        <v>0</v>
      </c>
      <c r="AA34" s="32">
        <v>0</v>
      </c>
      <c r="AB34" s="32">
        <v>0</v>
      </c>
      <c r="AC34" s="32" t="s">
        <v>540</v>
      </c>
      <c r="AD34" s="32"/>
      <c r="AE34" s="32">
        <v>0</v>
      </c>
    </row>
    <row r="35" spans="1:31" x14ac:dyDescent="0.25">
      <c r="A35">
        <v>452</v>
      </c>
      <c r="B35" t="s">
        <v>578</v>
      </c>
      <c r="C35" t="s">
        <v>48</v>
      </c>
      <c r="D35" s="35">
        <v>1800</v>
      </c>
      <c r="E35">
        <v>1246055195</v>
      </c>
      <c r="F35" s="324">
        <v>44902</v>
      </c>
      <c r="H35" t="s">
        <v>28</v>
      </c>
      <c r="I35" t="s">
        <v>29</v>
      </c>
      <c r="J35">
        <v>1246055195</v>
      </c>
      <c r="K35" s="324">
        <v>44887</v>
      </c>
      <c r="L35">
        <v>3041000</v>
      </c>
      <c r="M35" t="s">
        <v>138</v>
      </c>
      <c r="N35">
        <v>1210</v>
      </c>
      <c r="O35" s="32">
        <v>0</v>
      </c>
      <c r="P35" s="32">
        <v>1800</v>
      </c>
      <c r="Q35" s="32">
        <v>0</v>
      </c>
      <c r="R35" s="32">
        <v>0</v>
      </c>
      <c r="S35" s="32">
        <v>0</v>
      </c>
      <c r="T35" s="32">
        <v>0</v>
      </c>
      <c r="U35" s="32">
        <v>1800</v>
      </c>
      <c r="V35" s="32">
        <v>0</v>
      </c>
      <c r="W35" s="32">
        <v>54</v>
      </c>
      <c r="X35" s="32">
        <v>1746</v>
      </c>
      <c r="Y35" s="32">
        <v>1746</v>
      </c>
      <c r="Z35" s="32">
        <v>1800</v>
      </c>
      <c r="AA35" s="32">
        <v>0</v>
      </c>
      <c r="AB35" s="32">
        <v>1800</v>
      </c>
      <c r="AC35" s="32" t="s">
        <v>540</v>
      </c>
      <c r="AD35" s="32"/>
      <c r="AE35" s="32">
        <v>1800</v>
      </c>
    </row>
    <row r="36" spans="1:31" x14ac:dyDescent="0.25">
      <c r="A36">
        <v>2559</v>
      </c>
      <c r="B36" t="s">
        <v>500</v>
      </c>
      <c r="C36" t="s">
        <v>79</v>
      </c>
      <c r="D36" s="35">
        <v>1200</v>
      </c>
      <c r="E36">
        <v>1246203587</v>
      </c>
      <c r="F36" s="324">
        <v>45750</v>
      </c>
      <c r="H36" t="s">
        <v>28</v>
      </c>
      <c r="I36" t="s">
        <v>29</v>
      </c>
      <c r="J36">
        <v>1246203587</v>
      </c>
      <c r="K36" s="324">
        <v>45735</v>
      </c>
      <c r="L36">
        <v>3041000</v>
      </c>
      <c r="M36" t="s">
        <v>138</v>
      </c>
      <c r="N36">
        <v>362</v>
      </c>
      <c r="O36" s="32">
        <v>0</v>
      </c>
      <c r="P36" s="32">
        <v>1200</v>
      </c>
      <c r="Q36" s="32">
        <v>0</v>
      </c>
      <c r="R36" s="32">
        <v>0</v>
      </c>
      <c r="S36" s="32">
        <v>0</v>
      </c>
      <c r="T36" s="32">
        <v>0</v>
      </c>
      <c r="U36" s="32">
        <v>1200</v>
      </c>
      <c r="V36" s="32">
        <v>0</v>
      </c>
      <c r="W36" s="32">
        <v>36</v>
      </c>
      <c r="X36" s="32">
        <v>1164</v>
      </c>
      <c r="Y36" s="32">
        <v>1164</v>
      </c>
      <c r="Z36" s="32">
        <v>1200</v>
      </c>
      <c r="AA36" s="32">
        <v>0</v>
      </c>
      <c r="AB36" s="32">
        <v>1200</v>
      </c>
      <c r="AC36" s="32" t="s">
        <v>540</v>
      </c>
      <c r="AD36" s="32"/>
      <c r="AE36" s="32">
        <v>1200</v>
      </c>
    </row>
    <row r="37" spans="1:31" x14ac:dyDescent="0.25">
      <c r="A37">
        <v>2559</v>
      </c>
      <c r="B37" t="s">
        <v>500</v>
      </c>
      <c r="C37" t="s">
        <v>79</v>
      </c>
      <c r="D37" s="35">
        <v>7200</v>
      </c>
      <c r="E37">
        <v>1246203586</v>
      </c>
      <c r="F37" s="324">
        <v>45750</v>
      </c>
      <c r="H37" t="s">
        <v>28</v>
      </c>
      <c r="I37" t="s">
        <v>29</v>
      </c>
      <c r="J37">
        <v>1246203586</v>
      </c>
      <c r="K37" s="324">
        <v>45735</v>
      </c>
      <c r="L37">
        <v>3041000</v>
      </c>
      <c r="M37" t="s">
        <v>138</v>
      </c>
      <c r="N37">
        <v>362</v>
      </c>
      <c r="O37" s="32">
        <v>0</v>
      </c>
      <c r="P37" s="32">
        <v>7200</v>
      </c>
      <c r="Q37" s="32">
        <v>0</v>
      </c>
      <c r="R37" s="32">
        <v>0</v>
      </c>
      <c r="S37" s="32">
        <v>0</v>
      </c>
      <c r="T37" s="32">
        <v>0</v>
      </c>
      <c r="U37" s="32">
        <v>7200</v>
      </c>
      <c r="V37" s="32">
        <v>0</v>
      </c>
      <c r="W37" s="32">
        <v>216</v>
      </c>
      <c r="X37" s="32">
        <v>6984</v>
      </c>
      <c r="Y37" s="32">
        <v>6984</v>
      </c>
      <c r="Z37" s="32">
        <v>7200</v>
      </c>
      <c r="AA37" s="32">
        <v>0</v>
      </c>
      <c r="AB37" s="32">
        <v>7200</v>
      </c>
      <c r="AC37" s="32" t="s">
        <v>540</v>
      </c>
      <c r="AD37" s="32"/>
      <c r="AE37" s="32">
        <v>7200</v>
      </c>
    </row>
    <row r="38" spans="1:31" x14ac:dyDescent="0.25">
      <c r="A38">
        <v>2559</v>
      </c>
      <c r="B38" t="s">
        <v>500</v>
      </c>
      <c r="C38" t="s">
        <v>79</v>
      </c>
      <c r="D38" s="35">
        <v>1200</v>
      </c>
      <c r="E38">
        <v>1246203585</v>
      </c>
      <c r="F38" s="324">
        <v>45750</v>
      </c>
      <c r="H38" t="s">
        <v>28</v>
      </c>
      <c r="I38" t="s">
        <v>29</v>
      </c>
      <c r="J38">
        <v>1246203585</v>
      </c>
      <c r="K38" s="324">
        <v>45735</v>
      </c>
      <c r="L38">
        <v>3041000</v>
      </c>
      <c r="M38" t="s">
        <v>138</v>
      </c>
      <c r="N38">
        <v>362</v>
      </c>
      <c r="O38" s="32">
        <v>0</v>
      </c>
      <c r="P38" s="32">
        <v>1200</v>
      </c>
      <c r="Q38" s="32">
        <v>0</v>
      </c>
      <c r="R38" s="32">
        <v>0</v>
      </c>
      <c r="S38" s="32">
        <v>0</v>
      </c>
      <c r="T38" s="32">
        <v>0</v>
      </c>
      <c r="U38" s="32">
        <v>1200</v>
      </c>
      <c r="V38" s="32">
        <v>0</v>
      </c>
      <c r="W38" s="32">
        <v>36</v>
      </c>
      <c r="X38" s="32">
        <v>1164</v>
      </c>
      <c r="Y38" s="32">
        <v>1164</v>
      </c>
      <c r="Z38" s="32">
        <v>1200</v>
      </c>
      <c r="AA38" s="32">
        <v>0</v>
      </c>
      <c r="AB38" s="32">
        <v>1200</v>
      </c>
      <c r="AC38" s="32" t="s">
        <v>540</v>
      </c>
      <c r="AD38" s="32"/>
      <c r="AE38" s="32">
        <v>1200</v>
      </c>
    </row>
    <row r="39" spans="1:31" x14ac:dyDescent="0.25">
      <c r="A39">
        <v>2559</v>
      </c>
      <c r="B39" t="s">
        <v>500</v>
      </c>
      <c r="C39" t="s">
        <v>79</v>
      </c>
      <c r="D39" s="35">
        <v>6000</v>
      </c>
      <c r="E39">
        <v>1246244748</v>
      </c>
      <c r="F39" s="324">
        <v>45968</v>
      </c>
      <c r="H39" t="s">
        <v>28</v>
      </c>
      <c r="I39" t="s">
        <v>29</v>
      </c>
      <c r="J39">
        <v>1246244748</v>
      </c>
      <c r="K39" s="324">
        <v>45953</v>
      </c>
      <c r="L39">
        <v>3041000</v>
      </c>
      <c r="M39" t="s">
        <v>138</v>
      </c>
      <c r="N39">
        <v>144</v>
      </c>
      <c r="O39" s="32">
        <v>0</v>
      </c>
      <c r="P39" s="32">
        <v>180</v>
      </c>
      <c r="Q39" s="32">
        <v>0</v>
      </c>
      <c r="R39" s="32">
        <v>0</v>
      </c>
      <c r="S39" s="32">
        <v>6000</v>
      </c>
      <c r="T39" s="32">
        <v>0</v>
      </c>
      <c r="U39" s="32">
        <v>0</v>
      </c>
      <c r="V39" s="32">
        <v>0</v>
      </c>
      <c r="W39" s="32">
        <v>180</v>
      </c>
      <c r="X39" s="32">
        <v>0</v>
      </c>
      <c r="Y39" s="32">
        <v>0</v>
      </c>
      <c r="Z39" s="32">
        <v>0</v>
      </c>
      <c r="AA39" s="32">
        <v>0</v>
      </c>
      <c r="AB39" s="32">
        <v>180</v>
      </c>
      <c r="AC39" s="32" t="s">
        <v>540</v>
      </c>
      <c r="AD39" s="32"/>
      <c r="AE39" s="32">
        <v>0</v>
      </c>
    </row>
    <row r="40" spans="1:31" x14ac:dyDescent="0.25">
      <c r="A40">
        <v>7102</v>
      </c>
      <c r="B40" t="s">
        <v>500</v>
      </c>
      <c r="C40" t="s">
        <v>567</v>
      </c>
      <c r="D40" s="35">
        <v>4800</v>
      </c>
      <c r="E40">
        <v>1246247639</v>
      </c>
      <c r="F40" s="324">
        <v>45982</v>
      </c>
      <c r="H40" t="s">
        <v>28</v>
      </c>
      <c r="I40" t="s">
        <v>29</v>
      </c>
      <c r="J40">
        <v>1246247639</v>
      </c>
      <c r="K40" s="324">
        <v>45967</v>
      </c>
      <c r="L40">
        <v>3041000</v>
      </c>
      <c r="M40" t="s">
        <v>138</v>
      </c>
      <c r="N40">
        <v>130</v>
      </c>
      <c r="O40" s="32">
        <v>0</v>
      </c>
      <c r="P40" s="32">
        <v>144</v>
      </c>
      <c r="Q40" s="32">
        <v>0</v>
      </c>
      <c r="R40" s="32">
        <v>0</v>
      </c>
      <c r="S40" s="32">
        <v>4800</v>
      </c>
      <c r="T40" s="32">
        <v>0</v>
      </c>
      <c r="U40" s="32">
        <v>0</v>
      </c>
      <c r="V40" s="32">
        <v>0</v>
      </c>
      <c r="W40" s="32">
        <v>144</v>
      </c>
      <c r="X40" s="32">
        <v>0</v>
      </c>
      <c r="Y40" s="32">
        <v>0</v>
      </c>
      <c r="Z40" s="32">
        <v>0</v>
      </c>
      <c r="AA40" s="32">
        <v>0</v>
      </c>
      <c r="AB40" s="32">
        <v>144</v>
      </c>
      <c r="AC40" s="32" t="s">
        <v>540</v>
      </c>
      <c r="AD40" s="32"/>
      <c r="AE40" s="32">
        <v>0</v>
      </c>
    </row>
    <row r="41" spans="1:31" x14ac:dyDescent="0.25">
      <c r="A41">
        <v>6477</v>
      </c>
      <c r="B41" t="s">
        <v>500</v>
      </c>
      <c r="C41" t="s">
        <v>99</v>
      </c>
      <c r="D41" s="35">
        <v>5400</v>
      </c>
      <c r="E41">
        <v>1246054441</v>
      </c>
      <c r="F41" s="324">
        <v>44897</v>
      </c>
      <c r="H41" t="s">
        <v>28</v>
      </c>
      <c r="I41" t="s">
        <v>29</v>
      </c>
      <c r="J41">
        <v>1246054441</v>
      </c>
      <c r="K41" s="324">
        <v>44882</v>
      </c>
      <c r="L41">
        <v>3041000</v>
      </c>
      <c r="M41" t="s">
        <v>138</v>
      </c>
      <c r="N41">
        <v>1215</v>
      </c>
      <c r="O41" s="32">
        <v>0</v>
      </c>
      <c r="P41" s="32">
        <v>5400</v>
      </c>
      <c r="Q41" s="32">
        <v>0</v>
      </c>
      <c r="R41" s="32">
        <v>0</v>
      </c>
      <c r="S41" s="32">
        <v>0</v>
      </c>
      <c r="T41" s="32">
        <v>0</v>
      </c>
      <c r="U41" s="32">
        <v>5400</v>
      </c>
      <c r="V41" s="32">
        <v>0</v>
      </c>
      <c r="W41" s="32">
        <v>162</v>
      </c>
      <c r="X41" s="32">
        <v>5238</v>
      </c>
      <c r="Y41" s="32">
        <v>5238</v>
      </c>
      <c r="Z41" s="32">
        <v>5400</v>
      </c>
      <c r="AA41" s="32">
        <v>0</v>
      </c>
      <c r="AB41" s="32">
        <v>5400</v>
      </c>
      <c r="AC41" s="32" t="s">
        <v>540</v>
      </c>
      <c r="AD41" s="32"/>
      <c r="AE41" s="32">
        <v>5400</v>
      </c>
    </row>
    <row r="42" spans="1:31" x14ac:dyDescent="0.25">
      <c r="A42">
        <v>7097</v>
      </c>
      <c r="B42" t="s">
        <v>500</v>
      </c>
      <c r="C42" t="s">
        <v>103</v>
      </c>
      <c r="D42" s="35">
        <v>11300</v>
      </c>
      <c r="E42">
        <v>1246058687</v>
      </c>
      <c r="F42" s="324">
        <v>44925</v>
      </c>
      <c r="H42" t="s">
        <v>28</v>
      </c>
      <c r="I42" t="s">
        <v>29</v>
      </c>
      <c r="J42">
        <v>1246058687</v>
      </c>
      <c r="K42" s="324">
        <v>44910</v>
      </c>
      <c r="L42">
        <v>3041000</v>
      </c>
      <c r="M42" t="s">
        <v>138</v>
      </c>
      <c r="N42">
        <v>1187</v>
      </c>
      <c r="O42" s="32">
        <v>0</v>
      </c>
      <c r="P42" s="32">
        <v>11300</v>
      </c>
      <c r="Q42" s="32">
        <v>0</v>
      </c>
      <c r="R42" s="32">
        <v>0</v>
      </c>
      <c r="S42" s="32">
        <v>0</v>
      </c>
      <c r="T42" s="32">
        <v>0</v>
      </c>
      <c r="U42" s="32">
        <v>11300</v>
      </c>
      <c r="V42" s="32">
        <v>0</v>
      </c>
      <c r="W42" s="32">
        <v>339</v>
      </c>
      <c r="X42" s="32">
        <v>10961</v>
      </c>
      <c r="Y42" s="32">
        <v>10961</v>
      </c>
      <c r="Z42" s="32">
        <v>11300</v>
      </c>
      <c r="AA42" s="32">
        <v>0</v>
      </c>
      <c r="AB42" s="32">
        <v>11300</v>
      </c>
      <c r="AC42" s="32" t="s">
        <v>540</v>
      </c>
      <c r="AD42" s="32"/>
      <c r="AE42" s="32">
        <v>11300</v>
      </c>
    </row>
    <row r="43" spans="1:31" x14ac:dyDescent="0.25">
      <c r="A43">
        <v>7097</v>
      </c>
      <c r="B43" t="s">
        <v>500</v>
      </c>
      <c r="C43" t="s">
        <v>103</v>
      </c>
      <c r="D43" s="35">
        <v>10183.120000000001</v>
      </c>
      <c r="E43">
        <v>1246057240</v>
      </c>
      <c r="F43" s="324">
        <v>44922</v>
      </c>
      <c r="H43" t="s">
        <v>28</v>
      </c>
      <c r="I43" t="s">
        <v>29</v>
      </c>
      <c r="J43">
        <v>71222</v>
      </c>
      <c r="K43" s="324">
        <v>44902</v>
      </c>
      <c r="L43">
        <v>3041000</v>
      </c>
      <c r="M43" t="s">
        <v>138</v>
      </c>
      <c r="N43">
        <v>1190</v>
      </c>
      <c r="O43" s="32">
        <v>0</v>
      </c>
      <c r="P43" s="32">
        <v>10183.120000000001</v>
      </c>
      <c r="Q43" s="32">
        <v>0</v>
      </c>
      <c r="R43" s="32">
        <v>0</v>
      </c>
      <c r="S43" s="32">
        <v>0</v>
      </c>
      <c r="T43" s="32">
        <v>0</v>
      </c>
      <c r="U43" s="32">
        <v>10183.120000000001</v>
      </c>
      <c r="V43" s="32">
        <v>0</v>
      </c>
      <c r="W43" s="32">
        <v>305.49360000000001</v>
      </c>
      <c r="X43" s="32">
        <v>9877.626400000001</v>
      </c>
      <c r="Y43" s="32">
        <v>9877.626400000001</v>
      </c>
      <c r="Z43" s="32">
        <v>10183.120000000001</v>
      </c>
      <c r="AA43" s="32">
        <v>0</v>
      </c>
      <c r="AB43" s="32">
        <v>10183.120000000001</v>
      </c>
      <c r="AC43" s="32" t="s">
        <v>540</v>
      </c>
      <c r="AD43" s="32"/>
      <c r="AE43" s="32">
        <v>10183.120000000001</v>
      </c>
    </row>
    <row r="44" spans="1:31" x14ac:dyDescent="0.25">
      <c r="A44">
        <v>7443</v>
      </c>
      <c r="B44" t="s">
        <v>500</v>
      </c>
      <c r="C44" t="s">
        <v>253</v>
      </c>
      <c r="D44" s="35">
        <v>1200</v>
      </c>
      <c r="E44">
        <v>1246156403</v>
      </c>
      <c r="F44" s="324">
        <v>45496</v>
      </c>
      <c r="H44" t="s">
        <v>28</v>
      </c>
      <c r="I44" t="s">
        <v>29</v>
      </c>
      <c r="J44">
        <v>1246156403</v>
      </c>
      <c r="K44" s="324">
        <v>45481</v>
      </c>
      <c r="L44">
        <v>3041000</v>
      </c>
      <c r="M44" t="s">
        <v>138</v>
      </c>
      <c r="N44">
        <v>616</v>
      </c>
      <c r="O44" s="32">
        <v>0</v>
      </c>
      <c r="P44" s="32">
        <v>1200</v>
      </c>
      <c r="Q44" s="32">
        <v>0</v>
      </c>
      <c r="R44" s="32">
        <v>0</v>
      </c>
      <c r="S44" s="32">
        <v>0</v>
      </c>
      <c r="T44" s="32">
        <v>0</v>
      </c>
      <c r="U44" s="32">
        <v>1200</v>
      </c>
      <c r="V44" s="32">
        <v>0</v>
      </c>
      <c r="W44" s="32">
        <v>36</v>
      </c>
      <c r="X44" s="32">
        <v>1164</v>
      </c>
      <c r="Y44" s="32">
        <v>1164</v>
      </c>
      <c r="Z44" s="32">
        <v>1200</v>
      </c>
      <c r="AA44" s="32">
        <v>0</v>
      </c>
      <c r="AB44" s="32">
        <v>1200</v>
      </c>
      <c r="AC44" s="32" t="s">
        <v>540</v>
      </c>
      <c r="AD44" s="32"/>
      <c r="AE44" s="32">
        <v>1200</v>
      </c>
    </row>
    <row r="45" spans="1:31" x14ac:dyDescent="0.25">
      <c r="A45">
        <v>7443</v>
      </c>
      <c r="B45" t="s">
        <v>500</v>
      </c>
      <c r="C45" t="s">
        <v>253</v>
      </c>
      <c r="D45" s="35">
        <v>1200</v>
      </c>
      <c r="E45">
        <v>1246156396</v>
      </c>
      <c r="F45" s="324">
        <v>45496</v>
      </c>
      <c r="H45" t="s">
        <v>28</v>
      </c>
      <c r="I45" t="s">
        <v>29</v>
      </c>
      <c r="J45">
        <v>1246156396</v>
      </c>
      <c r="K45" s="324">
        <v>45481</v>
      </c>
      <c r="L45">
        <v>3041000</v>
      </c>
      <c r="M45" t="s">
        <v>138</v>
      </c>
      <c r="N45">
        <v>616</v>
      </c>
      <c r="O45" s="32">
        <v>0</v>
      </c>
      <c r="P45" s="32">
        <v>1200</v>
      </c>
      <c r="Q45" s="32">
        <v>0</v>
      </c>
      <c r="R45" s="32">
        <v>0</v>
      </c>
      <c r="S45" s="32">
        <v>0</v>
      </c>
      <c r="T45" s="32">
        <v>0</v>
      </c>
      <c r="U45" s="32">
        <v>1200</v>
      </c>
      <c r="V45" s="32">
        <v>0</v>
      </c>
      <c r="W45" s="32">
        <v>36</v>
      </c>
      <c r="X45" s="32">
        <v>1164</v>
      </c>
      <c r="Y45" s="32">
        <v>1164</v>
      </c>
      <c r="Z45" s="32">
        <v>1200</v>
      </c>
      <c r="AA45" s="32">
        <v>0</v>
      </c>
      <c r="AB45" s="32">
        <v>1200</v>
      </c>
      <c r="AC45" s="32" t="s">
        <v>540</v>
      </c>
      <c r="AD45" s="32"/>
      <c r="AE45" s="32">
        <v>1200</v>
      </c>
    </row>
    <row r="46" spans="1:31" x14ac:dyDescent="0.25">
      <c r="A46">
        <v>7302</v>
      </c>
      <c r="B46" t="s">
        <v>500</v>
      </c>
      <c r="C46" t="s">
        <v>105</v>
      </c>
      <c r="D46" s="35">
        <v>1800</v>
      </c>
      <c r="E46">
        <v>1246045752</v>
      </c>
      <c r="F46" s="324">
        <v>44848</v>
      </c>
      <c r="H46" t="s">
        <v>28</v>
      </c>
      <c r="I46" t="s">
        <v>29</v>
      </c>
      <c r="J46">
        <v>290922</v>
      </c>
      <c r="K46" s="324">
        <v>44833</v>
      </c>
      <c r="L46">
        <v>3041000</v>
      </c>
      <c r="M46" t="s">
        <v>138</v>
      </c>
      <c r="N46">
        <v>1264</v>
      </c>
      <c r="O46" s="32">
        <v>0</v>
      </c>
      <c r="P46" s="32">
        <v>1800</v>
      </c>
      <c r="Q46" s="32">
        <v>0</v>
      </c>
      <c r="R46" s="32">
        <v>0</v>
      </c>
      <c r="S46" s="32">
        <v>0</v>
      </c>
      <c r="T46" s="32">
        <v>0</v>
      </c>
      <c r="U46" s="32">
        <v>1800</v>
      </c>
      <c r="V46" s="32">
        <v>0</v>
      </c>
      <c r="W46" s="32">
        <v>54</v>
      </c>
      <c r="X46" s="32">
        <v>1746</v>
      </c>
      <c r="Y46" s="32">
        <v>1746</v>
      </c>
      <c r="Z46" s="32">
        <v>1800</v>
      </c>
      <c r="AA46" s="32">
        <v>0</v>
      </c>
      <c r="AB46" s="32">
        <v>1800</v>
      </c>
      <c r="AC46" s="32" t="s">
        <v>540</v>
      </c>
      <c r="AD46" s="32"/>
      <c r="AE46" s="32">
        <v>1800</v>
      </c>
    </row>
    <row r="47" spans="1:31" x14ac:dyDescent="0.25">
      <c r="A47">
        <v>7302</v>
      </c>
      <c r="B47" t="s">
        <v>500</v>
      </c>
      <c r="C47" t="s">
        <v>105</v>
      </c>
      <c r="D47" s="35">
        <v>7200</v>
      </c>
      <c r="E47">
        <v>1246033417</v>
      </c>
      <c r="F47" s="324">
        <v>44792</v>
      </c>
      <c r="H47" t="s">
        <v>28</v>
      </c>
      <c r="I47" t="s">
        <v>29</v>
      </c>
      <c r="J47">
        <v>1246033417</v>
      </c>
      <c r="K47" s="324">
        <v>44777</v>
      </c>
      <c r="L47">
        <v>3041000</v>
      </c>
      <c r="M47" t="s">
        <v>138</v>
      </c>
      <c r="N47">
        <v>1320</v>
      </c>
      <c r="O47" s="32">
        <v>0</v>
      </c>
      <c r="P47" s="32">
        <v>7200</v>
      </c>
      <c r="Q47" s="32">
        <v>0</v>
      </c>
      <c r="R47" s="32">
        <v>0</v>
      </c>
      <c r="S47" s="32">
        <v>0</v>
      </c>
      <c r="T47" s="32">
        <v>0</v>
      </c>
      <c r="U47" s="32">
        <v>7200</v>
      </c>
      <c r="V47" s="32">
        <v>0</v>
      </c>
      <c r="W47" s="32">
        <v>216</v>
      </c>
      <c r="X47" s="32">
        <v>6984</v>
      </c>
      <c r="Y47" s="32">
        <v>6984</v>
      </c>
      <c r="Z47" s="32">
        <v>7200</v>
      </c>
      <c r="AA47" s="32">
        <v>0</v>
      </c>
      <c r="AB47" s="32">
        <v>7200</v>
      </c>
      <c r="AC47" s="32" t="s">
        <v>540</v>
      </c>
      <c r="AD47" s="32"/>
      <c r="AE47" s="32">
        <v>7200</v>
      </c>
    </row>
    <row r="48" spans="1:31" x14ac:dyDescent="0.25">
      <c r="A48">
        <v>7302</v>
      </c>
      <c r="B48" t="s">
        <v>500</v>
      </c>
      <c r="C48" t="s">
        <v>105</v>
      </c>
      <c r="D48" s="35">
        <v>9000</v>
      </c>
      <c r="E48">
        <v>1246054438</v>
      </c>
      <c r="F48" s="324">
        <v>44897</v>
      </c>
      <c r="H48" t="s">
        <v>28</v>
      </c>
      <c r="I48" t="s">
        <v>29</v>
      </c>
      <c r="J48">
        <v>1246054438</v>
      </c>
      <c r="K48" s="324">
        <v>44882</v>
      </c>
      <c r="L48">
        <v>3041000</v>
      </c>
      <c r="M48" t="s">
        <v>138</v>
      </c>
      <c r="N48">
        <v>1215</v>
      </c>
      <c r="O48" s="32">
        <v>0</v>
      </c>
      <c r="P48" s="32">
        <v>9000</v>
      </c>
      <c r="Q48" s="32">
        <v>0</v>
      </c>
      <c r="R48" s="32">
        <v>0</v>
      </c>
      <c r="S48" s="32">
        <v>0</v>
      </c>
      <c r="T48" s="32">
        <v>0</v>
      </c>
      <c r="U48" s="32">
        <v>9000</v>
      </c>
      <c r="V48" s="32">
        <v>0</v>
      </c>
      <c r="W48" s="32">
        <v>270</v>
      </c>
      <c r="X48" s="32">
        <v>8730</v>
      </c>
      <c r="Y48" s="32">
        <v>8730</v>
      </c>
      <c r="Z48" s="32">
        <v>9000</v>
      </c>
      <c r="AA48" s="32">
        <v>0</v>
      </c>
      <c r="AB48" s="32">
        <v>9000</v>
      </c>
      <c r="AC48" s="32" t="s">
        <v>540</v>
      </c>
      <c r="AD48" s="32"/>
      <c r="AE48" s="32">
        <v>9000</v>
      </c>
    </row>
    <row r="49" spans="1:31" x14ac:dyDescent="0.25">
      <c r="A49">
        <v>7302</v>
      </c>
      <c r="B49" t="s">
        <v>500</v>
      </c>
      <c r="C49" t="s">
        <v>105</v>
      </c>
      <c r="D49" s="35">
        <v>7200</v>
      </c>
      <c r="E49">
        <v>1246057914</v>
      </c>
      <c r="F49" s="324">
        <v>44922</v>
      </c>
      <c r="H49" t="s">
        <v>28</v>
      </c>
      <c r="I49" t="s">
        <v>29</v>
      </c>
      <c r="J49">
        <v>1246057914</v>
      </c>
      <c r="K49" s="324">
        <v>44907</v>
      </c>
      <c r="L49">
        <v>3041000</v>
      </c>
      <c r="M49" t="s">
        <v>138</v>
      </c>
      <c r="N49">
        <v>1190</v>
      </c>
      <c r="O49" s="32">
        <v>0</v>
      </c>
      <c r="P49" s="32">
        <v>7200</v>
      </c>
      <c r="Q49" s="32">
        <v>0</v>
      </c>
      <c r="R49" s="32">
        <v>0</v>
      </c>
      <c r="S49" s="32">
        <v>0</v>
      </c>
      <c r="T49" s="32">
        <v>0</v>
      </c>
      <c r="U49" s="32">
        <v>7200</v>
      </c>
      <c r="V49" s="32">
        <v>0</v>
      </c>
      <c r="W49" s="32">
        <v>216</v>
      </c>
      <c r="X49" s="32">
        <v>6984</v>
      </c>
      <c r="Y49" s="32">
        <v>6984</v>
      </c>
      <c r="Z49" s="32">
        <v>7200</v>
      </c>
      <c r="AA49" s="32">
        <v>0</v>
      </c>
      <c r="AB49" s="32">
        <v>7200</v>
      </c>
      <c r="AC49" s="32" t="s">
        <v>540</v>
      </c>
      <c r="AD49" s="32"/>
      <c r="AE49" s="32">
        <v>7200</v>
      </c>
    </row>
    <row r="50" spans="1:31" x14ac:dyDescent="0.25">
      <c r="A50">
        <v>6415</v>
      </c>
      <c r="B50" t="s">
        <v>500</v>
      </c>
      <c r="C50" t="s">
        <v>140</v>
      </c>
      <c r="D50" s="35">
        <v>3600</v>
      </c>
      <c r="E50">
        <v>1245985693</v>
      </c>
      <c r="F50" s="324">
        <v>44692</v>
      </c>
      <c r="H50" t="s">
        <v>28</v>
      </c>
      <c r="I50" t="s">
        <v>29</v>
      </c>
      <c r="J50">
        <v>1245985693</v>
      </c>
      <c r="K50" s="324">
        <v>44531</v>
      </c>
      <c r="L50">
        <v>3041000</v>
      </c>
      <c r="M50" t="s">
        <v>138</v>
      </c>
      <c r="N50">
        <v>1420</v>
      </c>
      <c r="O50" s="32">
        <v>0</v>
      </c>
      <c r="P50" s="32">
        <v>3600</v>
      </c>
      <c r="Q50" s="32">
        <v>0</v>
      </c>
      <c r="R50" s="32">
        <v>0</v>
      </c>
      <c r="S50" s="32">
        <v>0</v>
      </c>
      <c r="T50" s="32">
        <v>0</v>
      </c>
      <c r="U50" s="32">
        <v>3600</v>
      </c>
      <c r="V50" s="32">
        <v>0</v>
      </c>
      <c r="W50" s="32">
        <v>108</v>
      </c>
      <c r="X50" s="32">
        <v>3492</v>
      </c>
      <c r="Y50" s="32">
        <v>3492</v>
      </c>
      <c r="Z50" s="32">
        <v>3600</v>
      </c>
      <c r="AA50" s="32">
        <v>0</v>
      </c>
      <c r="AB50" s="32">
        <v>3600</v>
      </c>
      <c r="AC50" s="32" t="s">
        <v>540</v>
      </c>
      <c r="AD50" s="32"/>
      <c r="AE50" s="32">
        <v>3600</v>
      </c>
    </row>
    <row r="51" spans="1:31" x14ac:dyDescent="0.25">
      <c r="A51">
        <v>10434</v>
      </c>
      <c r="B51" t="s">
        <v>416</v>
      </c>
      <c r="C51" t="s">
        <v>111</v>
      </c>
      <c r="D51" s="35">
        <v>1200</v>
      </c>
      <c r="E51">
        <v>1246180341</v>
      </c>
      <c r="F51" s="324">
        <v>45615</v>
      </c>
      <c r="H51" t="s">
        <v>28</v>
      </c>
      <c r="I51" t="s">
        <v>29</v>
      </c>
      <c r="J51">
        <v>1246180341</v>
      </c>
      <c r="K51" s="324">
        <v>45600</v>
      </c>
      <c r="L51">
        <v>3041000</v>
      </c>
      <c r="M51" t="s">
        <v>138</v>
      </c>
      <c r="N51">
        <v>497</v>
      </c>
      <c r="O51" s="32">
        <v>0</v>
      </c>
      <c r="P51" s="32">
        <v>1200</v>
      </c>
      <c r="Q51" s="32">
        <v>0</v>
      </c>
      <c r="R51" s="32">
        <v>0</v>
      </c>
      <c r="S51" s="32">
        <v>0</v>
      </c>
      <c r="T51" s="32">
        <v>0</v>
      </c>
      <c r="U51" s="32">
        <v>1200</v>
      </c>
      <c r="V51" s="32">
        <v>0</v>
      </c>
      <c r="W51" s="32">
        <v>36</v>
      </c>
      <c r="X51" s="32">
        <v>1164</v>
      </c>
      <c r="Y51" s="32">
        <v>1164</v>
      </c>
      <c r="Z51" s="32">
        <v>1200</v>
      </c>
      <c r="AA51" s="32">
        <v>0</v>
      </c>
      <c r="AB51" s="32">
        <v>1200</v>
      </c>
      <c r="AC51" s="32" t="s">
        <v>540</v>
      </c>
      <c r="AD51" s="32"/>
      <c r="AE51" s="32">
        <v>1200</v>
      </c>
    </row>
    <row r="52" spans="1:31" x14ac:dyDescent="0.25">
      <c r="A52">
        <v>1257</v>
      </c>
      <c r="B52" t="s">
        <v>500</v>
      </c>
      <c r="C52" t="s">
        <v>63</v>
      </c>
      <c r="D52" s="35">
        <v>1980.8</v>
      </c>
      <c r="E52">
        <v>1246032946</v>
      </c>
      <c r="F52" s="324">
        <v>44774</v>
      </c>
      <c r="H52" t="s">
        <v>28</v>
      </c>
      <c r="I52" t="s">
        <v>29</v>
      </c>
      <c r="J52">
        <v>17935</v>
      </c>
      <c r="K52" s="324">
        <v>44714</v>
      </c>
      <c r="L52">
        <v>1010100</v>
      </c>
      <c r="M52" t="s">
        <v>35</v>
      </c>
      <c r="N52">
        <v>1338</v>
      </c>
      <c r="O52" s="32">
        <v>0</v>
      </c>
      <c r="P52" s="32">
        <v>1980.8</v>
      </c>
      <c r="Q52" s="32">
        <v>0</v>
      </c>
      <c r="R52" s="32">
        <v>0</v>
      </c>
      <c r="S52" s="32">
        <v>0</v>
      </c>
      <c r="T52" s="32">
        <v>0</v>
      </c>
      <c r="U52" s="32">
        <v>1980.8</v>
      </c>
      <c r="V52" s="32">
        <v>0</v>
      </c>
      <c r="W52" s="32">
        <v>59.423999999999999</v>
      </c>
      <c r="X52" s="32">
        <v>1921.376</v>
      </c>
      <c r="Y52" s="32">
        <v>1921.376</v>
      </c>
      <c r="Z52" s="32">
        <v>1980.8</v>
      </c>
      <c r="AA52" s="32">
        <v>0</v>
      </c>
      <c r="AB52" s="32">
        <v>1980.8</v>
      </c>
      <c r="AC52" s="32" t="s">
        <v>540</v>
      </c>
      <c r="AD52" s="32"/>
      <c r="AE52" s="32">
        <v>1980.8</v>
      </c>
    </row>
    <row r="53" spans="1:31" x14ac:dyDescent="0.25">
      <c r="A53">
        <v>1936</v>
      </c>
      <c r="B53" t="s">
        <v>416</v>
      </c>
      <c r="C53" t="s">
        <v>75</v>
      </c>
      <c r="D53" s="35">
        <v>39900</v>
      </c>
      <c r="E53">
        <v>1246267723</v>
      </c>
      <c r="F53" s="324">
        <v>46122</v>
      </c>
      <c r="H53" t="s">
        <v>28</v>
      </c>
      <c r="I53" t="s">
        <v>29</v>
      </c>
      <c r="J53">
        <v>10879</v>
      </c>
      <c r="K53" s="324">
        <v>46094</v>
      </c>
      <c r="L53">
        <v>1010100</v>
      </c>
      <c r="M53" t="s">
        <v>35</v>
      </c>
      <c r="N53">
        <v>-10</v>
      </c>
      <c r="O53" s="32">
        <v>0</v>
      </c>
      <c r="P53" s="32">
        <v>0</v>
      </c>
      <c r="Q53" s="32">
        <v>39900</v>
      </c>
      <c r="R53" s="32">
        <v>0</v>
      </c>
      <c r="S53" s="32">
        <v>0</v>
      </c>
      <c r="T53" s="32">
        <v>0</v>
      </c>
      <c r="U53" s="32">
        <v>0</v>
      </c>
      <c r="V53" s="32">
        <v>0</v>
      </c>
      <c r="W53" s="32">
        <v>0</v>
      </c>
      <c r="X53" s="32">
        <v>0</v>
      </c>
      <c r="Y53" s="32">
        <v>0</v>
      </c>
      <c r="Z53" s="32">
        <v>0</v>
      </c>
      <c r="AA53" s="32">
        <v>0</v>
      </c>
      <c r="AB53" s="32">
        <v>0</v>
      </c>
      <c r="AC53" s="32" t="s">
        <v>540</v>
      </c>
      <c r="AD53" s="32"/>
      <c r="AE53" s="32">
        <v>0</v>
      </c>
    </row>
    <row r="54" spans="1:31" x14ac:dyDescent="0.25">
      <c r="A54">
        <v>1936</v>
      </c>
      <c r="B54" t="s">
        <v>416</v>
      </c>
      <c r="C54" t="s">
        <v>75</v>
      </c>
      <c r="D54" s="35">
        <v>299800</v>
      </c>
      <c r="E54">
        <v>1246269445</v>
      </c>
      <c r="F54" s="324">
        <v>46136</v>
      </c>
      <c r="H54" t="s">
        <v>28</v>
      </c>
      <c r="I54" t="s">
        <v>29</v>
      </c>
      <c r="J54">
        <v>2849</v>
      </c>
      <c r="K54" s="324">
        <v>46108</v>
      </c>
      <c r="L54">
        <v>1010100</v>
      </c>
      <c r="M54" t="s">
        <v>35</v>
      </c>
      <c r="N54">
        <v>-24</v>
      </c>
      <c r="O54" s="32">
        <v>0</v>
      </c>
      <c r="P54" s="32">
        <v>0</v>
      </c>
      <c r="Q54" s="32">
        <v>299800</v>
      </c>
      <c r="R54" s="32">
        <v>0</v>
      </c>
      <c r="S54" s="32">
        <v>0</v>
      </c>
      <c r="T54" s="32">
        <v>0</v>
      </c>
      <c r="U54" s="32">
        <v>0</v>
      </c>
      <c r="V54" s="32">
        <v>0</v>
      </c>
      <c r="W54" s="32">
        <v>0</v>
      </c>
      <c r="X54" s="32">
        <v>0</v>
      </c>
      <c r="Y54" s="32">
        <v>0</v>
      </c>
      <c r="Z54" s="32">
        <v>0</v>
      </c>
      <c r="AA54" s="32">
        <v>0</v>
      </c>
      <c r="AB54" s="32">
        <v>0</v>
      </c>
      <c r="AC54" s="32" t="s">
        <v>540</v>
      </c>
      <c r="AD54" s="32"/>
      <c r="AE54" s="32">
        <v>0</v>
      </c>
    </row>
    <row r="55" spans="1:31" x14ac:dyDescent="0.25">
      <c r="A55">
        <v>2603</v>
      </c>
      <c r="B55" t="s">
        <v>500</v>
      </c>
      <c r="C55" t="s">
        <v>82</v>
      </c>
      <c r="D55" s="35">
        <v>4522.16</v>
      </c>
      <c r="E55">
        <v>1246097965</v>
      </c>
      <c r="F55" s="324">
        <v>45152</v>
      </c>
      <c r="H55" t="s">
        <v>28</v>
      </c>
      <c r="I55" t="s">
        <v>29</v>
      </c>
      <c r="J55">
        <v>21713</v>
      </c>
      <c r="K55" s="324">
        <v>45092</v>
      </c>
      <c r="L55">
        <v>1010100</v>
      </c>
      <c r="M55" t="s">
        <v>35</v>
      </c>
      <c r="N55">
        <v>960</v>
      </c>
      <c r="O55" s="32">
        <v>0</v>
      </c>
      <c r="P55" s="32">
        <v>4522.1599999999989</v>
      </c>
      <c r="Q55" s="32">
        <v>0</v>
      </c>
      <c r="R55" s="32">
        <v>0</v>
      </c>
      <c r="S55" s="32">
        <v>0</v>
      </c>
      <c r="T55" s="32">
        <v>0</v>
      </c>
      <c r="U55" s="32">
        <v>4522.16</v>
      </c>
      <c r="V55" s="32">
        <v>0</v>
      </c>
      <c r="W55" s="32">
        <v>135.66479999999999</v>
      </c>
      <c r="X55" s="32">
        <v>4386.4951999999994</v>
      </c>
      <c r="Y55" s="32">
        <v>4386.4951999999994</v>
      </c>
      <c r="Z55" s="32">
        <v>4522.16</v>
      </c>
      <c r="AA55" s="32">
        <v>0</v>
      </c>
      <c r="AB55" s="32">
        <v>4522.1599999999989</v>
      </c>
      <c r="AC55" s="32" t="s">
        <v>540</v>
      </c>
      <c r="AD55" s="32"/>
      <c r="AE55" s="32">
        <v>4522.1599999999989</v>
      </c>
    </row>
    <row r="56" spans="1:31" x14ac:dyDescent="0.25">
      <c r="A56">
        <v>6124</v>
      </c>
      <c r="B56" t="s">
        <v>500</v>
      </c>
      <c r="C56" t="s">
        <v>96</v>
      </c>
      <c r="D56" s="35">
        <v>419434</v>
      </c>
      <c r="E56">
        <v>1246264936</v>
      </c>
      <c r="F56" s="324">
        <v>46167</v>
      </c>
      <c r="H56" t="s">
        <v>28</v>
      </c>
      <c r="I56" t="s">
        <v>29</v>
      </c>
      <c r="J56">
        <v>2772</v>
      </c>
      <c r="K56" s="324">
        <v>46077</v>
      </c>
      <c r="L56">
        <v>1010100</v>
      </c>
      <c r="M56" t="s">
        <v>35</v>
      </c>
      <c r="N56">
        <v>-55</v>
      </c>
      <c r="O56" s="32">
        <v>0</v>
      </c>
      <c r="P56" s="32">
        <v>0</v>
      </c>
      <c r="Q56" s="32">
        <v>419434</v>
      </c>
      <c r="R56" s="32">
        <v>0</v>
      </c>
      <c r="S56" s="32">
        <v>0</v>
      </c>
      <c r="T56" s="32">
        <v>0</v>
      </c>
      <c r="U56" s="32">
        <v>0</v>
      </c>
      <c r="V56" s="32">
        <v>0</v>
      </c>
      <c r="W56" s="32">
        <v>0</v>
      </c>
      <c r="X56" s="32">
        <v>0</v>
      </c>
      <c r="Y56" s="32">
        <v>0</v>
      </c>
      <c r="Z56" s="32">
        <v>0</v>
      </c>
      <c r="AA56" s="32">
        <v>0</v>
      </c>
      <c r="AB56" s="32">
        <v>0</v>
      </c>
      <c r="AC56" s="32" t="s">
        <v>540</v>
      </c>
      <c r="AD56" s="32"/>
      <c r="AE56" s="32">
        <v>0</v>
      </c>
    </row>
    <row r="57" spans="1:31" x14ac:dyDescent="0.25">
      <c r="A57">
        <v>7745</v>
      </c>
      <c r="B57" t="s">
        <v>425</v>
      </c>
      <c r="C57" t="s">
        <v>873</v>
      </c>
      <c r="D57" s="35">
        <v>141108</v>
      </c>
      <c r="E57">
        <v>1246266794</v>
      </c>
      <c r="F57" s="324">
        <v>46121</v>
      </c>
      <c r="H57" t="s">
        <v>28</v>
      </c>
      <c r="I57" t="s">
        <v>29</v>
      </c>
      <c r="J57">
        <v>2797</v>
      </c>
      <c r="K57" s="324">
        <v>46086</v>
      </c>
      <c r="L57">
        <v>1010100</v>
      </c>
      <c r="M57" t="s">
        <v>35</v>
      </c>
      <c r="N57">
        <v>-9</v>
      </c>
      <c r="O57" s="32">
        <v>0</v>
      </c>
      <c r="P57" s="32">
        <v>0</v>
      </c>
      <c r="Q57" s="32">
        <v>141108</v>
      </c>
      <c r="R57" s="32">
        <v>0</v>
      </c>
      <c r="S57" s="32">
        <v>0</v>
      </c>
      <c r="T57" s="32">
        <v>0</v>
      </c>
      <c r="U57" s="32">
        <v>0</v>
      </c>
      <c r="V57" s="32">
        <v>0</v>
      </c>
      <c r="W57" s="32">
        <v>0</v>
      </c>
      <c r="X57" s="32">
        <v>0</v>
      </c>
      <c r="Y57" s="32">
        <v>0</v>
      </c>
      <c r="Z57" s="32">
        <v>0</v>
      </c>
      <c r="AA57" s="32">
        <v>0</v>
      </c>
      <c r="AB57" s="32">
        <v>0</v>
      </c>
      <c r="AC57" s="32" t="s">
        <v>475</v>
      </c>
      <c r="AD57" s="32"/>
      <c r="AE57" s="32">
        <v>0</v>
      </c>
    </row>
    <row r="58" spans="1:31" x14ac:dyDescent="0.25">
      <c r="A58">
        <v>7745</v>
      </c>
      <c r="B58" t="s">
        <v>425</v>
      </c>
      <c r="C58" t="s">
        <v>873</v>
      </c>
      <c r="D58" s="35">
        <v>26356</v>
      </c>
      <c r="E58">
        <v>1246266587</v>
      </c>
      <c r="F58" s="324">
        <v>46121</v>
      </c>
      <c r="H58" t="s">
        <v>28</v>
      </c>
      <c r="I58" t="s">
        <v>29</v>
      </c>
      <c r="J58">
        <v>10823</v>
      </c>
      <c r="K58" s="324">
        <v>46086</v>
      </c>
      <c r="L58">
        <v>1010100</v>
      </c>
      <c r="M58" t="s">
        <v>35</v>
      </c>
      <c r="N58">
        <v>-9</v>
      </c>
      <c r="O58" s="32">
        <v>0</v>
      </c>
      <c r="P58" s="32">
        <v>0</v>
      </c>
      <c r="Q58" s="32">
        <v>26356</v>
      </c>
      <c r="R58" s="32">
        <v>0</v>
      </c>
      <c r="S58" s="32">
        <v>0</v>
      </c>
      <c r="T58" s="32">
        <v>0</v>
      </c>
      <c r="U58" s="32">
        <v>0</v>
      </c>
      <c r="V58" s="32">
        <v>0</v>
      </c>
      <c r="W58" s="32">
        <v>0</v>
      </c>
      <c r="X58" s="32">
        <v>0</v>
      </c>
      <c r="Y58" s="32">
        <v>0</v>
      </c>
      <c r="Z58" s="32">
        <v>0</v>
      </c>
      <c r="AA58" s="32">
        <v>0</v>
      </c>
      <c r="AB58" s="32">
        <v>0</v>
      </c>
      <c r="AC58" s="32" t="s">
        <v>475</v>
      </c>
      <c r="AD58" s="32"/>
      <c r="AE58" s="32">
        <v>0</v>
      </c>
    </row>
    <row r="59" spans="1:31" x14ac:dyDescent="0.25">
      <c r="A59">
        <v>7479</v>
      </c>
      <c r="B59" t="s">
        <v>500</v>
      </c>
      <c r="C59" t="s">
        <v>850</v>
      </c>
      <c r="D59" s="35">
        <v>64104.800000000003</v>
      </c>
      <c r="E59">
        <v>1246264518</v>
      </c>
      <c r="F59" s="324">
        <v>46166</v>
      </c>
      <c r="H59" t="s">
        <v>28</v>
      </c>
      <c r="I59" t="s">
        <v>29</v>
      </c>
      <c r="J59">
        <v>10739</v>
      </c>
      <c r="K59" s="324">
        <v>46076</v>
      </c>
      <c r="L59">
        <v>1010100</v>
      </c>
      <c r="M59" t="s">
        <v>35</v>
      </c>
      <c r="N59">
        <v>-54</v>
      </c>
      <c r="O59" s="32">
        <v>0</v>
      </c>
      <c r="P59" s="32">
        <v>0</v>
      </c>
      <c r="Q59" s="32">
        <v>64104.800000000003</v>
      </c>
      <c r="R59" s="32">
        <v>0</v>
      </c>
      <c r="S59" s="32">
        <v>0</v>
      </c>
      <c r="T59" s="32">
        <v>0</v>
      </c>
      <c r="U59" s="32">
        <v>0</v>
      </c>
      <c r="V59" s="32">
        <v>0</v>
      </c>
      <c r="W59" s="32">
        <v>0</v>
      </c>
      <c r="X59" s="32">
        <v>0</v>
      </c>
      <c r="Y59" s="32">
        <v>0</v>
      </c>
      <c r="Z59" s="32">
        <v>0</v>
      </c>
      <c r="AA59" s="32">
        <v>0</v>
      </c>
      <c r="AB59" s="32">
        <v>0</v>
      </c>
      <c r="AC59" s="32" t="s">
        <v>540</v>
      </c>
      <c r="AD59" s="32"/>
      <c r="AE59" s="32">
        <v>0</v>
      </c>
    </row>
    <row r="60" spans="1:31" x14ac:dyDescent="0.25">
      <c r="A60">
        <v>7302</v>
      </c>
      <c r="B60" t="s">
        <v>500</v>
      </c>
      <c r="C60" t="s">
        <v>105</v>
      </c>
      <c r="D60" s="35">
        <v>54135</v>
      </c>
      <c r="E60">
        <v>1246259200</v>
      </c>
      <c r="F60" s="324">
        <v>46124</v>
      </c>
      <c r="H60" t="s">
        <v>28</v>
      </c>
      <c r="I60" t="s">
        <v>29</v>
      </c>
      <c r="J60">
        <v>10465</v>
      </c>
      <c r="K60" s="324">
        <v>46034</v>
      </c>
      <c r="L60">
        <v>1010100</v>
      </c>
      <c r="M60" t="s">
        <v>35</v>
      </c>
      <c r="N60">
        <v>-12</v>
      </c>
      <c r="O60" s="32">
        <v>0</v>
      </c>
      <c r="P60" s="32">
        <v>0</v>
      </c>
      <c r="Q60" s="32">
        <v>54135</v>
      </c>
      <c r="R60" s="32">
        <v>0</v>
      </c>
      <c r="S60" s="32">
        <v>0</v>
      </c>
      <c r="T60" s="32">
        <v>0</v>
      </c>
      <c r="U60" s="32">
        <v>0</v>
      </c>
      <c r="V60" s="32">
        <v>0</v>
      </c>
      <c r="W60" s="32">
        <v>0</v>
      </c>
      <c r="X60" s="32">
        <v>0</v>
      </c>
      <c r="Y60" s="32">
        <v>0</v>
      </c>
      <c r="Z60" s="32">
        <v>0</v>
      </c>
      <c r="AA60" s="32">
        <v>0</v>
      </c>
      <c r="AB60" s="32">
        <v>0</v>
      </c>
      <c r="AC60" s="32" t="s">
        <v>540</v>
      </c>
      <c r="AD60" s="32"/>
      <c r="AE60" s="32">
        <v>0</v>
      </c>
    </row>
    <row r="61" spans="1:31" x14ac:dyDescent="0.25">
      <c r="A61">
        <v>7302</v>
      </c>
      <c r="B61" t="s">
        <v>500</v>
      </c>
      <c r="C61" t="s">
        <v>105</v>
      </c>
      <c r="D61" s="35">
        <v>129924</v>
      </c>
      <c r="E61">
        <v>1246259804</v>
      </c>
      <c r="F61" s="324">
        <v>46128</v>
      </c>
      <c r="H61" t="s">
        <v>28</v>
      </c>
      <c r="I61" t="s">
        <v>29</v>
      </c>
      <c r="J61">
        <v>10510</v>
      </c>
      <c r="K61" s="324">
        <v>46038</v>
      </c>
      <c r="L61">
        <v>1010100</v>
      </c>
      <c r="M61" t="s">
        <v>35</v>
      </c>
      <c r="N61">
        <v>-16</v>
      </c>
      <c r="O61" s="32">
        <v>0</v>
      </c>
      <c r="P61" s="32">
        <v>0</v>
      </c>
      <c r="Q61" s="32">
        <v>129924</v>
      </c>
      <c r="R61" s="32">
        <v>0</v>
      </c>
      <c r="S61" s="32">
        <v>0</v>
      </c>
      <c r="T61" s="32">
        <v>0</v>
      </c>
      <c r="U61" s="32">
        <v>0</v>
      </c>
      <c r="V61" s="32">
        <v>0</v>
      </c>
      <c r="W61" s="32">
        <v>0</v>
      </c>
      <c r="X61" s="32">
        <v>0</v>
      </c>
      <c r="Y61" s="32">
        <v>0</v>
      </c>
      <c r="Z61" s="32">
        <v>0</v>
      </c>
      <c r="AA61" s="32">
        <v>0</v>
      </c>
      <c r="AB61" s="32">
        <v>0</v>
      </c>
      <c r="AC61" s="32" t="s">
        <v>540</v>
      </c>
      <c r="AD61" s="32"/>
      <c r="AE61" s="32">
        <v>0</v>
      </c>
    </row>
    <row r="62" spans="1:31" x14ac:dyDescent="0.25">
      <c r="A62">
        <v>7302</v>
      </c>
      <c r="B62" t="s">
        <v>500</v>
      </c>
      <c r="C62" t="s">
        <v>105</v>
      </c>
      <c r="D62" s="35">
        <v>22600</v>
      </c>
      <c r="E62">
        <v>1246261045</v>
      </c>
      <c r="F62" s="324">
        <v>46138</v>
      </c>
      <c r="H62" t="s">
        <v>28</v>
      </c>
      <c r="I62" t="s">
        <v>29</v>
      </c>
      <c r="J62">
        <v>10574</v>
      </c>
      <c r="K62" s="324">
        <v>46048</v>
      </c>
      <c r="L62">
        <v>1010100</v>
      </c>
      <c r="M62" t="s">
        <v>35</v>
      </c>
      <c r="N62">
        <v>-26</v>
      </c>
      <c r="O62" s="32">
        <v>0</v>
      </c>
      <c r="P62" s="32">
        <v>0</v>
      </c>
      <c r="Q62" s="32">
        <v>22600</v>
      </c>
      <c r="R62" s="32">
        <v>0</v>
      </c>
      <c r="S62" s="32">
        <v>0</v>
      </c>
      <c r="T62" s="32">
        <v>0</v>
      </c>
      <c r="U62" s="32">
        <v>0</v>
      </c>
      <c r="V62" s="32">
        <v>0</v>
      </c>
      <c r="W62" s="32">
        <v>0</v>
      </c>
      <c r="X62" s="32">
        <v>0</v>
      </c>
      <c r="Y62" s="32">
        <v>0</v>
      </c>
      <c r="Z62" s="32">
        <v>0</v>
      </c>
      <c r="AA62" s="32">
        <v>0</v>
      </c>
      <c r="AB62" s="32">
        <v>0</v>
      </c>
      <c r="AC62" s="32" t="s">
        <v>540</v>
      </c>
      <c r="AD62" s="32"/>
      <c r="AE62" s="32">
        <v>0</v>
      </c>
    </row>
    <row r="63" spans="1:31" x14ac:dyDescent="0.25">
      <c r="A63">
        <v>7302</v>
      </c>
      <c r="B63" t="s">
        <v>500</v>
      </c>
      <c r="C63" t="s">
        <v>105</v>
      </c>
      <c r="D63" s="35">
        <v>129924</v>
      </c>
      <c r="E63">
        <v>1246268530</v>
      </c>
      <c r="F63" s="324">
        <v>46191</v>
      </c>
      <c r="H63" t="s">
        <v>28</v>
      </c>
      <c r="I63" t="s">
        <v>29</v>
      </c>
      <c r="J63">
        <v>10941</v>
      </c>
      <c r="K63" s="324">
        <v>46101</v>
      </c>
      <c r="L63">
        <v>1010100</v>
      </c>
      <c r="M63" t="s">
        <v>35</v>
      </c>
      <c r="N63">
        <v>-79</v>
      </c>
      <c r="O63" s="32">
        <v>0</v>
      </c>
      <c r="P63" s="32">
        <v>0</v>
      </c>
      <c r="Q63" s="32">
        <v>129924</v>
      </c>
      <c r="R63" s="32">
        <v>0</v>
      </c>
      <c r="S63" s="32">
        <v>0</v>
      </c>
      <c r="T63" s="32">
        <v>0</v>
      </c>
      <c r="U63" s="32">
        <v>0</v>
      </c>
      <c r="V63" s="32">
        <v>0</v>
      </c>
      <c r="W63" s="32">
        <v>0</v>
      </c>
      <c r="X63" s="32">
        <v>0</v>
      </c>
      <c r="Y63" s="32">
        <v>0</v>
      </c>
      <c r="Z63" s="32">
        <v>0</v>
      </c>
      <c r="AA63" s="32">
        <v>0</v>
      </c>
      <c r="AB63" s="32">
        <v>0</v>
      </c>
      <c r="AC63" s="32" t="s">
        <v>540</v>
      </c>
      <c r="AD63" s="32"/>
      <c r="AE63" s="32">
        <v>0</v>
      </c>
    </row>
    <row r="64" spans="1:31" x14ac:dyDescent="0.25">
      <c r="A64">
        <v>14166</v>
      </c>
      <c r="B64" t="s">
        <v>432</v>
      </c>
      <c r="C64" t="s">
        <v>124</v>
      </c>
      <c r="D64" s="35">
        <v>131112.51999999999</v>
      </c>
      <c r="E64">
        <v>1246231981</v>
      </c>
      <c r="F64" s="324">
        <v>46143</v>
      </c>
      <c r="H64" t="s">
        <v>173</v>
      </c>
      <c r="I64" t="s">
        <v>174</v>
      </c>
      <c r="J64">
        <v>8941</v>
      </c>
      <c r="K64" s="324">
        <v>45889</v>
      </c>
      <c r="L64">
        <v>1010100</v>
      </c>
      <c r="M64" t="s">
        <v>35</v>
      </c>
      <c r="N64">
        <v>-31</v>
      </c>
      <c r="O64" s="32">
        <v>0</v>
      </c>
      <c r="P64" s="32">
        <v>0</v>
      </c>
      <c r="Q64" s="32">
        <v>131112.51999999999</v>
      </c>
      <c r="R64" s="32">
        <v>0</v>
      </c>
      <c r="S64" s="32">
        <v>0</v>
      </c>
      <c r="T64" s="32">
        <v>0</v>
      </c>
      <c r="U64" s="32">
        <v>0</v>
      </c>
      <c r="V64" s="32">
        <v>0</v>
      </c>
      <c r="W64" s="32">
        <v>0</v>
      </c>
      <c r="X64" s="32">
        <v>0</v>
      </c>
      <c r="Y64" s="32">
        <v>0</v>
      </c>
      <c r="Z64" s="32">
        <v>0</v>
      </c>
      <c r="AA64" s="32">
        <v>0</v>
      </c>
      <c r="AB64" s="32">
        <v>0</v>
      </c>
      <c r="AC64" s="32" t="s">
        <v>475</v>
      </c>
      <c r="AD64" s="32"/>
      <c r="AE64" s="32">
        <v>0</v>
      </c>
    </row>
    <row r="65" spans="1:31" x14ac:dyDescent="0.25">
      <c r="A65">
        <v>2</v>
      </c>
      <c r="B65" t="s">
        <v>418</v>
      </c>
      <c r="C65" t="s">
        <v>837</v>
      </c>
      <c r="D65" s="35">
        <v>2340</v>
      </c>
      <c r="E65">
        <v>1246268280</v>
      </c>
      <c r="F65" s="324">
        <v>46127</v>
      </c>
      <c r="H65" t="s">
        <v>838</v>
      </c>
      <c r="I65" t="s">
        <v>839</v>
      </c>
      <c r="J65">
        <v>2825</v>
      </c>
      <c r="K65" s="324">
        <v>46099</v>
      </c>
      <c r="L65">
        <v>1010100</v>
      </c>
      <c r="M65" t="s">
        <v>35</v>
      </c>
      <c r="N65">
        <v>-15</v>
      </c>
      <c r="O65" s="32">
        <v>0</v>
      </c>
      <c r="P65" s="32">
        <v>0</v>
      </c>
      <c r="Q65" s="32">
        <v>2340</v>
      </c>
      <c r="R65" s="32">
        <v>0</v>
      </c>
      <c r="S65" s="32">
        <v>0</v>
      </c>
      <c r="T65" s="32">
        <v>0</v>
      </c>
      <c r="U65" s="32">
        <v>0</v>
      </c>
      <c r="V65" s="32">
        <v>0</v>
      </c>
      <c r="W65" s="32">
        <v>0</v>
      </c>
      <c r="X65" s="32">
        <v>0</v>
      </c>
      <c r="Y65" s="32">
        <v>0</v>
      </c>
      <c r="Z65" s="32">
        <v>0</v>
      </c>
      <c r="AA65" s="32">
        <v>0</v>
      </c>
      <c r="AB65" s="32">
        <v>0</v>
      </c>
      <c r="AC65" s="32" t="s">
        <v>475</v>
      </c>
      <c r="AD65" s="32"/>
      <c r="AE65" s="32">
        <v>0</v>
      </c>
    </row>
    <row r="66" spans="1:31" x14ac:dyDescent="0.25">
      <c r="A66">
        <v>7302</v>
      </c>
      <c r="B66" t="s">
        <v>500</v>
      </c>
      <c r="C66" t="s">
        <v>105</v>
      </c>
      <c r="D66" s="35">
        <v>1431.76</v>
      </c>
      <c r="E66">
        <v>1246062794</v>
      </c>
      <c r="F66" s="324">
        <v>44939</v>
      </c>
      <c r="H66" t="s">
        <v>28</v>
      </c>
      <c r="I66" t="s">
        <v>29</v>
      </c>
      <c r="J66">
        <v>19884</v>
      </c>
      <c r="K66" s="324">
        <v>44879</v>
      </c>
      <c r="L66">
        <v>1010100</v>
      </c>
      <c r="M66" t="s">
        <v>35</v>
      </c>
      <c r="N66">
        <v>1173</v>
      </c>
      <c r="O66" s="32">
        <v>0</v>
      </c>
      <c r="P66" s="32">
        <v>1431.76</v>
      </c>
      <c r="Q66" s="32">
        <v>0</v>
      </c>
      <c r="R66" s="32">
        <v>0</v>
      </c>
      <c r="S66" s="32">
        <v>0</v>
      </c>
      <c r="T66" s="32">
        <v>0</v>
      </c>
      <c r="U66" s="32">
        <v>1431.76</v>
      </c>
      <c r="V66" s="32">
        <v>0</v>
      </c>
      <c r="W66" s="32">
        <v>42.952799999999996</v>
      </c>
      <c r="X66" s="32">
        <v>1388.8072</v>
      </c>
      <c r="Y66" s="32">
        <v>1388.8072</v>
      </c>
      <c r="Z66" s="32">
        <v>1431.76</v>
      </c>
      <c r="AA66" s="32">
        <v>0</v>
      </c>
      <c r="AB66" s="32">
        <v>1431.76</v>
      </c>
      <c r="AC66" s="32" t="s">
        <v>540</v>
      </c>
      <c r="AD66" s="32"/>
      <c r="AE66" s="32">
        <v>1431.76</v>
      </c>
    </row>
    <row r="67" spans="1:31" x14ac:dyDescent="0.25">
      <c r="A67">
        <v>205</v>
      </c>
      <c r="B67" t="s">
        <v>576</v>
      </c>
      <c r="C67" t="s">
        <v>548</v>
      </c>
      <c r="D67" s="35">
        <v>37800</v>
      </c>
      <c r="E67">
        <v>1246267728</v>
      </c>
      <c r="F67" s="324">
        <v>46122</v>
      </c>
      <c r="H67" t="s">
        <v>28</v>
      </c>
      <c r="I67" t="s">
        <v>29</v>
      </c>
      <c r="J67">
        <v>10881</v>
      </c>
      <c r="K67" s="324">
        <v>46094</v>
      </c>
      <c r="L67">
        <v>1010100</v>
      </c>
      <c r="M67" t="s">
        <v>35</v>
      </c>
      <c r="N67">
        <v>-10</v>
      </c>
      <c r="O67" s="32">
        <v>0</v>
      </c>
      <c r="P67" s="32">
        <v>0</v>
      </c>
      <c r="Q67" s="32">
        <v>37800</v>
      </c>
      <c r="R67" s="32">
        <v>0</v>
      </c>
      <c r="S67" s="32">
        <v>0</v>
      </c>
      <c r="T67" s="32">
        <v>0</v>
      </c>
      <c r="U67" s="32">
        <v>0</v>
      </c>
      <c r="V67" s="32">
        <v>0</v>
      </c>
      <c r="W67" s="32">
        <v>0</v>
      </c>
      <c r="X67" s="32">
        <v>0</v>
      </c>
      <c r="Y67" s="32">
        <v>0</v>
      </c>
      <c r="Z67" s="32">
        <v>0</v>
      </c>
      <c r="AA67" s="32">
        <v>0</v>
      </c>
      <c r="AB67" s="32">
        <v>0</v>
      </c>
      <c r="AC67" s="32" t="s">
        <v>475</v>
      </c>
      <c r="AD67" s="32"/>
      <c r="AE67" s="32">
        <v>0</v>
      </c>
    </row>
    <row r="68" spans="1:31" x14ac:dyDescent="0.25">
      <c r="A68">
        <v>205</v>
      </c>
      <c r="B68" t="s">
        <v>576</v>
      </c>
      <c r="C68" t="s">
        <v>548</v>
      </c>
      <c r="D68" s="35">
        <v>37638</v>
      </c>
      <c r="E68">
        <v>1246267750</v>
      </c>
      <c r="F68" s="324">
        <v>46122</v>
      </c>
      <c r="H68" t="s">
        <v>28</v>
      </c>
      <c r="I68" t="s">
        <v>29</v>
      </c>
      <c r="J68">
        <v>10883</v>
      </c>
      <c r="K68" s="324">
        <v>46094</v>
      </c>
      <c r="L68">
        <v>1010100</v>
      </c>
      <c r="M68" t="s">
        <v>35</v>
      </c>
      <c r="N68">
        <v>-10</v>
      </c>
      <c r="O68" s="32">
        <v>0</v>
      </c>
      <c r="P68" s="32">
        <v>0</v>
      </c>
      <c r="Q68" s="32">
        <v>37638</v>
      </c>
      <c r="R68" s="32">
        <v>0</v>
      </c>
      <c r="S68" s="32">
        <v>0</v>
      </c>
      <c r="T68" s="32">
        <v>0</v>
      </c>
      <c r="U68" s="32">
        <v>0</v>
      </c>
      <c r="V68" s="32">
        <v>0</v>
      </c>
      <c r="W68" s="32">
        <v>0</v>
      </c>
      <c r="X68" s="32">
        <v>0</v>
      </c>
      <c r="Y68" s="32">
        <v>0</v>
      </c>
      <c r="Z68" s="32">
        <v>0</v>
      </c>
      <c r="AA68" s="32">
        <v>0</v>
      </c>
      <c r="AB68" s="32">
        <v>0</v>
      </c>
      <c r="AC68" s="32" t="s">
        <v>475</v>
      </c>
      <c r="AD68" s="32"/>
      <c r="AE68" s="32">
        <v>0</v>
      </c>
    </row>
    <row r="69" spans="1:31" x14ac:dyDescent="0.25">
      <c r="A69">
        <v>205</v>
      </c>
      <c r="B69" t="s">
        <v>576</v>
      </c>
      <c r="C69" t="s">
        <v>548</v>
      </c>
      <c r="D69" s="35">
        <v>76330.8</v>
      </c>
      <c r="E69">
        <v>1246267832</v>
      </c>
      <c r="F69" s="324">
        <v>46125</v>
      </c>
      <c r="H69" t="s">
        <v>28</v>
      </c>
      <c r="I69" t="s">
        <v>29</v>
      </c>
      <c r="J69">
        <v>10892</v>
      </c>
      <c r="K69" s="324">
        <v>46097</v>
      </c>
      <c r="L69">
        <v>1010100</v>
      </c>
      <c r="M69" t="s">
        <v>35</v>
      </c>
      <c r="N69">
        <v>-13</v>
      </c>
      <c r="O69" s="32">
        <v>0</v>
      </c>
      <c r="P69" s="32">
        <v>0</v>
      </c>
      <c r="Q69" s="32">
        <v>76330.8</v>
      </c>
      <c r="R69" s="32">
        <v>0</v>
      </c>
      <c r="S69" s="32">
        <v>0</v>
      </c>
      <c r="T69" s="32">
        <v>0</v>
      </c>
      <c r="U69" s="32">
        <v>0</v>
      </c>
      <c r="V69" s="32">
        <v>0</v>
      </c>
      <c r="W69" s="32">
        <v>0</v>
      </c>
      <c r="X69" s="32">
        <v>0</v>
      </c>
      <c r="Y69" s="32">
        <v>0</v>
      </c>
      <c r="Z69" s="32">
        <v>0</v>
      </c>
      <c r="AA69" s="32">
        <v>0</v>
      </c>
      <c r="AB69" s="32">
        <v>0</v>
      </c>
      <c r="AC69" s="32" t="s">
        <v>475</v>
      </c>
      <c r="AD69" s="32"/>
      <c r="AE69" s="32">
        <v>0</v>
      </c>
    </row>
    <row r="70" spans="1:31" x14ac:dyDescent="0.25">
      <c r="A70">
        <v>205</v>
      </c>
      <c r="B70" t="s">
        <v>576</v>
      </c>
      <c r="C70" t="s">
        <v>548</v>
      </c>
      <c r="D70" s="35">
        <v>75196.800000000003</v>
      </c>
      <c r="E70">
        <v>1246268731</v>
      </c>
      <c r="F70" s="324">
        <v>46133</v>
      </c>
      <c r="H70" t="s">
        <v>28</v>
      </c>
      <c r="I70" t="s">
        <v>29</v>
      </c>
      <c r="J70">
        <v>10962</v>
      </c>
      <c r="K70" s="324">
        <v>46105</v>
      </c>
      <c r="L70">
        <v>1010100</v>
      </c>
      <c r="M70" t="s">
        <v>35</v>
      </c>
      <c r="N70">
        <v>-21</v>
      </c>
      <c r="O70" s="32">
        <v>0</v>
      </c>
      <c r="P70" s="32">
        <v>0</v>
      </c>
      <c r="Q70" s="32">
        <v>75196.800000000003</v>
      </c>
      <c r="R70" s="32">
        <v>0</v>
      </c>
      <c r="S70" s="32">
        <v>0</v>
      </c>
      <c r="T70" s="32">
        <v>0</v>
      </c>
      <c r="U70" s="32">
        <v>0</v>
      </c>
      <c r="V70" s="32">
        <v>0</v>
      </c>
      <c r="W70" s="32">
        <v>0</v>
      </c>
      <c r="X70" s="32">
        <v>0</v>
      </c>
      <c r="Y70" s="32">
        <v>0</v>
      </c>
      <c r="Z70" s="32">
        <v>0</v>
      </c>
      <c r="AA70" s="32">
        <v>0</v>
      </c>
      <c r="AB70" s="32">
        <v>0</v>
      </c>
      <c r="AC70" s="32" t="s">
        <v>475</v>
      </c>
      <c r="AD70" s="32"/>
      <c r="AE70" s="32">
        <v>0</v>
      </c>
    </row>
    <row r="71" spans="1:31" x14ac:dyDescent="0.25">
      <c r="A71">
        <v>205</v>
      </c>
      <c r="B71" t="s">
        <v>576</v>
      </c>
      <c r="C71" t="s">
        <v>548</v>
      </c>
      <c r="D71" s="35">
        <v>75952.800000000003</v>
      </c>
      <c r="E71">
        <v>1246269330</v>
      </c>
      <c r="F71" s="324">
        <v>46135</v>
      </c>
      <c r="H71" t="s">
        <v>28</v>
      </c>
      <c r="I71" t="s">
        <v>29</v>
      </c>
      <c r="J71">
        <v>10983</v>
      </c>
      <c r="K71" s="324">
        <v>46107</v>
      </c>
      <c r="L71">
        <v>1010100</v>
      </c>
      <c r="M71" t="s">
        <v>35</v>
      </c>
      <c r="N71">
        <v>-23</v>
      </c>
      <c r="O71" s="32">
        <v>0</v>
      </c>
      <c r="P71" s="32">
        <v>0</v>
      </c>
      <c r="Q71" s="32">
        <v>75952.800000000003</v>
      </c>
      <c r="R71" s="32">
        <v>0</v>
      </c>
      <c r="S71" s="32">
        <v>0</v>
      </c>
      <c r="T71" s="32">
        <v>0</v>
      </c>
      <c r="U71" s="32">
        <v>0</v>
      </c>
      <c r="V71" s="32">
        <v>0</v>
      </c>
      <c r="W71" s="32">
        <v>0</v>
      </c>
      <c r="X71" s="32">
        <v>0</v>
      </c>
      <c r="Y71" s="32">
        <v>0</v>
      </c>
      <c r="Z71" s="32">
        <v>0</v>
      </c>
      <c r="AA71" s="32">
        <v>0</v>
      </c>
      <c r="AB71" s="32">
        <v>0</v>
      </c>
      <c r="AC71" s="32" t="s">
        <v>475</v>
      </c>
      <c r="AD71" s="32"/>
      <c r="AE71" s="32">
        <v>0</v>
      </c>
    </row>
    <row r="72" spans="1:31" x14ac:dyDescent="0.25">
      <c r="A72">
        <v>205</v>
      </c>
      <c r="B72" t="s">
        <v>576</v>
      </c>
      <c r="C72" t="s">
        <v>548</v>
      </c>
      <c r="D72" s="35">
        <v>80816.399999999994</v>
      </c>
      <c r="E72">
        <v>1246267018</v>
      </c>
      <c r="F72" s="324">
        <v>46118</v>
      </c>
      <c r="H72" t="s">
        <v>28</v>
      </c>
      <c r="I72" t="s">
        <v>29</v>
      </c>
      <c r="J72">
        <v>10845</v>
      </c>
      <c r="K72" s="324">
        <v>46090</v>
      </c>
      <c r="L72">
        <v>1010100</v>
      </c>
      <c r="M72" t="s">
        <v>35</v>
      </c>
      <c r="N72">
        <v>-6</v>
      </c>
      <c r="O72" s="32">
        <v>0</v>
      </c>
      <c r="P72" s="32">
        <v>0</v>
      </c>
      <c r="Q72" s="32">
        <v>80816.399999999994</v>
      </c>
      <c r="R72" s="32">
        <v>0</v>
      </c>
      <c r="S72" s="32">
        <v>0</v>
      </c>
      <c r="T72" s="32">
        <v>0</v>
      </c>
      <c r="U72" s="32">
        <v>0</v>
      </c>
      <c r="V72" s="32">
        <v>0</v>
      </c>
      <c r="W72" s="32">
        <v>0</v>
      </c>
      <c r="X72" s="32">
        <v>0</v>
      </c>
      <c r="Y72" s="32">
        <v>0</v>
      </c>
      <c r="Z72" s="32">
        <v>0</v>
      </c>
      <c r="AA72" s="32">
        <v>0</v>
      </c>
      <c r="AB72" s="32">
        <v>0</v>
      </c>
      <c r="AC72" s="32" t="s">
        <v>475</v>
      </c>
      <c r="AD72" s="32"/>
      <c r="AE72" s="32">
        <v>0</v>
      </c>
    </row>
    <row r="73" spans="1:31" x14ac:dyDescent="0.25">
      <c r="A73">
        <v>205</v>
      </c>
      <c r="B73" t="s">
        <v>576</v>
      </c>
      <c r="C73" t="s">
        <v>548</v>
      </c>
      <c r="D73" s="35">
        <v>75474</v>
      </c>
      <c r="E73">
        <v>1246269597</v>
      </c>
      <c r="F73" s="324">
        <v>46139</v>
      </c>
      <c r="H73" t="s">
        <v>28</v>
      </c>
      <c r="I73" t="s">
        <v>29</v>
      </c>
      <c r="J73">
        <v>11003</v>
      </c>
      <c r="K73" s="324">
        <v>46111</v>
      </c>
      <c r="L73">
        <v>1010100</v>
      </c>
      <c r="M73" t="s">
        <v>35</v>
      </c>
      <c r="N73">
        <v>-27</v>
      </c>
      <c r="O73" s="32">
        <v>0</v>
      </c>
      <c r="P73" s="32">
        <v>0</v>
      </c>
      <c r="Q73" s="32">
        <v>75474</v>
      </c>
      <c r="R73" s="32">
        <v>0</v>
      </c>
      <c r="S73" s="32">
        <v>0</v>
      </c>
      <c r="T73" s="32">
        <v>0</v>
      </c>
      <c r="U73" s="32">
        <v>0</v>
      </c>
      <c r="V73" s="32">
        <v>0</v>
      </c>
      <c r="W73" s="32">
        <v>0</v>
      </c>
      <c r="X73" s="32">
        <v>0</v>
      </c>
      <c r="Y73" s="32">
        <v>0</v>
      </c>
      <c r="Z73" s="32">
        <v>0</v>
      </c>
      <c r="AA73" s="32">
        <v>0</v>
      </c>
      <c r="AB73" s="32">
        <v>0</v>
      </c>
      <c r="AC73" s="32" t="s">
        <v>475</v>
      </c>
      <c r="AD73" s="32"/>
      <c r="AE73" s="32">
        <v>0</v>
      </c>
    </row>
    <row r="74" spans="1:31" x14ac:dyDescent="0.25">
      <c r="A74">
        <v>205</v>
      </c>
      <c r="B74" t="s">
        <v>576</v>
      </c>
      <c r="C74" t="s">
        <v>548</v>
      </c>
      <c r="D74" s="35">
        <v>76255.199999999997</v>
      </c>
      <c r="E74">
        <v>1246267196</v>
      </c>
      <c r="F74" s="324">
        <v>46119</v>
      </c>
      <c r="H74" t="s">
        <v>28</v>
      </c>
      <c r="I74" t="s">
        <v>29</v>
      </c>
      <c r="J74">
        <v>10854</v>
      </c>
      <c r="K74" s="324">
        <v>46091</v>
      </c>
      <c r="L74">
        <v>1010100</v>
      </c>
      <c r="M74" t="s">
        <v>35</v>
      </c>
      <c r="N74">
        <v>-7</v>
      </c>
      <c r="O74" s="32">
        <v>0</v>
      </c>
      <c r="P74" s="32">
        <v>0</v>
      </c>
      <c r="Q74" s="32">
        <v>76255.199999999997</v>
      </c>
      <c r="R74" s="32">
        <v>0</v>
      </c>
      <c r="S74" s="32">
        <v>0</v>
      </c>
      <c r="T74" s="32">
        <v>0</v>
      </c>
      <c r="U74" s="32">
        <v>0</v>
      </c>
      <c r="V74" s="32">
        <v>0</v>
      </c>
      <c r="W74" s="32">
        <v>0</v>
      </c>
      <c r="X74" s="32">
        <v>0</v>
      </c>
      <c r="Y74" s="32">
        <v>0</v>
      </c>
      <c r="Z74" s="32">
        <v>0</v>
      </c>
      <c r="AA74" s="32">
        <v>0</v>
      </c>
      <c r="AB74" s="32">
        <v>0</v>
      </c>
      <c r="AC74" s="32" t="s">
        <v>475</v>
      </c>
      <c r="AD74" s="32"/>
      <c r="AE74" s="32">
        <v>0</v>
      </c>
    </row>
    <row r="75" spans="1:31" x14ac:dyDescent="0.25">
      <c r="A75">
        <v>205</v>
      </c>
      <c r="B75" t="s">
        <v>576</v>
      </c>
      <c r="C75" t="s">
        <v>548</v>
      </c>
      <c r="D75" s="35">
        <v>76179.600000000006</v>
      </c>
      <c r="E75">
        <v>1246268622</v>
      </c>
      <c r="F75" s="324">
        <v>46132</v>
      </c>
      <c r="H75" t="s">
        <v>28</v>
      </c>
      <c r="I75" t="s">
        <v>29</v>
      </c>
      <c r="J75">
        <v>10956</v>
      </c>
      <c r="K75" s="324">
        <v>46104</v>
      </c>
      <c r="L75">
        <v>1010100</v>
      </c>
      <c r="M75" t="s">
        <v>35</v>
      </c>
      <c r="N75">
        <v>-20</v>
      </c>
      <c r="O75" s="32">
        <v>0</v>
      </c>
      <c r="P75" s="32">
        <v>0</v>
      </c>
      <c r="Q75" s="32">
        <v>76179.600000000006</v>
      </c>
      <c r="R75" s="32">
        <v>0</v>
      </c>
      <c r="S75" s="32">
        <v>0</v>
      </c>
      <c r="T75" s="32">
        <v>0</v>
      </c>
      <c r="U75" s="32">
        <v>0</v>
      </c>
      <c r="V75" s="32">
        <v>0</v>
      </c>
      <c r="W75" s="32">
        <v>0</v>
      </c>
      <c r="X75" s="32">
        <v>0</v>
      </c>
      <c r="Y75" s="32">
        <v>0</v>
      </c>
      <c r="Z75" s="32">
        <v>0</v>
      </c>
      <c r="AA75" s="32">
        <v>0</v>
      </c>
      <c r="AB75" s="32">
        <v>0</v>
      </c>
      <c r="AC75" s="32" t="s">
        <v>475</v>
      </c>
      <c r="AD75" s="32"/>
      <c r="AE75" s="32">
        <v>0</v>
      </c>
    </row>
    <row r="76" spans="1:31" x14ac:dyDescent="0.25">
      <c r="A76">
        <v>1953</v>
      </c>
      <c r="B76" t="s">
        <v>414</v>
      </c>
      <c r="C76" t="s">
        <v>882</v>
      </c>
      <c r="D76" s="35">
        <v>58917.8</v>
      </c>
      <c r="E76">
        <v>1246267986</v>
      </c>
      <c r="F76" s="324">
        <v>46158</v>
      </c>
      <c r="H76" t="s">
        <v>28</v>
      </c>
      <c r="I76" t="s">
        <v>29</v>
      </c>
      <c r="J76">
        <v>10907</v>
      </c>
      <c r="K76" s="324">
        <v>46098</v>
      </c>
      <c r="L76">
        <v>1010100</v>
      </c>
      <c r="M76" t="s">
        <v>35</v>
      </c>
      <c r="N76">
        <v>-46</v>
      </c>
      <c r="O76" s="32">
        <v>0</v>
      </c>
      <c r="P76" s="32">
        <v>0</v>
      </c>
      <c r="Q76" s="32">
        <v>58917.8</v>
      </c>
      <c r="R76" s="32">
        <v>0</v>
      </c>
      <c r="S76" s="32">
        <v>0</v>
      </c>
      <c r="T76" s="32">
        <v>0</v>
      </c>
      <c r="U76" s="32">
        <v>0</v>
      </c>
      <c r="V76" s="32">
        <v>0</v>
      </c>
      <c r="W76" s="32">
        <v>0</v>
      </c>
      <c r="X76" s="32">
        <v>0</v>
      </c>
      <c r="Y76" s="32">
        <v>0</v>
      </c>
      <c r="Z76" s="32">
        <v>0</v>
      </c>
      <c r="AA76" s="32">
        <v>0</v>
      </c>
      <c r="AB76" s="32">
        <v>0</v>
      </c>
      <c r="AC76" s="32" t="s">
        <v>475</v>
      </c>
      <c r="AD76" s="32"/>
      <c r="AE76" s="32">
        <v>0</v>
      </c>
    </row>
    <row r="77" spans="1:31" x14ac:dyDescent="0.25">
      <c r="A77">
        <v>1787</v>
      </c>
      <c r="B77" t="s">
        <v>531</v>
      </c>
      <c r="C77" t="s">
        <v>68</v>
      </c>
      <c r="D77" s="35">
        <v>116928</v>
      </c>
      <c r="E77">
        <v>1246267948</v>
      </c>
      <c r="F77" s="324">
        <v>46187</v>
      </c>
      <c r="H77" t="s">
        <v>28</v>
      </c>
      <c r="I77" t="s">
        <v>29</v>
      </c>
      <c r="J77">
        <v>10899</v>
      </c>
      <c r="K77" s="324">
        <v>46097</v>
      </c>
      <c r="L77">
        <v>1010100</v>
      </c>
      <c r="M77" t="s">
        <v>35</v>
      </c>
      <c r="N77">
        <v>-75</v>
      </c>
      <c r="O77" s="32">
        <v>0</v>
      </c>
      <c r="P77" s="32">
        <v>0</v>
      </c>
      <c r="Q77" s="32">
        <v>116928</v>
      </c>
      <c r="R77" s="32">
        <v>0</v>
      </c>
      <c r="S77" s="32">
        <v>0</v>
      </c>
      <c r="T77" s="32">
        <v>0</v>
      </c>
      <c r="U77" s="32">
        <v>0</v>
      </c>
      <c r="V77" s="32">
        <v>0</v>
      </c>
      <c r="W77" s="32">
        <v>0</v>
      </c>
      <c r="X77" s="32">
        <v>0</v>
      </c>
      <c r="Y77" s="32">
        <v>0</v>
      </c>
      <c r="Z77" s="32">
        <v>0</v>
      </c>
      <c r="AA77" s="32">
        <v>0</v>
      </c>
      <c r="AB77" s="32">
        <v>0</v>
      </c>
      <c r="AC77" s="32" t="s">
        <v>540</v>
      </c>
      <c r="AD77" s="32"/>
      <c r="AE77" s="32">
        <v>0</v>
      </c>
    </row>
    <row r="78" spans="1:31" x14ac:dyDescent="0.25">
      <c r="A78">
        <v>1787</v>
      </c>
      <c r="B78" t="s">
        <v>531</v>
      </c>
      <c r="C78" t="s">
        <v>68</v>
      </c>
      <c r="D78" s="35">
        <v>115891.2</v>
      </c>
      <c r="E78">
        <v>1246262540</v>
      </c>
      <c r="F78" s="324">
        <v>46149</v>
      </c>
      <c r="H78" t="s">
        <v>28</v>
      </c>
      <c r="I78" t="s">
        <v>29</v>
      </c>
      <c r="J78">
        <v>10652</v>
      </c>
      <c r="K78" s="324">
        <v>46059</v>
      </c>
      <c r="L78">
        <v>1010100</v>
      </c>
      <c r="M78" t="s">
        <v>35</v>
      </c>
      <c r="N78">
        <v>-37</v>
      </c>
      <c r="O78" s="32">
        <v>0</v>
      </c>
      <c r="P78" s="32">
        <v>0</v>
      </c>
      <c r="Q78" s="32">
        <v>115891.2</v>
      </c>
      <c r="R78" s="32">
        <v>0</v>
      </c>
      <c r="S78" s="32">
        <v>0</v>
      </c>
      <c r="T78" s="32">
        <v>0</v>
      </c>
      <c r="U78" s="32">
        <v>0</v>
      </c>
      <c r="V78" s="32">
        <v>0</v>
      </c>
      <c r="W78" s="32">
        <v>0</v>
      </c>
      <c r="X78" s="32">
        <v>0</v>
      </c>
      <c r="Y78" s="32">
        <v>0</v>
      </c>
      <c r="Z78" s="32">
        <v>0</v>
      </c>
      <c r="AA78" s="32">
        <v>0</v>
      </c>
      <c r="AB78" s="32">
        <v>0</v>
      </c>
      <c r="AC78" s="32" t="s">
        <v>540</v>
      </c>
      <c r="AD78" s="32"/>
      <c r="AE78" s="32">
        <v>0</v>
      </c>
    </row>
    <row r="79" spans="1:31" x14ac:dyDescent="0.25">
      <c r="A79">
        <v>1787</v>
      </c>
      <c r="B79" t="s">
        <v>531</v>
      </c>
      <c r="C79" t="s">
        <v>68</v>
      </c>
      <c r="D79" s="35">
        <v>103795.2</v>
      </c>
      <c r="E79">
        <v>1246268633</v>
      </c>
      <c r="F79" s="324">
        <v>46194</v>
      </c>
      <c r="H79" t="s">
        <v>28</v>
      </c>
      <c r="I79" t="s">
        <v>29</v>
      </c>
      <c r="J79">
        <v>10957</v>
      </c>
      <c r="K79" s="324">
        <v>46104</v>
      </c>
      <c r="L79">
        <v>1010100</v>
      </c>
      <c r="M79" t="s">
        <v>35</v>
      </c>
      <c r="N79">
        <v>-82</v>
      </c>
      <c r="O79" s="32">
        <v>0</v>
      </c>
      <c r="P79" s="32">
        <v>0</v>
      </c>
      <c r="Q79" s="32">
        <v>103795.2</v>
      </c>
      <c r="R79" s="32">
        <v>0</v>
      </c>
      <c r="S79" s="32">
        <v>0</v>
      </c>
      <c r="T79" s="32">
        <v>0</v>
      </c>
      <c r="U79" s="32">
        <v>0</v>
      </c>
      <c r="V79" s="32">
        <v>0</v>
      </c>
      <c r="W79" s="32">
        <v>0</v>
      </c>
      <c r="X79" s="32">
        <v>0</v>
      </c>
      <c r="Y79" s="32">
        <v>0</v>
      </c>
      <c r="Z79" s="32">
        <v>0</v>
      </c>
      <c r="AA79" s="32">
        <v>0</v>
      </c>
      <c r="AB79" s="32">
        <v>0</v>
      </c>
      <c r="AC79" s="32" t="s">
        <v>540</v>
      </c>
      <c r="AD79" s="32"/>
      <c r="AE79" s="32">
        <v>0</v>
      </c>
    </row>
    <row r="80" spans="1:31" x14ac:dyDescent="0.25">
      <c r="A80">
        <v>1787</v>
      </c>
      <c r="B80" t="s">
        <v>531</v>
      </c>
      <c r="C80" t="s">
        <v>68</v>
      </c>
      <c r="D80" s="35">
        <v>111360</v>
      </c>
      <c r="E80">
        <v>1246268748</v>
      </c>
      <c r="F80" s="324">
        <v>46195</v>
      </c>
      <c r="H80" t="s">
        <v>28</v>
      </c>
      <c r="I80" t="s">
        <v>29</v>
      </c>
      <c r="J80">
        <v>10965</v>
      </c>
      <c r="K80" s="324">
        <v>46105</v>
      </c>
      <c r="L80">
        <v>1010100</v>
      </c>
      <c r="M80" t="s">
        <v>35</v>
      </c>
      <c r="N80">
        <v>-83</v>
      </c>
      <c r="O80" s="32">
        <v>0</v>
      </c>
      <c r="P80" s="32">
        <v>0</v>
      </c>
      <c r="Q80" s="32">
        <v>111360</v>
      </c>
      <c r="R80" s="32">
        <v>0</v>
      </c>
      <c r="S80" s="32">
        <v>0</v>
      </c>
      <c r="T80" s="32">
        <v>0</v>
      </c>
      <c r="U80" s="32">
        <v>0</v>
      </c>
      <c r="V80" s="32">
        <v>0</v>
      </c>
      <c r="W80" s="32">
        <v>0</v>
      </c>
      <c r="X80" s="32">
        <v>0</v>
      </c>
      <c r="Y80" s="32">
        <v>0</v>
      </c>
      <c r="Z80" s="32">
        <v>0</v>
      </c>
      <c r="AA80" s="32">
        <v>0</v>
      </c>
      <c r="AB80" s="32">
        <v>0</v>
      </c>
      <c r="AC80" s="32" t="s">
        <v>540</v>
      </c>
      <c r="AD80" s="32"/>
      <c r="AE80" s="32">
        <v>0</v>
      </c>
    </row>
    <row r="81" spans="1:31" x14ac:dyDescent="0.25">
      <c r="A81">
        <v>1787</v>
      </c>
      <c r="B81" t="s">
        <v>531</v>
      </c>
      <c r="C81" t="s">
        <v>68</v>
      </c>
      <c r="D81" s="35">
        <v>114700.8</v>
      </c>
      <c r="E81">
        <v>1246259163</v>
      </c>
      <c r="F81" s="324">
        <v>46124</v>
      </c>
      <c r="H81" t="s">
        <v>28</v>
      </c>
      <c r="I81" t="s">
        <v>29</v>
      </c>
      <c r="J81">
        <v>10462</v>
      </c>
      <c r="K81" s="324">
        <v>46034</v>
      </c>
      <c r="L81">
        <v>1010100</v>
      </c>
      <c r="M81" t="s">
        <v>35</v>
      </c>
      <c r="N81">
        <v>-12</v>
      </c>
      <c r="O81" s="32">
        <v>0</v>
      </c>
      <c r="P81" s="32">
        <v>0</v>
      </c>
      <c r="Q81" s="32">
        <v>114700.8</v>
      </c>
      <c r="R81" s="32">
        <v>0</v>
      </c>
      <c r="S81" s="32">
        <v>0</v>
      </c>
      <c r="T81" s="32">
        <v>0</v>
      </c>
      <c r="U81" s="32">
        <v>0</v>
      </c>
      <c r="V81" s="32">
        <v>0</v>
      </c>
      <c r="W81" s="32">
        <v>0</v>
      </c>
      <c r="X81" s="32">
        <v>0</v>
      </c>
      <c r="Y81" s="32">
        <v>0</v>
      </c>
      <c r="Z81" s="32">
        <v>0</v>
      </c>
      <c r="AA81" s="32">
        <v>0</v>
      </c>
      <c r="AB81" s="32">
        <v>0</v>
      </c>
      <c r="AC81" s="32" t="s">
        <v>540</v>
      </c>
      <c r="AD81" s="32"/>
      <c r="AE81" s="32">
        <v>0</v>
      </c>
    </row>
    <row r="82" spans="1:31" x14ac:dyDescent="0.25">
      <c r="A82">
        <v>1787</v>
      </c>
      <c r="B82" t="s">
        <v>531</v>
      </c>
      <c r="C82" t="s">
        <v>68</v>
      </c>
      <c r="D82" s="35">
        <v>107212.8</v>
      </c>
      <c r="E82">
        <v>1246259993</v>
      </c>
      <c r="F82" s="324">
        <v>46131</v>
      </c>
      <c r="H82" t="s">
        <v>28</v>
      </c>
      <c r="I82" t="s">
        <v>29</v>
      </c>
      <c r="J82">
        <v>10516</v>
      </c>
      <c r="K82" s="324">
        <v>46041</v>
      </c>
      <c r="L82">
        <v>1010100</v>
      </c>
      <c r="M82" t="s">
        <v>35</v>
      </c>
      <c r="N82">
        <v>-19</v>
      </c>
      <c r="O82" s="32">
        <v>0</v>
      </c>
      <c r="P82" s="32">
        <v>0</v>
      </c>
      <c r="Q82" s="32">
        <v>107212.8</v>
      </c>
      <c r="R82" s="32">
        <v>0</v>
      </c>
      <c r="S82" s="32">
        <v>0</v>
      </c>
      <c r="T82" s="32">
        <v>0</v>
      </c>
      <c r="U82" s="32">
        <v>0</v>
      </c>
      <c r="V82" s="32">
        <v>0</v>
      </c>
      <c r="W82" s="32">
        <v>0</v>
      </c>
      <c r="X82" s="32">
        <v>0</v>
      </c>
      <c r="Y82" s="32">
        <v>0</v>
      </c>
      <c r="Z82" s="32">
        <v>0</v>
      </c>
      <c r="AA82" s="32">
        <v>0</v>
      </c>
      <c r="AB82" s="32">
        <v>0</v>
      </c>
      <c r="AC82" s="32" t="s">
        <v>540</v>
      </c>
      <c r="AD82" s="32"/>
      <c r="AE82" s="32">
        <v>0</v>
      </c>
    </row>
    <row r="83" spans="1:31" x14ac:dyDescent="0.25">
      <c r="A83">
        <v>1787</v>
      </c>
      <c r="B83" t="s">
        <v>531</v>
      </c>
      <c r="C83" t="s">
        <v>68</v>
      </c>
      <c r="D83" s="35">
        <v>114662.39999999999</v>
      </c>
      <c r="E83">
        <v>1246268585</v>
      </c>
      <c r="F83" s="324">
        <v>46161</v>
      </c>
      <c r="H83" t="s">
        <v>28</v>
      </c>
      <c r="I83" t="s">
        <v>29</v>
      </c>
      <c r="J83">
        <v>10953</v>
      </c>
      <c r="K83" s="324">
        <v>46101</v>
      </c>
      <c r="L83">
        <v>1010100</v>
      </c>
      <c r="M83" t="s">
        <v>35</v>
      </c>
      <c r="N83">
        <v>-49</v>
      </c>
      <c r="O83" s="32">
        <v>0</v>
      </c>
      <c r="P83" s="32">
        <v>0</v>
      </c>
      <c r="Q83" s="32">
        <v>114662.39999999999</v>
      </c>
      <c r="R83" s="32">
        <v>0</v>
      </c>
      <c r="S83" s="32">
        <v>0</v>
      </c>
      <c r="T83" s="32">
        <v>0</v>
      </c>
      <c r="U83" s="32">
        <v>0</v>
      </c>
      <c r="V83" s="32">
        <v>0</v>
      </c>
      <c r="W83" s="32">
        <v>0</v>
      </c>
      <c r="X83" s="32">
        <v>0</v>
      </c>
      <c r="Y83" s="32">
        <v>0</v>
      </c>
      <c r="Z83" s="32">
        <v>0</v>
      </c>
      <c r="AA83" s="32">
        <v>0</v>
      </c>
      <c r="AB83" s="32">
        <v>0</v>
      </c>
      <c r="AC83" s="32" t="s">
        <v>540</v>
      </c>
      <c r="AD83" s="32"/>
      <c r="AE83" s="32">
        <v>0</v>
      </c>
    </row>
    <row r="84" spans="1:31" x14ac:dyDescent="0.25">
      <c r="A84">
        <v>1787</v>
      </c>
      <c r="B84" t="s">
        <v>531</v>
      </c>
      <c r="C84" t="s">
        <v>68</v>
      </c>
      <c r="D84" s="35">
        <v>114969.60000000001</v>
      </c>
      <c r="E84">
        <v>1246264543</v>
      </c>
      <c r="F84" s="324">
        <v>46166</v>
      </c>
      <c r="H84" t="s">
        <v>28</v>
      </c>
      <c r="I84" t="s">
        <v>29</v>
      </c>
      <c r="J84">
        <v>10746</v>
      </c>
      <c r="K84" s="324">
        <v>46076</v>
      </c>
      <c r="L84">
        <v>1010100</v>
      </c>
      <c r="M84" t="s">
        <v>35</v>
      </c>
      <c r="N84">
        <v>-54</v>
      </c>
      <c r="O84" s="32">
        <v>0</v>
      </c>
      <c r="P84" s="32">
        <v>0</v>
      </c>
      <c r="Q84" s="32">
        <v>114969.60000000001</v>
      </c>
      <c r="R84" s="32">
        <v>0</v>
      </c>
      <c r="S84" s="32">
        <v>0</v>
      </c>
      <c r="T84" s="32">
        <v>0</v>
      </c>
      <c r="U84" s="32">
        <v>0</v>
      </c>
      <c r="V84" s="32">
        <v>0</v>
      </c>
      <c r="W84" s="32">
        <v>0</v>
      </c>
      <c r="X84" s="32">
        <v>0</v>
      </c>
      <c r="Y84" s="32">
        <v>0</v>
      </c>
      <c r="Z84" s="32">
        <v>0</v>
      </c>
      <c r="AA84" s="32">
        <v>0</v>
      </c>
      <c r="AB84" s="32">
        <v>0</v>
      </c>
      <c r="AC84" s="32" t="s">
        <v>540</v>
      </c>
      <c r="AD84" s="32"/>
      <c r="AE84" s="32">
        <v>0</v>
      </c>
    </row>
    <row r="85" spans="1:31" x14ac:dyDescent="0.25">
      <c r="A85">
        <v>1787</v>
      </c>
      <c r="B85" t="s">
        <v>531</v>
      </c>
      <c r="C85" t="s">
        <v>68</v>
      </c>
      <c r="D85" s="35">
        <v>114470.39999999999</v>
      </c>
      <c r="E85">
        <v>1246261586</v>
      </c>
      <c r="F85" s="324">
        <v>46141</v>
      </c>
      <c r="H85" t="s">
        <v>28</v>
      </c>
      <c r="I85" t="s">
        <v>29</v>
      </c>
      <c r="J85">
        <v>10604</v>
      </c>
      <c r="K85" s="324">
        <v>46051</v>
      </c>
      <c r="L85">
        <v>1010100</v>
      </c>
      <c r="M85" t="s">
        <v>35</v>
      </c>
      <c r="N85">
        <v>-29</v>
      </c>
      <c r="O85" s="32">
        <v>0</v>
      </c>
      <c r="P85" s="32">
        <v>0</v>
      </c>
      <c r="Q85" s="32">
        <v>114470.39999999999</v>
      </c>
      <c r="R85" s="32">
        <v>0</v>
      </c>
      <c r="S85" s="32">
        <v>0</v>
      </c>
      <c r="T85" s="32">
        <v>0</v>
      </c>
      <c r="U85" s="32">
        <v>0</v>
      </c>
      <c r="V85" s="32">
        <v>0</v>
      </c>
      <c r="W85" s="32">
        <v>0</v>
      </c>
      <c r="X85" s="32">
        <v>0</v>
      </c>
      <c r="Y85" s="32">
        <v>0</v>
      </c>
      <c r="Z85" s="32">
        <v>0</v>
      </c>
      <c r="AA85" s="32">
        <v>0</v>
      </c>
      <c r="AB85" s="32">
        <v>0</v>
      </c>
      <c r="AC85" s="32" t="s">
        <v>540</v>
      </c>
      <c r="AD85" s="32"/>
      <c r="AE85" s="32">
        <v>0</v>
      </c>
    </row>
    <row r="86" spans="1:31" x14ac:dyDescent="0.25">
      <c r="A86">
        <v>1787</v>
      </c>
      <c r="B86" t="s">
        <v>531</v>
      </c>
      <c r="C86" t="s">
        <v>68</v>
      </c>
      <c r="D86" s="35">
        <v>110476.8</v>
      </c>
      <c r="E86">
        <v>1246261043</v>
      </c>
      <c r="F86" s="324">
        <v>46138</v>
      </c>
      <c r="H86" t="s">
        <v>28</v>
      </c>
      <c r="I86" t="s">
        <v>29</v>
      </c>
      <c r="J86">
        <v>10573</v>
      </c>
      <c r="K86" s="324">
        <v>46048</v>
      </c>
      <c r="L86">
        <v>1010100</v>
      </c>
      <c r="M86" t="s">
        <v>35</v>
      </c>
      <c r="N86">
        <v>-26</v>
      </c>
      <c r="O86" s="32">
        <v>0</v>
      </c>
      <c r="P86" s="32">
        <v>0</v>
      </c>
      <c r="Q86" s="32">
        <v>110476.8</v>
      </c>
      <c r="R86" s="32">
        <v>0</v>
      </c>
      <c r="S86" s="32">
        <v>0</v>
      </c>
      <c r="T86" s="32">
        <v>0</v>
      </c>
      <c r="U86" s="32">
        <v>0</v>
      </c>
      <c r="V86" s="32">
        <v>0</v>
      </c>
      <c r="W86" s="32">
        <v>0</v>
      </c>
      <c r="X86" s="32">
        <v>0</v>
      </c>
      <c r="Y86" s="32">
        <v>0</v>
      </c>
      <c r="Z86" s="32">
        <v>0</v>
      </c>
      <c r="AA86" s="32">
        <v>0</v>
      </c>
      <c r="AB86" s="32">
        <v>0</v>
      </c>
      <c r="AC86" s="32" t="s">
        <v>540</v>
      </c>
      <c r="AD86" s="32"/>
      <c r="AE86" s="32">
        <v>0</v>
      </c>
    </row>
    <row r="87" spans="1:31" x14ac:dyDescent="0.25">
      <c r="A87">
        <v>1787</v>
      </c>
      <c r="B87" t="s">
        <v>531</v>
      </c>
      <c r="C87" t="s">
        <v>68</v>
      </c>
      <c r="D87" s="35">
        <v>113356.8</v>
      </c>
      <c r="E87">
        <v>1246269731</v>
      </c>
      <c r="F87" s="324">
        <v>46202</v>
      </c>
      <c r="H87" t="s">
        <v>28</v>
      </c>
      <c r="I87" t="s">
        <v>29</v>
      </c>
      <c r="J87">
        <v>11014</v>
      </c>
      <c r="K87" s="324">
        <v>46112</v>
      </c>
      <c r="L87">
        <v>1010100</v>
      </c>
      <c r="M87" t="s">
        <v>35</v>
      </c>
      <c r="N87">
        <v>-90</v>
      </c>
      <c r="O87" s="32">
        <v>0</v>
      </c>
      <c r="P87" s="32">
        <v>0</v>
      </c>
      <c r="Q87" s="32">
        <v>113356.8</v>
      </c>
      <c r="R87" s="32">
        <v>0</v>
      </c>
      <c r="S87" s="32">
        <v>0</v>
      </c>
      <c r="T87" s="32">
        <v>0</v>
      </c>
      <c r="U87" s="32">
        <v>0</v>
      </c>
      <c r="V87" s="32">
        <v>0</v>
      </c>
      <c r="W87" s="32">
        <v>0</v>
      </c>
      <c r="X87" s="32">
        <v>0</v>
      </c>
      <c r="Y87" s="32">
        <v>0</v>
      </c>
      <c r="Z87" s="32">
        <v>0</v>
      </c>
      <c r="AA87" s="32">
        <v>0</v>
      </c>
      <c r="AB87" s="32">
        <v>0</v>
      </c>
      <c r="AC87" s="32" t="s">
        <v>540</v>
      </c>
      <c r="AD87" s="32"/>
      <c r="AE87" s="32">
        <v>0</v>
      </c>
    </row>
    <row r="88" spans="1:31" x14ac:dyDescent="0.25">
      <c r="A88">
        <v>1787</v>
      </c>
      <c r="B88" t="s">
        <v>531</v>
      </c>
      <c r="C88" t="s">
        <v>68</v>
      </c>
      <c r="D88" s="35">
        <v>116313.60000000001</v>
      </c>
      <c r="E88">
        <v>1246258384</v>
      </c>
      <c r="F88" s="324">
        <v>46118</v>
      </c>
      <c r="H88" t="s">
        <v>28</v>
      </c>
      <c r="I88" t="s">
        <v>29</v>
      </c>
      <c r="J88">
        <v>10427</v>
      </c>
      <c r="K88" s="324">
        <v>46028</v>
      </c>
      <c r="L88">
        <v>1010100</v>
      </c>
      <c r="M88" t="s">
        <v>35</v>
      </c>
      <c r="N88">
        <v>-6</v>
      </c>
      <c r="O88" s="32">
        <v>0</v>
      </c>
      <c r="P88" s="32">
        <v>0</v>
      </c>
      <c r="Q88" s="32">
        <v>116313.60000000001</v>
      </c>
      <c r="R88" s="32">
        <v>0</v>
      </c>
      <c r="S88" s="32">
        <v>0</v>
      </c>
      <c r="T88" s="32">
        <v>0</v>
      </c>
      <c r="U88" s="32">
        <v>0</v>
      </c>
      <c r="V88" s="32">
        <v>0</v>
      </c>
      <c r="W88" s="32">
        <v>0</v>
      </c>
      <c r="X88" s="32">
        <v>0</v>
      </c>
      <c r="Y88" s="32">
        <v>0</v>
      </c>
      <c r="Z88" s="32">
        <v>0</v>
      </c>
      <c r="AA88" s="32">
        <v>0</v>
      </c>
      <c r="AB88" s="32">
        <v>0</v>
      </c>
      <c r="AC88" s="32" t="s">
        <v>540</v>
      </c>
      <c r="AD88" s="32"/>
      <c r="AE88" s="32">
        <v>0</v>
      </c>
    </row>
    <row r="89" spans="1:31" x14ac:dyDescent="0.25">
      <c r="A89">
        <v>1787</v>
      </c>
      <c r="B89" t="s">
        <v>531</v>
      </c>
      <c r="C89" t="s">
        <v>68</v>
      </c>
      <c r="D89" s="35">
        <v>114240</v>
      </c>
      <c r="E89">
        <v>1246259553</v>
      </c>
      <c r="F89" s="324">
        <v>46127</v>
      </c>
      <c r="H89" t="s">
        <v>28</v>
      </c>
      <c r="I89" t="s">
        <v>29</v>
      </c>
      <c r="J89">
        <v>10493</v>
      </c>
      <c r="K89" s="324">
        <v>46037</v>
      </c>
      <c r="L89">
        <v>1010100</v>
      </c>
      <c r="M89" t="s">
        <v>35</v>
      </c>
      <c r="N89">
        <v>-15</v>
      </c>
      <c r="O89" s="32">
        <v>0</v>
      </c>
      <c r="P89" s="32">
        <v>0</v>
      </c>
      <c r="Q89" s="32">
        <v>114240</v>
      </c>
      <c r="R89" s="32">
        <v>0</v>
      </c>
      <c r="S89" s="32">
        <v>0</v>
      </c>
      <c r="T89" s="32">
        <v>0</v>
      </c>
      <c r="U89" s="32">
        <v>0</v>
      </c>
      <c r="V89" s="32">
        <v>0</v>
      </c>
      <c r="W89" s="32">
        <v>0</v>
      </c>
      <c r="X89" s="32">
        <v>0</v>
      </c>
      <c r="Y89" s="32">
        <v>0</v>
      </c>
      <c r="Z89" s="32">
        <v>0</v>
      </c>
      <c r="AA89" s="32">
        <v>0</v>
      </c>
      <c r="AB89" s="32">
        <v>0</v>
      </c>
      <c r="AC89" s="32" t="s">
        <v>540</v>
      </c>
      <c r="AD89" s="32"/>
      <c r="AE89" s="32">
        <v>0</v>
      </c>
    </row>
    <row r="90" spans="1:31" x14ac:dyDescent="0.25">
      <c r="A90">
        <v>1787</v>
      </c>
      <c r="B90" t="s">
        <v>531</v>
      </c>
      <c r="C90" t="s">
        <v>68</v>
      </c>
      <c r="D90" s="35">
        <v>115392</v>
      </c>
      <c r="E90">
        <v>1246265885</v>
      </c>
      <c r="F90" s="324">
        <v>46173</v>
      </c>
      <c r="H90" t="s">
        <v>28</v>
      </c>
      <c r="I90" t="s">
        <v>29</v>
      </c>
      <c r="J90">
        <v>10791</v>
      </c>
      <c r="K90" s="324">
        <v>46083</v>
      </c>
      <c r="L90">
        <v>1010100</v>
      </c>
      <c r="M90" t="s">
        <v>35</v>
      </c>
      <c r="N90">
        <v>-61</v>
      </c>
      <c r="O90" s="32">
        <v>0</v>
      </c>
      <c r="P90" s="32">
        <v>0</v>
      </c>
      <c r="Q90" s="32">
        <v>115392</v>
      </c>
      <c r="R90" s="32">
        <v>0</v>
      </c>
      <c r="S90" s="32">
        <v>0</v>
      </c>
      <c r="T90" s="32">
        <v>0</v>
      </c>
      <c r="U90" s="32">
        <v>0</v>
      </c>
      <c r="V90" s="32">
        <v>0</v>
      </c>
      <c r="W90" s="32">
        <v>0</v>
      </c>
      <c r="X90" s="32">
        <v>0</v>
      </c>
      <c r="Y90" s="32">
        <v>0</v>
      </c>
      <c r="Z90" s="32">
        <v>0</v>
      </c>
      <c r="AA90" s="32">
        <v>0</v>
      </c>
      <c r="AB90" s="32">
        <v>0</v>
      </c>
      <c r="AC90" s="32" t="s">
        <v>540</v>
      </c>
      <c r="AD90" s="32"/>
      <c r="AE90" s="32">
        <v>0</v>
      </c>
    </row>
    <row r="91" spans="1:31" x14ac:dyDescent="0.25">
      <c r="A91">
        <v>1787</v>
      </c>
      <c r="B91" t="s">
        <v>531</v>
      </c>
      <c r="C91" t="s">
        <v>68</v>
      </c>
      <c r="D91" s="35">
        <v>115046.39999999999</v>
      </c>
      <c r="E91">
        <v>1246267207</v>
      </c>
      <c r="F91" s="324">
        <v>46181</v>
      </c>
      <c r="H91" t="s">
        <v>28</v>
      </c>
      <c r="I91" t="s">
        <v>29</v>
      </c>
      <c r="J91">
        <v>10856</v>
      </c>
      <c r="K91" s="324">
        <v>46091</v>
      </c>
      <c r="L91">
        <v>1010100</v>
      </c>
      <c r="M91" t="s">
        <v>35</v>
      </c>
      <c r="N91">
        <v>-69</v>
      </c>
      <c r="O91" s="32">
        <v>0</v>
      </c>
      <c r="P91" s="32">
        <v>0</v>
      </c>
      <c r="Q91" s="32">
        <v>115046.39999999999</v>
      </c>
      <c r="R91" s="32">
        <v>0</v>
      </c>
      <c r="S91" s="32">
        <v>0</v>
      </c>
      <c r="T91" s="32">
        <v>0</v>
      </c>
      <c r="U91" s="32">
        <v>0</v>
      </c>
      <c r="V91" s="32">
        <v>0</v>
      </c>
      <c r="W91" s="32">
        <v>0</v>
      </c>
      <c r="X91" s="32">
        <v>0</v>
      </c>
      <c r="Y91" s="32">
        <v>0</v>
      </c>
      <c r="Z91" s="32">
        <v>0</v>
      </c>
      <c r="AA91" s="32">
        <v>0</v>
      </c>
      <c r="AB91" s="32">
        <v>0</v>
      </c>
      <c r="AC91" s="32" t="s">
        <v>540</v>
      </c>
      <c r="AD91" s="32"/>
      <c r="AE91" s="32">
        <v>0</v>
      </c>
    </row>
    <row r="92" spans="1:31" x14ac:dyDescent="0.25">
      <c r="A92">
        <v>1787</v>
      </c>
      <c r="B92" t="s">
        <v>531</v>
      </c>
      <c r="C92" t="s">
        <v>68</v>
      </c>
      <c r="D92" s="35">
        <v>114201.60000000001</v>
      </c>
      <c r="E92">
        <v>1246262790</v>
      </c>
      <c r="F92" s="324">
        <v>46152</v>
      </c>
      <c r="H92" t="s">
        <v>28</v>
      </c>
      <c r="I92" t="s">
        <v>29</v>
      </c>
      <c r="J92">
        <v>10666</v>
      </c>
      <c r="K92" s="324">
        <v>46062</v>
      </c>
      <c r="L92">
        <v>1010100</v>
      </c>
      <c r="M92" t="s">
        <v>35</v>
      </c>
      <c r="N92">
        <v>-40</v>
      </c>
      <c r="O92" s="32">
        <v>0</v>
      </c>
      <c r="P92" s="32">
        <v>0</v>
      </c>
      <c r="Q92" s="32">
        <v>114201.60000000001</v>
      </c>
      <c r="R92" s="32">
        <v>0</v>
      </c>
      <c r="S92" s="32">
        <v>0</v>
      </c>
      <c r="T92" s="32">
        <v>0</v>
      </c>
      <c r="U92" s="32">
        <v>0</v>
      </c>
      <c r="V92" s="32">
        <v>0</v>
      </c>
      <c r="W92" s="32">
        <v>0</v>
      </c>
      <c r="X92" s="32">
        <v>0</v>
      </c>
      <c r="Y92" s="32">
        <v>0</v>
      </c>
      <c r="Z92" s="32">
        <v>0</v>
      </c>
      <c r="AA92" s="32">
        <v>0</v>
      </c>
      <c r="AB92" s="32">
        <v>0</v>
      </c>
      <c r="AC92" s="32" t="s">
        <v>540</v>
      </c>
      <c r="AD92" s="32"/>
      <c r="AE92" s="32">
        <v>0</v>
      </c>
    </row>
    <row r="93" spans="1:31" x14ac:dyDescent="0.25">
      <c r="A93">
        <v>1787</v>
      </c>
      <c r="B93" t="s">
        <v>531</v>
      </c>
      <c r="C93" t="s">
        <v>68</v>
      </c>
      <c r="D93" s="35">
        <v>108864</v>
      </c>
      <c r="E93">
        <v>1246263600</v>
      </c>
      <c r="F93" s="324">
        <v>46156</v>
      </c>
      <c r="H93" t="s">
        <v>28</v>
      </c>
      <c r="I93" t="s">
        <v>29</v>
      </c>
      <c r="J93">
        <v>10688</v>
      </c>
      <c r="K93" s="324">
        <v>46066</v>
      </c>
      <c r="L93">
        <v>1010100</v>
      </c>
      <c r="M93" t="s">
        <v>35</v>
      </c>
      <c r="N93">
        <v>-44</v>
      </c>
      <c r="O93" s="32">
        <v>0</v>
      </c>
      <c r="P93" s="32">
        <v>0</v>
      </c>
      <c r="Q93" s="32">
        <v>108864</v>
      </c>
      <c r="R93" s="32">
        <v>0</v>
      </c>
      <c r="S93" s="32">
        <v>0</v>
      </c>
      <c r="T93" s="32">
        <v>0</v>
      </c>
      <c r="U93" s="32">
        <v>0</v>
      </c>
      <c r="V93" s="32">
        <v>0</v>
      </c>
      <c r="W93" s="32">
        <v>0</v>
      </c>
      <c r="X93" s="32">
        <v>0</v>
      </c>
      <c r="Y93" s="32">
        <v>0</v>
      </c>
      <c r="Z93" s="32">
        <v>0</v>
      </c>
      <c r="AA93" s="32">
        <v>0</v>
      </c>
      <c r="AB93" s="32">
        <v>0</v>
      </c>
      <c r="AC93" s="32" t="s">
        <v>540</v>
      </c>
      <c r="AD93" s="32"/>
      <c r="AE93" s="32">
        <v>0</v>
      </c>
    </row>
    <row r="94" spans="1:31" x14ac:dyDescent="0.25">
      <c r="A94">
        <v>1787</v>
      </c>
      <c r="B94" t="s">
        <v>531</v>
      </c>
      <c r="C94" t="s">
        <v>68</v>
      </c>
      <c r="D94" s="35">
        <v>110937.60000000001</v>
      </c>
      <c r="E94">
        <v>1246268467</v>
      </c>
      <c r="F94" s="324">
        <v>46190</v>
      </c>
      <c r="H94" t="s">
        <v>28</v>
      </c>
      <c r="I94" t="s">
        <v>29</v>
      </c>
      <c r="J94">
        <v>10936</v>
      </c>
      <c r="K94" s="324">
        <v>46100</v>
      </c>
      <c r="L94">
        <v>1010100</v>
      </c>
      <c r="M94" t="s">
        <v>35</v>
      </c>
      <c r="N94">
        <v>-78</v>
      </c>
      <c r="O94" s="32">
        <v>0</v>
      </c>
      <c r="P94" s="32">
        <v>0</v>
      </c>
      <c r="Q94" s="32">
        <v>110937.60000000001</v>
      </c>
      <c r="R94" s="32">
        <v>0</v>
      </c>
      <c r="S94" s="32">
        <v>0</v>
      </c>
      <c r="T94" s="32">
        <v>0</v>
      </c>
      <c r="U94" s="32">
        <v>0</v>
      </c>
      <c r="V94" s="32">
        <v>0</v>
      </c>
      <c r="W94" s="32">
        <v>0</v>
      </c>
      <c r="X94" s="32">
        <v>0</v>
      </c>
      <c r="Y94" s="32">
        <v>0</v>
      </c>
      <c r="Z94" s="32">
        <v>0</v>
      </c>
      <c r="AA94" s="32">
        <v>0</v>
      </c>
      <c r="AB94" s="32">
        <v>0</v>
      </c>
      <c r="AC94" s="32" t="s">
        <v>540</v>
      </c>
      <c r="AD94" s="32"/>
      <c r="AE94" s="32">
        <v>0</v>
      </c>
    </row>
    <row r="95" spans="1:31" x14ac:dyDescent="0.25">
      <c r="A95">
        <v>1787</v>
      </c>
      <c r="B95" t="s">
        <v>531</v>
      </c>
      <c r="C95" t="s">
        <v>68</v>
      </c>
      <c r="D95" s="35">
        <v>110592</v>
      </c>
      <c r="E95">
        <v>1246269420</v>
      </c>
      <c r="F95" s="324">
        <v>46198</v>
      </c>
      <c r="H95" t="s">
        <v>28</v>
      </c>
      <c r="I95" t="s">
        <v>29</v>
      </c>
      <c r="J95">
        <v>10989</v>
      </c>
      <c r="K95" s="324">
        <v>46108</v>
      </c>
      <c r="L95">
        <v>1010100</v>
      </c>
      <c r="M95" t="s">
        <v>35</v>
      </c>
      <c r="N95">
        <v>-86</v>
      </c>
      <c r="O95" s="32">
        <v>0</v>
      </c>
      <c r="P95" s="32">
        <v>0</v>
      </c>
      <c r="Q95" s="32">
        <v>110592</v>
      </c>
      <c r="R95" s="32">
        <v>0</v>
      </c>
      <c r="S95" s="32">
        <v>0</v>
      </c>
      <c r="T95" s="32">
        <v>0</v>
      </c>
      <c r="U95" s="32">
        <v>0</v>
      </c>
      <c r="V95" s="32">
        <v>0</v>
      </c>
      <c r="W95" s="32">
        <v>0</v>
      </c>
      <c r="X95" s="32">
        <v>0</v>
      </c>
      <c r="Y95" s="32">
        <v>0</v>
      </c>
      <c r="Z95" s="32">
        <v>0</v>
      </c>
      <c r="AA95" s="32">
        <v>0</v>
      </c>
      <c r="AB95" s="32">
        <v>0</v>
      </c>
      <c r="AC95" s="32" t="s">
        <v>540</v>
      </c>
      <c r="AD95" s="32"/>
      <c r="AE95" s="32">
        <v>0</v>
      </c>
    </row>
    <row r="96" spans="1:31" x14ac:dyDescent="0.25">
      <c r="A96">
        <v>1787</v>
      </c>
      <c r="B96" t="s">
        <v>531</v>
      </c>
      <c r="C96" t="s">
        <v>68</v>
      </c>
      <c r="D96" s="35">
        <v>114393.60000000001</v>
      </c>
      <c r="E96">
        <v>1246263371</v>
      </c>
      <c r="F96" s="324">
        <v>46154</v>
      </c>
      <c r="H96" t="s">
        <v>28</v>
      </c>
      <c r="I96" t="s">
        <v>29</v>
      </c>
      <c r="J96">
        <v>10678</v>
      </c>
      <c r="K96" s="324">
        <v>46064</v>
      </c>
      <c r="L96">
        <v>1010100</v>
      </c>
      <c r="M96" t="s">
        <v>35</v>
      </c>
      <c r="N96">
        <v>-42</v>
      </c>
      <c r="O96" s="32">
        <v>0</v>
      </c>
      <c r="P96" s="32">
        <v>0</v>
      </c>
      <c r="Q96" s="32">
        <v>114393.60000000001</v>
      </c>
      <c r="R96" s="32">
        <v>0</v>
      </c>
      <c r="S96" s="32">
        <v>0</v>
      </c>
      <c r="T96" s="32">
        <v>0</v>
      </c>
      <c r="U96" s="32">
        <v>0</v>
      </c>
      <c r="V96" s="32">
        <v>0</v>
      </c>
      <c r="W96" s="32">
        <v>0</v>
      </c>
      <c r="X96" s="32">
        <v>0</v>
      </c>
      <c r="Y96" s="32">
        <v>0</v>
      </c>
      <c r="Z96" s="32">
        <v>0</v>
      </c>
      <c r="AA96" s="32">
        <v>0</v>
      </c>
      <c r="AB96" s="32">
        <v>0</v>
      </c>
      <c r="AC96" s="32" t="s">
        <v>540</v>
      </c>
      <c r="AD96" s="32"/>
      <c r="AE96" s="32">
        <v>0</v>
      </c>
    </row>
    <row r="97" spans="1:31" x14ac:dyDescent="0.25">
      <c r="A97">
        <v>1787</v>
      </c>
      <c r="B97" t="s">
        <v>531</v>
      </c>
      <c r="C97" t="s">
        <v>68</v>
      </c>
      <c r="D97" s="35">
        <v>115737.60000000001</v>
      </c>
      <c r="E97">
        <v>1246260793</v>
      </c>
      <c r="F97" s="324">
        <v>46136</v>
      </c>
      <c r="H97" t="s">
        <v>28</v>
      </c>
      <c r="I97" t="s">
        <v>29</v>
      </c>
      <c r="J97">
        <v>10567</v>
      </c>
      <c r="K97" s="324">
        <v>46045</v>
      </c>
      <c r="L97">
        <v>1010100</v>
      </c>
      <c r="M97" t="s">
        <v>35</v>
      </c>
      <c r="N97">
        <v>-24</v>
      </c>
      <c r="O97" s="32">
        <v>0</v>
      </c>
      <c r="P97" s="32">
        <v>0</v>
      </c>
      <c r="Q97" s="32">
        <v>115737.60000000001</v>
      </c>
      <c r="R97" s="32">
        <v>0</v>
      </c>
      <c r="S97" s="32">
        <v>0</v>
      </c>
      <c r="T97" s="32">
        <v>0</v>
      </c>
      <c r="U97" s="32">
        <v>0</v>
      </c>
      <c r="V97" s="32">
        <v>0</v>
      </c>
      <c r="W97" s="32">
        <v>0</v>
      </c>
      <c r="X97" s="32">
        <v>0</v>
      </c>
      <c r="Y97" s="32">
        <v>0</v>
      </c>
      <c r="Z97" s="32">
        <v>0</v>
      </c>
      <c r="AA97" s="32">
        <v>0</v>
      </c>
      <c r="AB97" s="32">
        <v>0</v>
      </c>
      <c r="AC97" s="32" t="s">
        <v>540</v>
      </c>
      <c r="AD97" s="32"/>
      <c r="AE97" s="32">
        <v>0</v>
      </c>
    </row>
    <row r="98" spans="1:31" x14ac:dyDescent="0.25">
      <c r="A98">
        <v>1787</v>
      </c>
      <c r="B98" t="s">
        <v>531</v>
      </c>
      <c r="C98" t="s">
        <v>68</v>
      </c>
      <c r="D98" s="35">
        <v>116006.39999999999</v>
      </c>
      <c r="E98">
        <v>1246267015</v>
      </c>
      <c r="F98" s="324">
        <v>46180</v>
      </c>
      <c r="H98" t="s">
        <v>28</v>
      </c>
      <c r="I98" t="s">
        <v>29</v>
      </c>
      <c r="J98">
        <v>10844</v>
      </c>
      <c r="K98" s="324">
        <v>46090</v>
      </c>
      <c r="L98">
        <v>1010100</v>
      </c>
      <c r="M98" t="s">
        <v>35</v>
      </c>
      <c r="N98">
        <v>-68</v>
      </c>
      <c r="O98" s="32">
        <v>0</v>
      </c>
      <c r="P98" s="32">
        <v>0</v>
      </c>
      <c r="Q98" s="32">
        <v>116006.39999999999</v>
      </c>
      <c r="R98" s="32">
        <v>0</v>
      </c>
      <c r="S98" s="32">
        <v>0</v>
      </c>
      <c r="T98" s="32">
        <v>0</v>
      </c>
      <c r="U98" s="32">
        <v>0</v>
      </c>
      <c r="V98" s="32">
        <v>0</v>
      </c>
      <c r="W98" s="32">
        <v>0</v>
      </c>
      <c r="X98" s="32">
        <v>0</v>
      </c>
      <c r="Y98" s="32">
        <v>0</v>
      </c>
      <c r="Z98" s="32">
        <v>0</v>
      </c>
      <c r="AA98" s="32">
        <v>0</v>
      </c>
      <c r="AB98" s="32">
        <v>0</v>
      </c>
      <c r="AC98" s="32" t="s">
        <v>540</v>
      </c>
      <c r="AD98" s="32"/>
      <c r="AE98" s="32">
        <v>0</v>
      </c>
    </row>
    <row r="99" spans="1:31" x14ac:dyDescent="0.25">
      <c r="A99">
        <v>1787</v>
      </c>
      <c r="B99" t="s">
        <v>531</v>
      </c>
      <c r="C99" t="s">
        <v>68</v>
      </c>
      <c r="D99" s="35">
        <v>107059.2</v>
      </c>
      <c r="E99">
        <v>1246262114</v>
      </c>
      <c r="F99" s="324">
        <v>46146</v>
      </c>
      <c r="H99" t="s">
        <v>28</v>
      </c>
      <c r="I99" t="s">
        <v>29</v>
      </c>
      <c r="J99">
        <v>10629</v>
      </c>
      <c r="K99" s="324">
        <v>46056</v>
      </c>
      <c r="L99">
        <v>1010100</v>
      </c>
      <c r="M99" t="s">
        <v>35</v>
      </c>
      <c r="N99">
        <v>-34</v>
      </c>
      <c r="O99" s="32">
        <v>0</v>
      </c>
      <c r="P99" s="32">
        <v>0</v>
      </c>
      <c r="Q99" s="32">
        <v>107059.2</v>
      </c>
      <c r="R99" s="32">
        <v>0</v>
      </c>
      <c r="S99" s="32">
        <v>0</v>
      </c>
      <c r="T99" s="32">
        <v>0</v>
      </c>
      <c r="U99" s="32">
        <v>0</v>
      </c>
      <c r="V99" s="32">
        <v>0</v>
      </c>
      <c r="W99" s="32">
        <v>0</v>
      </c>
      <c r="X99" s="32">
        <v>0</v>
      </c>
      <c r="Y99" s="32">
        <v>0</v>
      </c>
      <c r="Z99" s="32">
        <v>0</v>
      </c>
      <c r="AA99" s="32">
        <v>0</v>
      </c>
      <c r="AB99" s="32">
        <v>0</v>
      </c>
      <c r="AC99" s="32" t="s">
        <v>540</v>
      </c>
      <c r="AD99" s="32"/>
      <c r="AE99" s="32">
        <v>0</v>
      </c>
    </row>
    <row r="100" spans="1:31" x14ac:dyDescent="0.25">
      <c r="A100">
        <v>1787</v>
      </c>
      <c r="B100" t="s">
        <v>531</v>
      </c>
      <c r="C100" t="s">
        <v>68</v>
      </c>
      <c r="D100" s="35">
        <v>112204.8</v>
      </c>
      <c r="E100">
        <v>1246269591</v>
      </c>
      <c r="F100" s="324">
        <v>46201</v>
      </c>
      <c r="H100" t="s">
        <v>28</v>
      </c>
      <c r="I100" t="s">
        <v>29</v>
      </c>
      <c r="J100">
        <v>11002</v>
      </c>
      <c r="K100" s="324">
        <v>46111</v>
      </c>
      <c r="L100">
        <v>1010100</v>
      </c>
      <c r="M100" t="s">
        <v>35</v>
      </c>
      <c r="N100">
        <v>-89</v>
      </c>
      <c r="O100" s="32">
        <v>0</v>
      </c>
      <c r="P100" s="32">
        <v>0</v>
      </c>
      <c r="Q100" s="32">
        <v>112204.8</v>
      </c>
      <c r="R100" s="32">
        <v>0</v>
      </c>
      <c r="S100" s="32">
        <v>0</v>
      </c>
      <c r="T100" s="32">
        <v>0</v>
      </c>
      <c r="U100" s="32">
        <v>0</v>
      </c>
      <c r="V100" s="32">
        <v>0</v>
      </c>
      <c r="W100" s="32">
        <v>0</v>
      </c>
      <c r="X100" s="32">
        <v>0</v>
      </c>
      <c r="Y100" s="32">
        <v>0</v>
      </c>
      <c r="Z100" s="32">
        <v>0</v>
      </c>
      <c r="AA100" s="32">
        <v>0</v>
      </c>
      <c r="AB100" s="32">
        <v>0</v>
      </c>
      <c r="AC100" s="32" t="s">
        <v>540</v>
      </c>
      <c r="AD100" s="32"/>
      <c r="AE100" s="32">
        <v>0</v>
      </c>
    </row>
    <row r="101" spans="1:31" x14ac:dyDescent="0.25">
      <c r="A101">
        <v>1787</v>
      </c>
      <c r="B101" t="s">
        <v>531</v>
      </c>
      <c r="C101" t="s">
        <v>68</v>
      </c>
      <c r="D101" s="35">
        <v>112588.8</v>
      </c>
      <c r="E101">
        <v>1246263994</v>
      </c>
      <c r="F101" s="324">
        <v>46161</v>
      </c>
      <c r="H101" t="s">
        <v>28</v>
      </c>
      <c r="I101" t="s">
        <v>29</v>
      </c>
      <c r="J101">
        <v>10714</v>
      </c>
      <c r="K101" s="324">
        <v>46071</v>
      </c>
      <c r="L101">
        <v>1010100</v>
      </c>
      <c r="M101" t="s">
        <v>35</v>
      </c>
      <c r="N101">
        <v>-49</v>
      </c>
      <c r="O101" s="32">
        <v>0</v>
      </c>
      <c r="P101" s="32">
        <v>0</v>
      </c>
      <c r="Q101" s="32">
        <v>112588.8</v>
      </c>
      <c r="R101" s="32">
        <v>0</v>
      </c>
      <c r="S101" s="32">
        <v>0</v>
      </c>
      <c r="T101" s="32">
        <v>0</v>
      </c>
      <c r="U101" s="32">
        <v>0</v>
      </c>
      <c r="V101" s="32">
        <v>0</v>
      </c>
      <c r="W101" s="32">
        <v>0</v>
      </c>
      <c r="X101" s="32">
        <v>0</v>
      </c>
      <c r="Y101" s="32">
        <v>0</v>
      </c>
      <c r="Z101" s="32">
        <v>0</v>
      </c>
      <c r="AA101" s="32">
        <v>0</v>
      </c>
      <c r="AB101" s="32">
        <v>0</v>
      </c>
      <c r="AC101" s="32" t="s">
        <v>540</v>
      </c>
      <c r="AD101" s="32"/>
      <c r="AE101" s="32">
        <v>0</v>
      </c>
    </row>
    <row r="102" spans="1:31" x14ac:dyDescent="0.25">
      <c r="A102">
        <v>1787</v>
      </c>
      <c r="B102" t="s">
        <v>531</v>
      </c>
      <c r="C102" t="s">
        <v>68</v>
      </c>
      <c r="D102" s="35">
        <v>115315.2</v>
      </c>
      <c r="E102">
        <v>1246265189</v>
      </c>
      <c r="F102" s="324">
        <v>46168</v>
      </c>
      <c r="H102" t="s">
        <v>28</v>
      </c>
      <c r="I102" t="s">
        <v>29</v>
      </c>
      <c r="J102">
        <v>10768</v>
      </c>
      <c r="K102" s="324">
        <v>46078</v>
      </c>
      <c r="L102">
        <v>1010100</v>
      </c>
      <c r="M102" t="s">
        <v>35</v>
      </c>
      <c r="N102">
        <v>-56</v>
      </c>
      <c r="O102" s="32">
        <v>0</v>
      </c>
      <c r="P102" s="32">
        <v>0</v>
      </c>
      <c r="Q102" s="32">
        <v>115315.2</v>
      </c>
      <c r="R102" s="32">
        <v>0</v>
      </c>
      <c r="S102" s="32">
        <v>0</v>
      </c>
      <c r="T102" s="32">
        <v>0</v>
      </c>
      <c r="U102" s="32">
        <v>0</v>
      </c>
      <c r="V102" s="32">
        <v>0</v>
      </c>
      <c r="W102" s="32">
        <v>0</v>
      </c>
      <c r="X102" s="32">
        <v>0</v>
      </c>
      <c r="Y102" s="32">
        <v>0</v>
      </c>
      <c r="Z102" s="32">
        <v>0</v>
      </c>
      <c r="AA102" s="32">
        <v>0</v>
      </c>
      <c r="AB102" s="32">
        <v>0</v>
      </c>
      <c r="AC102" s="32" t="s">
        <v>540</v>
      </c>
      <c r="AD102" s="32"/>
      <c r="AE102" s="32">
        <v>0</v>
      </c>
    </row>
    <row r="103" spans="1:31" x14ac:dyDescent="0.25">
      <c r="A103">
        <v>1787</v>
      </c>
      <c r="B103" t="s">
        <v>531</v>
      </c>
      <c r="C103" t="s">
        <v>68</v>
      </c>
      <c r="D103" s="35">
        <v>115468.8</v>
      </c>
      <c r="E103">
        <v>1246266348</v>
      </c>
      <c r="F103" s="324">
        <v>46175</v>
      </c>
      <c r="H103" t="s">
        <v>28</v>
      </c>
      <c r="I103" t="s">
        <v>29</v>
      </c>
      <c r="J103">
        <v>10811</v>
      </c>
      <c r="K103" s="324">
        <v>46085</v>
      </c>
      <c r="L103">
        <v>1010100</v>
      </c>
      <c r="M103" t="s">
        <v>35</v>
      </c>
      <c r="N103">
        <v>-63</v>
      </c>
      <c r="O103" s="32">
        <v>0</v>
      </c>
      <c r="P103" s="32">
        <v>0</v>
      </c>
      <c r="Q103" s="32">
        <v>115468.8</v>
      </c>
      <c r="R103" s="32">
        <v>0</v>
      </c>
      <c r="S103" s="32">
        <v>0</v>
      </c>
      <c r="T103" s="32">
        <v>0</v>
      </c>
      <c r="U103" s="32">
        <v>0</v>
      </c>
      <c r="V103" s="32">
        <v>0</v>
      </c>
      <c r="W103" s="32">
        <v>0</v>
      </c>
      <c r="X103" s="32">
        <v>0</v>
      </c>
      <c r="Y103" s="32">
        <v>0</v>
      </c>
      <c r="Z103" s="32">
        <v>0</v>
      </c>
      <c r="AA103" s="32">
        <v>0</v>
      </c>
      <c r="AB103" s="32">
        <v>0</v>
      </c>
      <c r="AC103" s="32" t="s">
        <v>540</v>
      </c>
      <c r="AD103" s="32"/>
      <c r="AE103" s="32">
        <v>0</v>
      </c>
    </row>
    <row r="104" spans="1:31" x14ac:dyDescent="0.25">
      <c r="A104">
        <v>1787</v>
      </c>
      <c r="B104" t="s">
        <v>531</v>
      </c>
      <c r="C104" t="s">
        <v>68</v>
      </c>
      <c r="D104" s="35">
        <v>114086.39999999999</v>
      </c>
      <c r="E104">
        <v>1246267743</v>
      </c>
      <c r="F104" s="324">
        <v>46184</v>
      </c>
      <c r="H104" t="s">
        <v>28</v>
      </c>
      <c r="I104" t="s">
        <v>29</v>
      </c>
      <c r="J104">
        <v>10882</v>
      </c>
      <c r="K104" s="324">
        <v>46094</v>
      </c>
      <c r="L104">
        <v>1010100</v>
      </c>
      <c r="M104" t="s">
        <v>35</v>
      </c>
      <c r="N104">
        <v>-72</v>
      </c>
      <c r="O104" s="32">
        <v>0</v>
      </c>
      <c r="P104" s="32">
        <v>0</v>
      </c>
      <c r="Q104" s="32">
        <v>114086.39999999999</v>
      </c>
      <c r="R104" s="32">
        <v>0</v>
      </c>
      <c r="S104" s="32">
        <v>0</v>
      </c>
      <c r="T104" s="32">
        <v>0</v>
      </c>
      <c r="U104" s="32">
        <v>0</v>
      </c>
      <c r="V104" s="32">
        <v>0</v>
      </c>
      <c r="W104" s="32">
        <v>0</v>
      </c>
      <c r="X104" s="32">
        <v>0</v>
      </c>
      <c r="Y104" s="32">
        <v>0</v>
      </c>
      <c r="Z104" s="32">
        <v>0</v>
      </c>
      <c r="AA104" s="32">
        <v>0</v>
      </c>
      <c r="AB104" s="32">
        <v>0</v>
      </c>
      <c r="AC104" s="32" t="s">
        <v>540</v>
      </c>
      <c r="AD104" s="32"/>
      <c r="AE104" s="32">
        <v>0</v>
      </c>
    </row>
    <row r="105" spans="1:31" x14ac:dyDescent="0.25">
      <c r="A105">
        <v>1788</v>
      </c>
      <c r="B105" t="s">
        <v>531</v>
      </c>
      <c r="C105" t="s">
        <v>70</v>
      </c>
      <c r="D105" s="35">
        <v>116928</v>
      </c>
      <c r="E105">
        <v>1246267567</v>
      </c>
      <c r="F105" s="324">
        <v>46183</v>
      </c>
      <c r="H105" t="s">
        <v>28</v>
      </c>
      <c r="I105" t="s">
        <v>29</v>
      </c>
      <c r="J105">
        <v>10870</v>
      </c>
      <c r="K105" s="324">
        <v>46093</v>
      </c>
      <c r="L105">
        <v>1010100</v>
      </c>
      <c r="M105" t="s">
        <v>35</v>
      </c>
      <c r="N105">
        <v>-71</v>
      </c>
      <c r="O105" s="32">
        <v>0</v>
      </c>
      <c r="P105" s="32">
        <v>0</v>
      </c>
      <c r="Q105" s="32">
        <v>116928</v>
      </c>
      <c r="R105" s="32">
        <v>0</v>
      </c>
      <c r="S105" s="32">
        <v>0</v>
      </c>
      <c r="T105" s="32">
        <v>0</v>
      </c>
      <c r="U105" s="32">
        <v>0</v>
      </c>
      <c r="V105" s="32">
        <v>0</v>
      </c>
      <c r="W105" s="32">
        <v>0</v>
      </c>
      <c r="X105" s="32">
        <v>0</v>
      </c>
      <c r="Y105" s="32">
        <v>0</v>
      </c>
      <c r="Z105" s="32">
        <v>0</v>
      </c>
      <c r="AA105" s="32">
        <v>0</v>
      </c>
      <c r="AB105" s="32">
        <v>0</v>
      </c>
      <c r="AC105" s="32" t="s">
        <v>540</v>
      </c>
      <c r="AD105" s="32"/>
      <c r="AE105" s="32">
        <v>0</v>
      </c>
    </row>
    <row r="106" spans="1:31" x14ac:dyDescent="0.25">
      <c r="A106">
        <v>1788</v>
      </c>
      <c r="B106" t="s">
        <v>531</v>
      </c>
      <c r="C106" t="s">
        <v>70</v>
      </c>
      <c r="D106" s="35">
        <v>116851.2</v>
      </c>
      <c r="E106">
        <v>1246262366</v>
      </c>
      <c r="F106" s="324">
        <v>46148</v>
      </c>
      <c r="H106" t="s">
        <v>28</v>
      </c>
      <c r="I106" t="s">
        <v>29</v>
      </c>
      <c r="J106">
        <v>10645</v>
      </c>
      <c r="K106" s="324">
        <v>46058</v>
      </c>
      <c r="L106">
        <v>1010100</v>
      </c>
      <c r="M106" t="s">
        <v>35</v>
      </c>
      <c r="N106">
        <v>-36</v>
      </c>
      <c r="O106" s="32">
        <v>0</v>
      </c>
      <c r="P106" s="32">
        <v>0</v>
      </c>
      <c r="Q106" s="32">
        <v>116851.2</v>
      </c>
      <c r="R106" s="32">
        <v>0</v>
      </c>
      <c r="S106" s="32">
        <v>0</v>
      </c>
      <c r="T106" s="32">
        <v>0</v>
      </c>
      <c r="U106" s="32">
        <v>0</v>
      </c>
      <c r="V106" s="32">
        <v>0</v>
      </c>
      <c r="W106" s="32">
        <v>0</v>
      </c>
      <c r="X106" s="32">
        <v>0</v>
      </c>
      <c r="Y106" s="32">
        <v>0</v>
      </c>
      <c r="Z106" s="32">
        <v>0</v>
      </c>
      <c r="AA106" s="32">
        <v>0</v>
      </c>
      <c r="AB106" s="32">
        <v>0</v>
      </c>
      <c r="AC106" s="32" t="s">
        <v>540</v>
      </c>
      <c r="AD106" s="32"/>
      <c r="AE106" s="32">
        <v>0</v>
      </c>
    </row>
    <row r="107" spans="1:31" x14ac:dyDescent="0.25">
      <c r="A107">
        <v>1788</v>
      </c>
      <c r="B107" t="s">
        <v>531</v>
      </c>
      <c r="C107" t="s">
        <v>70</v>
      </c>
      <c r="D107" s="35">
        <v>116275.2</v>
      </c>
      <c r="E107">
        <v>1246260461</v>
      </c>
      <c r="F107" s="324">
        <v>46134</v>
      </c>
      <c r="H107" t="s">
        <v>28</v>
      </c>
      <c r="I107" t="s">
        <v>29</v>
      </c>
      <c r="J107">
        <v>10550</v>
      </c>
      <c r="K107" s="324">
        <v>46044</v>
      </c>
      <c r="L107">
        <v>1010100</v>
      </c>
      <c r="M107" t="s">
        <v>35</v>
      </c>
      <c r="N107">
        <v>-22</v>
      </c>
      <c r="O107" s="32">
        <v>0</v>
      </c>
      <c r="P107" s="32">
        <v>0</v>
      </c>
      <c r="Q107" s="32">
        <v>116275.2</v>
      </c>
      <c r="R107" s="32">
        <v>0</v>
      </c>
      <c r="S107" s="32">
        <v>0</v>
      </c>
      <c r="T107" s="32">
        <v>0</v>
      </c>
      <c r="U107" s="32">
        <v>0</v>
      </c>
      <c r="V107" s="32">
        <v>0</v>
      </c>
      <c r="W107" s="32">
        <v>0</v>
      </c>
      <c r="X107" s="32">
        <v>0</v>
      </c>
      <c r="Y107" s="32">
        <v>0</v>
      </c>
      <c r="Z107" s="32">
        <v>0</v>
      </c>
      <c r="AA107" s="32">
        <v>0</v>
      </c>
      <c r="AB107" s="32">
        <v>0</v>
      </c>
      <c r="AC107" s="32" t="s">
        <v>540</v>
      </c>
      <c r="AD107" s="32"/>
      <c r="AE107" s="32">
        <v>0</v>
      </c>
    </row>
    <row r="108" spans="1:31" x14ac:dyDescent="0.25">
      <c r="A108">
        <v>1789</v>
      </c>
      <c r="B108" t="s">
        <v>531</v>
      </c>
      <c r="C108" t="s">
        <v>72</v>
      </c>
      <c r="D108" s="35">
        <v>116044.8</v>
      </c>
      <c r="E108">
        <v>1246267816</v>
      </c>
      <c r="F108" s="324">
        <v>46187</v>
      </c>
      <c r="H108" t="s">
        <v>28</v>
      </c>
      <c r="I108" t="s">
        <v>29</v>
      </c>
      <c r="J108">
        <v>10889</v>
      </c>
      <c r="K108" s="324">
        <v>46097</v>
      </c>
      <c r="L108">
        <v>1010100</v>
      </c>
      <c r="M108" t="s">
        <v>35</v>
      </c>
      <c r="N108">
        <v>-75</v>
      </c>
      <c r="O108" s="32">
        <v>0</v>
      </c>
      <c r="P108" s="32">
        <v>0</v>
      </c>
      <c r="Q108" s="32">
        <v>116044.8</v>
      </c>
      <c r="R108" s="32">
        <v>0</v>
      </c>
      <c r="S108" s="32">
        <v>0</v>
      </c>
      <c r="T108" s="32">
        <v>0</v>
      </c>
      <c r="U108" s="32">
        <v>0</v>
      </c>
      <c r="V108" s="32">
        <v>0</v>
      </c>
      <c r="W108" s="32">
        <v>0</v>
      </c>
      <c r="X108" s="32">
        <v>0</v>
      </c>
      <c r="Y108" s="32">
        <v>0</v>
      </c>
      <c r="Z108" s="32">
        <v>0</v>
      </c>
      <c r="AA108" s="32">
        <v>0</v>
      </c>
      <c r="AB108" s="32">
        <v>0</v>
      </c>
      <c r="AC108" s="32" t="s">
        <v>540</v>
      </c>
      <c r="AD108" s="32"/>
      <c r="AE108" s="32">
        <v>0</v>
      </c>
    </row>
    <row r="109" spans="1:31" x14ac:dyDescent="0.25">
      <c r="A109">
        <v>1789</v>
      </c>
      <c r="B109" t="s">
        <v>531</v>
      </c>
      <c r="C109" t="s">
        <v>72</v>
      </c>
      <c r="D109" s="35">
        <v>115507.2</v>
      </c>
      <c r="E109">
        <v>1246269759</v>
      </c>
      <c r="F109" s="324">
        <v>46202</v>
      </c>
      <c r="H109" t="s">
        <v>28</v>
      </c>
      <c r="I109" t="s">
        <v>29</v>
      </c>
      <c r="J109">
        <v>11017</v>
      </c>
      <c r="K109" s="324">
        <v>46112</v>
      </c>
      <c r="L109">
        <v>1010100</v>
      </c>
      <c r="M109" t="s">
        <v>35</v>
      </c>
      <c r="N109">
        <v>-90</v>
      </c>
      <c r="O109" s="32">
        <v>0</v>
      </c>
      <c r="P109" s="32">
        <v>0</v>
      </c>
      <c r="Q109" s="32">
        <v>115507.2</v>
      </c>
      <c r="R109" s="32">
        <v>0</v>
      </c>
      <c r="S109" s="32">
        <v>0</v>
      </c>
      <c r="T109" s="32">
        <v>0</v>
      </c>
      <c r="U109" s="32">
        <v>0</v>
      </c>
      <c r="V109" s="32">
        <v>0</v>
      </c>
      <c r="W109" s="32">
        <v>0</v>
      </c>
      <c r="X109" s="32">
        <v>0</v>
      </c>
      <c r="Y109" s="32">
        <v>0</v>
      </c>
      <c r="Z109" s="32">
        <v>0</v>
      </c>
      <c r="AA109" s="32">
        <v>0</v>
      </c>
      <c r="AB109" s="32">
        <v>0</v>
      </c>
      <c r="AC109" s="32" t="s">
        <v>540</v>
      </c>
      <c r="AD109" s="32"/>
      <c r="AE109" s="32">
        <v>0</v>
      </c>
    </row>
    <row r="110" spans="1:31" x14ac:dyDescent="0.25">
      <c r="A110">
        <v>1789</v>
      </c>
      <c r="B110" t="s">
        <v>531</v>
      </c>
      <c r="C110" t="s">
        <v>72</v>
      </c>
      <c r="D110" s="35">
        <v>114470.39999999999</v>
      </c>
      <c r="E110">
        <v>1246268819</v>
      </c>
      <c r="F110" s="324">
        <v>46195</v>
      </c>
      <c r="H110" t="s">
        <v>28</v>
      </c>
      <c r="I110" t="s">
        <v>29</v>
      </c>
      <c r="J110">
        <v>10967</v>
      </c>
      <c r="K110" s="324">
        <v>46105</v>
      </c>
      <c r="L110">
        <v>1010100</v>
      </c>
      <c r="M110" t="s">
        <v>35</v>
      </c>
      <c r="N110">
        <v>-83</v>
      </c>
      <c r="O110" s="32">
        <v>0</v>
      </c>
      <c r="P110" s="32">
        <v>0</v>
      </c>
      <c r="Q110" s="32">
        <v>114470.39999999999</v>
      </c>
      <c r="R110" s="32">
        <v>0</v>
      </c>
      <c r="S110" s="32">
        <v>0</v>
      </c>
      <c r="T110" s="32">
        <v>0</v>
      </c>
      <c r="U110" s="32">
        <v>0</v>
      </c>
      <c r="V110" s="32">
        <v>0</v>
      </c>
      <c r="W110" s="32">
        <v>0</v>
      </c>
      <c r="X110" s="32">
        <v>0</v>
      </c>
      <c r="Y110" s="32">
        <v>0</v>
      </c>
      <c r="Z110" s="32">
        <v>0</v>
      </c>
      <c r="AA110" s="32">
        <v>0</v>
      </c>
      <c r="AB110" s="32">
        <v>0</v>
      </c>
      <c r="AC110" s="32" t="s">
        <v>540</v>
      </c>
      <c r="AD110" s="32"/>
      <c r="AE110" s="32">
        <v>0</v>
      </c>
    </row>
    <row r="111" spans="1:31" x14ac:dyDescent="0.25">
      <c r="A111">
        <v>1789</v>
      </c>
      <c r="B111" t="s">
        <v>531</v>
      </c>
      <c r="C111" t="s">
        <v>72</v>
      </c>
      <c r="D111" s="35">
        <v>115123.2</v>
      </c>
      <c r="E111">
        <v>1246269430</v>
      </c>
      <c r="F111" s="324">
        <v>46198</v>
      </c>
      <c r="H111" t="s">
        <v>28</v>
      </c>
      <c r="I111" t="s">
        <v>29</v>
      </c>
      <c r="J111">
        <v>10992</v>
      </c>
      <c r="K111" s="324">
        <v>46108</v>
      </c>
      <c r="L111">
        <v>1010100</v>
      </c>
      <c r="M111" t="s">
        <v>35</v>
      </c>
      <c r="N111">
        <v>-86</v>
      </c>
      <c r="O111" s="32">
        <v>0</v>
      </c>
      <c r="P111" s="32">
        <v>0</v>
      </c>
      <c r="Q111" s="32">
        <v>115123.2</v>
      </c>
      <c r="R111" s="32">
        <v>0</v>
      </c>
      <c r="S111" s="32">
        <v>0</v>
      </c>
      <c r="T111" s="32">
        <v>0</v>
      </c>
      <c r="U111" s="32">
        <v>0</v>
      </c>
      <c r="V111" s="32">
        <v>0</v>
      </c>
      <c r="W111" s="32">
        <v>0</v>
      </c>
      <c r="X111" s="32">
        <v>0</v>
      </c>
      <c r="Y111" s="32">
        <v>0</v>
      </c>
      <c r="Z111" s="32">
        <v>0</v>
      </c>
      <c r="AA111" s="32">
        <v>0</v>
      </c>
      <c r="AB111" s="32">
        <v>0</v>
      </c>
      <c r="AC111" s="32" t="s">
        <v>540</v>
      </c>
      <c r="AD111" s="32"/>
      <c r="AE111" s="32">
        <v>0</v>
      </c>
    </row>
    <row r="112" spans="1:31" x14ac:dyDescent="0.25">
      <c r="A112">
        <v>1789</v>
      </c>
      <c r="B112" t="s">
        <v>531</v>
      </c>
      <c r="C112" t="s">
        <v>72</v>
      </c>
      <c r="D112" s="35">
        <v>116044.8</v>
      </c>
      <c r="E112">
        <v>1246268551</v>
      </c>
      <c r="F112" s="324">
        <v>46191</v>
      </c>
      <c r="H112" t="s">
        <v>28</v>
      </c>
      <c r="I112" t="s">
        <v>29</v>
      </c>
      <c r="J112">
        <v>10945</v>
      </c>
      <c r="K112" s="324">
        <v>46101</v>
      </c>
      <c r="L112">
        <v>1010100</v>
      </c>
      <c r="M112" t="s">
        <v>35</v>
      </c>
      <c r="N112">
        <v>-79</v>
      </c>
      <c r="O112" s="32">
        <v>0</v>
      </c>
      <c r="P112" s="32">
        <v>0</v>
      </c>
      <c r="Q112" s="32">
        <v>116044.8</v>
      </c>
      <c r="R112" s="32">
        <v>0</v>
      </c>
      <c r="S112" s="32">
        <v>0</v>
      </c>
      <c r="T112" s="32">
        <v>0</v>
      </c>
      <c r="U112" s="32">
        <v>0</v>
      </c>
      <c r="V112" s="32">
        <v>0</v>
      </c>
      <c r="W112" s="32">
        <v>0</v>
      </c>
      <c r="X112" s="32">
        <v>0</v>
      </c>
      <c r="Y112" s="32">
        <v>0</v>
      </c>
      <c r="Z112" s="32">
        <v>0</v>
      </c>
      <c r="AA112" s="32">
        <v>0</v>
      </c>
      <c r="AB112" s="32">
        <v>0</v>
      </c>
      <c r="AC112" s="32" t="s">
        <v>540</v>
      </c>
      <c r="AD112" s="32"/>
      <c r="AE112" s="32">
        <v>0</v>
      </c>
    </row>
    <row r="113" spans="1:31" x14ac:dyDescent="0.25">
      <c r="A113">
        <v>1789</v>
      </c>
      <c r="B113" t="s">
        <v>531</v>
      </c>
      <c r="C113" t="s">
        <v>72</v>
      </c>
      <c r="D113" s="35">
        <v>115353.60000000001</v>
      </c>
      <c r="E113">
        <v>1246266246</v>
      </c>
      <c r="F113" s="324">
        <v>46174</v>
      </c>
      <c r="H113" t="s">
        <v>28</v>
      </c>
      <c r="I113" t="s">
        <v>29</v>
      </c>
      <c r="J113">
        <v>10804</v>
      </c>
      <c r="K113" s="324">
        <v>46084</v>
      </c>
      <c r="L113">
        <v>1010100</v>
      </c>
      <c r="M113" t="s">
        <v>35</v>
      </c>
      <c r="N113">
        <v>-62</v>
      </c>
      <c r="O113" s="32">
        <v>0</v>
      </c>
      <c r="P113" s="32">
        <v>0</v>
      </c>
      <c r="Q113" s="32">
        <v>115353.60000000001</v>
      </c>
      <c r="R113" s="32">
        <v>0</v>
      </c>
      <c r="S113" s="32">
        <v>0</v>
      </c>
      <c r="T113" s="32">
        <v>0</v>
      </c>
      <c r="U113" s="32">
        <v>0</v>
      </c>
      <c r="V113" s="32">
        <v>0</v>
      </c>
      <c r="W113" s="32">
        <v>0</v>
      </c>
      <c r="X113" s="32">
        <v>0</v>
      </c>
      <c r="Y113" s="32">
        <v>0</v>
      </c>
      <c r="Z113" s="32">
        <v>0</v>
      </c>
      <c r="AA113" s="32">
        <v>0</v>
      </c>
      <c r="AB113" s="32">
        <v>0</v>
      </c>
      <c r="AC113" s="32" t="s">
        <v>540</v>
      </c>
      <c r="AD113" s="32"/>
      <c r="AE113" s="32">
        <v>0</v>
      </c>
    </row>
    <row r="114" spans="1:31" x14ac:dyDescent="0.25">
      <c r="A114">
        <v>1789</v>
      </c>
      <c r="B114" t="s">
        <v>531</v>
      </c>
      <c r="C114" t="s">
        <v>72</v>
      </c>
      <c r="D114" s="35">
        <v>114048</v>
      </c>
      <c r="E114">
        <v>1246268138</v>
      </c>
      <c r="F114" s="324">
        <v>46188</v>
      </c>
      <c r="H114" t="s">
        <v>28</v>
      </c>
      <c r="I114" t="s">
        <v>29</v>
      </c>
      <c r="J114">
        <v>10914</v>
      </c>
      <c r="K114" s="324">
        <v>46098</v>
      </c>
      <c r="L114">
        <v>1010100</v>
      </c>
      <c r="M114" t="s">
        <v>35</v>
      </c>
      <c r="N114">
        <v>-76</v>
      </c>
      <c r="O114" s="32">
        <v>0</v>
      </c>
      <c r="P114" s="32">
        <v>0</v>
      </c>
      <c r="Q114" s="32">
        <v>114048</v>
      </c>
      <c r="R114" s="32">
        <v>0</v>
      </c>
      <c r="S114" s="32">
        <v>0</v>
      </c>
      <c r="T114" s="32">
        <v>0</v>
      </c>
      <c r="U114" s="32">
        <v>0</v>
      </c>
      <c r="V114" s="32">
        <v>0</v>
      </c>
      <c r="W114" s="32">
        <v>0</v>
      </c>
      <c r="X114" s="32">
        <v>0</v>
      </c>
      <c r="Y114" s="32">
        <v>0</v>
      </c>
      <c r="Z114" s="32">
        <v>0</v>
      </c>
      <c r="AA114" s="32">
        <v>0</v>
      </c>
      <c r="AB114" s="32">
        <v>0</v>
      </c>
      <c r="AC114" s="32" t="s">
        <v>540</v>
      </c>
      <c r="AD114" s="32"/>
      <c r="AE114" s="32">
        <v>0</v>
      </c>
    </row>
    <row r="115" spans="1:31" x14ac:dyDescent="0.25">
      <c r="A115">
        <v>1789</v>
      </c>
      <c r="B115" t="s">
        <v>531</v>
      </c>
      <c r="C115" t="s">
        <v>72</v>
      </c>
      <c r="D115" s="35">
        <v>115468.8</v>
      </c>
      <c r="E115">
        <v>1246267594</v>
      </c>
      <c r="F115" s="324">
        <v>46183</v>
      </c>
      <c r="H115" t="s">
        <v>28</v>
      </c>
      <c r="I115" t="s">
        <v>29</v>
      </c>
      <c r="J115">
        <v>10873</v>
      </c>
      <c r="K115" s="324">
        <v>46093</v>
      </c>
      <c r="L115">
        <v>1010100</v>
      </c>
      <c r="M115" t="s">
        <v>35</v>
      </c>
      <c r="N115">
        <v>-71</v>
      </c>
      <c r="O115" s="32">
        <v>0</v>
      </c>
      <c r="P115" s="32">
        <v>0</v>
      </c>
      <c r="Q115" s="32">
        <v>115468.8</v>
      </c>
      <c r="R115" s="32">
        <v>0</v>
      </c>
      <c r="S115" s="32">
        <v>0</v>
      </c>
      <c r="T115" s="32">
        <v>0</v>
      </c>
      <c r="U115" s="32">
        <v>0</v>
      </c>
      <c r="V115" s="32">
        <v>0</v>
      </c>
      <c r="W115" s="32">
        <v>0</v>
      </c>
      <c r="X115" s="32">
        <v>0</v>
      </c>
      <c r="Y115" s="32">
        <v>0</v>
      </c>
      <c r="Z115" s="32">
        <v>0</v>
      </c>
      <c r="AA115" s="32">
        <v>0</v>
      </c>
      <c r="AB115" s="32">
        <v>0</v>
      </c>
      <c r="AC115" s="32" t="s">
        <v>540</v>
      </c>
      <c r="AD115" s="32"/>
      <c r="AE115" s="32">
        <v>0</v>
      </c>
    </row>
    <row r="116" spans="1:31" x14ac:dyDescent="0.25">
      <c r="A116">
        <v>97</v>
      </c>
      <c r="B116" t="s">
        <v>577</v>
      </c>
      <c r="C116" t="s">
        <v>871</v>
      </c>
      <c r="D116" s="35">
        <v>429240</v>
      </c>
      <c r="E116">
        <v>1246266666</v>
      </c>
      <c r="F116" s="324">
        <v>46114</v>
      </c>
      <c r="H116" t="s">
        <v>28</v>
      </c>
      <c r="I116" t="s">
        <v>29</v>
      </c>
      <c r="J116">
        <v>2794</v>
      </c>
      <c r="K116" s="324">
        <v>46086</v>
      </c>
      <c r="L116">
        <v>1010100</v>
      </c>
      <c r="M116" t="s">
        <v>35</v>
      </c>
      <c r="N116">
        <v>-2</v>
      </c>
      <c r="O116" s="32">
        <v>0</v>
      </c>
      <c r="P116" s="32">
        <v>0</v>
      </c>
      <c r="Q116" s="32">
        <v>429240</v>
      </c>
      <c r="R116" s="32">
        <v>0</v>
      </c>
      <c r="S116" s="32">
        <v>0</v>
      </c>
      <c r="T116" s="32">
        <v>0</v>
      </c>
      <c r="U116" s="32">
        <v>0</v>
      </c>
      <c r="V116" s="32">
        <v>0</v>
      </c>
      <c r="W116" s="32">
        <v>0</v>
      </c>
      <c r="X116" s="32">
        <v>0</v>
      </c>
      <c r="Y116" s="32">
        <v>0</v>
      </c>
      <c r="Z116" s="32">
        <v>0</v>
      </c>
      <c r="AA116" s="32">
        <v>0</v>
      </c>
      <c r="AB116" s="32">
        <v>0</v>
      </c>
      <c r="AC116" s="32" t="s">
        <v>475</v>
      </c>
      <c r="AD116" s="32"/>
      <c r="AE116" s="32">
        <v>0</v>
      </c>
    </row>
    <row r="117" spans="1:31" x14ac:dyDescent="0.25">
      <c r="A117">
        <v>97</v>
      </c>
      <c r="B117" t="s">
        <v>577</v>
      </c>
      <c r="C117" t="s">
        <v>871</v>
      </c>
      <c r="D117" s="35">
        <v>432176.83</v>
      </c>
      <c r="E117">
        <v>1246269781</v>
      </c>
      <c r="F117" s="324">
        <v>46140</v>
      </c>
      <c r="H117" t="s">
        <v>28</v>
      </c>
      <c r="I117" t="s">
        <v>29</v>
      </c>
      <c r="J117">
        <v>2859</v>
      </c>
      <c r="K117" s="324">
        <v>46112</v>
      </c>
      <c r="L117">
        <v>1010100</v>
      </c>
      <c r="M117" t="s">
        <v>35</v>
      </c>
      <c r="N117">
        <v>-28</v>
      </c>
      <c r="O117" s="32">
        <v>0</v>
      </c>
      <c r="P117" s="32">
        <v>0</v>
      </c>
      <c r="Q117" s="32">
        <v>432176.83</v>
      </c>
      <c r="R117" s="32">
        <v>0</v>
      </c>
      <c r="S117" s="32">
        <v>0</v>
      </c>
      <c r="T117" s="32">
        <v>0</v>
      </c>
      <c r="U117" s="32">
        <v>0</v>
      </c>
      <c r="V117" s="32">
        <v>0</v>
      </c>
      <c r="W117" s="32">
        <v>0</v>
      </c>
      <c r="X117" s="32">
        <v>0</v>
      </c>
      <c r="Y117" s="32">
        <v>0</v>
      </c>
      <c r="Z117" s="32">
        <v>0</v>
      </c>
      <c r="AA117" s="32">
        <v>0</v>
      </c>
      <c r="AB117" s="32">
        <v>0</v>
      </c>
      <c r="AC117" s="32" t="s">
        <v>475</v>
      </c>
      <c r="AD117" s="32"/>
      <c r="AE117" s="32">
        <v>0</v>
      </c>
    </row>
    <row r="118" spans="1:31" x14ac:dyDescent="0.25">
      <c r="A118">
        <v>97</v>
      </c>
      <c r="B118" t="s">
        <v>577</v>
      </c>
      <c r="C118" t="s">
        <v>871</v>
      </c>
      <c r="D118" s="35">
        <v>111790</v>
      </c>
      <c r="E118">
        <v>1246269794</v>
      </c>
      <c r="F118" s="324">
        <v>46140</v>
      </c>
      <c r="H118" t="s">
        <v>28</v>
      </c>
      <c r="I118" t="s">
        <v>29</v>
      </c>
      <c r="J118">
        <v>11018</v>
      </c>
      <c r="K118" s="324">
        <v>46112</v>
      </c>
      <c r="L118">
        <v>1010100</v>
      </c>
      <c r="M118" t="s">
        <v>35</v>
      </c>
      <c r="N118">
        <v>-28</v>
      </c>
      <c r="O118" s="32">
        <v>0</v>
      </c>
      <c r="P118" s="32">
        <v>0</v>
      </c>
      <c r="Q118" s="32">
        <v>111790</v>
      </c>
      <c r="R118" s="32">
        <v>0</v>
      </c>
      <c r="S118" s="32">
        <v>0</v>
      </c>
      <c r="T118" s="32">
        <v>0</v>
      </c>
      <c r="U118" s="32">
        <v>0</v>
      </c>
      <c r="V118" s="32">
        <v>0</v>
      </c>
      <c r="W118" s="32">
        <v>0</v>
      </c>
      <c r="X118" s="32">
        <v>0</v>
      </c>
      <c r="Y118" s="32">
        <v>0</v>
      </c>
      <c r="Z118" s="32">
        <v>0</v>
      </c>
      <c r="AA118" s="32">
        <v>0</v>
      </c>
      <c r="AB118" s="32">
        <v>0</v>
      </c>
      <c r="AC118" s="32" t="s">
        <v>475</v>
      </c>
      <c r="AD118" s="32"/>
      <c r="AE118" s="32">
        <v>0</v>
      </c>
    </row>
    <row r="119" spans="1:31" x14ac:dyDescent="0.25">
      <c r="A119">
        <v>43</v>
      </c>
      <c r="B119" t="s">
        <v>416</v>
      </c>
      <c r="C119" t="s">
        <v>37</v>
      </c>
      <c r="D119" s="35">
        <v>71384.399999999994</v>
      </c>
      <c r="E119">
        <v>1246268568</v>
      </c>
      <c r="F119" s="324">
        <v>46129</v>
      </c>
      <c r="H119" t="s">
        <v>28</v>
      </c>
      <c r="I119" t="s">
        <v>29</v>
      </c>
      <c r="J119">
        <v>10949</v>
      </c>
      <c r="K119" s="324">
        <v>46101</v>
      </c>
      <c r="L119">
        <v>1010100</v>
      </c>
      <c r="M119" t="s">
        <v>35</v>
      </c>
      <c r="N119">
        <v>-17</v>
      </c>
      <c r="O119" s="32">
        <v>0</v>
      </c>
      <c r="P119" s="32">
        <v>0</v>
      </c>
      <c r="Q119" s="32">
        <v>71384.399999999994</v>
      </c>
      <c r="R119" s="32">
        <v>0</v>
      </c>
      <c r="S119" s="32">
        <v>0</v>
      </c>
      <c r="T119" s="32">
        <v>0</v>
      </c>
      <c r="U119" s="32">
        <v>0</v>
      </c>
      <c r="V119" s="32">
        <v>0</v>
      </c>
      <c r="W119" s="32">
        <v>0</v>
      </c>
      <c r="X119" s="32">
        <v>0</v>
      </c>
      <c r="Y119" s="32">
        <v>0</v>
      </c>
      <c r="Z119" s="32">
        <v>0</v>
      </c>
      <c r="AA119" s="32">
        <v>0</v>
      </c>
      <c r="AB119" s="32">
        <v>0</v>
      </c>
      <c r="AC119" s="32" t="s">
        <v>540</v>
      </c>
      <c r="AD119" s="32"/>
      <c r="AE119" s="32">
        <v>0</v>
      </c>
    </row>
    <row r="120" spans="1:31" x14ac:dyDescent="0.25">
      <c r="A120">
        <v>43</v>
      </c>
      <c r="B120" t="s">
        <v>416</v>
      </c>
      <c r="C120" t="s">
        <v>37</v>
      </c>
      <c r="D120" s="35">
        <v>71123.7</v>
      </c>
      <c r="E120">
        <v>1246268230</v>
      </c>
      <c r="F120" s="324">
        <v>46127</v>
      </c>
      <c r="H120" t="s">
        <v>28</v>
      </c>
      <c r="I120" t="s">
        <v>29</v>
      </c>
      <c r="J120">
        <v>10916</v>
      </c>
      <c r="K120" s="324">
        <v>46099</v>
      </c>
      <c r="L120">
        <v>1010100</v>
      </c>
      <c r="M120" t="s">
        <v>35</v>
      </c>
      <c r="N120">
        <v>-15</v>
      </c>
      <c r="O120" s="32">
        <v>0</v>
      </c>
      <c r="P120" s="32">
        <v>0</v>
      </c>
      <c r="Q120" s="32">
        <v>71123.7</v>
      </c>
      <c r="R120" s="32">
        <v>0</v>
      </c>
      <c r="S120" s="32">
        <v>0</v>
      </c>
      <c r="T120" s="32">
        <v>0</v>
      </c>
      <c r="U120" s="32">
        <v>0</v>
      </c>
      <c r="V120" s="32">
        <v>0</v>
      </c>
      <c r="W120" s="32">
        <v>0</v>
      </c>
      <c r="X120" s="32">
        <v>0</v>
      </c>
      <c r="Y120" s="32">
        <v>0</v>
      </c>
      <c r="Z120" s="32">
        <v>0</v>
      </c>
      <c r="AA120" s="32">
        <v>0</v>
      </c>
      <c r="AB120" s="32">
        <v>0</v>
      </c>
      <c r="AC120" s="32" t="s">
        <v>540</v>
      </c>
      <c r="AD120" s="32"/>
      <c r="AE120" s="32">
        <v>0</v>
      </c>
    </row>
    <row r="121" spans="1:31" x14ac:dyDescent="0.25">
      <c r="A121">
        <v>33</v>
      </c>
      <c r="B121" t="s">
        <v>530</v>
      </c>
      <c r="C121" t="s">
        <v>675</v>
      </c>
      <c r="D121" s="35">
        <v>98301.6</v>
      </c>
      <c r="E121">
        <v>1246268989</v>
      </c>
      <c r="F121" s="324">
        <v>46136</v>
      </c>
      <c r="H121" t="s">
        <v>28</v>
      </c>
      <c r="I121" t="s">
        <v>29</v>
      </c>
      <c r="J121">
        <v>10974</v>
      </c>
      <c r="K121" s="324">
        <v>46106</v>
      </c>
      <c r="L121">
        <v>1010100</v>
      </c>
      <c r="M121" t="s">
        <v>35</v>
      </c>
      <c r="N121">
        <v>-24</v>
      </c>
      <c r="O121" s="32">
        <v>0</v>
      </c>
      <c r="P121" s="32">
        <v>0</v>
      </c>
      <c r="Q121" s="32">
        <v>98301.6</v>
      </c>
      <c r="R121" s="32">
        <v>0</v>
      </c>
      <c r="S121" s="32">
        <v>0</v>
      </c>
      <c r="T121" s="32">
        <v>0</v>
      </c>
      <c r="U121" s="32">
        <v>0</v>
      </c>
      <c r="V121" s="32">
        <v>0</v>
      </c>
      <c r="W121" s="32">
        <v>0</v>
      </c>
      <c r="X121" s="32">
        <v>0</v>
      </c>
      <c r="Y121" s="32">
        <v>0</v>
      </c>
      <c r="Z121" s="32">
        <v>0</v>
      </c>
      <c r="AA121" s="32">
        <v>0</v>
      </c>
      <c r="AB121" s="32">
        <v>0</v>
      </c>
      <c r="AC121" s="32" t="s">
        <v>475</v>
      </c>
      <c r="AD121" s="32"/>
      <c r="AE121" s="32">
        <v>0</v>
      </c>
    </row>
    <row r="122" spans="1:31" x14ac:dyDescent="0.25">
      <c r="A122">
        <v>214</v>
      </c>
      <c r="B122" t="s">
        <v>417</v>
      </c>
      <c r="C122" t="s">
        <v>840</v>
      </c>
      <c r="D122" s="35">
        <v>92978.1</v>
      </c>
      <c r="E122">
        <v>1246267981</v>
      </c>
      <c r="F122" s="324">
        <v>46126</v>
      </c>
      <c r="H122" t="s">
        <v>28</v>
      </c>
      <c r="I122" t="s">
        <v>29</v>
      </c>
      <c r="J122">
        <v>10906</v>
      </c>
      <c r="K122" s="324">
        <v>46098</v>
      </c>
      <c r="L122">
        <v>1010100</v>
      </c>
      <c r="M122" t="s">
        <v>35</v>
      </c>
      <c r="N122">
        <v>-14</v>
      </c>
      <c r="O122" s="32">
        <v>0</v>
      </c>
      <c r="P122" s="32">
        <v>0</v>
      </c>
      <c r="Q122" s="32">
        <v>92978.1</v>
      </c>
      <c r="R122" s="32">
        <v>0</v>
      </c>
      <c r="S122" s="32">
        <v>0</v>
      </c>
      <c r="T122" s="32">
        <v>0</v>
      </c>
      <c r="U122" s="32">
        <v>0</v>
      </c>
      <c r="V122" s="32">
        <v>0</v>
      </c>
      <c r="W122" s="32">
        <v>0</v>
      </c>
      <c r="X122" s="32">
        <v>0</v>
      </c>
      <c r="Y122" s="32">
        <v>0</v>
      </c>
      <c r="Z122" s="32">
        <v>0</v>
      </c>
      <c r="AA122" s="32">
        <v>0</v>
      </c>
      <c r="AB122" s="32">
        <v>0</v>
      </c>
      <c r="AC122" s="32" t="s">
        <v>475</v>
      </c>
      <c r="AD122" s="32"/>
      <c r="AE122" s="32">
        <v>0</v>
      </c>
    </row>
    <row r="123" spans="1:31" x14ac:dyDescent="0.25">
      <c r="A123">
        <v>183</v>
      </c>
      <c r="B123" t="s">
        <v>530</v>
      </c>
      <c r="C123" t="s">
        <v>42</v>
      </c>
      <c r="D123" s="35">
        <v>4231.96</v>
      </c>
      <c r="E123">
        <v>1246014155</v>
      </c>
      <c r="F123" s="324">
        <v>47847</v>
      </c>
      <c r="H123" t="s">
        <v>28</v>
      </c>
      <c r="I123" t="s">
        <v>29</v>
      </c>
      <c r="J123">
        <v>8361</v>
      </c>
      <c r="K123" s="324">
        <v>43384</v>
      </c>
      <c r="L123">
        <v>1010100</v>
      </c>
      <c r="M123" t="s">
        <v>35</v>
      </c>
      <c r="N123">
        <v>-1735</v>
      </c>
      <c r="O123" s="32">
        <v>0</v>
      </c>
      <c r="P123" s="32">
        <v>0</v>
      </c>
      <c r="Q123" s="32">
        <v>4231.96</v>
      </c>
      <c r="R123" s="32">
        <v>0</v>
      </c>
      <c r="S123" s="32">
        <v>0</v>
      </c>
      <c r="T123" s="32">
        <v>0</v>
      </c>
      <c r="U123" s="32">
        <v>0</v>
      </c>
      <c r="V123" s="32">
        <v>0</v>
      </c>
      <c r="W123" s="32">
        <v>0</v>
      </c>
      <c r="X123" s="32">
        <v>0</v>
      </c>
      <c r="Y123" s="32">
        <v>0</v>
      </c>
      <c r="Z123" s="32">
        <v>0</v>
      </c>
      <c r="AA123" s="32">
        <v>0</v>
      </c>
      <c r="AB123" s="32">
        <v>0</v>
      </c>
      <c r="AC123" s="32" t="s">
        <v>475</v>
      </c>
      <c r="AD123" s="32"/>
      <c r="AE123" s="32">
        <v>0</v>
      </c>
    </row>
    <row r="124" spans="1:31" x14ac:dyDescent="0.25">
      <c r="A124">
        <v>183</v>
      </c>
      <c r="B124" t="s">
        <v>530</v>
      </c>
      <c r="C124" t="s">
        <v>42</v>
      </c>
      <c r="D124" s="35">
        <v>4045.01</v>
      </c>
      <c r="E124">
        <v>1246014156</v>
      </c>
      <c r="F124" s="324">
        <v>48212</v>
      </c>
      <c r="H124" t="s">
        <v>28</v>
      </c>
      <c r="I124" t="s">
        <v>29</v>
      </c>
      <c r="J124">
        <v>8361</v>
      </c>
      <c r="K124" s="324">
        <v>43384</v>
      </c>
      <c r="L124">
        <v>1010100</v>
      </c>
      <c r="M124" t="s">
        <v>35</v>
      </c>
      <c r="N124">
        <v>-2100</v>
      </c>
      <c r="O124" s="32">
        <v>0</v>
      </c>
      <c r="P124" s="32">
        <v>0</v>
      </c>
      <c r="Q124" s="32">
        <v>4045.01</v>
      </c>
      <c r="R124" s="32">
        <v>0</v>
      </c>
      <c r="S124" s="32">
        <v>0</v>
      </c>
      <c r="T124" s="32">
        <v>0</v>
      </c>
      <c r="U124" s="32">
        <v>0</v>
      </c>
      <c r="V124" s="32">
        <v>0</v>
      </c>
      <c r="W124" s="32">
        <v>0</v>
      </c>
      <c r="X124" s="32">
        <v>0</v>
      </c>
      <c r="Y124" s="32">
        <v>0</v>
      </c>
      <c r="Z124" s="32">
        <v>0</v>
      </c>
      <c r="AA124" s="32">
        <v>0</v>
      </c>
      <c r="AB124" s="32">
        <v>0</v>
      </c>
      <c r="AC124" s="32" t="s">
        <v>475</v>
      </c>
      <c r="AD124" s="32"/>
      <c r="AE124" s="32">
        <v>0</v>
      </c>
    </row>
    <row r="125" spans="1:31" x14ac:dyDescent="0.25">
      <c r="A125">
        <v>183</v>
      </c>
      <c r="B125" t="s">
        <v>530</v>
      </c>
      <c r="C125" t="s">
        <v>42</v>
      </c>
      <c r="D125" s="35">
        <v>4339.6000000000004</v>
      </c>
      <c r="E125">
        <v>1246014157</v>
      </c>
      <c r="F125" s="324">
        <v>48578</v>
      </c>
      <c r="H125" t="s">
        <v>28</v>
      </c>
      <c r="I125" t="s">
        <v>29</v>
      </c>
      <c r="J125">
        <v>8361</v>
      </c>
      <c r="K125" s="324">
        <v>43384</v>
      </c>
      <c r="L125">
        <v>1010100</v>
      </c>
      <c r="M125" t="s">
        <v>35</v>
      </c>
      <c r="N125">
        <v>-2466</v>
      </c>
      <c r="O125" s="32">
        <v>0</v>
      </c>
      <c r="P125" s="32">
        <v>0</v>
      </c>
      <c r="Q125" s="32">
        <v>4339.6000000000004</v>
      </c>
      <c r="R125" s="32">
        <v>0</v>
      </c>
      <c r="S125" s="32">
        <v>0</v>
      </c>
      <c r="T125" s="32">
        <v>0</v>
      </c>
      <c r="U125" s="32">
        <v>0</v>
      </c>
      <c r="V125" s="32">
        <v>0</v>
      </c>
      <c r="W125" s="32">
        <v>0</v>
      </c>
      <c r="X125" s="32">
        <v>0</v>
      </c>
      <c r="Y125" s="32">
        <v>0</v>
      </c>
      <c r="Z125" s="32">
        <v>0</v>
      </c>
      <c r="AA125" s="32">
        <v>0</v>
      </c>
      <c r="AB125" s="32">
        <v>0</v>
      </c>
      <c r="AC125" s="32" t="s">
        <v>475</v>
      </c>
      <c r="AD125" s="32"/>
      <c r="AE125" s="32">
        <v>0</v>
      </c>
    </row>
    <row r="126" spans="1:31" x14ac:dyDescent="0.25">
      <c r="A126">
        <v>183</v>
      </c>
      <c r="B126" t="s">
        <v>530</v>
      </c>
      <c r="C126" t="s">
        <v>42</v>
      </c>
      <c r="D126" s="35">
        <v>7512.16</v>
      </c>
      <c r="E126">
        <v>1246014158</v>
      </c>
      <c r="F126" s="324">
        <v>48943</v>
      </c>
      <c r="H126" t="s">
        <v>28</v>
      </c>
      <c r="I126" t="s">
        <v>29</v>
      </c>
      <c r="J126">
        <v>8361</v>
      </c>
      <c r="K126" s="324">
        <v>43384</v>
      </c>
      <c r="L126">
        <v>1010100</v>
      </c>
      <c r="M126" t="s">
        <v>35</v>
      </c>
      <c r="N126">
        <v>-2831</v>
      </c>
      <c r="O126" s="32">
        <v>0</v>
      </c>
      <c r="P126" s="32">
        <v>0</v>
      </c>
      <c r="Q126" s="32">
        <v>7512.16</v>
      </c>
      <c r="R126" s="32">
        <v>0</v>
      </c>
      <c r="S126" s="32">
        <v>0</v>
      </c>
      <c r="T126" s="32">
        <v>0</v>
      </c>
      <c r="U126" s="32">
        <v>0</v>
      </c>
      <c r="V126" s="32">
        <v>0</v>
      </c>
      <c r="W126" s="32">
        <v>0</v>
      </c>
      <c r="X126" s="32">
        <v>0</v>
      </c>
      <c r="Y126" s="32">
        <v>0</v>
      </c>
      <c r="Z126" s="32">
        <v>0</v>
      </c>
      <c r="AA126" s="32">
        <v>0</v>
      </c>
      <c r="AB126" s="32">
        <v>0</v>
      </c>
      <c r="AC126" s="32" t="s">
        <v>475</v>
      </c>
      <c r="AD126" s="32"/>
      <c r="AE126" s="32">
        <v>0</v>
      </c>
    </row>
    <row r="127" spans="1:31" x14ac:dyDescent="0.25">
      <c r="A127">
        <v>183</v>
      </c>
      <c r="B127" t="s">
        <v>530</v>
      </c>
      <c r="C127" t="s">
        <v>42</v>
      </c>
      <c r="D127" s="35">
        <v>30552.86</v>
      </c>
      <c r="E127">
        <v>1246014159</v>
      </c>
      <c r="F127" s="324">
        <v>49308</v>
      </c>
      <c r="H127" t="s">
        <v>28</v>
      </c>
      <c r="I127" t="s">
        <v>29</v>
      </c>
      <c r="J127">
        <v>8361</v>
      </c>
      <c r="K127" s="324">
        <v>43384</v>
      </c>
      <c r="L127">
        <v>1010100</v>
      </c>
      <c r="M127" t="s">
        <v>35</v>
      </c>
      <c r="N127">
        <v>-3196</v>
      </c>
      <c r="O127" s="32">
        <v>0</v>
      </c>
      <c r="P127" s="32">
        <v>0</v>
      </c>
      <c r="Q127" s="32">
        <v>30552.86</v>
      </c>
      <c r="R127" s="32">
        <v>0</v>
      </c>
      <c r="S127" s="32">
        <v>0</v>
      </c>
      <c r="T127" s="32">
        <v>0</v>
      </c>
      <c r="U127" s="32">
        <v>0</v>
      </c>
      <c r="V127" s="32">
        <v>0</v>
      </c>
      <c r="W127" s="32">
        <v>0</v>
      </c>
      <c r="X127" s="32">
        <v>0</v>
      </c>
      <c r="Y127" s="32">
        <v>0</v>
      </c>
      <c r="Z127" s="32">
        <v>0</v>
      </c>
      <c r="AA127" s="32">
        <v>0</v>
      </c>
      <c r="AB127" s="32">
        <v>0</v>
      </c>
      <c r="AC127" s="32" t="s">
        <v>475</v>
      </c>
      <c r="AD127" s="32"/>
      <c r="AE127" s="32">
        <v>0</v>
      </c>
    </row>
    <row r="128" spans="1:31" x14ac:dyDescent="0.25">
      <c r="A128">
        <v>183</v>
      </c>
      <c r="B128" t="s">
        <v>530</v>
      </c>
      <c r="C128" t="s">
        <v>42</v>
      </c>
      <c r="D128" s="35">
        <v>1512.63</v>
      </c>
      <c r="E128">
        <v>1246014161</v>
      </c>
      <c r="F128" s="324">
        <v>50039</v>
      </c>
      <c r="H128" t="s">
        <v>28</v>
      </c>
      <c r="I128" t="s">
        <v>29</v>
      </c>
      <c r="J128">
        <v>8361</v>
      </c>
      <c r="K128" s="324">
        <v>43384</v>
      </c>
      <c r="L128">
        <v>1010100</v>
      </c>
      <c r="M128" t="s">
        <v>35</v>
      </c>
      <c r="N128">
        <v>-3927</v>
      </c>
      <c r="O128" s="32">
        <v>0</v>
      </c>
      <c r="P128" s="32">
        <v>0</v>
      </c>
      <c r="Q128" s="32">
        <v>1512.63</v>
      </c>
      <c r="R128" s="32">
        <v>0</v>
      </c>
      <c r="S128" s="32">
        <v>0</v>
      </c>
      <c r="T128" s="32">
        <v>0</v>
      </c>
      <c r="U128" s="32">
        <v>0</v>
      </c>
      <c r="V128" s="32">
        <v>0</v>
      </c>
      <c r="W128" s="32">
        <v>0</v>
      </c>
      <c r="X128" s="32">
        <v>0</v>
      </c>
      <c r="Y128" s="32">
        <v>0</v>
      </c>
      <c r="Z128" s="32">
        <v>0</v>
      </c>
      <c r="AA128" s="32">
        <v>0</v>
      </c>
      <c r="AB128" s="32">
        <v>0</v>
      </c>
      <c r="AC128" s="32" t="s">
        <v>475</v>
      </c>
      <c r="AD128" s="32"/>
      <c r="AE128" s="32">
        <v>0</v>
      </c>
    </row>
    <row r="129" spans="1:31" x14ac:dyDescent="0.25">
      <c r="A129">
        <v>183</v>
      </c>
      <c r="B129" t="s">
        <v>530</v>
      </c>
      <c r="C129" t="s">
        <v>42</v>
      </c>
      <c r="D129" s="35">
        <v>1982.85</v>
      </c>
      <c r="E129">
        <v>1246014162</v>
      </c>
      <c r="F129" s="324">
        <v>50404</v>
      </c>
      <c r="H129" t="s">
        <v>28</v>
      </c>
      <c r="I129" t="s">
        <v>29</v>
      </c>
      <c r="J129">
        <v>8361</v>
      </c>
      <c r="K129" s="324">
        <v>43384</v>
      </c>
      <c r="L129">
        <v>1010100</v>
      </c>
      <c r="M129" t="s">
        <v>35</v>
      </c>
      <c r="N129">
        <v>-4292</v>
      </c>
      <c r="O129" s="32">
        <v>0</v>
      </c>
      <c r="P129" s="32">
        <v>0</v>
      </c>
      <c r="Q129" s="32">
        <v>1982.85</v>
      </c>
      <c r="R129" s="32">
        <v>0</v>
      </c>
      <c r="S129" s="32">
        <v>0</v>
      </c>
      <c r="T129" s="32">
        <v>0</v>
      </c>
      <c r="U129" s="32">
        <v>0</v>
      </c>
      <c r="V129" s="32">
        <v>0</v>
      </c>
      <c r="W129" s="32">
        <v>0</v>
      </c>
      <c r="X129" s="32">
        <v>0</v>
      </c>
      <c r="Y129" s="32">
        <v>0</v>
      </c>
      <c r="Z129" s="32">
        <v>0</v>
      </c>
      <c r="AA129" s="32">
        <v>0</v>
      </c>
      <c r="AB129" s="32">
        <v>0</v>
      </c>
      <c r="AC129" s="32" t="s">
        <v>475</v>
      </c>
      <c r="AD129" s="32"/>
      <c r="AE129" s="32">
        <v>0</v>
      </c>
    </row>
    <row r="130" spans="1:31" x14ac:dyDescent="0.25">
      <c r="A130">
        <v>183</v>
      </c>
      <c r="B130" t="s">
        <v>530</v>
      </c>
      <c r="C130" t="s">
        <v>42</v>
      </c>
      <c r="D130" s="35">
        <v>2549.38</v>
      </c>
      <c r="E130">
        <v>1246014163</v>
      </c>
      <c r="F130" s="324">
        <v>50769</v>
      </c>
      <c r="H130" t="s">
        <v>28</v>
      </c>
      <c r="I130" t="s">
        <v>29</v>
      </c>
      <c r="J130">
        <v>8361</v>
      </c>
      <c r="K130" s="324">
        <v>43384</v>
      </c>
      <c r="L130">
        <v>1010100</v>
      </c>
      <c r="M130" t="s">
        <v>35</v>
      </c>
      <c r="N130">
        <v>-4657</v>
      </c>
      <c r="O130" s="32">
        <v>0</v>
      </c>
      <c r="P130" s="32">
        <v>0</v>
      </c>
      <c r="Q130" s="32">
        <v>2549.38</v>
      </c>
      <c r="R130" s="32">
        <v>0</v>
      </c>
      <c r="S130" s="32">
        <v>0</v>
      </c>
      <c r="T130" s="32">
        <v>0</v>
      </c>
      <c r="U130" s="32">
        <v>0</v>
      </c>
      <c r="V130" s="32">
        <v>0</v>
      </c>
      <c r="W130" s="32">
        <v>0</v>
      </c>
      <c r="X130" s="32">
        <v>0</v>
      </c>
      <c r="Y130" s="32">
        <v>0</v>
      </c>
      <c r="Z130" s="32">
        <v>0</v>
      </c>
      <c r="AA130" s="32">
        <v>0</v>
      </c>
      <c r="AB130" s="32">
        <v>0</v>
      </c>
      <c r="AC130" s="32" t="s">
        <v>475</v>
      </c>
      <c r="AD130" s="32"/>
      <c r="AE130" s="32">
        <v>0</v>
      </c>
    </row>
    <row r="131" spans="1:31" x14ac:dyDescent="0.25">
      <c r="A131">
        <v>183</v>
      </c>
      <c r="B131" t="s">
        <v>530</v>
      </c>
      <c r="C131" t="s">
        <v>42</v>
      </c>
      <c r="D131" s="35">
        <v>5546.31</v>
      </c>
      <c r="E131">
        <v>1246014165</v>
      </c>
      <c r="F131" s="324">
        <v>51500</v>
      </c>
      <c r="H131" t="s">
        <v>28</v>
      </c>
      <c r="I131" t="s">
        <v>29</v>
      </c>
      <c r="J131">
        <v>8361</v>
      </c>
      <c r="K131" s="324">
        <v>43384</v>
      </c>
      <c r="L131">
        <v>1010100</v>
      </c>
      <c r="M131" t="s">
        <v>35</v>
      </c>
      <c r="N131">
        <v>-5388</v>
      </c>
      <c r="O131" s="32">
        <v>0</v>
      </c>
      <c r="P131" s="32">
        <v>0</v>
      </c>
      <c r="Q131" s="32">
        <v>5546.31</v>
      </c>
      <c r="R131" s="32">
        <v>0</v>
      </c>
      <c r="S131" s="32">
        <v>0</v>
      </c>
      <c r="T131" s="32">
        <v>0</v>
      </c>
      <c r="U131" s="32">
        <v>0</v>
      </c>
      <c r="V131" s="32">
        <v>0</v>
      </c>
      <c r="W131" s="32">
        <v>0</v>
      </c>
      <c r="X131" s="32">
        <v>0</v>
      </c>
      <c r="Y131" s="32">
        <v>0</v>
      </c>
      <c r="Z131" s="32">
        <v>0</v>
      </c>
      <c r="AA131" s="32">
        <v>0</v>
      </c>
      <c r="AB131" s="32">
        <v>0</v>
      </c>
      <c r="AC131" s="32" t="s">
        <v>475</v>
      </c>
      <c r="AD131" s="32"/>
      <c r="AE131" s="32">
        <v>0</v>
      </c>
    </row>
    <row r="132" spans="1:31" x14ac:dyDescent="0.25">
      <c r="A132">
        <v>183</v>
      </c>
      <c r="B132" t="s">
        <v>530</v>
      </c>
      <c r="C132" t="s">
        <v>42</v>
      </c>
      <c r="D132" s="35">
        <v>5546.31</v>
      </c>
      <c r="E132">
        <v>1246014166</v>
      </c>
      <c r="F132" s="324">
        <v>51865</v>
      </c>
      <c r="H132" t="s">
        <v>28</v>
      </c>
      <c r="I132" t="s">
        <v>29</v>
      </c>
      <c r="J132">
        <v>8361</v>
      </c>
      <c r="K132" s="324">
        <v>43384</v>
      </c>
      <c r="L132">
        <v>1010100</v>
      </c>
      <c r="M132" t="s">
        <v>35</v>
      </c>
      <c r="N132">
        <v>-5753</v>
      </c>
      <c r="O132" s="32">
        <v>0</v>
      </c>
      <c r="P132" s="32">
        <v>0</v>
      </c>
      <c r="Q132" s="32">
        <v>5546.31</v>
      </c>
      <c r="R132" s="32">
        <v>0</v>
      </c>
      <c r="S132" s="32">
        <v>0</v>
      </c>
      <c r="T132" s="32">
        <v>0</v>
      </c>
      <c r="U132" s="32">
        <v>0</v>
      </c>
      <c r="V132" s="32">
        <v>0</v>
      </c>
      <c r="W132" s="32">
        <v>0</v>
      </c>
      <c r="X132" s="32">
        <v>0</v>
      </c>
      <c r="Y132" s="32">
        <v>0</v>
      </c>
      <c r="Z132" s="32">
        <v>0</v>
      </c>
      <c r="AA132" s="32">
        <v>0</v>
      </c>
      <c r="AB132" s="32">
        <v>0</v>
      </c>
      <c r="AC132" s="32" t="s">
        <v>475</v>
      </c>
      <c r="AD132" s="32"/>
      <c r="AE132" s="32">
        <v>0</v>
      </c>
    </row>
    <row r="133" spans="1:31" x14ac:dyDescent="0.25">
      <c r="A133">
        <v>183</v>
      </c>
      <c r="B133" t="s">
        <v>530</v>
      </c>
      <c r="C133" t="s">
        <v>42</v>
      </c>
      <c r="D133" s="35">
        <v>5546.31</v>
      </c>
      <c r="E133">
        <v>1246014167</v>
      </c>
      <c r="F133" s="324">
        <v>52230</v>
      </c>
      <c r="H133" t="s">
        <v>28</v>
      </c>
      <c r="I133" t="s">
        <v>29</v>
      </c>
      <c r="J133">
        <v>8361</v>
      </c>
      <c r="K133" s="324">
        <v>43384</v>
      </c>
      <c r="L133">
        <v>1010100</v>
      </c>
      <c r="M133" t="s">
        <v>35</v>
      </c>
      <c r="N133">
        <v>-6118</v>
      </c>
      <c r="O133" s="32">
        <v>0</v>
      </c>
      <c r="P133" s="32">
        <v>0</v>
      </c>
      <c r="Q133" s="32">
        <v>5546.31</v>
      </c>
      <c r="R133" s="32">
        <v>0</v>
      </c>
      <c r="S133" s="32">
        <v>0</v>
      </c>
      <c r="T133" s="32">
        <v>0</v>
      </c>
      <c r="U133" s="32">
        <v>0</v>
      </c>
      <c r="V133" s="32">
        <v>0</v>
      </c>
      <c r="W133" s="32">
        <v>0</v>
      </c>
      <c r="X133" s="32">
        <v>0</v>
      </c>
      <c r="Y133" s="32">
        <v>0</v>
      </c>
      <c r="Z133" s="32">
        <v>0</v>
      </c>
      <c r="AA133" s="32">
        <v>0</v>
      </c>
      <c r="AB133" s="32">
        <v>0</v>
      </c>
      <c r="AC133" s="32" t="s">
        <v>475</v>
      </c>
      <c r="AD133" s="32"/>
      <c r="AE133" s="32">
        <v>0</v>
      </c>
    </row>
    <row r="134" spans="1:31" x14ac:dyDescent="0.25">
      <c r="A134">
        <v>183</v>
      </c>
      <c r="B134" t="s">
        <v>530</v>
      </c>
      <c r="C134" t="s">
        <v>42</v>
      </c>
      <c r="D134" s="35">
        <v>5546.31</v>
      </c>
      <c r="E134">
        <v>1246014168</v>
      </c>
      <c r="F134" s="324">
        <v>52595</v>
      </c>
      <c r="H134" t="s">
        <v>28</v>
      </c>
      <c r="I134" t="s">
        <v>29</v>
      </c>
      <c r="J134">
        <v>8361</v>
      </c>
      <c r="K134" s="324">
        <v>43384</v>
      </c>
      <c r="L134">
        <v>1010100</v>
      </c>
      <c r="M134" t="s">
        <v>35</v>
      </c>
      <c r="N134">
        <v>-6483</v>
      </c>
      <c r="O134" s="32">
        <v>0</v>
      </c>
      <c r="P134" s="32">
        <v>0</v>
      </c>
      <c r="Q134" s="32">
        <v>5546.31</v>
      </c>
      <c r="R134" s="32">
        <v>0</v>
      </c>
      <c r="S134" s="32">
        <v>0</v>
      </c>
      <c r="T134" s="32">
        <v>0</v>
      </c>
      <c r="U134" s="32">
        <v>0</v>
      </c>
      <c r="V134" s="32">
        <v>0</v>
      </c>
      <c r="W134" s="32">
        <v>0</v>
      </c>
      <c r="X134" s="32">
        <v>0</v>
      </c>
      <c r="Y134" s="32">
        <v>0</v>
      </c>
      <c r="Z134" s="32">
        <v>0</v>
      </c>
      <c r="AA134" s="32">
        <v>0</v>
      </c>
      <c r="AB134" s="32">
        <v>0</v>
      </c>
      <c r="AC134" s="32" t="s">
        <v>475</v>
      </c>
      <c r="AD134" s="32"/>
      <c r="AE134" s="32">
        <v>0</v>
      </c>
    </row>
    <row r="135" spans="1:31" x14ac:dyDescent="0.25">
      <c r="A135">
        <v>183</v>
      </c>
      <c r="B135" t="s">
        <v>530</v>
      </c>
      <c r="C135" t="s">
        <v>42</v>
      </c>
      <c r="D135" s="35">
        <v>5546.31</v>
      </c>
      <c r="E135">
        <v>1246014169</v>
      </c>
      <c r="F135" s="324">
        <v>52961</v>
      </c>
      <c r="H135" t="s">
        <v>28</v>
      </c>
      <c r="I135" t="s">
        <v>29</v>
      </c>
      <c r="J135">
        <v>8361</v>
      </c>
      <c r="K135" s="324">
        <v>43384</v>
      </c>
      <c r="L135">
        <v>1010100</v>
      </c>
      <c r="M135" t="s">
        <v>35</v>
      </c>
      <c r="N135">
        <v>-6849</v>
      </c>
      <c r="O135" s="32">
        <v>0</v>
      </c>
      <c r="P135" s="32">
        <v>0</v>
      </c>
      <c r="Q135" s="32">
        <v>5546.31</v>
      </c>
      <c r="R135" s="32">
        <v>0</v>
      </c>
      <c r="S135" s="32">
        <v>0</v>
      </c>
      <c r="T135" s="32">
        <v>0</v>
      </c>
      <c r="U135" s="32">
        <v>0</v>
      </c>
      <c r="V135" s="32">
        <v>0</v>
      </c>
      <c r="W135" s="32">
        <v>0</v>
      </c>
      <c r="X135" s="32">
        <v>0</v>
      </c>
      <c r="Y135" s="32">
        <v>0</v>
      </c>
      <c r="Z135" s="32">
        <v>0</v>
      </c>
      <c r="AA135" s="32">
        <v>0</v>
      </c>
      <c r="AB135" s="32">
        <v>0</v>
      </c>
      <c r="AC135" s="32" t="s">
        <v>475</v>
      </c>
      <c r="AD135" s="32"/>
      <c r="AE135" s="32">
        <v>0</v>
      </c>
    </row>
    <row r="136" spans="1:31" x14ac:dyDescent="0.25">
      <c r="A136">
        <v>183</v>
      </c>
      <c r="B136" t="s">
        <v>530</v>
      </c>
      <c r="C136" t="s">
        <v>42</v>
      </c>
      <c r="D136" s="35">
        <v>5568.96</v>
      </c>
      <c r="E136">
        <v>1246014170</v>
      </c>
      <c r="F136" s="324">
        <v>53326</v>
      </c>
      <c r="H136" t="s">
        <v>28</v>
      </c>
      <c r="I136" t="s">
        <v>29</v>
      </c>
      <c r="J136">
        <v>8361</v>
      </c>
      <c r="K136" s="324">
        <v>43384</v>
      </c>
      <c r="L136">
        <v>1010100</v>
      </c>
      <c r="M136" t="s">
        <v>35</v>
      </c>
      <c r="N136">
        <v>-7214</v>
      </c>
      <c r="O136" s="32">
        <v>0</v>
      </c>
      <c r="P136" s="32">
        <v>0</v>
      </c>
      <c r="Q136" s="32">
        <v>5568.96</v>
      </c>
      <c r="R136" s="32">
        <v>0</v>
      </c>
      <c r="S136" s="32">
        <v>0</v>
      </c>
      <c r="T136" s="32">
        <v>0</v>
      </c>
      <c r="U136" s="32">
        <v>0</v>
      </c>
      <c r="V136" s="32">
        <v>0</v>
      </c>
      <c r="W136" s="32">
        <v>0</v>
      </c>
      <c r="X136" s="32">
        <v>0</v>
      </c>
      <c r="Y136" s="32">
        <v>0</v>
      </c>
      <c r="Z136" s="32">
        <v>0</v>
      </c>
      <c r="AA136" s="32">
        <v>0</v>
      </c>
      <c r="AB136" s="32">
        <v>0</v>
      </c>
      <c r="AC136" s="32" t="s">
        <v>475</v>
      </c>
      <c r="AD136" s="32"/>
      <c r="AE136" s="32">
        <v>0</v>
      </c>
    </row>
    <row r="137" spans="1:31" x14ac:dyDescent="0.25">
      <c r="A137">
        <v>183</v>
      </c>
      <c r="B137" t="s">
        <v>530</v>
      </c>
      <c r="C137" t="s">
        <v>42</v>
      </c>
      <c r="D137" s="35">
        <v>2487.06</v>
      </c>
      <c r="E137">
        <v>1246137877</v>
      </c>
      <c r="F137" s="324">
        <v>49673</v>
      </c>
      <c r="H137" t="s">
        <v>28</v>
      </c>
      <c r="I137" t="s">
        <v>29</v>
      </c>
      <c r="J137">
        <v>8361</v>
      </c>
      <c r="K137" s="324">
        <v>43384</v>
      </c>
      <c r="L137">
        <v>1010100</v>
      </c>
      <c r="M137" t="s">
        <v>35</v>
      </c>
      <c r="N137">
        <v>-3561</v>
      </c>
      <c r="O137" s="32">
        <v>0</v>
      </c>
      <c r="P137" s="32">
        <v>0</v>
      </c>
      <c r="Q137" s="32">
        <v>2487.06</v>
      </c>
      <c r="R137" s="32">
        <v>0</v>
      </c>
      <c r="S137" s="32">
        <v>0</v>
      </c>
      <c r="T137" s="32">
        <v>0</v>
      </c>
      <c r="U137" s="32">
        <v>0</v>
      </c>
      <c r="V137" s="32">
        <v>0</v>
      </c>
      <c r="W137" s="32">
        <v>0</v>
      </c>
      <c r="X137" s="32">
        <v>0</v>
      </c>
      <c r="Y137" s="32">
        <v>0</v>
      </c>
      <c r="Z137" s="32">
        <v>0</v>
      </c>
      <c r="AA137" s="32">
        <v>0</v>
      </c>
      <c r="AB137" s="32">
        <v>0</v>
      </c>
      <c r="AC137" s="32" t="s">
        <v>475</v>
      </c>
      <c r="AD137" s="32"/>
      <c r="AE137" s="32">
        <v>0</v>
      </c>
    </row>
    <row r="138" spans="1:31" x14ac:dyDescent="0.25">
      <c r="A138">
        <v>183</v>
      </c>
      <c r="B138" t="s">
        <v>530</v>
      </c>
      <c r="C138" t="s">
        <v>42</v>
      </c>
      <c r="D138" s="35">
        <v>2151.75</v>
      </c>
      <c r="E138">
        <v>1246265345</v>
      </c>
      <c r="F138" s="324">
        <v>47482</v>
      </c>
      <c r="H138" t="s">
        <v>28</v>
      </c>
      <c r="I138" t="s">
        <v>29</v>
      </c>
      <c r="J138">
        <v>8361</v>
      </c>
      <c r="K138" s="324">
        <v>43384</v>
      </c>
      <c r="L138">
        <v>1010100</v>
      </c>
      <c r="M138" t="s">
        <v>35</v>
      </c>
      <c r="N138">
        <v>-1370</v>
      </c>
      <c r="O138" s="32">
        <v>0</v>
      </c>
      <c r="P138" s="32">
        <v>0</v>
      </c>
      <c r="Q138" s="32">
        <v>2151.75</v>
      </c>
      <c r="R138" s="32">
        <v>0</v>
      </c>
      <c r="S138" s="32">
        <v>0</v>
      </c>
      <c r="T138" s="32">
        <v>0</v>
      </c>
      <c r="U138" s="32">
        <v>0</v>
      </c>
      <c r="V138" s="32">
        <v>0</v>
      </c>
      <c r="W138" s="32">
        <v>0</v>
      </c>
      <c r="X138" s="32">
        <v>0</v>
      </c>
      <c r="Y138" s="32">
        <v>0</v>
      </c>
      <c r="Z138" s="32">
        <v>0</v>
      </c>
      <c r="AA138" s="32">
        <v>0</v>
      </c>
      <c r="AB138" s="32">
        <v>0</v>
      </c>
      <c r="AC138" s="32" t="s">
        <v>475</v>
      </c>
      <c r="AD138" s="32"/>
      <c r="AE138" s="32">
        <v>0</v>
      </c>
    </row>
    <row r="139" spans="1:31" x14ac:dyDescent="0.25">
      <c r="A139">
        <v>183</v>
      </c>
      <c r="B139" t="s">
        <v>530</v>
      </c>
      <c r="C139" t="s">
        <v>42</v>
      </c>
      <c r="D139" s="35">
        <v>2104.2399999999998</v>
      </c>
      <c r="E139">
        <v>1246233818</v>
      </c>
      <c r="F139" s="324">
        <v>51134</v>
      </c>
      <c r="H139" t="s">
        <v>28</v>
      </c>
      <c r="I139" t="s">
        <v>29</v>
      </c>
      <c r="J139">
        <v>8361</v>
      </c>
      <c r="K139" s="324">
        <v>43384</v>
      </c>
      <c r="L139">
        <v>1010100</v>
      </c>
      <c r="M139" t="s">
        <v>35</v>
      </c>
      <c r="N139">
        <v>-5022</v>
      </c>
      <c r="O139" s="32">
        <v>0</v>
      </c>
      <c r="P139" s="32">
        <v>0</v>
      </c>
      <c r="Q139" s="32">
        <v>2104.2399999999998</v>
      </c>
      <c r="R139" s="32">
        <v>0</v>
      </c>
      <c r="S139" s="32">
        <v>0</v>
      </c>
      <c r="T139" s="32">
        <v>0</v>
      </c>
      <c r="U139" s="32">
        <v>0</v>
      </c>
      <c r="V139" s="32">
        <v>0</v>
      </c>
      <c r="W139" s="32">
        <v>0</v>
      </c>
      <c r="X139" s="32">
        <v>0</v>
      </c>
      <c r="Y139" s="32">
        <v>0</v>
      </c>
      <c r="Z139" s="32">
        <v>0</v>
      </c>
      <c r="AA139" s="32">
        <v>0</v>
      </c>
      <c r="AB139" s="32">
        <v>0</v>
      </c>
      <c r="AC139" s="32" t="s">
        <v>475</v>
      </c>
      <c r="AD139" s="32"/>
      <c r="AE139" s="32">
        <v>0</v>
      </c>
    </row>
    <row r="140" spans="1:31" x14ac:dyDescent="0.25">
      <c r="A140">
        <v>1792</v>
      </c>
      <c r="B140" t="s">
        <v>531</v>
      </c>
      <c r="C140" t="s">
        <v>73</v>
      </c>
      <c r="D140" s="35">
        <v>118553.1</v>
      </c>
      <c r="E140">
        <v>1246265418</v>
      </c>
      <c r="F140" s="324">
        <v>46169</v>
      </c>
      <c r="H140" t="s">
        <v>28</v>
      </c>
      <c r="I140" t="s">
        <v>29</v>
      </c>
      <c r="J140">
        <v>10776</v>
      </c>
      <c r="K140" s="324">
        <v>46079</v>
      </c>
      <c r="L140">
        <v>1010100</v>
      </c>
      <c r="M140" t="s">
        <v>35</v>
      </c>
      <c r="N140">
        <v>-57</v>
      </c>
      <c r="O140" s="32">
        <v>0</v>
      </c>
      <c r="P140" s="32">
        <v>0</v>
      </c>
      <c r="Q140" s="32">
        <v>118553.1</v>
      </c>
      <c r="R140" s="32">
        <v>0</v>
      </c>
      <c r="S140" s="32">
        <v>0</v>
      </c>
      <c r="T140" s="32">
        <v>0</v>
      </c>
      <c r="U140" s="32">
        <v>0</v>
      </c>
      <c r="V140" s="32">
        <v>0</v>
      </c>
      <c r="W140" s="32">
        <v>0</v>
      </c>
      <c r="X140" s="32">
        <v>0</v>
      </c>
      <c r="Y140" s="32">
        <v>0</v>
      </c>
      <c r="Z140" s="32">
        <v>0</v>
      </c>
      <c r="AA140" s="32">
        <v>0</v>
      </c>
      <c r="AB140" s="32">
        <v>0</v>
      </c>
      <c r="AC140" s="32" t="s">
        <v>540</v>
      </c>
      <c r="AD140" s="32"/>
      <c r="AE140" s="32">
        <v>0</v>
      </c>
    </row>
    <row r="141" spans="1:31" x14ac:dyDescent="0.25">
      <c r="A141">
        <v>1792</v>
      </c>
      <c r="B141" t="s">
        <v>531</v>
      </c>
      <c r="C141" t="s">
        <v>73</v>
      </c>
      <c r="D141" s="35">
        <v>116343</v>
      </c>
      <c r="E141">
        <v>1246267070</v>
      </c>
      <c r="F141" s="324">
        <v>46180</v>
      </c>
      <c r="H141" t="s">
        <v>28</v>
      </c>
      <c r="I141" t="s">
        <v>29</v>
      </c>
      <c r="J141">
        <v>10846</v>
      </c>
      <c r="K141" s="324">
        <v>46090</v>
      </c>
      <c r="L141">
        <v>1010100</v>
      </c>
      <c r="M141" t="s">
        <v>35</v>
      </c>
      <c r="N141">
        <v>-68</v>
      </c>
      <c r="O141" s="32">
        <v>0</v>
      </c>
      <c r="P141" s="32">
        <v>0</v>
      </c>
      <c r="Q141" s="32">
        <v>116343</v>
      </c>
      <c r="R141" s="32">
        <v>0</v>
      </c>
      <c r="S141" s="32">
        <v>0</v>
      </c>
      <c r="T141" s="32">
        <v>0</v>
      </c>
      <c r="U141" s="32">
        <v>0</v>
      </c>
      <c r="V141" s="32">
        <v>0</v>
      </c>
      <c r="W141" s="32">
        <v>0</v>
      </c>
      <c r="X141" s="32">
        <v>0</v>
      </c>
      <c r="Y141" s="32">
        <v>0</v>
      </c>
      <c r="Z141" s="32">
        <v>0</v>
      </c>
      <c r="AA141" s="32">
        <v>0</v>
      </c>
      <c r="AB141" s="32">
        <v>0</v>
      </c>
      <c r="AC141" s="32" t="s">
        <v>540</v>
      </c>
      <c r="AD141" s="32"/>
      <c r="AE141" s="32">
        <v>0</v>
      </c>
    </row>
    <row r="142" spans="1:31" x14ac:dyDescent="0.25">
      <c r="A142">
        <v>1792</v>
      </c>
      <c r="B142" t="s">
        <v>531</v>
      </c>
      <c r="C142" t="s">
        <v>73</v>
      </c>
      <c r="D142" s="35">
        <v>116718.3</v>
      </c>
      <c r="E142">
        <v>1246263483</v>
      </c>
      <c r="F142" s="324">
        <v>46155</v>
      </c>
      <c r="H142" t="s">
        <v>28</v>
      </c>
      <c r="I142" t="s">
        <v>29</v>
      </c>
      <c r="J142">
        <v>10682</v>
      </c>
      <c r="K142" s="324">
        <v>46065</v>
      </c>
      <c r="L142">
        <v>1010100</v>
      </c>
      <c r="M142" t="s">
        <v>35</v>
      </c>
      <c r="N142">
        <v>-43</v>
      </c>
      <c r="O142" s="32">
        <v>0</v>
      </c>
      <c r="P142" s="32">
        <v>0</v>
      </c>
      <c r="Q142" s="32">
        <v>116718.3</v>
      </c>
      <c r="R142" s="32">
        <v>0</v>
      </c>
      <c r="S142" s="32">
        <v>0</v>
      </c>
      <c r="T142" s="32">
        <v>0</v>
      </c>
      <c r="U142" s="32">
        <v>0</v>
      </c>
      <c r="V142" s="32">
        <v>0</v>
      </c>
      <c r="W142" s="32">
        <v>0</v>
      </c>
      <c r="X142" s="32">
        <v>0</v>
      </c>
      <c r="Y142" s="32">
        <v>0</v>
      </c>
      <c r="Z142" s="32">
        <v>0</v>
      </c>
      <c r="AA142" s="32">
        <v>0</v>
      </c>
      <c r="AB142" s="32">
        <v>0</v>
      </c>
      <c r="AC142" s="32" t="s">
        <v>540</v>
      </c>
      <c r="AD142" s="32"/>
      <c r="AE142" s="32">
        <v>0</v>
      </c>
    </row>
    <row r="143" spans="1:31" x14ac:dyDescent="0.25">
      <c r="A143">
        <v>1792</v>
      </c>
      <c r="B143" t="s">
        <v>531</v>
      </c>
      <c r="C143" t="s">
        <v>73</v>
      </c>
      <c r="D143" s="35">
        <v>118845</v>
      </c>
      <c r="E143">
        <v>1246269004</v>
      </c>
      <c r="F143" s="324">
        <v>46196</v>
      </c>
      <c r="H143" t="s">
        <v>28</v>
      </c>
      <c r="I143" t="s">
        <v>29</v>
      </c>
      <c r="J143">
        <v>10975</v>
      </c>
      <c r="K143" s="324">
        <v>46106</v>
      </c>
      <c r="L143">
        <v>1010100</v>
      </c>
      <c r="M143" t="s">
        <v>35</v>
      </c>
      <c r="N143">
        <v>-84</v>
      </c>
      <c r="O143" s="32">
        <v>0</v>
      </c>
      <c r="P143" s="32">
        <v>0</v>
      </c>
      <c r="Q143" s="32">
        <v>118845</v>
      </c>
      <c r="R143" s="32">
        <v>0</v>
      </c>
      <c r="S143" s="32">
        <v>0</v>
      </c>
      <c r="T143" s="32">
        <v>0</v>
      </c>
      <c r="U143" s="32">
        <v>0</v>
      </c>
      <c r="V143" s="32">
        <v>0</v>
      </c>
      <c r="W143" s="32">
        <v>0</v>
      </c>
      <c r="X143" s="32">
        <v>0</v>
      </c>
      <c r="Y143" s="32">
        <v>0</v>
      </c>
      <c r="Z143" s="32">
        <v>0</v>
      </c>
      <c r="AA143" s="32">
        <v>0</v>
      </c>
      <c r="AB143" s="32">
        <v>0</v>
      </c>
      <c r="AC143" s="32" t="s">
        <v>540</v>
      </c>
      <c r="AD143" s="32"/>
      <c r="AE143" s="32">
        <v>0</v>
      </c>
    </row>
    <row r="144" spans="1:31" x14ac:dyDescent="0.25">
      <c r="A144">
        <v>1792</v>
      </c>
      <c r="B144" t="s">
        <v>531</v>
      </c>
      <c r="C144" t="s">
        <v>73</v>
      </c>
      <c r="D144" s="35">
        <v>118302.9</v>
      </c>
      <c r="E144">
        <v>1246266107</v>
      </c>
      <c r="F144" s="324">
        <v>46174</v>
      </c>
      <c r="H144" t="s">
        <v>28</v>
      </c>
      <c r="I144" t="s">
        <v>29</v>
      </c>
      <c r="J144">
        <v>10803</v>
      </c>
      <c r="K144" s="324">
        <v>46084</v>
      </c>
      <c r="L144">
        <v>1010100</v>
      </c>
      <c r="M144" t="s">
        <v>35</v>
      </c>
      <c r="N144">
        <v>-62</v>
      </c>
      <c r="O144" s="32">
        <v>0</v>
      </c>
      <c r="P144" s="32">
        <v>0</v>
      </c>
      <c r="Q144" s="32">
        <v>118302.9</v>
      </c>
      <c r="R144" s="32">
        <v>0</v>
      </c>
      <c r="S144" s="32">
        <v>0</v>
      </c>
      <c r="T144" s="32">
        <v>0</v>
      </c>
      <c r="U144" s="32">
        <v>0</v>
      </c>
      <c r="V144" s="32">
        <v>0</v>
      </c>
      <c r="W144" s="32">
        <v>0</v>
      </c>
      <c r="X144" s="32">
        <v>0</v>
      </c>
      <c r="Y144" s="32">
        <v>0</v>
      </c>
      <c r="Z144" s="32">
        <v>0</v>
      </c>
      <c r="AA144" s="32">
        <v>0</v>
      </c>
      <c r="AB144" s="32">
        <v>0</v>
      </c>
      <c r="AC144" s="32" t="s">
        <v>540</v>
      </c>
      <c r="AD144" s="32"/>
      <c r="AE144" s="32">
        <v>0</v>
      </c>
    </row>
    <row r="145" spans="1:31" x14ac:dyDescent="0.25">
      <c r="A145">
        <v>1792</v>
      </c>
      <c r="B145" t="s">
        <v>531</v>
      </c>
      <c r="C145" t="s">
        <v>73</v>
      </c>
      <c r="D145" s="35">
        <v>116343</v>
      </c>
      <c r="E145">
        <v>1246268258</v>
      </c>
      <c r="F145" s="324">
        <v>46189</v>
      </c>
      <c r="H145" t="s">
        <v>28</v>
      </c>
      <c r="I145" t="s">
        <v>29</v>
      </c>
      <c r="J145">
        <v>10918</v>
      </c>
      <c r="K145" s="324">
        <v>46099</v>
      </c>
      <c r="L145">
        <v>1010100</v>
      </c>
      <c r="M145" t="s">
        <v>35</v>
      </c>
      <c r="N145">
        <v>-77</v>
      </c>
      <c r="O145" s="32">
        <v>0</v>
      </c>
      <c r="P145" s="32">
        <v>0</v>
      </c>
      <c r="Q145" s="32">
        <v>116343</v>
      </c>
      <c r="R145" s="32">
        <v>0</v>
      </c>
      <c r="S145" s="32">
        <v>0</v>
      </c>
      <c r="T145" s="32">
        <v>0</v>
      </c>
      <c r="U145" s="32">
        <v>0</v>
      </c>
      <c r="V145" s="32">
        <v>0</v>
      </c>
      <c r="W145" s="32">
        <v>0</v>
      </c>
      <c r="X145" s="32">
        <v>0</v>
      </c>
      <c r="Y145" s="32">
        <v>0</v>
      </c>
      <c r="Z145" s="32">
        <v>0</v>
      </c>
      <c r="AA145" s="32">
        <v>0</v>
      </c>
      <c r="AB145" s="32">
        <v>0</v>
      </c>
      <c r="AC145" s="32" t="s">
        <v>540</v>
      </c>
      <c r="AD145" s="32"/>
      <c r="AE145" s="32">
        <v>0</v>
      </c>
    </row>
    <row r="146" spans="1:31" x14ac:dyDescent="0.25">
      <c r="A146">
        <v>1792</v>
      </c>
      <c r="B146" t="s">
        <v>531</v>
      </c>
      <c r="C146" t="s">
        <v>73</v>
      </c>
      <c r="D146" s="35">
        <v>115634.1</v>
      </c>
      <c r="E146">
        <v>1246263885</v>
      </c>
      <c r="F146" s="324">
        <v>46161</v>
      </c>
      <c r="H146" t="s">
        <v>28</v>
      </c>
      <c r="I146" t="s">
        <v>29</v>
      </c>
      <c r="J146">
        <v>10708</v>
      </c>
      <c r="K146" s="324">
        <v>46071</v>
      </c>
      <c r="L146">
        <v>1010100</v>
      </c>
      <c r="M146" t="s">
        <v>35</v>
      </c>
      <c r="N146">
        <v>-49</v>
      </c>
      <c r="O146" s="32">
        <v>0</v>
      </c>
      <c r="P146" s="32">
        <v>0</v>
      </c>
      <c r="Q146" s="32">
        <v>115634.1</v>
      </c>
      <c r="R146" s="32">
        <v>0</v>
      </c>
      <c r="S146" s="32">
        <v>0</v>
      </c>
      <c r="T146" s="32">
        <v>0</v>
      </c>
      <c r="U146" s="32">
        <v>0</v>
      </c>
      <c r="V146" s="32">
        <v>0</v>
      </c>
      <c r="W146" s="32">
        <v>0</v>
      </c>
      <c r="X146" s="32">
        <v>0</v>
      </c>
      <c r="Y146" s="32">
        <v>0</v>
      </c>
      <c r="Z146" s="32">
        <v>0</v>
      </c>
      <c r="AA146" s="32">
        <v>0</v>
      </c>
      <c r="AB146" s="32">
        <v>0</v>
      </c>
      <c r="AC146" s="32" t="s">
        <v>540</v>
      </c>
      <c r="AD146" s="32"/>
      <c r="AE146" s="32">
        <v>0</v>
      </c>
    </row>
    <row r="147" spans="1:31" x14ac:dyDescent="0.25">
      <c r="A147">
        <v>1792</v>
      </c>
      <c r="B147" t="s">
        <v>531</v>
      </c>
      <c r="C147" t="s">
        <v>73</v>
      </c>
      <c r="D147" s="35">
        <v>117051.9</v>
      </c>
      <c r="E147">
        <v>1246269741</v>
      </c>
      <c r="F147" s="324">
        <v>46202</v>
      </c>
      <c r="H147" t="s">
        <v>28</v>
      </c>
      <c r="I147" t="s">
        <v>29</v>
      </c>
      <c r="J147">
        <v>11015</v>
      </c>
      <c r="K147" s="324">
        <v>46112</v>
      </c>
      <c r="L147">
        <v>1010100</v>
      </c>
      <c r="M147" t="s">
        <v>35</v>
      </c>
      <c r="N147">
        <v>-90</v>
      </c>
      <c r="O147" s="32">
        <v>0</v>
      </c>
      <c r="P147" s="32">
        <v>0</v>
      </c>
      <c r="Q147" s="32">
        <v>117051.9</v>
      </c>
      <c r="R147" s="32">
        <v>0</v>
      </c>
      <c r="S147" s="32">
        <v>0</v>
      </c>
      <c r="T147" s="32">
        <v>0</v>
      </c>
      <c r="U147" s="32">
        <v>0</v>
      </c>
      <c r="V147" s="32">
        <v>0</v>
      </c>
      <c r="W147" s="32">
        <v>0</v>
      </c>
      <c r="X147" s="32">
        <v>0</v>
      </c>
      <c r="Y147" s="32">
        <v>0</v>
      </c>
      <c r="Z147" s="32">
        <v>0</v>
      </c>
      <c r="AA147" s="32">
        <v>0</v>
      </c>
      <c r="AB147" s="32">
        <v>0</v>
      </c>
      <c r="AC147" s="32" t="s">
        <v>540</v>
      </c>
      <c r="AD147" s="32"/>
      <c r="AE147" s="32">
        <v>0</v>
      </c>
    </row>
    <row r="148" spans="1:31" x14ac:dyDescent="0.25">
      <c r="A148">
        <v>1792</v>
      </c>
      <c r="B148" t="s">
        <v>531</v>
      </c>
      <c r="C148" t="s">
        <v>73</v>
      </c>
      <c r="D148" s="35">
        <v>115509</v>
      </c>
      <c r="E148">
        <v>1246262616</v>
      </c>
      <c r="F148" s="324">
        <v>46149</v>
      </c>
      <c r="H148" t="s">
        <v>28</v>
      </c>
      <c r="I148" t="s">
        <v>29</v>
      </c>
      <c r="J148">
        <v>10653</v>
      </c>
      <c r="K148" s="324">
        <v>46059</v>
      </c>
      <c r="L148">
        <v>1010100</v>
      </c>
      <c r="M148" t="s">
        <v>35</v>
      </c>
      <c r="N148">
        <v>-37</v>
      </c>
      <c r="O148" s="32">
        <v>0</v>
      </c>
      <c r="P148" s="32">
        <v>0</v>
      </c>
      <c r="Q148" s="32">
        <v>115509</v>
      </c>
      <c r="R148" s="32">
        <v>0</v>
      </c>
      <c r="S148" s="32">
        <v>0</v>
      </c>
      <c r="T148" s="32">
        <v>0</v>
      </c>
      <c r="U148" s="32">
        <v>0</v>
      </c>
      <c r="V148" s="32">
        <v>0</v>
      </c>
      <c r="W148" s="32">
        <v>0</v>
      </c>
      <c r="X148" s="32">
        <v>0</v>
      </c>
      <c r="Y148" s="32">
        <v>0</v>
      </c>
      <c r="Z148" s="32">
        <v>0</v>
      </c>
      <c r="AA148" s="32">
        <v>0</v>
      </c>
      <c r="AB148" s="32">
        <v>0</v>
      </c>
      <c r="AC148" s="32" t="s">
        <v>540</v>
      </c>
      <c r="AD148" s="32"/>
      <c r="AE148" s="32">
        <v>0</v>
      </c>
    </row>
    <row r="149" spans="1:31" x14ac:dyDescent="0.25">
      <c r="A149">
        <v>1792</v>
      </c>
      <c r="B149" t="s">
        <v>531</v>
      </c>
      <c r="C149" t="s">
        <v>73</v>
      </c>
      <c r="D149" s="35">
        <v>116092.8</v>
      </c>
      <c r="E149">
        <v>1246267659</v>
      </c>
      <c r="F149" s="324">
        <v>46184</v>
      </c>
      <c r="H149" t="s">
        <v>28</v>
      </c>
      <c r="I149" t="s">
        <v>29</v>
      </c>
      <c r="J149">
        <v>10876</v>
      </c>
      <c r="K149" s="324">
        <v>46094</v>
      </c>
      <c r="L149">
        <v>1010100</v>
      </c>
      <c r="M149" t="s">
        <v>35</v>
      </c>
      <c r="N149">
        <v>-72</v>
      </c>
      <c r="O149" s="32">
        <v>0</v>
      </c>
      <c r="P149" s="32">
        <v>0</v>
      </c>
      <c r="Q149" s="32">
        <v>116092.8</v>
      </c>
      <c r="R149" s="32">
        <v>0</v>
      </c>
      <c r="S149" s="32">
        <v>0</v>
      </c>
      <c r="T149" s="32">
        <v>0</v>
      </c>
      <c r="U149" s="32">
        <v>0</v>
      </c>
      <c r="V149" s="32">
        <v>0</v>
      </c>
      <c r="W149" s="32">
        <v>0</v>
      </c>
      <c r="X149" s="32">
        <v>0</v>
      </c>
      <c r="Y149" s="32">
        <v>0</v>
      </c>
      <c r="Z149" s="32">
        <v>0</v>
      </c>
      <c r="AA149" s="32">
        <v>0</v>
      </c>
      <c r="AB149" s="32">
        <v>0</v>
      </c>
      <c r="AC149" s="32" t="s">
        <v>540</v>
      </c>
      <c r="AD149" s="32"/>
      <c r="AE149" s="32">
        <v>0</v>
      </c>
    </row>
    <row r="150" spans="1:31" x14ac:dyDescent="0.25">
      <c r="A150">
        <v>201</v>
      </c>
      <c r="B150" t="s">
        <v>430</v>
      </c>
      <c r="C150" t="s">
        <v>908</v>
      </c>
      <c r="D150" s="35">
        <v>150024</v>
      </c>
      <c r="E150">
        <v>1246269649</v>
      </c>
      <c r="F150" s="324">
        <v>46139</v>
      </c>
      <c r="H150" t="s">
        <v>28</v>
      </c>
      <c r="I150" t="s">
        <v>29</v>
      </c>
      <c r="J150">
        <v>11010</v>
      </c>
      <c r="K150" s="324">
        <v>46111</v>
      </c>
      <c r="L150">
        <v>1010100</v>
      </c>
      <c r="M150" t="s">
        <v>35</v>
      </c>
      <c r="N150">
        <v>-27</v>
      </c>
      <c r="O150" s="32">
        <v>0</v>
      </c>
      <c r="P150" s="32">
        <v>0</v>
      </c>
      <c r="Q150" s="32">
        <v>150024</v>
      </c>
      <c r="R150" s="32">
        <v>0</v>
      </c>
      <c r="S150" s="32">
        <v>0</v>
      </c>
      <c r="T150" s="32">
        <v>0</v>
      </c>
      <c r="U150" s="32">
        <v>0</v>
      </c>
      <c r="V150" s="32">
        <v>0</v>
      </c>
      <c r="W150" s="32">
        <v>0</v>
      </c>
      <c r="X150" s="32">
        <v>0</v>
      </c>
      <c r="Y150" s="32">
        <v>0</v>
      </c>
      <c r="Z150" s="32">
        <v>0</v>
      </c>
      <c r="AA150" s="32">
        <v>0</v>
      </c>
      <c r="AB150" s="32">
        <v>0</v>
      </c>
      <c r="AC150" s="32" t="s">
        <v>475</v>
      </c>
      <c r="AD150" s="32"/>
      <c r="AE150" s="32">
        <v>0</v>
      </c>
    </row>
    <row r="151" spans="1:31" x14ac:dyDescent="0.25">
      <c r="A151">
        <v>201</v>
      </c>
      <c r="B151" t="s">
        <v>430</v>
      </c>
      <c r="C151" t="s">
        <v>908</v>
      </c>
      <c r="D151" s="35">
        <v>185040</v>
      </c>
      <c r="E151">
        <v>1246269651</v>
      </c>
      <c r="F151" s="324">
        <v>46139</v>
      </c>
      <c r="H151" t="s">
        <v>28</v>
      </c>
      <c r="I151" t="s">
        <v>29</v>
      </c>
      <c r="J151">
        <v>2855</v>
      </c>
      <c r="K151" s="324">
        <v>46111</v>
      </c>
      <c r="L151">
        <v>1010100</v>
      </c>
      <c r="M151" t="s">
        <v>35</v>
      </c>
      <c r="N151">
        <v>-27</v>
      </c>
      <c r="O151" s="32">
        <v>0</v>
      </c>
      <c r="P151" s="32">
        <v>0</v>
      </c>
      <c r="Q151" s="32">
        <v>185040</v>
      </c>
      <c r="R151" s="32">
        <v>0</v>
      </c>
      <c r="S151" s="32">
        <v>0</v>
      </c>
      <c r="T151" s="32">
        <v>0</v>
      </c>
      <c r="U151" s="32">
        <v>0</v>
      </c>
      <c r="V151" s="32">
        <v>0</v>
      </c>
      <c r="W151" s="32">
        <v>0</v>
      </c>
      <c r="X151" s="32">
        <v>0</v>
      </c>
      <c r="Y151" s="32">
        <v>0</v>
      </c>
      <c r="Z151" s="32">
        <v>0</v>
      </c>
      <c r="AA151" s="32">
        <v>0</v>
      </c>
      <c r="AB151" s="32">
        <v>0</v>
      </c>
      <c r="AC151" s="32" t="s">
        <v>475</v>
      </c>
      <c r="AD151" s="32"/>
      <c r="AE151" s="32">
        <v>0</v>
      </c>
    </row>
    <row r="152" spans="1:31" x14ac:dyDescent="0.25">
      <c r="A152">
        <v>201</v>
      </c>
      <c r="B152" t="s">
        <v>430</v>
      </c>
      <c r="C152" t="s">
        <v>908</v>
      </c>
      <c r="D152" s="35">
        <v>185040</v>
      </c>
      <c r="E152">
        <v>1246269671</v>
      </c>
      <c r="F152" s="324">
        <v>46231</v>
      </c>
      <c r="H152" t="s">
        <v>28</v>
      </c>
      <c r="I152" t="s">
        <v>29</v>
      </c>
      <c r="J152">
        <v>2855</v>
      </c>
      <c r="K152" s="324">
        <v>46111</v>
      </c>
      <c r="L152">
        <v>1010100</v>
      </c>
      <c r="M152" t="s">
        <v>35</v>
      </c>
      <c r="N152">
        <v>-119</v>
      </c>
      <c r="O152" s="32">
        <v>0</v>
      </c>
      <c r="P152" s="32">
        <v>0</v>
      </c>
      <c r="Q152" s="32">
        <v>185040</v>
      </c>
      <c r="R152" s="32">
        <v>0</v>
      </c>
      <c r="S152" s="32">
        <v>0</v>
      </c>
      <c r="T152" s="32">
        <v>0</v>
      </c>
      <c r="U152" s="32">
        <v>0</v>
      </c>
      <c r="V152" s="32">
        <v>0</v>
      </c>
      <c r="W152" s="32">
        <v>0</v>
      </c>
      <c r="X152" s="32">
        <v>0</v>
      </c>
      <c r="Y152" s="32">
        <v>0</v>
      </c>
      <c r="Z152" s="32">
        <v>0</v>
      </c>
      <c r="AA152" s="32">
        <v>0</v>
      </c>
      <c r="AB152" s="32">
        <v>0</v>
      </c>
      <c r="AC152" s="32" t="s">
        <v>475</v>
      </c>
      <c r="AD152" s="32"/>
      <c r="AE152" s="32">
        <v>0</v>
      </c>
    </row>
    <row r="153" spans="1:31" x14ac:dyDescent="0.25">
      <c r="A153">
        <v>903</v>
      </c>
      <c r="B153" t="s">
        <v>420</v>
      </c>
      <c r="C153" t="s">
        <v>58</v>
      </c>
      <c r="D153" s="35">
        <v>134864.94</v>
      </c>
      <c r="E153">
        <v>1246265910</v>
      </c>
      <c r="F153" s="324">
        <v>46123</v>
      </c>
      <c r="H153" t="s">
        <v>28</v>
      </c>
      <c r="I153" t="s">
        <v>29</v>
      </c>
      <c r="J153">
        <v>10792</v>
      </c>
      <c r="K153" s="324">
        <v>46083</v>
      </c>
      <c r="L153">
        <v>1010100</v>
      </c>
      <c r="M153" t="s">
        <v>35</v>
      </c>
      <c r="N153">
        <v>-11</v>
      </c>
      <c r="O153" s="32">
        <v>0</v>
      </c>
      <c r="P153" s="32">
        <v>0</v>
      </c>
      <c r="Q153" s="32">
        <v>134864.94</v>
      </c>
      <c r="R153" s="32">
        <v>0</v>
      </c>
      <c r="S153" s="32">
        <v>0</v>
      </c>
      <c r="T153" s="32">
        <v>0</v>
      </c>
      <c r="U153" s="32">
        <v>0</v>
      </c>
      <c r="V153" s="32">
        <v>0</v>
      </c>
      <c r="W153" s="32">
        <v>0</v>
      </c>
      <c r="X153" s="32">
        <v>0</v>
      </c>
      <c r="Y153" s="32">
        <v>0</v>
      </c>
      <c r="Z153" s="32">
        <v>0</v>
      </c>
      <c r="AA153" s="32">
        <v>0</v>
      </c>
      <c r="AB153" s="32">
        <v>0</v>
      </c>
      <c r="AC153" s="32" t="s">
        <v>540</v>
      </c>
      <c r="AD153" s="32"/>
      <c r="AE153" s="32">
        <v>0</v>
      </c>
    </row>
    <row r="154" spans="1:31" x14ac:dyDescent="0.25">
      <c r="A154">
        <v>903</v>
      </c>
      <c r="B154" t="s">
        <v>420</v>
      </c>
      <c r="C154" t="s">
        <v>58</v>
      </c>
      <c r="D154" s="35">
        <v>134414.79</v>
      </c>
      <c r="E154">
        <v>1246264770</v>
      </c>
      <c r="F154" s="324">
        <v>46117</v>
      </c>
      <c r="H154" t="s">
        <v>28</v>
      </c>
      <c r="I154" t="s">
        <v>29</v>
      </c>
      <c r="J154">
        <v>10755</v>
      </c>
      <c r="K154" s="324">
        <v>46077</v>
      </c>
      <c r="L154">
        <v>1010100</v>
      </c>
      <c r="M154" t="s">
        <v>35</v>
      </c>
      <c r="N154">
        <v>-5</v>
      </c>
      <c r="O154" s="32">
        <v>0</v>
      </c>
      <c r="P154" s="32">
        <v>0</v>
      </c>
      <c r="Q154" s="32">
        <v>134414.79</v>
      </c>
      <c r="R154" s="32">
        <v>0</v>
      </c>
      <c r="S154" s="32">
        <v>0</v>
      </c>
      <c r="T154" s="32">
        <v>0</v>
      </c>
      <c r="U154" s="32">
        <v>0</v>
      </c>
      <c r="V154" s="32">
        <v>0</v>
      </c>
      <c r="W154" s="32">
        <v>0</v>
      </c>
      <c r="X154" s="32">
        <v>0</v>
      </c>
      <c r="Y154" s="32">
        <v>0</v>
      </c>
      <c r="Z154" s="32">
        <v>0</v>
      </c>
      <c r="AA154" s="32">
        <v>0</v>
      </c>
      <c r="AB154" s="32">
        <v>0</v>
      </c>
      <c r="AC154" s="32" t="s">
        <v>540</v>
      </c>
      <c r="AD154" s="32"/>
      <c r="AE154" s="32">
        <v>0</v>
      </c>
    </row>
    <row r="155" spans="1:31" x14ac:dyDescent="0.25">
      <c r="A155">
        <v>903</v>
      </c>
      <c r="B155" t="s">
        <v>420</v>
      </c>
      <c r="C155" t="s">
        <v>58</v>
      </c>
      <c r="D155" s="35">
        <v>134864.94</v>
      </c>
      <c r="E155">
        <v>1246269425</v>
      </c>
      <c r="F155" s="324">
        <v>46148</v>
      </c>
      <c r="H155" t="s">
        <v>28</v>
      </c>
      <c r="I155" t="s">
        <v>29</v>
      </c>
      <c r="J155">
        <v>10990</v>
      </c>
      <c r="K155" s="324">
        <v>46108</v>
      </c>
      <c r="L155">
        <v>1010100</v>
      </c>
      <c r="M155" t="s">
        <v>35</v>
      </c>
      <c r="N155">
        <v>-36</v>
      </c>
      <c r="O155" s="32">
        <v>0</v>
      </c>
      <c r="P155" s="32">
        <v>0</v>
      </c>
      <c r="Q155" s="32">
        <v>134864.94</v>
      </c>
      <c r="R155" s="32">
        <v>0</v>
      </c>
      <c r="S155" s="32">
        <v>0</v>
      </c>
      <c r="T155" s="32">
        <v>0</v>
      </c>
      <c r="U155" s="32">
        <v>0</v>
      </c>
      <c r="V155" s="32">
        <v>0</v>
      </c>
      <c r="W155" s="32">
        <v>0</v>
      </c>
      <c r="X155" s="32">
        <v>0</v>
      </c>
      <c r="Y155" s="32">
        <v>0</v>
      </c>
      <c r="Z155" s="32">
        <v>0</v>
      </c>
      <c r="AA155" s="32">
        <v>0</v>
      </c>
      <c r="AB155" s="32">
        <v>0</v>
      </c>
      <c r="AC155" s="32" t="s">
        <v>540</v>
      </c>
      <c r="AD155" s="32"/>
      <c r="AE155" s="32">
        <v>0</v>
      </c>
    </row>
    <row r="156" spans="1:31" x14ac:dyDescent="0.25">
      <c r="A156">
        <v>903</v>
      </c>
      <c r="B156" t="s">
        <v>420</v>
      </c>
      <c r="C156" t="s">
        <v>58</v>
      </c>
      <c r="D156" s="35">
        <v>134324.76</v>
      </c>
      <c r="E156">
        <v>1246266872</v>
      </c>
      <c r="F156" s="324">
        <v>46127</v>
      </c>
      <c r="H156" t="s">
        <v>28</v>
      </c>
      <c r="I156" t="s">
        <v>29</v>
      </c>
      <c r="J156">
        <v>10830</v>
      </c>
      <c r="K156" s="324">
        <v>46087</v>
      </c>
      <c r="L156">
        <v>1010100</v>
      </c>
      <c r="M156" t="s">
        <v>35</v>
      </c>
      <c r="N156">
        <v>-15</v>
      </c>
      <c r="O156" s="32">
        <v>0</v>
      </c>
      <c r="P156" s="32">
        <v>0</v>
      </c>
      <c r="Q156" s="32">
        <v>134324.76</v>
      </c>
      <c r="R156" s="32">
        <v>0</v>
      </c>
      <c r="S156" s="32">
        <v>0</v>
      </c>
      <c r="T156" s="32">
        <v>0</v>
      </c>
      <c r="U156" s="32">
        <v>0</v>
      </c>
      <c r="V156" s="32">
        <v>0</v>
      </c>
      <c r="W156" s="32">
        <v>0</v>
      </c>
      <c r="X156" s="32">
        <v>0</v>
      </c>
      <c r="Y156" s="32">
        <v>0</v>
      </c>
      <c r="Z156" s="32">
        <v>0</v>
      </c>
      <c r="AA156" s="32">
        <v>0</v>
      </c>
      <c r="AB156" s="32">
        <v>0</v>
      </c>
      <c r="AC156" s="32" t="s">
        <v>540</v>
      </c>
      <c r="AD156" s="32"/>
      <c r="AE156" s="32">
        <v>0</v>
      </c>
    </row>
    <row r="157" spans="1:31" x14ac:dyDescent="0.25">
      <c r="A157">
        <v>903</v>
      </c>
      <c r="B157" t="s">
        <v>420</v>
      </c>
      <c r="C157" t="s">
        <v>58</v>
      </c>
      <c r="D157" s="35">
        <v>135765.24</v>
      </c>
      <c r="E157">
        <v>1246267822</v>
      </c>
      <c r="F157" s="324">
        <v>46137</v>
      </c>
      <c r="H157" t="s">
        <v>28</v>
      </c>
      <c r="I157" t="s">
        <v>29</v>
      </c>
      <c r="J157">
        <v>10890</v>
      </c>
      <c r="K157" s="324">
        <v>46097</v>
      </c>
      <c r="L157">
        <v>1010100</v>
      </c>
      <c r="M157" t="s">
        <v>35</v>
      </c>
      <c r="N157">
        <v>-25</v>
      </c>
      <c r="O157" s="32">
        <v>0</v>
      </c>
      <c r="P157" s="32">
        <v>0</v>
      </c>
      <c r="Q157" s="32">
        <v>135765.24</v>
      </c>
      <c r="R157" s="32">
        <v>0</v>
      </c>
      <c r="S157" s="32">
        <v>0</v>
      </c>
      <c r="T157" s="32">
        <v>0</v>
      </c>
      <c r="U157" s="32">
        <v>0</v>
      </c>
      <c r="V157" s="32">
        <v>0</v>
      </c>
      <c r="W157" s="32">
        <v>0</v>
      </c>
      <c r="X157" s="32">
        <v>0</v>
      </c>
      <c r="Y157" s="32">
        <v>0</v>
      </c>
      <c r="Z157" s="32">
        <v>0</v>
      </c>
      <c r="AA157" s="32">
        <v>0</v>
      </c>
      <c r="AB157" s="32">
        <v>0</v>
      </c>
      <c r="AC157" s="32" t="s">
        <v>540</v>
      </c>
      <c r="AD157" s="32"/>
      <c r="AE157" s="32">
        <v>0</v>
      </c>
    </row>
    <row r="158" spans="1:31" x14ac:dyDescent="0.25">
      <c r="A158">
        <v>903</v>
      </c>
      <c r="B158" t="s">
        <v>420</v>
      </c>
      <c r="C158" t="s">
        <v>58</v>
      </c>
      <c r="D158" s="35">
        <v>133334.43</v>
      </c>
      <c r="E158">
        <v>1246268951</v>
      </c>
      <c r="F158" s="324">
        <v>46146</v>
      </c>
      <c r="H158" t="s">
        <v>28</v>
      </c>
      <c r="I158" t="s">
        <v>29</v>
      </c>
      <c r="J158">
        <v>10971</v>
      </c>
      <c r="K158" s="324">
        <v>46106</v>
      </c>
      <c r="L158">
        <v>1010100</v>
      </c>
      <c r="M158" t="s">
        <v>35</v>
      </c>
      <c r="N158">
        <v>-34</v>
      </c>
      <c r="O158" s="32">
        <v>0</v>
      </c>
      <c r="P158" s="32">
        <v>0</v>
      </c>
      <c r="Q158" s="32">
        <v>133334.43</v>
      </c>
      <c r="R158" s="32">
        <v>0</v>
      </c>
      <c r="S158" s="32">
        <v>0</v>
      </c>
      <c r="T158" s="32">
        <v>0</v>
      </c>
      <c r="U158" s="32">
        <v>0</v>
      </c>
      <c r="V158" s="32">
        <v>0</v>
      </c>
      <c r="W158" s="32">
        <v>0</v>
      </c>
      <c r="X158" s="32">
        <v>0</v>
      </c>
      <c r="Y158" s="32">
        <v>0</v>
      </c>
      <c r="Z158" s="32">
        <v>0</v>
      </c>
      <c r="AA158" s="32">
        <v>0</v>
      </c>
      <c r="AB158" s="32">
        <v>0</v>
      </c>
      <c r="AC158" s="32" t="s">
        <v>540</v>
      </c>
      <c r="AD158" s="32"/>
      <c r="AE158" s="32">
        <v>0</v>
      </c>
    </row>
    <row r="159" spans="1:31" x14ac:dyDescent="0.25">
      <c r="A159">
        <v>912</v>
      </c>
      <c r="B159" t="s">
        <v>421</v>
      </c>
      <c r="C159" t="s">
        <v>848</v>
      </c>
      <c r="D159" s="35">
        <v>99785</v>
      </c>
      <c r="E159">
        <v>1246264222</v>
      </c>
      <c r="F159" s="324">
        <v>46129</v>
      </c>
      <c r="H159" t="s">
        <v>28</v>
      </c>
      <c r="I159" t="s">
        <v>29</v>
      </c>
      <c r="J159">
        <v>2756</v>
      </c>
      <c r="K159" s="324">
        <v>46073</v>
      </c>
      <c r="L159">
        <v>1010100</v>
      </c>
      <c r="M159" t="s">
        <v>35</v>
      </c>
      <c r="N159">
        <v>-17</v>
      </c>
      <c r="O159" s="32">
        <v>0</v>
      </c>
      <c r="P159" s="32">
        <v>0</v>
      </c>
      <c r="Q159" s="32">
        <v>99785</v>
      </c>
      <c r="R159" s="32">
        <v>0</v>
      </c>
      <c r="S159" s="32">
        <v>0</v>
      </c>
      <c r="T159" s="32">
        <v>0</v>
      </c>
      <c r="U159" s="32">
        <v>0</v>
      </c>
      <c r="V159" s="32">
        <v>0</v>
      </c>
      <c r="W159" s="32">
        <v>0</v>
      </c>
      <c r="X159" s="32">
        <v>0</v>
      </c>
      <c r="Y159" s="32">
        <v>0</v>
      </c>
      <c r="Z159" s="32">
        <v>0</v>
      </c>
      <c r="AA159" s="32">
        <v>0</v>
      </c>
      <c r="AB159" s="32">
        <v>0</v>
      </c>
      <c r="AC159" s="32" t="s">
        <v>475</v>
      </c>
      <c r="AD159" s="32"/>
      <c r="AE159" s="32">
        <v>0</v>
      </c>
    </row>
    <row r="160" spans="1:31" x14ac:dyDescent="0.25">
      <c r="A160">
        <v>729</v>
      </c>
      <c r="B160" t="s">
        <v>532</v>
      </c>
      <c r="C160" t="s">
        <v>872</v>
      </c>
      <c r="D160" s="35">
        <v>69184</v>
      </c>
      <c r="E160">
        <v>1246267218</v>
      </c>
      <c r="F160" s="324">
        <v>46121</v>
      </c>
      <c r="H160" t="s">
        <v>28</v>
      </c>
      <c r="I160" t="s">
        <v>29</v>
      </c>
      <c r="J160">
        <v>10858</v>
      </c>
      <c r="K160" s="324">
        <v>46091</v>
      </c>
      <c r="L160">
        <v>1010100</v>
      </c>
      <c r="M160" t="s">
        <v>35</v>
      </c>
      <c r="N160">
        <v>-9</v>
      </c>
      <c r="O160" s="32">
        <v>0</v>
      </c>
      <c r="P160" s="32">
        <v>0</v>
      </c>
      <c r="Q160" s="32">
        <v>69184</v>
      </c>
      <c r="R160" s="32">
        <v>0</v>
      </c>
      <c r="S160" s="32">
        <v>0</v>
      </c>
      <c r="T160" s="32">
        <v>0</v>
      </c>
      <c r="U160" s="32">
        <v>0</v>
      </c>
      <c r="V160" s="32">
        <v>0</v>
      </c>
      <c r="W160" s="32">
        <v>0</v>
      </c>
      <c r="X160" s="32">
        <v>0</v>
      </c>
      <c r="Y160" s="32">
        <v>0</v>
      </c>
      <c r="Z160" s="32">
        <v>0</v>
      </c>
      <c r="AA160" s="32">
        <v>0</v>
      </c>
      <c r="AB160" s="32">
        <v>0</v>
      </c>
      <c r="AC160" s="32" t="s">
        <v>475</v>
      </c>
      <c r="AD160" s="32"/>
      <c r="AE160" s="32">
        <v>0</v>
      </c>
    </row>
    <row r="161" spans="1:31" x14ac:dyDescent="0.25">
      <c r="A161">
        <v>1159</v>
      </c>
      <c r="B161" t="s">
        <v>420</v>
      </c>
      <c r="C161" t="s">
        <v>61</v>
      </c>
      <c r="D161" s="35">
        <v>1458</v>
      </c>
      <c r="E161">
        <v>1246148463</v>
      </c>
      <c r="F161" s="324">
        <v>45443</v>
      </c>
      <c r="H161" t="s">
        <v>28</v>
      </c>
      <c r="I161" t="s">
        <v>29</v>
      </c>
      <c r="J161">
        <v>3446</v>
      </c>
      <c r="K161" s="324">
        <v>45415</v>
      </c>
      <c r="L161">
        <v>1010100</v>
      </c>
      <c r="M161" t="s">
        <v>35</v>
      </c>
      <c r="N161">
        <v>669</v>
      </c>
      <c r="O161" s="32">
        <v>0</v>
      </c>
      <c r="P161" s="32">
        <v>1458</v>
      </c>
      <c r="Q161" s="32">
        <v>0</v>
      </c>
      <c r="R161" s="32">
        <v>0</v>
      </c>
      <c r="S161" s="32">
        <v>0</v>
      </c>
      <c r="T161" s="32">
        <v>0</v>
      </c>
      <c r="U161" s="32">
        <v>1458</v>
      </c>
      <c r="V161" s="32">
        <v>0</v>
      </c>
      <c r="W161" s="32">
        <v>43.739999999999995</v>
      </c>
      <c r="X161" s="32">
        <v>1414.26</v>
      </c>
      <c r="Y161" s="32">
        <v>1414.26</v>
      </c>
      <c r="Z161" s="32">
        <v>1458</v>
      </c>
      <c r="AA161" s="32">
        <v>0</v>
      </c>
      <c r="AB161" s="32">
        <v>1458</v>
      </c>
      <c r="AC161" s="32" t="s">
        <v>540</v>
      </c>
      <c r="AD161" s="32"/>
      <c r="AE161" s="32">
        <v>1458</v>
      </c>
    </row>
    <row r="162" spans="1:31" x14ac:dyDescent="0.25">
      <c r="A162">
        <v>1159</v>
      </c>
      <c r="B162" t="s">
        <v>420</v>
      </c>
      <c r="C162" t="s">
        <v>61</v>
      </c>
      <c r="D162" s="35">
        <v>153659.6</v>
      </c>
      <c r="E162">
        <v>1246266347</v>
      </c>
      <c r="F162" s="324">
        <v>46125</v>
      </c>
      <c r="H162" t="s">
        <v>28</v>
      </c>
      <c r="I162" t="s">
        <v>29</v>
      </c>
      <c r="J162">
        <v>10810</v>
      </c>
      <c r="K162" s="324">
        <v>46085</v>
      </c>
      <c r="L162">
        <v>1010100</v>
      </c>
      <c r="M162" t="s">
        <v>35</v>
      </c>
      <c r="N162">
        <v>-13</v>
      </c>
      <c r="O162" s="32">
        <v>0</v>
      </c>
      <c r="P162" s="32">
        <v>0</v>
      </c>
      <c r="Q162" s="32">
        <v>153659.6</v>
      </c>
      <c r="R162" s="32">
        <v>0</v>
      </c>
      <c r="S162" s="32">
        <v>0</v>
      </c>
      <c r="T162" s="32">
        <v>0</v>
      </c>
      <c r="U162" s="32">
        <v>0</v>
      </c>
      <c r="V162" s="32">
        <v>0</v>
      </c>
      <c r="W162" s="32">
        <v>0</v>
      </c>
      <c r="X162" s="32">
        <v>0</v>
      </c>
      <c r="Y162" s="32">
        <v>0</v>
      </c>
      <c r="Z162" s="32">
        <v>0</v>
      </c>
      <c r="AA162" s="32">
        <v>0</v>
      </c>
      <c r="AB162" s="32">
        <v>0</v>
      </c>
      <c r="AC162" s="32" t="s">
        <v>540</v>
      </c>
      <c r="AD162" s="32"/>
      <c r="AE162" s="32">
        <v>0</v>
      </c>
    </row>
    <row r="163" spans="1:31" x14ac:dyDescent="0.25">
      <c r="A163">
        <v>1159</v>
      </c>
      <c r="B163" t="s">
        <v>420</v>
      </c>
      <c r="C163" t="s">
        <v>61</v>
      </c>
      <c r="D163" s="35">
        <v>152155.1</v>
      </c>
      <c r="E163">
        <v>1246265729</v>
      </c>
      <c r="F163" s="324">
        <v>46120</v>
      </c>
      <c r="H163" t="s">
        <v>28</v>
      </c>
      <c r="I163" t="s">
        <v>29</v>
      </c>
      <c r="J163">
        <v>10784</v>
      </c>
      <c r="K163" s="324">
        <v>46080</v>
      </c>
      <c r="L163">
        <v>1010100</v>
      </c>
      <c r="M163" t="s">
        <v>35</v>
      </c>
      <c r="N163">
        <v>-8</v>
      </c>
      <c r="O163" s="32">
        <v>0</v>
      </c>
      <c r="P163" s="32">
        <v>0</v>
      </c>
      <c r="Q163" s="32">
        <v>152155.1</v>
      </c>
      <c r="R163" s="32">
        <v>0</v>
      </c>
      <c r="S163" s="32">
        <v>0</v>
      </c>
      <c r="T163" s="32">
        <v>0</v>
      </c>
      <c r="U163" s="32">
        <v>0</v>
      </c>
      <c r="V163" s="32">
        <v>0</v>
      </c>
      <c r="W163" s="32">
        <v>0</v>
      </c>
      <c r="X163" s="32">
        <v>0</v>
      </c>
      <c r="Y163" s="32">
        <v>0</v>
      </c>
      <c r="Z163" s="32">
        <v>0</v>
      </c>
      <c r="AA163" s="32">
        <v>0</v>
      </c>
      <c r="AB163" s="32">
        <v>0</v>
      </c>
      <c r="AC163" s="32" t="s">
        <v>540</v>
      </c>
      <c r="AD163" s="32"/>
      <c r="AE163" s="32">
        <v>0</v>
      </c>
    </row>
    <row r="164" spans="1:31" x14ac:dyDescent="0.25">
      <c r="A164">
        <v>1159</v>
      </c>
      <c r="B164" t="s">
        <v>420</v>
      </c>
      <c r="C164" t="s">
        <v>61</v>
      </c>
      <c r="D164" s="35">
        <v>148143.1</v>
      </c>
      <c r="E164">
        <v>1246266884</v>
      </c>
      <c r="F164" s="324">
        <v>46127</v>
      </c>
      <c r="H164" t="s">
        <v>28</v>
      </c>
      <c r="I164" t="s">
        <v>29</v>
      </c>
      <c r="J164">
        <v>10832</v>
      </c>
      <c r="K164" s="324">
        <v>46087</v>
      </c>
      <c r="L164">
        <v>1010100</v>
      </c>
      <c r="M164" t="s">
        <v>35</v>
      </c>
      <c r="N164">
        <v>-15</v>
      </c>
      <c r="O164" s="32">
        <v>0</v>
      </c>
      <c r="P164" s="32">
        <v>0</v>
      </c>
      <c r="Q164" s="32">
        <v>148143.1</v>
      </c>
      <c r="R164" s="32">
        <v>0</v>
      </c>
      <c r="S164" s="32">
        <v>0</v>
      </c>
      <c r="T164" s="32">
        <v>0</v>
      </c>
      <c r="U164" s="32">
        <v>0</v>
      </c>
      <c r="V164" s="32">
        <v>0</v>
      </c>
      <c r="W164" s="32">
        <v>0</v>
      </c>
      <c r="X164" s="32">
        <v>0</v>
      </c>
      <c r="Y164" s="32">
        <v>0</v>
      </c>
      <c r="Z164" s="32">
        <v>0</v>
      </c>
      <c r="AA164" s="32">
        <v>0</v>
      </c>
      <c r="AB164" s="32">
        <v>0</v>
      </c>
      <c r="AC164" s="32" t="s">
        <v>540</v>
      </c>
      <c r="AD164" s="32"/>
      <c r="AE164" s="32">
        <v>0</v>
      </c>
    </row>
    <row r="165" spans="1:31" x14ac:dyDescent="0.25">
      <c r="A165">
        <v>1159</v>
      </c>
      <c r="B165" t="s">
        <v>420</v>
      </c>
      <c r="C165" t="s">
        <v>61</v>
      </c>
      <c r="D165" s="35">
        <v>271741.03999999998</v>
      </c>
      <c r="E165">
        <v>1246269608</v>
      </c>
      <c r="F165" s="324">
        <v>46151</v>
      </c>
      <c r="H165" t="s">
        <v>28</v>
      </c>
      <c r="I165" t="s">
        <v>29</v>
      </c>
      <c r="J165">
        <v>11006</v>
      </c>
      <c r="K165" s="324">
        <v>46111</v>
      </c>
      <c r="L165">
        <v>1010100</v>
      </c>
      <c r="M165" t="s">
        <v>35</v>
      </c>
      <c r="N165">
        <v>-39</v>
      </c>
      <c r="O165" s="32">
        <v>0</v>
      </c>
      <c r="P165" s="32">
        <v>0</v>
      </c>
      <c r="Q165" s="32">
        <v>271741.03999999998</v>
      </c>
      <c r="R165" s="32">
        <v>0</v>
      </c>
      <c r="S165" s="32">
        <v>0</v>
      </c>
      <c r="T165" s="32">
        <v>0</v>
      </c>
      <c r="U165" s="32">
        <v>0</v>
      </c>
      <c r="V165" s="32">
        <v>0</v>
      </c>
      <c r="W165" s="32">
        <v>0</v>
      </c>
      <c r="X165" s="32">
        <v>0</v>
      </c>
      <c r="Y165" s="32">
        <v>0</v>
      </c>
      <c r="Z165" s="32">
        <v>0</v>
      </c>
      <c r="AA165" s="32">
        <v>0</v>
      </c>
      <c r="AB165" s="32">
        <v>0</v>
      </c>
      <c r="AC165" s="32" t="s">
        <v>540</v>
      </c>
      <c r="AD165" s="32"/>
      <c r="AE165" s="32">
        <v>0</v>
      </c>
    </row>
    <row r="166" spans="1:31" x14ac:dyDescent="0.25">
      <c r="A166">
        <v>1159</v>
      </c>
      <c r="B166" t="s">
        <v>420</v>
      </c>
      <c r="C166" t="s">
        <v>61</v>
      </c>
      <c r="D166" s="35">
        <v>151152.1</v>
      </c>
      <c r="E166">
        <v>1246267195</v>
      </c>
      <c r="F166" s="324">
        <v>46131</v>
      </c>
      <c r="H166" t="s">
        <v>28</v>
      </c>
      <c r="I166" t="s">
        <v>29</v>
      </c>
      <c r="J166">
        <v>10855</v>
      </c>
      <c r="K166" s="324">
        <v>46091</v>
      </c>
      <c r="L166">
        <v>1010100</v>
      </c>
      <c r="M166" t="s">
        <v>35</v>
      </c>
      <c r="N166">
        <v>-19</v>
      </c>
      <c r="O166" s="32">
        <v>0</v>
      </c>
      <c r="P166" s="32">
        <v>0</v>
      </c>
      <c r="Q166" s="32">
        <v>151152.1</v>
      </c>
      <c r="R166" s="32">
        <v>0</v>
      </c>
      <c r="S166" s="32">
        <v>0</v>
      </c>
      <c r="T166" s="32">
        <v>0</v>
      </c>
      <c r="U166" s="32">
        <v>0</v>
      </c>
      <c r="V166" s="32">
        <v>0</v>
      </c>
      <c r="W166" s="32">
        <v>0</v>
      </c>
      <c r="X166" s="32">
        <v>0</v>
      </c>
      <c r="Y166" s="32">
        <v>0</v>
      </c>
      <c r="Z166" s="32">
        <v>0</v>
      </c>
      <c r="AA166" s="32">
        <v>0</v>
      </c>
      <c r="AB166" s="32">
        <v>0</v>
      </c>
      <c r="AC166" s="32" t="s">
        <v>540</v>
      </c>
      <c r="AD166" s="32"/>
      <c r="AE166" s="32">
        <v>0</v>
      </c>
    </row>
    <row r="167" spans="1:31" x14ac:dyDescent="0.25">
      <c r="A167">
        <v>1159</v>
      </c>
      <c r="B167" t="s">
        <v>420</v>
      </c>
      <c r="C167" t="s">
        <v>61</v>
      </c>
      <c r="D167" s="35">
        <v>272193.64</v>
      </c>
      <c r="E167">
        <v>1246269418</v>
      </c>
      <c r="F167" s="324">
        <v>46148</v>
      </c>
      <c r="H167" t="s">
        <v>28</v>
      </c>
      <c r="I167" t="s">
        <v>29</v>
      </c>
      <c r="J167">
        <v>10988</v>
      </c>
      <c r="K167" s="324">
        <v>46108</v>
      </c>
      <c r="L167">
        <v>1010100</v>
      </c>
      <c r="M167" t="s">
        <v>35</v>
      </c>
      <c r="N167">
        <v>-36</v>
      </c>
      <c r="O167" s="32">
        <v>0</v>
      </c>
      <c r="P167" s="32">
        <v>0</v>
      </c>
      <c r="Q167" s="32">
        <v>272193.64</v>
      </c>
      <c r="R167" s="32">
        <v>0</v>
      </c>
      <c r="S167" s="32">
        <v>0</v>
      </c>
      <c r="T167" s="32">
        <v>0</v>
      </c>
      <c r="U167" s="32">
        <v>0</v>
      </c>
      <c r="V167" s="32">
        <v>0</v>
      </c>
      <c r="W167" s="32">
        <v>0</v>
      </c>
      <c r="X167" s="32">
        <v>0</v>
      </c>
      <c r="Y167" s="32">
        <v>0</v>
      </c>
      <c r="Z167" s="32">
        <v>0</v>
      </c>
      <c r="AA167" s="32">
        <v>0</v>
      </c>
      <c r="AB167" s="32">
        <v>0</v>
      </c>
      <c r="AC167" s="32" t="s">
        <v>540</v>
      </c>
      <c r="AD167" s="32"/>
      <c r="AE167" s="32">
        <v>0</v>
      </c>
    </row>
    <row r="168" spans="1:31" x14ac:dyDescent="0.25">
      <c r="A168">
        <v>1159</v>
      </c>
      <c r="B168" t="s">
        <v>420</v>
      </c>
      <c r="C168" t="s">
        <v>61</v>
      </c>
      <c r="D168" s="35">
        <v>149246.39999999999</v>
      </c>
      <c r="E168">
        <v>1246267833</v>
      </c>
      <c r="F168" s="324">
        <v>46137</v>
      </c>
      <c r="H168" t="s">
        <v>28</v>
      </c>
      <c r="I168" t="s">
        <v>29</v>
      </c>
      <c r="J168">
        <v>10893</v>
      </c>
      <c r="K168" s="324">
        <v>46097</v>
      </c>
      <c r="L168">
        <v>1010100</v>
      </c>
      <c r="M168" t="s">
        <v>35</v>
      </c>
      <c r="N168">
        <v>-25</v>
      </c>
      <c r="O168" s="32">
        <v>0</v>
      </c>
      <c r="P168" s="32">
        <v>0</v>
      </c>
      <c r="Q168" s="32">
        <v>149246.39999999999</v>
      </c>
      <c r="R168" s="32">
        <v>0</v>
      </c>
      <c r="S168" s="32">
        <v>0</v>
      </c>
      <c r="T168" s="32">
        <v>0</v>
      </c>
      <c r="U168" s="32">
        <v>0</v>
      </c>
      <c r="V168" s="32">
        <v>0</v>
      </c>
      <c r="W168" s="32">
        <v>0</v>
      </c>
      <c r="X168" s="32">
        <v>0</v>
      </c>
      <c r="Y168" s="32">
        <v>0</v>
      </c>
      <c r="Z168" s="32">
        <v>0</v>
      </c>
      <c r="AA168" s="32">
        <v>0</v>
      </c>
      <c r="AB168" s="32">
        <v>0</v>
      </c>
      <c r="AC168" s="32" t="s">
        <v>540</v>
      </c>
      <c r="AD168" s="32"/>
      <c r="AE168" s="32">
        <v>0</v>
      </c>
    </row>
    <row r="169" spans="1:31" x14ac:dyDescent="0.25">
      <c r="A169">
        <v>1159</v>
      </c>
      <c r="B169" t="s">
        <v>420</v>
      </c>
      <c r="C169" t="s">
        <v>61</v>
      </c>
      <c r="D169" s="35">
        <v>272465.2</v>
      </c>
      <c r="E169">
        <v>1246268414</v>
      </c>
      <c r="F169" s="324">
        <v>46140</v>
      </c>
      <c r="H169" t="s">
        <v>28</v>
      </c>
      <c r="I169" t="s">
        <v>29</v>
      </c>
      <c r="J169">
        <v>10931</v>
      </c>
      <c r="K169" s="324">
        <v>46100</v>
      </c>
      <c r="L169">
        <v>1010100</v>
      </c>
      <c r="M169" t="s">
        <v>35</v>
      </c>
      <c r="N169">
        <v>-28</v>
      </c>
      <c r="O169" s="32">
        <v>0</v>
      </c>
      <c r="P169" s="32">
        <v>0</v>
      </c>
      <c r="Q169" s="32">
        <v>272465.2</v>
      </c>
      <c r="R169" s="32">
        <v>0</v>
      </c>
      <c r="S169" s="32">
        <v>0</v>
      </c>
      <c r="T169" s="32">
        <v>0</v>
      </c>
      <c r="U169" s="32">
        <v>0</v>
      </c>
      <c r="V169" s="32">
        <v>0</v>
      </c>
      <c r="W169" s="32">
        <v>0</v>
      </c>
      <c r="X169" s="32">
        <v>0</v>
      </c>
      <c r="Y169" s="32">
        <v>0</v>
      </c>
      <c r="Z169" s="32">
        <v>0</v>
      </c>
      <c r="AA169" s="32">
        <v>0</v>
      </c>
      <c r="AB169" s="32">
        <v>0</v>
      </c>
      <c r="AC169" s="32" t="s">
        <v>540</v>
      </c>
      <c r="AD169" s="32"/>
      <c r="AE169" s="32">
        <v>0</v>
      </c>
    </row>
    <row r="170" spans="1:31" x14ac:dyDescent="0.25">
      <c r="A170">
        <v>1159</v>
      </c>
      <c r="B170" t="s">
        <v>420</v>
      </c>
      <c r="C170" t="s">
        <v>61</v>
      </c>
      <c r="D170" s="35">
        <v>150851.20000000001</v>
      </c>
      <c r="E170">
        <v>1246267633</v>
      </c>
      <c r="F170" s="324">
        <v>46134</v>
      </c>
      <c r="H170" t="s">
        <v>28</v>
      </c>
      <c r="I170" t="s">
        <v>29</v>
      </c>
      <c r="J170">
        <v>10875</v>
      </c>
      <c r="K170" s="324">
        <v>46094</v>
      </c>
      <c r="L170">
        <v>1010100</v>
      </c>
      <c r="M170" t="s">
        <v>35</v>
      </c>
      <c r="N170">
        <v>-22</v>
      </c>
      <c r="O170" s="32">
        <v>0</v>
      </c>
      <c r="P170" s="32">
        <v>0</v>
      </c>
      <c r="Q170" s="32">
        <v>150851.20000000001</v>
      </c>
      <c r="R170" s="32">
        <v>0</v>
      </c>
      <c r="S170" s="32">
        <v>0</v>
      </c>
      <c r="T170" s="32">
        <v>0</v>
      </c>
      <c r="U170" s="32">
        <v>0</v>
      </c>
      <c r="V170" s="32">
        <v>0</v>
      </c>
      <c r="W170" s="32">
        <v>0</v>
      </c>
      <c r="X170" s="32">
        <v>0</v>
      </c>
      <c r="Y170" s="32">
        <v>0</v>
      </c>
      <c r="Z170" s="32">
        <v>0</v>
      </c>
      <c r="AA170" s="32">
        <v>0</v>
      </c>
      <c r="AB170" s="32">
        <v>0</v>
      </c>
      <c r="AC170" s="32" t="s">
        <v>540</v>
      </c>
      <c r="AD170" s="32"/>
      <c r="AE170" s="32">
        <v>0</v>
      </c>
    </row>
    <row r="171" spans="1:31" x14ac:dyDescent="0.25">
      <c r="A171">
        <v>1159</v>
      </c>
      <c r="B171" t="s">
        <v>420</v>
      </c>
      <c r="C171" t="s">
        <v>61</v>
      </c>
      <c r="D171" s="35">
        <v>272555.71999999997</v>
      </c>
      <c r="E171">
        <v>1246268636</v>
      </c>
      <c r="F171" s="324">
        <v>46144</v>
      </c>
      <c r="H171" t="s">
        <v>28</v>
      </c>
      <c r="I171" t="s">
        <v>29</v>
      </c>
      <c r="J171">
        <v>10958</v>
      </c>
      <c r="K171" s="324">
        <v>46104</v>
      </c>
      <c r="L171">
        <v>1010100</v>
      </c>
      <c r="M171" t="s">
        <v>35</v>
      </c>
      <c r="N171">
        <v>-32</v>
      </c>
      <c r="O171" s="32">
        <v>0</v>
      </c>
      <c r="P171" s="32">
        <v>0</v>
      </c>
      <c r="Q171" s="32">
        <v>272555.71999999997</v>
      </c>
      <c r="R171" s="32">
        <v>0</v>
      </c>
      <c r="S171" s="32">
        <v>0</v>
      </c>
      <c r="T171" s="32">
        <v>0</v>
      </c>
      <c r="U171" s="32">
        <v>0</v>
      </c>
      <c r="V171" s="32">
        <v>0</v>
      </c>
      <c r="W171" s="32">
        <v>0</v>
      </c>
      <c r="X171" s="32">
        <v>0</v>
      </c>
      <c r="Y171" s="32">
        <v>0</v>
      </c>
      <c r="Z171" s="32">
        <v>0</v>
      </c>
      <c r="AA171" s="32">
        <v>0</v>
      </c>
      <c r="AB171" s="32">
        <v>0</v>
      </c>
      <c r="AC171" s="32" t="s">
        <v>540</v>
      </c>
      <c r="AD171" s="32"/>
      <c r="AE171" s="32">
        <v>0</v>
      </c>
    </row>
    <row r="172" spans="1:31" x14ac:dyDescent="0.25">
      <c r="A172">
        <v>1159</v>
      </c>
      <c r="B172" t="s">
        <v>420</v>
      </c>
      <c r="C172" t="s">
        <v>61</v>
      </c>
      <c r="D172" s="35">
        <v>271560</v>
      </c>
      <c r="E172">
        <v>1246264420</v>
      </c>
      <c r="F172" s="324">
        <v>46113</v>
      </c>
      <c r="H172" t="s">
        <v>28</v>
      </c>
      <c r="I172" t="s">
        <v>29</v>
      </c>
      <c r="J172">
        <v>10736</v>
      </c>
      <c r="K172" s="324">
        <v>46073</v>
      </c>
      <c r="L172">
        <v>1010100</v>
      </c>
      <c r="M172" t="s">
        <v>35</v>
      </c>
      <c r="N172">
        <v>-1</v>
      </c>
      <c r="O172" s="32">
        <v>0</v>
      </c>
      <c r="P172" s="32">
        <v>0</v>
      </c>
      <c r="Q172" s="32">
        <v>271560</v>
      </c>
      <c r="R172" s="32">
        <v>0</v>
      </c>
      <c r="S172" s="32">
        <v>0</v>
      </c>
      <c r="T172" s="32">
        <v>0</v>
      </c>
      <c r="U172" s="32">
        <v>0</v>
      </c>
      <c r="V172" s="32">
        <v>0</v>
      </c>
      <c r="W172" s="32">
        <v>0</v>
      </c>
      <c r="X172" s="32">
        <v>0</v>
      </c>
      <c r="Y172" s="32">
        <v>0</v>
      </c>
      <c r="Z172" s="32">
        <v>0</v>
      </c>
      <c r="AA172" s="32">
        <v>0</v>
      </c>
      <c r="AB172" s="32">
        <v>0</v>
      </c>
      <c r="AC172" s="32" t="s">
        <v>540</v>
      </c>
      <c r="AD172" s="32"/>
      <c r="AE172" s="32">
        <v>0</v>
      </c>
    </row>
    <row r="173" spans="1:31" x14ac:dyDescent="0.25">
      <c r="A173">
        <v>456</v>
      </c>
      <c r="B173" t="s">
        <v>658</v>
      </c>
      <c r="C173" t="s">
        <v>714</v>
      </c>
      <c r="D173" s="35">
        <v>99532</v>
      </c>
      <c r="E173">
        <v>1246268583</v>
      </c>
      <c r="F173" s="324">
        <v>46129</v>
      </c>
      <c r="H173" t="s">
        <v>28</v>
      </c>
      <c r="I173" t="s">
        <v>29</v>
      </c>
      <c r="J173">
        <v>10952</v>
      </c>
      <c r="K173" s="324">
        <v>46101</v>
      </c>
      <c r="L173">
        <v>1010100</v>
      </c>
      <c r="M173" t="s">
        <v>35</v>
      </c>
      <c r="N173">
        <v>-17</v>
      </c>
      <c r="O173" s="32">
        <v>0</v>
      </c>
      <c r="P173" s="32">
        <v>0</v>
      </c>
      <c r="Q173" s="32">
        <v>99532</v>
      </c>
      <c r="R173" s="32">
        <v>0</v>
      </c>
      <c r="S173" s="32">
        <v>0</v>
      </c>
      <c r="T173" s="32">
        <v>0</v>
      </c>
      <c r="U173" s="32">
        <v>0</v>
      </c>
      <c r="V173" s="32">
        <v>0</v>
      </c>
      <c r="W173" s="32">
        <v>0</v>
      </c>
      <c r="X173" s="32">
        <v>0</v>
      </c>
      <c r="Y173" s="32">
        <v>0</v>
      </c>
      <c r="Z173" s="32">
        <v>0</v>
      </c>
      <c r="AA173" s="32">
        <v>0</v>
      </c>
      <c r="AB173" s="32">
        <v>0</v>
      </c>
      <c r="AC173" s="32" t="s">
        <v>475</v>
      </c>
      <c r="AD173" s="32"/>
      <c r="AE173" s="32">
        <v>0</v>
      </c>
    </row>
    <row r="174" spans="1:31" x14ac:dyDescent="0.25">
      <c r="A174">
        <v>456</v>
      </c>
      <c r="B174" t="s">
        <v>658</v>
      </c>
      <c r="C174" t="s">
        <v>714</v>
      </c>
      <c r="D174" s="35">
        <v>3393</v>
      </c>
      <c r="E174">
        <v>1246245610</v>
      </c>
      <c r="F174" s="324">
        <v>45973</v>
      </c>
      <c r="H174" t="s">
        <v>28</v>
      </c>
      <c r="I174" t="s">
        <v>29</v>
      </c>
      <c r="J174">
        <v>9692</v>
      </c>
      <c r="K174" s="324">
        <v>45945</v>
      </c>
      <c r="L174">
        <v>1010100</v>
      </c>
      <c r="M174" t="s">
        <v>35</v>
      </c>
      <c r="N174">
        <v>139</v>
      </c>
      <c r="O174" s="32">
        <v>0</v>
      </c>
      <c r="P174" s="32">
        <v>101.78999999999999</v>
      </c>
      <c r="Q174" s="32">
        <v>0</v>
      </c>
      <c r="R174" s="32">
        <v>0</v>
      </c>
      <c r="S174" s="32">
        <v>3393</v>
      </c>
      <c r="T174" s="32">
        <v>0</v>
      </c>
      <c r="U174" s="32">
        <v>0</v>
      </c>
      <c r="V174" s="32">
        <v>0</v>
      </c>
      <c r="W174" s="32">
        <v>101.78999999999999</v>
      </c>
      <c r="X174" s="32">
        <v>0</v>
      </c>
      <c r="Y174" s="32">
        <v>0</v>
      </c>
      <c r="Z174" s="32">
        <v>0</v>
      </c>
      <c r="AA174" s="32">
        <v>0</v>
      </c>
      <c r="AB174" s="32">
        <v>101.78999999999999</v>
      </c>
      <c r="AC174" s="32" t="s">
        <v>475</v>
      </c>
      <c r="AD174" s="32"/>
      <c r="AE174" s="32">
        <v>0</v>
      </c>
    </row>
    <row r="175" spans="1:31" x14ac:dyDescent="0.25">
      <c r="A175">
        <v>3232</v>
      </c>
      <c r="B175" t="s">
        <v>532</v>
      </c>
      <c r="C175" t="s">
        <v>477</v>
      </c>
      <c r="D175" s="35">
        <v>169290.6</v>
      </c>
      <c r="E175">
        <v>1246269505</v>
      </c>
      <c r="F175" s="324">
        <v>46138</v>
      </c>
      <c r="H175" t="s">
        <v>28</v>
      </c>
      <c r="I175" t="s">
        <v>29</v>
      </c>
      <c r="J175">
        <v>10997</v>
      </c>
      <c r="K175" s="324">
        <v>46108</v>
      </c>
      <c r="L175">
        <v>1010100</v>
      </c>
      <c r="M175" t="s">
        <v>35</v>
      </c>
      <c r="N175">
        <v>-26</v>
      </c>
      <c r="O175" s="32">
        <v>0</v>
      </c>
      <c r="P175" s="32">
        <v>0</v>
      </c>
      <c r="Q175" s="32">
        <v>169290.6</v>
      </c>
      <c r="R175" s="32">
        <v>0</v>
      </c>
      <c r="S175" s="32">
        <v>0</v>
      </c>
      <c r="T175" s="32">
        <v>0</v>
      </c>
      <c r="U175" s="32">
        <v>0</v>
      </c>
      <c r="V175" s="32">
        <v>0</v>
      </c>
      <c r="W175" s="32">
        <v>0</v>
      </c>
      <c r="X175" s="32">
        <v>0</v>
      </c>
      <c r="Y175" s="32">
        <v>0</v>
      </c>
      <c r="Z175" s="32">
        <v>0</v>
      </c>
      <c r="AA175" s="32">
        <v>0</v>
      </c>
      <c r="AB175" s="32">
        <v>0</v>
      </c>
      <c r="AC175" s="32" t="s">
        <v>475</v>
      </c>
      <c r="AD175" s="32"/>
      <c r="AE175" s="32">
        <v>0</v>
      </c>
    </row>
    <row r="176" spans="1:31" x14ac:dyDescent="0.25">
      <c r="A176">
        <v>3232</v>
      </c>
      <c r="B176" t="s">
        <v>532</v>
      </c>
      <c r="C176" t="s">
        <v>477</v>
      </c>
      <c r="D176" s="35">
        <v>169573.6</v>
      </c>
      <c r="E176">
        <v>1246266098</v>
      </c>
      <c r="F176" s="324">
        <v>46114</v>
      </c>
      <c r="H176" t="s">
        <v>28</v>
      </c>
      <c r="I176" t="s">
        <v>29</v>
      </c>
      <c r="J176">
        <v>10802</v>
      </c>
      <c r="K176" s="324">
        <v>46084</v>
      </c>
      <c r="L176">
        <v>1010100</v>
      </c>
      <c r="M176" t="s">
        <v>35</v>
      </c>
      <c r="N176">
        <v>-2</v>
      </c>
      <c r="O176" s="32">
        <v>0</v>
      </c>
      <c r="P176" s="32">
        <v>0</v>
      </c>
      <c r="Q176" s="32">
        <v>169573.6</v>
      </c>
      <c r="R176" s="32">
        <v>0</v>
      </c>
      <c r="S176" s="32">
        <v>0</v>
      </c>
      <c r="T176" s="32">
        <v>0</v>
      </c>
      <c r="U176" s="32">
        <v>0</v>
      </c>
      <c r="V176" s="32">
        <v>0</v>
      </c>
      <c r="W176" s="32">
        <v>0</v>
      </c>
      <c r="X176" s="32">
        <v>0</v>
      </c>
      <c r="Y176" s="32">
        <v>0</v>
      </c>
      <c r="Z176" s="32">
        <v>0</v>
      </c>
      <c r="AA176" s="32">
        <v>0</v>
      </c>
      <c r="AB176" s="32">
        <v>0</v>
      </c>
      <c r="AC176" s="32" t="s">
        <v>475</v>
      </c>
      <c r="AD176" s="32"/>
      <c r="AE176" s="32">
        <v>0</v>
      </c>
    </row>
    <row r="177" spans="1:31" x14ac:dyDescent="0.25">
      <c r="A177">
        <v>2992</v>
      </c>
      <c r="B177" t="s">
        <v>422</v>
      </c>
      <c r="C177" t="s">
        <v>88</v>
      </c>
      <c r="D177" s="35">
        <v>10200.799999999999</v>
      </c>
      <c r="E177">
        <v>1246228457</v>
      </c>
      <c r="F177" s="324">
        <v>46101</v>
      </c>
      <c r="H177" t="s">
        <v>28</v>
      </c>
      <c r="I177" t="s">
        <v>29</v>
      </c>
      <c r="J177">
        <v>4377</v>
      </c>
      <c r="K177" s="324">
        <v>45493</v>
      </c>
      <c r="L177">
        <v>1010100</v>
      </c>
      <c r="M177" t="s">
        <v>35</v>
      </c>
      <c r="N177">
        <v>11</v>
      </c>
      <c r="O177" s="32">
        <v>0</v>
      </c>
      <c r="P177" s="32">
        <v>0</v>
      </c>
      <c r="Q177" s="32">
        <v>0</v>
      </c>
      <c r="R177" s="32">
        <v>10200.799999999999</v>
      </c>
      <c r="S177" s="32">
        <v>0</v>
      </c>
      <c r="T177" s="32">
        <v>0</v>
      </c>
      <c r="U177" s="32">
        <v>0</v>
      </c>
      <c r="V177" s="32">
        <v>0</v>
      </c>
      <c r="W177" s="32">
        <v>0</v>
      </c>
      <c r="X177" s="32">
        <v>0</v>
      </c>
      <c r="Y177" s="32">
        <v>0</v>
      </c>
      <c r="Z177" s="32">
        <v>0</v>
      </c>
      <c r="AA177" s="32">
        <v>0</v>
      </c>
      <c r="AB177" s="32">
        <v>0</v>
      </c>
      <c r="AC177" s="32" t="s">
        <v>475</v>
      </c>
      <c r="AD177" s="32"/>
      <c r="AE177" s="32">
        <v>0</v>
      </c>
    </row>
    <row r="178" spans="1:31" x14ac:dyDescent="0.25">
      <c r="A178">
        <v>2992</v>
      </c>
      <c r="B178" t="s">
        <v>422</v>
      </c>
      <c r="C178" t="s">
        <v>88</v>
      </c>
      <c r="D178" s="35">
        <v>10200.799999999999</v>
      </c>
      <c r="E178">
        <v>1246228456</v>
      </c>
      <c r="F178" s="324">
        <v>46133</v>
      </c>
      <c r="H178" t="s">
        <v>28</v>
      </c>
      <c r="I178" t="s">
        <v>29</v>
      </c>
      <c r="J178">
        <v>4377</v>
      </c>
      <c r="K178" s="324">
        <v>45493</v>
      </c>
      <c r="L178">
        <v>1010100</v>
      </c>
      <c r="M178" t="s">
        <v>35</v>
      </c>
      <c r="N178">
        <v>-21</v>
      </c>
      <c r="O178" s="32">
        <v>0</v>
      </c>
      <c r="P178" s="32">
        <v>0</v>
      </c>
      <c r="Q178" s="32">
        <v>10200.799999999999</v>
      </c>
      <c r="R178" s="32">
        <v>0</v>
      </c>
      <c r="S178" s="32">
        <v>0</v>
      </c>
      <c r="T178" s="32">
        <v>0</v>
      </c>
      <c r="U178" s="32">
        <v>0</v>
      </c>
      <c r="V178" s="32">
        <v>0</v>
      </c>
      <c r="W178" s="32">
        <v>0</v>
      </c>
      <c r="X178" s="32">
        <v>0</v>
      </c>
      <c r="Y178" s="32">
        <v>0</v>
      </c>
      <c r="Z178" s="32">
        <v>0</v>
      </c>
      <c r="AA178" s="32">
        <v>0</v>
      </c>
      <c r="AB178" s="32">
        <v>0</v>
      </c>
      <c r="AC178" s="32" t="s">
        <v>475</v>
      </c>
      <c r="AD178" s="32"/>
      <c r="AE178" s="32">
        <v>0</v>
      </c>
    </row>
    <row r="179" spans="1:31" x14ac:dyDescent="0.25">
      <c r="A179">
        <v>215</v>
      </c>
      <c r="B179" t="s">
        <v>417</v>
      </c>
      <c r="C179" t="s">
        <v>883</v>
      </c>
      <c r="D179" s="35">
        <v>234720</v>
      </c>
      <c r="E179">
        <v>1246267628</v>
      </c>
      <c r="F179" s="324">
        <v>46122</v>
      </c>
      <c r="H179" t="s">
        <v>28</v>
      </c>
      <c r="I179" t="s">
        <v>29</v>
      </c>
      <c r="J179">
        <v>2811</v>
      </c>
      <c r="K179" s="324">
        <v>46094</v>
      </c>
      <c r="L179">
        <v>1010100</v>
      </c>
      <c r="M179" t="s">
        <v>35</v>
      </c>
      <c r="N179">
        <v>-10</v>
      </c>
      <c r="O179" s="32">
        <v>0</v>
      </c>
      <c r="P179" s="32">
        <v>0</v>
      </c>
      <c r="Q179" s="32">
        <v>234720</v>
      </c>
      <c r="R179" s="32">
        <v>0</v>
      </c>
      <c r="S179" s="32">
        <v>0</v>
      </c>
      <c r="T179" s="32">
        <v>0</v>
      </c>
      <c r="U179" s="32">
        <v>0</v>
      </c>
      <c r="V179" s="32">
        <v>0</v>
      </c>
      <c r="W179" s="32">
        <v>0</v>
      </c>
      <c r="X179" s="32">
        <v>0</v>
      </c>
      <c r="Y179" s="32">
        <v>0</v>
      </c>
      <c r="Z179" s="32">
        <v>0</v>
      </c>
      <c r="AA179" s="32">
        <v>0</v>
      </c>
      <c r="AB179" s="32">
        <v>0</v>
      </c>
      <c r="AC179" s="32" t="s">
        <v>475</v>
      </c>
      <c r="AD179" s="32"/>
      <c r="AE179" s="32">
        <v>0</v>
      </c>
    </row>
    <row r="180" spans="1:31" x14ac:dyDescent="0.25">
      <c r="A180">
        <v>215</v>
      </c>
      <c r="B180" t="s">
        <v>417</v>
      </c>
      <c r="C180" t="s">
        <v>883</v>
      </c>
      <c r="D180" s="35">
        <v>117360</v>
      </c>
      <c r="E180">
        <v>1246267630</v>
      </c>
      <c r="F180" s="324">
        <v>46122</v>
      </c>
      <c r="H180" t="s">
        <v>28</v>
      </c>
      <c r="I180" t="s">
        <v>29</v>
      </c>
      <c r="J180">
        <v>2812</v>
      </c>
      <c r="K180" s="324">
        <v>46094</v>
      </c>
      <c r="L180">
        <v>1010100</v>
      </c>
      <c r="M180" t="s">
        <v>35</v>
      </c>
      <c r="N180">
        <v>-10</v>
      </c>
      <c r="O180" s="32">
        <v>0</v>
      </c>
      <c r="P180" s="32">
        <v>0</v>
      </c>
      <c r="Q180" s="32">
        <v>117360</v>
      </c>
      <c r="R180" s="32">
        <v>0</v>
      </c>
      <c r="S180" s="32">
        <v>0</v>
      </c>
      <c r="T180" s="32">
        <v>0</v>
      </c>
      <c r="U180" s="32">
        <v>0</v>
      </c>
      <c r="V180" s="32">
        <v>0</v>
      </c>
      <c r="W180" s="32">
        <v>0</v>
      </c>
      <c r="X180" s="32">
        <v>0</v>
      </c>
      <c r="Y180" s="32">
        <v>0</v>
      </c>
      <c r="Z180" s="32">
        <v>0</v>
      </c>
      <c r="AA180" s="32">
        <v>0</v>
      </c>
      <c r="AB180" s="32">
        <v>0</v>
      </c>
      <c r="AC180" s="32" t="s">
        <v>475</v>
      </c>
      <c r="AD180" s="32"/>
      <c r="AE180" s="32">
        <v>0</v>
      </c>
    </row>
    <row r="181" spans="1:31" x14ac:dyDescent="0.25">
      <c r="A181">
        <v>2949</v>
      </c>
      <c r="B181" t="s">
        <v>500</v>
      </c>
      <c r="C181" t="s">
        <v>859</v>
      </c>
      <c r="D181" s="35">
        <v>67841.5</v>
      </c>
      <c r="E181">
        <v>1246265741</v>
      </c>
      <c r="F181" s="324">
        <v>46170</v>
      </c>
      <c r="H181" t="s">
        <v>28</v>
      </c>
      <c r="I181" t="s">
        <v>29</v>
      </c>
      <c r="J181">
        <v>10785</v>
      </c>
      <c r="K181" s="324">
        <v>46080</v>
      </c>
      <c r="L181">
        <v>1010100</v>
      </c>
      <c r="M181" t="s">
        <v>35</v>
      </c>
      <c r="N181">
        <v>-58</v>
      </c>
      <c r="O181" s="32">
        <v>0</v>
      </c>
      <c r="P181" s="32">
        <v>0</v>
      </c>
      <c r="Q181" s="32">
        <v>67841.5</v>
      </c>
      <c r="R181" s="32">
        <v>0</v>
      </c>
      <c r="S181" s="32">
        <v>0</v>
      </c>
      <c r="T181" s="32">
        <v>0</v>
      </c>
      <c r="U181" s="32">
        <v>0</v>
      </c>
      <c r="V181" s="32">
        <v>0</v>
      </c>
      <c r="W181" s="32">
        <v>0</v>
      </c>
      <c r="X181" s="32">
        <v>0</v>
      </c>
      <c r="Y181" s="32">
        <v>0</v>
      </c>
      <c r="Z181" s="32">
        <v>0</v>
      </c>
      <c r="AA181" s="32">
        <v>0</v>
      </c>
      <c r="AB181" s="32">
        <v>0</v>
      </c>
      <c r="AC181" s="32" t="s">
        <v>540</v>
      </c>
      <c r="AD181" s="32"/>
      <c r="AE181" s="32">
        <v>0</v>
      </c>
    </row>
    <row r="182" spans="1:31" x14ac:dyDescent="0.25">
      <c r="A182">
        <v>6124</v>
      </c>
      <c r="B182" t="s">
        <v>500</v>
      </c>
      <c r="C182" t="s">
        <v>96</v>
      </c>
      <c r="D182" s="35">
        <v>51376.4</v>
      </c>
      <c r="E182">
        <v>1246260189</v>
      </c>
      <c r="F182" s="324">
        <v>46132</v>
      </c>
      <c r="H182" t="s">
        <v>28</v>
      </c>
      <c r="I182" t="s">
        <v>29</v>
      </c>
      <c r="J182">
        <v>10535</v>
      </c>
      <c r="K182" s="324">
        <v>46042</v>
      </c>
      <c r="L182">
        <v>1010100</v>
      </c>
      <c r="M182" t="s">
        <v>35</v>
      </c>
      <c r="N182">
        <v>-20</v>
      </c>
      <c r="O182" s="32">
        <v>0</v>
      </c>
      <c r="P182" s="32">
        <v>0</v>
      </c>
      <c r="Q182" s="32">
        <v>51376.4</v>
      </c>
      <c r="R182" s="32">
        <v>0</v>
      </c>
      <c r="S182" s="32">
        <v>0</v>
      </c>
      <c r="T182" s="32">
        <v>0</v>
      </c>
      <c r="U182" s="32">
        <v>0</v>
      </c>
      <c r="V182" s="32">
        <v>0</v>
      </c>
      <c r="W182" s="32">
        <v>0</v>
      </c>
      <c r="X182" s="32">
        <v>0</v>
      </c>
      <c r="Y182" s="32">
        <v>0</v>
      </c>
      <c r="Z182" s="32">
        <v>0</v>
      </c>
      <c r="AA182" s="32">
        <v>0</v>
      </c>
      <c r="AB182" s="32">
        <v>0</v>
      </c>
      <c r="AC182" s="32" t="s">
        <v>540</v>
      </c>
      <c r="AD182" s="32"/>
      <c r="AE182" s="32">
        <v>0</v>
      </c>
    </row>
    <row r="183" spans="1:31" x14ac:dyDescent="0.25">
      <c r="A183">
        <v>6124</v>
      </c>
      <c r="B183" t="s">
        <v>500</v>
      </c>
      <c r="C183" t="s">
        <v>96</v>
      </c>
      <c r="D183" s="35">
        <v>417259.92</v>
      </c>
      <c r="E183">
        <v>1246267573</v>
      </c>
      <c r="F183" s="324">
        <v>46153</v>
      </c>
      <c r="H183" t="s">
        <v>28</v>
      </c>
      <c r="I183" t="s">
        <v>29</v>
      </c>
      <c r="J183">
        <v>2808</v>
      </c>
      <c r="K183" s="324">
        <v>46093</v>
      </c>
      <c r="L183">
        <v>1010100</v>
      </c>
      <c r="M183" t="s">
        <v>35</v>
      </c>
      <c r="N183">
        <v>-41</v>
      </c>
      <c r="O183" s="32">
        <v>0</v>
      </c>
      <c r="P183" s="32">
        <v>0</v>
      </c>
      <c r="Q183" s="32">
        <v>417259.92</v>
      </c>
      <c r="R183" s="32">
        <v>0</v>
      </c>
      <c r="S183" s="32">
        <v>0</v>
      </c>
      <c r="T183" s="32">
        <v>0</v>
      </c>
      <c r="U183" s="32">
        <v>0</v>
      </c>
      <c r="V183" s="32">
        <v>0</v>
      </c>
      <c r="W183" s="32">
        <v>0</v>
      </c>
      <c r="X183" s="32">
        <v>0</v>
      </c>
      <c r="Y183" s="32">
        <v>0</v>
      </c>
      <c r="Z183" s="32">
        <v>0</v>
      </c>
      <c r="AA183" s="32">
        <v>0</v>
      </c>
      <c r="AB183" s="32">
        <v>0</v>
      </c>
      <c r="AC183" s="32" t="s">
        <v>540</v>
      </c>
      <c r="AD183" s="32"/>
      <c r="AE183" s="32">
        <v>0</v>
      </c>
    </row>
    <row r="184" spans="1:31" x14ac:dyDescent="0.25">
      <c r="A184">
        <v>6124</v>
      </c>
      <c r="B184" t="s">
        <v>500</v>
      </c>
      <c r="C184" t="s">
        <v>96</v>
      </c>
      <c r="D184" s="35">
        <v>55246.400000000001</v>
      </c>
      <c r="E184">
        <v>1246264147</v>
      </c>
      <c r="F184" s="324">
        <v>46162</v>
      </c>
      <c r="H184" t="s">
        <v>28</v>
      </c>
      <c r="I184" t="s">
        <v>29</v>
      </c>
      <c r="J184">
        <v>10720</v>
      </c>
      <c r="K184" s="324">
        <v>46072</v>
      </c>
      <c r="L184">
        <v>1010100</v>
      </c>
      <c r="M184" t="s">
        <v>35</v>
      </c>
      <c r="N184">
        <v>-50</v>
      </c>
      <c r="O184" s="32">
        <v>0</v>
      </c>
      <c r="P184" s="32">
        <v>0</v>
      </c>
      <c r="Q184" s="32">
        <v>55246.400000000001</v>
      </c>
      <c r="R184" s="32">
        <v>0</v>
      </c>
      <c r="S184" s="32">
        <v>0</v>
      </c>
      <c r="T184" s="32">
        <v>0</v>
      </c>
      <c r="U184" s="32">
        <v>0</v>
      </c>
      <c r="V184" s="32">
        <v>0</v>
      </c>
      <c r="W184" s="32">
        <v>0</v>
      </c>
      <c r="X184" s="32">
        <v>0</v>
      </c>
      <c r="Y184" s="32">
        <v>0</v>
      </c>
      <c r="Z184" s="32">
        <v>0</v>
      </c>
      <c r="AA184" s="32">
        <v>0</v>
      </c>
      <c r="AB184" s="32">
        <v>0</v>
      </c>
      <c r="AC184" s="32" t="s">
        <v>540</v>
      </c>
      <c r="AD184" s="32"/>
      <c r="AE184" s="32">
        <v>0</v>
      </c>
    </row>
    <row r="185" spans="1:31" x14ac:dyDescent="0.25">
      <c r="A185">
        <v>6124</v>
      </c>
      <c r="B185" t="s">
        <v>500</v>
      </c>
      <c r="C185" t="s">
        <v>96</v>
      </c>
      <c r="D185" s="35">
        <v>52374</v>
      </c>
      <c r="E185">
        <v>1246267926</v>
      </c>
      <c r="F185" s="324">
        <v>46187</v>
      </c>
      <c r="H185" t="s">
        <v>28</v>
      </c>
      <c r="I185" t="s">
        <v>29</v>
      </c>
      <c r="J185">
        <v>10897</v>
      </c>
      <c r="K185" s="324">
        <v>46097</v>
      </c>
      <c r="L185">
        <v>1010100</v>
      </c>
      <c r="M185" t="s">
        <v>35</v>
      </c>
      <c r="N185">
        <v>-75</v>
      </c>
      <c r="O185" s="32">
        <v>0</v>
      </c>
      <c r="P185" s="32">
        <v>0</v>
      </c>
      <c r="Q185" s="32">
        <v>52374</v>
      </c>
      <c r="R185" s="32">
        <v>0</v>
      </c>
      <c r="S185" s="32">
        <v>0</v>
      </c>
      <c r="T185" s="32">
        <v>0</v>
      </c>
      <c r="U185" s="32">
        <v>0</v>
      </c>
      <c r="V185" s="32">
        <v>0</v>
      </c>
      <c r="W185" s="32">
        <v>0</v>
      </c>
      <c r="X185" s="32">
        <v>0</v>
      </c>
      <c r="Y185" s="32">
        <v>0</v>
      </c>
      <c r="Z185" s="32">
        <v>0</v>
      </c>
      <c r="AA185" s="32">
        <v>0</v>
      </c>
      <c r="AB185" s="32">
        <v>0</v>
      </c>
      <c r="AC185" s="32" t="s">
        <v>540</v>
      </c>
      <c r="AD185" s="32"/>
      <c r="AE185" s="32">
        <v>0</v>
      </c>
    </row>
    <row r="186" spans="1:31" x14ac:dyDescent="0.25">
      <c r="A186">
        <v>6124</v>
      </c>
      <c r="B186" t="s">
        <v>500</v>
      </c>
      <c r="C186" t="s">
        <v>96</v>
      </c>
      <c r="D186" s="35">
        <v>425218.51</v>
      </c>
      <c r="E186">
        <v>1246262612</v>
      </c>
      <c r="F186" s="324">
        <v>46119</v>
      </c>
      <c r="H186" t="s">
        <v>28</v>
      </c>
      <c r="I186" t="s">
        <v>29</v>
      </c>
      <c r="J186">
        <v>2725</v>
      </c>
      <c r="K186" s="324">
        <v>46059</v>
      </c>
      <c r="L186">
        <v>1010100</v>
      </c>
      <c r="M186" t="s">
        <v>35</v>
      </c>
      <c r="N186">
        <v>-7</v>
      </c>
      <c r="O186" s="32">
        <v>0</v>
      </c>
      <c r="P186" s="32">
        <v>0</v>
      </c>
      <c r="Q186" s="32">
        <v>425218.51</v>
      </c>
      <c r="R186" s="32">
        <v>0</v>
      </c>
      <c r="S186" s="32">
        <v>0</v>
      </c>
      <c r="T186" s="32">
        <v>0</v>
      </c>
      <c r="U186" s="32">
        <v>0</v>
      </c>
      <c r="V186" s="32">
        <v>0</v>
      </c>
      <c r="W186" s="32">
        <v>0</v>
      </c>
      <c r="X186" s="32">
        <v>0</v>
      </c>
      <c r="Y186" s="32">
        <v>0</v>
      </c>
      <c r="Z186" s="32">
        <v>0</v>
      </c>
      <c r="AA186" s="32">
        <v>0</v>
      </c>
      <c r="AB186" s="32">
        <v>0</v>
      </c>
      <c r="AC186" s="32" t="s">
        <v>540</v>
      </c>
      <c r="AD186" s="32"/>
      <c r="AE186" s="32">
        <v>0</v>
      </c>
    </row>
    <row r="187" spans="1:31" x14ac:dyDescent="0.25">
      <c r="A187">
        <v>6124</v>
      </c>
      <c r="B187" t="s">
        <v>500</v>
      </c>
      <c r="C187" t="s">
        <v>96</v>
      </c>
      <c r="D187" s="35">
        <v>422856.82</v>
      </c>
      <c r="E187">
        <v>1246263813</v>
      </c>
      <c r="F187" s="324">
        <v>46129</v>
      </c>
      <c r="H187" t="s">
        <v>28</v>
      </c>
      <c r="I187" t="s">
        <v>29</v>
      </c>
      <c r="J187">
        <v>2744</v>
      </c>
      <c r="K187" s="324">
        <v>46069</v>
      </c>
      <c r="L187">
        <v>1010100</v>
      </c>
      <c r="M187" t="s">
        <v>35</v>
      </c>
      <c r="N187">
        <v>-17</v>
      </c>
      <c r="O187" s="32">
        <v>0</v>
      </c>
      <c r="P187" s="32">
        <v>0</v>
      </c>
      <c r="Q187" s="32">
        <v>422856.82</v>
      </c>
      <c r="R187" s="32">
        <v>0</v>
      </c>
      <c r="S187" s="32">
        <v>0</v>
      </c>
      <c r="T187" s="32">
        <v>0</v>
      </c>
      <c r="U187" s="32">
        <v>0</v>
      </c>
      <c r="V187" s="32">
        <v>0</v>
      </c>
      <c r="W187" s="32">
        <v>0</v>
      </c>
      <c r="X187" s="32">
        <v>0</v>
      </c>
      <c r="Y187" s="32">
        <v>0</v>
      </c>
      <c r="Z187" s="32">
        <v>0</v>
      </c>
      <c r="AA187" s="32">
        <v>0</v>
      </c>
      <c r="AB187" s="32">
        <v>0</v>
      </c>
      <c r="AC187" s="32" t="s">
        <v>540</v>
      </c>
      <c r="AD187" s="32"/>
      <c r="AE187" s="32">
        <v>0</v>
      </c>
    </row>
    <row r="188" spans="1:31" x14ac:dyDescent="0.25">
      <c r="A188">
        <v>7102</v>
      </c>
      <c r="B188" t="s">
        <v>500</v>
      </c>
      <c r="C188" t="s">
        <v>567</v>
      </c>
      <c r="D188" s="35">
        <v>62553.7</v>
      </c>
      <c r="E188">
        <v>1246262017</v>
      </c>
      <c r="F188" s="324">
        <v>46145</v>
      </c>
      <c r="H188" t="s">
        <v>28</v>
      </c>
      <c r="I188" t="s">
        <v>29</v>
      </c>
      <c r="J188">
        <v>10626</v>
      </c>
      <c r="K188" s="324">
        <v>46055</v>
      </c>
      <c r="L188">
        <v>1010100</v>
      </c>
      <c r="M188" t="s">
        <v>35</v>
      </c>
      <c r="N188">
        <v>-33</v>
      </c>
      <c r="O188" s="32">
        <v>0</v>
      </c>
      <c r="P188" s="32">
        <v>0</v>
      </c>
      <c r="Q188" s="32">
        <v>62553.7</v>
      </c>
      <c r="R188" s="32">
        <v>0</v>
      </c>
      <c r="S188" s="32">
        <v>0</v>
      </c>
      <c r="T188" s="32">
        <v>0</v>
      </c>
      <c r="U188" s="32">
        <v>0</v>
      </c>
      <c r="V188" s="32">
        <v>0</v>
      </c>
      <c r="W188" s="32">
        <v>0</v>
      </c>
      <c r="X188" s="32">
        <v>0</v>
      </c>
      <c r="Y188" s="32">
        <v>0</v>
      </c>
      <c r="Z188" s="32">
        <v>0</v>
      </c>
      <c r="AA188" s="32">
        <v>0</v>
      </c>
      <c r="AB188" s="32">
        <v>0</v>
      </c>
      <c r="AC188" s="32" t="s">
        <v>540</v>
      </c>
      <c r="AD188" s="32"/>
      <c r="AE188" s="32">
        <v>0</v>
      </c>
    </row>
    <row r="189" spans="1:31" x14ac:dyDescent="0.25">
      <c r="A189">
        <v>7102</v>
      </c>
      <c r="B189" t="s">
        <v>500</v>
      </c>
      <c r="C189" t="s">
        <v>567</v>
      </c>
      <c r="D189" s="35">
        <v>63055.3</v>
      </c>
      <c r="E189">
        <v>1246259121</v>
      </c>
      <c r="F189" s="324">
        <v>46124</v>
      </c>
      <c r="H189" t="s">
        <v>28</v>
      </c>
      <c r="I189" t="s">
        <v>29</v>
      </c>
      <c r="J189">
        <v>10455</v>
      </c>
      <c r="K189" s="324">
        <v>46034</v>
      </c>
      <c r="L189">
        <v>1010100</v>
      </c>
      <c r="M189" t="s">
        <v>35</v>
      </c>
      <c r="N189">
        <v>-12</v>
      </c>
      <c r="O189" s="32">
        <v>0</v>
      </c>
      <c r="P189" s="32">
        <v>0</v>
      </c>
      <c r="Q189" s="32">
        <v>63055.3</v>
      </c>
      <c r="R189" s="32">
        <v>0</v>
      </c>
      <c r="S189" s="32">
        <v>0</v>
      </c>
      <c r="T189" s="32">
        <v>0</v>
      </c>
      <c r="U189" s="32">
        <v>0</v>
      </c>
      <c r="V189" s="32">
        <v>0</v>
      </c>
      <c r="W189" s="32">
        <v>0</v>
      </c>
      <c r="X189" s="32">
        <v>0</v>
      </c>
      <c r="Y189" s="32">
        <v>0</v>
      </c>
      <c r="Z189" s="32">
        <v>0</v>
      </c>
      <c r="AA189" s="32">
        <v>0</v>
      </c>
      <c r="AB189" s="32">
        <v>0</v>
      </c>
      <c r="AC189" s="32" t="s">
        <v>540</v>
      </c>
      <c r="AD189" s="32"/>
      <c r="AE189" s="32">
        <v>0</v>
      </c>
    </row>
    <row r="190" spans="1:31" x14ac:dyDescent="0.25">
      <c r="A190">
        <v>7102</v>
      </c>
      <c r="B190" t="s">
        <v>500</v>
      </c>
      <c r="C190" t="s">
        <v>567</v>
      </c>
      <c r="D190" s="35">
        <v>62637.3</v>
      </c>
      <c r="E190">
        <v>1246268784</v>
      </c>
      <c r="F190" s="324">
        <v>46195</v>
      </c>
      <c r="H190" t="s">
        <v>28</v>
      </c>
      <c r="I190" t="s">
        <v>29</v>
      </c>
      <c r="J190">
        <v>10966</v>
      </c>
      <c r="K190" s="324">
        <v>46105</v>
      </c>
      <c r="L190">
        <v>1010100</v>
      </c>
      <c r="M190" t="s">
        <v>35</v>
      </c>
      <c r="N190">
        <v>-83</v>
      </c>
      <c r="O190" s="32">
        <v>0</v>
      </c>
      <c r="P190" s="32">
        <v>0</v>
      </c>
      <c r="Q190" s="32">
        <v>62637.3</v>
      </c>
      <c r="R190" s="32">
        <v>0</v>
      </c>
      <c r="S190" s="32">
        <v>0</v>
      </c>
      <c r="T190" s="32">
        <v>0</v>
      </c>
      <c r="U190" s="32">
        <v>0</v>
      </c>
      <c r="V190" s="32">
        <v>0</v>
      </c>
      <c r="W190" s="32">
        <v>0</v>
      </c>
      <c r="X190" s="32">
        <v>0</v>
      </c>
      <c r="Y190" s="32">
        <v>0</v>
      </c>
      <c r="Z190" s="32">
        <v>0</v>
      </c>
      <c r="AA190" s="32">
        <v>0</v>
      </c>
      <c r="AB190" s="32">
        <v>0</v>
      </c>
      <c r="AC190" s="32" t="s">
        <v>540</v>
      </c>
      <c r="AD190" s="32"/>
      <c r="AE190" s="32">
        <v>0</v>
      </c>
    </row>
    <row r="191" spans="1:31" x14ac:dyDescent="0.25">
      <c r="A191">
        <v>7102</v>
      </c>
      <c r="B191" t="s">
        <v>500</v>
      </c>
      <c r="C191" t="s">
        <v>567</v>
      </c>
      <c r="D191" s="35">
        <v>62888.1</v>
      </c>
      <c r="E191">
        <v>1246258714</v>
      </c>
      <c r="F191" s="324">
        <v>46119</v>
      </c>
      <c r="H191" t="s">
        <v>28</v>
      </c>
      <c r="I191" t="s">
        <v>29</v>
      </c>
      <c r="J191">
        <v>10440</v>
      </c>
      <c r="K191" s="324">
        <v>46029</v>
      </c>
      <c r="L191">
        <v>1010100</v>
      </c>
      <c r="M191" t="s">
        <v>35</v>
      </c>
      <c r="N191">
        <v>-7</v>
      </c>
      <c r="O191" s="32">
        <v>0</v>
      </c>
      <c r="P191" s="32">
        <v>0</v>
      </c>
      <c r="Q191" s="32">
        <v>62888.1</v>
      </c>
      <c r="R191" s="32">
        <v>0</v>
      </c>
      <c r="S191" s="32">
        <v>0</v>
      </c>
      <c r="T191" s="32">
        <v>0</v>
      </c>
      <c r="U191" s="32">
        <v>0</v>
      </c>
      <c r="V191" s="32">
        <v>0</v>
      </c>
      <c r="W191" s="32">
        <v>0</v>
      </c>
      <c r="X191" s="32">
        <v>0</v>
      </c>
      <c r="Y191" s="32">
        <v>0</v>
      </c>
      <c r="Z191" s="32">
        <v>0</v>
      </c>
      <c r="AA191" s="32">
        <v>0</v>
      </c>
      <c r="AB191" s="32">
        <v>0</v>
      </c>
      <c r="AC191" s="32" t="s">
        <v>540</v>
      </c>
      <c r="AD191" s="32"/>
      <c r="AE191" s="32">
        <v>0</v>
      </c>
    </row>
    <row r="192" spans="1:31" x14ac:dyDescent="0.25">
      <c r="A192">
        <v>7102</v>
      </c>
      <c r="B192" t="s">
        <v>500</v>
      </c>
      <c r="C192" t="s">
        <v>567</v>
      </c>
      <c r="D192" s="35">
        <v>63619.6</v>
      </c>
      <c r="E192">
        <v>1246260392</v>
      </c>
      <c r="F192" s="324">
        <v>46134</v>
      </c>
      <c r="H192" t="s">
        <v>28</v>
      </c>
      <c r="I192" t="s">
        <v>29</v>
      </c>
      <c r="J192">
        <v>10543</v>
      </c>
      <c r="K192" s="324">
        <v>46044</v>
      </c>
      <c r="L192">
        <v>1010100</v>
      </c>
      <c r="M192" t="s">
        <v>35</v>
      </c>
      <c r="N192">
        <v>-22</v>
      </c>
      <c r="O192" s="32">
        <v>0</v>
      </c>
      <c r="P192" s="32">
        <v>0</v>
      </c>
      <c r="Q192" s="32">
        <v>63619.6</v>
      </c>
      <c r="R192" s="32">
        <v>0</v>
      </c>
      <c r="S192" s="32">
        <v>0</v>
      </c>
      <c r="T192" s="32">
        <v>0</v>
      </c>
      <c r="U192" s="32">
        <v>0</v>
      </c>
      <c r="V192" s="32">
        <v>0</v>
      </c>
      <c r="W192" s="32">
        <v>0</v>
      </c>
      <c r="X192" s="32">
        <v>0</v>
      </c>
      <c r="Y192" s="32">
        <v>0</v>
      </c>
      <c r="Z192" s="32">
        <v>0</v>
      </c>
      <c r="AA192" s="32">
        <v>0</v>
      </c>
      <c r="AB192" s="32">
        <v>0</v>
      </c>
      <c r="AC192" s="32" t="s">
        <v>540</v>
      </c>
      <c r="AD192" s="32"/>
      <c r="AE192" s="32">
        <v>0</v>
      </c>
    </row>
    <row r="193" spans="1:31" x14ac:dyDescent="0.25">
      <c r="A193">
        <v>7102</v>
      </c>
      <c r="B193" t="s">
        <v>500</v>
      </c>
      <c r="C193" t="s">
        <v>567</v>
      </c>
      <c r="D193" s="35">
        <v>62700</v>
      </c>
      <c r="E193">
        <v>1246262728</v>
      </c>
      <c r="F193" s="324">
        <v>46152</v>
      </c>
      <c r="H193" t="s">
        <v>28</v>
      </c>
      <c r="I193" t="s">
        <v>29</v>
      </c>
      <c r="J193">
        <v>10663</v>
      </c>
      <c r="K193" s="324">
        <v>46062</v>
      </c>
      <c r="L193">
        <v>1010100</v>
      </c>
      <c r="M193" t="s">
        <v>35</v>
      </c>
      <c r="N193">
        <v>-40</v>
      </c>
      <c r="O193" s="32">
        <v>0</v>
      </c>
      <c r="P193" s="32">
        <v>0</v>
      </c>
      <c r="Q193" s="32">
        <v>62700</v>
      </c>
      <c r="R193" s="32">
        <v>0</v>
      </c>
      <c r="S193" s="32">
        <v>0</v>
      </c>
      <c r="T193" s="32">
        <v>0</v>
      </c>
      <c r="U193" s="32">
        <v>0</v>
      </c>
      <c r="V193" s="32">
        <v>0</v>
      </c>
      <c r="W193" s="32">
        <v>0</v>
      </c>
      <c r="X193" s="32">
        <v>0</v>
      </c>
      <c r="Y193" s="32">
        <v>0</v>
      </c>
      <c r="Z193" s="32">
        <v>0</v>
      </c>
      <c r="AA193" s="32">
        <v>0</v>
      </c>
      <c r="AB193" s="32">
        <v>0</v>
      </c>
      <c r="AC193" s="32" t="s">
        <v>540</v>
      </c>
      <c r="AD193" s="32"/>
      <c r="AE193" s="32">
        <v>0</v>
      </c>
    </row>
    <row r="194" spans="1:31" x14ac:dyDescent="0.25">
      <c r="A194">
        <v>7662</v>
      </c>
      <c r="B194" t="s">
        <v>618</v>
      </c>
      <c r="C194" t="s">
        <v>552</v>
      </c>
      <c r="D194" s="35">
        <v>57795</v>
      </c>
      <c r="E194">
        <v>1246266875</v>
      </c>
      <c r="F194" s="324">
        <v>46132</v>
      </c>
      <c r="H194" t="s">
        <v>28</v>
      </c>
      <c r="I194" t="s">
        <v>29</v>
      </c>
      <c r="J194">
        <v>2799</v>
      </c>
      <c r="K194" s="324">
        <v>46087</v>
      </c>
      <c r="L194">
        <v>1010100</v>
      </c>
      <c r="M194" t="s">
        <v>35</v>
      </c>
      <c r="N194">
        <v>-20</v>
      </c>
      <c r="O194" s="32">
        <v>0</v>
      </c>
      <c r="P194" s="32">
        <v>0</v>
      </c>
      <c r="Q194" s="32">
        <v>57795</v>
      </c>
      <c r="R194" s="32">
        <v>0</v>
      </c>
      <c r="S194" s="32">
        <v>0</v>
      </c>
      <c r="T194" s="32">
        <v>0</v>
      </c>
      <c r="U194" s="32">
        <v>0</v>
      </c>
      <c r="V194" s="32">
        <v>0</v>
      </c>
      <c r="W194" s="32">
        <v>0</v>
      </c>
      <c r="X194" s="32">
        <v>0</v>
      </c>
      <c r="Y194" s="32">
        <v>0</v>
      </c>
      <c r="Z194" s="32">
        <v>0</v>
      </c>
      <c r="AA194" s="32">
        <v>0</v>
      </c>
      <c r="AB194" s="32">
        <v>0</v>
      </c>
      <c r="AC194" s="32" t="s">
        <v>475</v>
      </c>
      <c r="AD194" s="32"/>
      <c r="AE194" s="32">
        <v>0</v>
      </c>
    </row>
    <row r="195" spans="1:31" x14ac:dyDescent="0.25">
      <c r="A195">
        <v>7662</v>
      </c>
      <c r="B195" t="s">
        <v>618</v>
      </c>
      <c r="C195" t="s">
        <v>552</v>
      </c>
      <c r="D195" s="35">
        <v>57795</v>
      </c>
      <c r="E195">
        <v>1246266876</v>
      </c>
      <c r="F195" s="324">
        <v>46147</v>
      </c>
      <c r="H195" t="s">
        <v>28</v>
      </c>
      <c r="I195" t="s">
        <v>29</v>
      </c>
      <c r="J195">
        <v>2799</v>
      </c>
      <c r="K195" s="324">
        <v>46087</v>
      </c>
      <c r="L195">
        <v>1010100</v>
      </c>
      <c r="M195" t="s">
        <v>35</v>
      </c>
      <c r="N195">
        <v>-35</v>
      </c>
      <c r="O195" s="32">
        <v>0</v>
      </c>
      <c r="P195" s="32">
        <v>0</v>
      </c>
      <c r="Q195" s="32">
        <v>57795</v>
      </c>
      <c r="R195" s="32">
        <v>0</v>
      </c>
      <c r="S195" s="32">
        <v>0</v>
      </c>
      <c r="T195" s="32">
        <v>0</v>
      </c>
      <c r="U195" s="32">
        <v>0</v>
      </c>
      <c r="V195" s="32">
        <v>0</v>
      </c>
      <c r="W195" s="32">
        <v>0</v>
      </c>
      <c r="X195" s="32">
        <v>0</v>
      </c>
      <c r="Y195" s="32">
        <v>0</v>
      </c>
      <c r="Z195" s="32">
        <v>0</v>
      </c>
      <c r="AA195" s="32">
        <v>0</v>
      </c>
      <c r="AB195" s="32">
        <v>0</v>
      </c>
      <c r="AC195" s="32" t="s">
        <v>475</v>
      </c>
      <c r="AD195" s="32"/>
      <c r="AE195" s="32">
        <v>0</v>
      </c>
    </row>
    <row r="196" spans="1:31" x14ac:dyDescent="0.25">
      <c r="A196">
        <v>7662</v>
      </c>
      <c r="B196" t="s">
        <v>618</v>
      </c>
      <c r="C196" t="s">
        <v>552</v>
      </c>
      <c r="D196" s="35">
        <v>38530</v>
      </c>
      <c r="E196">
        <v>1246262501</v>
      </c>
      <c r="F196" s="324">
        <v>46119</v>
      </c>
      <c r="H196" t="s">
        <v>28</v>
      </c>
      <c r="I196" t="s">
        <v>29</v>
      </c>
      <c r="J196">
        <v>2722</v>
      </c>
      <c r="K196" s="324">
        <v>46059</v>
      </c>
      <c r="L196">
        <v>1010100</v>
      </c>
      <c r="M196" t="s">
        <v>35</v>
      </c>
      <c r="N196">
        <v>-7</v>
      </c>
      <c r="O196" s="32">
        <v>0</v>
      </c>
      <c r="P196" s="32">
        <v>0</v>
      </c>
      <c r="Q196" s="32">
        <v>38530</v>
      </c>
      <c r="R196" s="32">
        <v>0</v>
      </c>
      <c r="S196" s="32">
        <v>0</v>
      </c>
      <c r="T196" s="32">
        <v>0</v>
      </c>
      <c r="U196" s="32">
        <v>0</v>
      </c>
      <c r="V196" s="32">
        <v>0</v>
      </c>
      <c r="W196" s="32">
        <v>0</v>
      </c>
      <c r="X196" s="32">
        <v>0</v>
      </c>
      <c r="Y196" s="32">
        <v>0</v>
      </c>
      <c r="Z196" s="32">
        <v>0</v>
      </c>
      <c r="AA196" s="32">
        <v>0</v>
      </c>
      <c r="AB196" s="32">
        <v>0</v>
      </c>
      <c r="AC196" s="32" t="s">
        <v>475</v>
      </c>
      <c r="AD196" s="32"/>
      <c r="AE196" s="32">
        <v>0</v>
      </c>
    </row>
    <row r="197" spans="1:31" x14ac:dyDescent="0.25">
      <c r="A197">
        <v>7662</v>
      </c>
      <c r="B197" t="s">
        <v>618</v>
      </c>
      <c r="C197" t="s">
        <v>552</v>
      </c>
      <c r="D197" s="35">
        <v>57795</v>
      </c>
      <c r="E197">
        <v>1246264217</v>
      </c>
      <c r="F197" s="324">
        <v>46118</v>
      </c>
      <c r="H197" t="s">
        <v>28</v>
      </c>
      <c r="I197" t="s">
        <v>29</v>
      </c>
      <c r="J197">
        <v>2754</v>
      </c>
      <c r="K197" s="324">
        <v>46073</v>
      </c>
      <c r="L197">
        <v>1010100</v>
      </c>
      <c r="M197" t="s">
        <v>35</v>
      </c>
      <c r="N197">
        <v>-6</v>
      </c>
      <c r="O197" s="32">
        <v>0</v>
      </c>
      <c r="P197" s="32">
        <v>0</v>
      </c>
      <c r="Q197" s="32">
        <v>57795</v>
      </c>
      <c r="R197" s="32">
        <v>0</v>
      </c>
      <c r="S197" s="32">
        <v>0</v>
      </c>
      <c r="T197" s="32">
        <v>0</v>
      </c>
      <c r="U197" s="32">
        <v>0</v>
      </c>
      <c r="V197" s="32">
        <v>0</v>
      </c>
      <c r="W197" s="32">
        <v>0</v>
      </c>
      <c r="X197" s="32">
        <v>0</v>
      </c>
      <c r="Y197" s="32">
        <v>0</v>
      </c>
      <c r="Z197" s="32">
        <v>0</v>
      </c>
      <c r="AA197" s="32">
        <v>0</v>
      </c>
      <c r="AB197" s="32">
        <v>0</v>
      </c>
      <c r="AC197" s="32" t="s">
        <v>475</v>
      </c>
      <c r="AD197" s="32"/>
      <c r="AE197" s="32">
        <v>0</v>
      </c>
    </row>
    <row r="198" spans="1:31" x14ac:dyDescent="0.25">
      <c r="A198">
        <v>7662</v>
      </c>
      <c r="B198" t="s">
        <v>618</v>
      </c>
      <c r="C198" t="s">
        <v>552</v>
      </c>
      <c r="D198" s="35">
        <v>57795</v>
      </c>
      <c r="E198">
        <v>1246264218</v>
      </c>
      <c r="F198" s="324">
        <v>46133</v>
      </c>
      <c r="H198" t="s">
        <v>28</v>
      </c>
      <c r="I198" t="s">
        <v>29</v>
      </c>
      <c r="J198">
        <v>2754</v>
      </c>
      <c r="K198" s="324">
        <v>46073</v>
      </c>
      <c r="L198">
        <v>1010100</v>
      </c>
      <c r="M198" t="s">
        <v>35</v>
      </c>
      <c r="N198">
        <v>-21</v>
      </c>
      <c r="O198" s="32">
        <v>0</v>
      </c>
      <c r="P198" s="32">
        <v>0</v>
      </c>
      <c r="Q198" s="32">
        <v>57795</v>
      </c>
      <c r="R198" s="32">
        <v>0</v>
      </c>
      <c r="S198" s="32">
        <v>0</v>
      </c>
      <c r="T198" s="32">
        <v>0</v>
      </c>
      <c r="U198" s="32">
        <v>0</v>
      </c>
      <c r="V198" s="32">
        <v>0</v>
      </c>
      <c r="W198" s="32">
        <v>0</v>
      </c>
      <c r="X198" s="32">
        <v>0</v>
      </c>
      <c r="Y198" s="32">
        <v>0</v>
      </c>
      <c r="Z198" s="32">
        <v>0</v>
      </c>
      <c r="AA198" s="32">
        <v>0</v>
      </c>
      <c r="AB198" s="32">
        <v>0</v>
      </c>
      <c r="AC198" s="32" t="s">
        <v>475</v>
      </c>
      <c r="AD198" s="32"/>
      <c r="AE198" s="32">
        <v>0</v>
      </c>
    </row>
    <row r="199" spans="1:31" x14ac:dyDescent="0.25">
      <c r="A199">
        <v>7662</v>
      </c>
      <c r="B199" t="s">
        <v>618</v>
      </c>
      <c r="C199" t="s">
        <v>552</v>
      </c>
      <c r="D199" s="35">
        <v>77060</v>
      </c>
      <c r="E199">
        <v>1246269689</v>
      </c>
      <c r="F199" s="324">
        <v>46157</v>
      </c>
      <c r="H199" t="s">
        <v>28</v>
      </c>
      <c r="I199" t="s">
        <v>29</v>
      </c>
      <c r="J199">
        <v>2856</v>
      </c>
      <c r="K199" s="324">
        <v>46112</v>
      </c>
      <c r="L199">
        <v>1010100</v>
      </c>
      <c r="M199" t="s">
        <v>35</v>
      </c>
      <c r="N199">
        <v>-45</v>
      </c>
      <c r="O199" s="32">
        <v>0</v>
      </c>
      <c r="P199" s="32">
        <v>0</v>
      </c>
      <c r="Q199" s="32">
        <v>77060</v>
      </c>
      <c r="R199" s="32">
        <v>0</v>
      </c>
      <c r="S199" s="32">
        <v>0</v>
      </c>
      <c r="T199" s="32">
        <v>0</v>
      </c>
      <c r="U199" s="32">
        <v>0</v>
      </c>
      <c r="V199" s="32">
        <v>0</v>
      </c>
      <c r="W199" s="32">
        <v>0</v>
      </c>
      <c r="X199" s="32">
        <v>0</v>
      </c>
      <c r="Y199" s="32">
        <v>0</v>
      </c>
      <c r="Z199" s="32">
        <v>0</v>
      </c>
      <c r="AA199" s="32">
        <v>0</v>
      </c>
      <c r="AB199" s="32">
        <v>0</v>
      </c>
      <c r="AC199" s="32" t="s">
        <v>475</v>
      </c>
      <c r="AD199" s="32"/>
      <c r="AE199" s="32">
        <v>0</v>
      </c>
    </row>
    <row r="200" spans="1:31" x14ac:dyDescent="0.25">
      <c r="A200">
        <v>7662</v>
      </c>
      <c r="B200" t="s">
        <v>618</v>
      </c>
      <c r="C200" t="s">
        <v>552</v>
      </c>
      <c r="D200" s="35">
        <v>77060</v>
      </c>
      <c r="E200">
        <v>1246269690</v>
      </c>
      <c r="F200" s="324">
        <v>46172</v>
      </c>
      <c r="H200" t="s">
        <v>28</v>
      </c>
      <c r="I200" t="s">
        <v>29</v>
      </c>
      <c r="J200">
        <v>2856</v>
      </c>
      <c r="K200" s="324">
        <v>46112</v>
      </c>
      <c r="L200">
        <v>1010100</v>
      </c>
      <c r="M200" t="s">
        <v>35</v>
      </c>
      <c r="N200">
        <v>-60</v>
      </c>
      <c r="O200" s="32">
        <v>0</v>
      </c>
      <c r="P200" s="32">
        <v>0</v>
      </c>
      <c r="Q200" s="32">
        <v>77060</v>
      </c>
      <c r="R200" s="32">
        <v>0</v>
      </c>
      <c r="S200" s="32">
        <v>0</v>
      </c>
      <c r="T200" s="32">
        <v>0</v>
      </c>
      <c r="U200" s="32">
        <v>0</v>
      </c>
      <c r="V200" s="32">
        <v>0</v>
      </c>
      <c r="W200" s="32">
        <v>0</v>
      </c>
      <c r="X200" s="32">
        <v>0</v>
      </c>
      <c r="Y200" s="32">
        <v>0</v>
      </c>
      <c r="Z200" s="32">
        <v>0</v>
      </c>
      <c r="AA200" s="32">
        <v>0</v>
      </c>
      <c r="AB200" s="32">
        <v>0</v>
      </c>
      <c r="AC200" s="32" t="s">
        <v>475</v>
      </c>
      <c r="AD200" s="32"/>
      <c r="AE200" s="32">
        <v>0</v>
      </c>
    </row>
    <row r="201" spans="1:31" x14ac:dyDescent="0.25">
      <c r="A201">
        <v>7662</v>
      </c>
      <c r="B201" t="s">
        <v>618</v>
      </c>
      <c r="C201" t="s">
        <v>552</v>
      </c>
      <c r="D201" s="35">
        <v>77060</v>
      </c>
      <c r="E201">
        <v>1246262503</v>
      </c>
      <c r="F201" s="324">
        <v>46119</v>
      </c>
      <c r="H201" t="s">
        <v>28</v>
      </c>
      <c r="I201" t="s">
        <v>29</v>
      </c>
      <c r="J201">
        <v>2723</v>
      </c>
      <c r="K201" s="324">
        <v>46059</v>
      </c>
      <c r="L201">
        <v>1010100</v>
      </c>
      <c r="M201" t="s">
        <v>35</v>
      </c>
      <c r="N201">
        <v>-7</v>
      </c>
      <c r="O201" s="32">
        <v>0</v>
      </c>
      <c r="P201" s="32">
        <v>0</v>
      </c>
      <c r="Q201" s="32">
        <v>77060</v>
      </c>
      <c r="R201" s="32">
        <v>0</v>
      </c>
      <c r="S201" s="32">
        <v>0</v>
      </c>
      <c r="T201" s="32">
        <v>0</v>
      </c>
      <c r="U201" s="32">
        <v>0</v>
      </c>
      <c r="V201" s="32">
        <v>0</v>
      </c>
      <c r="W201" s="32">
        <v>0</v>
      </c>
      <c r="X201" s="32">
        <v>0</v>
      </c>
      <c r="Y201" s="32">
        <v>0</v>
      </c>
      <c r="Z201" s="32">
        <v>0</v>
      </c>
      <c r="AA201" s="32">
        <v>0</v>
      </c>
      <c r="AB201" s="32">
        <v>0</v>
      </c>
      <c r="AC201" s="32" t="s">
        <v>475</v>
      </c>
      <c r="AD201" s="32"/>
      <c r="AE201" s="32">
        <v>0</v>
      </c>
    </row>
    <row r="202" spans="1:31" x14ac:dyDescent="0.25">
      <c r="A202">
        <v>6477</v>
      </c>
      <c r="B202" t="s">
        <v>500</v>
      </c>
      <c r="C202" t="s">
        <v>99</v>
      </c>
      <c r="D202" s="35">
        <v>10915.8</v>
      </c>
      <c r="E202">
        <v>1246261047</v>
      </c>
      <c r="F202" s="324">
        <v>46138</v>
      </c>
      <c r="H202" t="s">
        <v>28</v>
      </c>
      <c r="I202" t="s">
        <v>29</v>
      </c>
      <c r="J202">
        <v>10576</v>
      </c>
      <c r="K202" s="324">
        <v>46048</v>
      </c>
      <c r="L202">
        <v>1010100</v>
      </c>
      <c r="M202" t="s">
        <v>35</v>
      </c>
      <c r="N202">
        <v>-26</v>
      </c>
      <c r="O202" s="32">
        <v>0</v>
      </c>
      <c r="P202" s="32">
        <v>0</v>
      </c>
      <c r="Q202" s="32">
        <v>10915.8</v>
      </c>
      <c r="R202" s="32">
        <v>0</v>
      </c>
      <c r="S202" s="32">
        <v>0</v>
      </c>
      <c r="T202" s="32">
        <v>0</v>
      </c>
      <c r="U202" s="32">
        <v>0</v>
      </c>
      <c r="V202" s="32">
        <v>0</v>
      </c>
      <c r="W202" s="32">
        <v>0</v>
      </c>
      <c r="X202" s="32">
        <v>0</v>
      </c>
      <c r="Y202" s="32">
        <v>0</v>
      </c>
      <c r="Z202" s="32">
        <v>0</v>
      </c>
      <c r="AA202" s="32">
        <v>0</v>
      </c>
      <c r="AB202" s="32">
        <v>0</v>
      </c>
      <c r="AC202" s="32" t="s">
        <v>540</v>
      </c>
      <c r="AD202" s="32"/>
      <c r="AE202" s="32">
        <v>0</v>
      </c>
    </row>
    <row r="203" spans="1:31" x14ac:dyDescent="0.25">
      <c r="A203">
        <v>6477</v>
      </c>
      <c r="B203" t="s">
        <v>500</v>
      </c>
      <c r="C203" t="s">
        <v>99</v>
      </c>
      <c r="D203" s="35">
        <v>166320</v>
      </c>
      <c r="E203">
        <v>1246263184</v>
      </c>
      <c r="F203" s="324">
        <v>46153</v>
      </c>
      <c r="H203" t="s">
        <v>28</v>
      </c>
      <c r="I203" t="s">
        <v>29</v>
      </c>
      <c r="J203">
        <v>10673</v>
      </c>
      <c r="K203" s="324">
        <v>46063</v>
      </c>
      <c r="L203">
        <v>1010100</v>
      </c>
      <c r="M203" t="s">
        <v>35</v>
      </c>
      <c r="N203">
        <v>-41</v>
      </c>
      <c r="O203" s="32">
        <v>0</v>
      </c>
      <c r="P203" s="32">
        <v>0</v>
      </c>
      <c r="Q203" s="32">
        <v>166320</v>
      </c>
      <c r="R203" s="32">
        <v>0</v>
      </c>
      <c r="S203" s="32">
        <v>0</v>
      </c>
      <c r="T203" s="32">
        <v>0</v>
      </c>
      <c r="U203" s="32">
        <v>0</v>
      </c>
      <c r="V203" s="32">
        <v>0</v>
      </c>
      <c r="W203" s="32">
        <v>0</v>
      </c>
      <c r="X203" s="32">
        <v>0</v>
      </c>
      <c r="Y203" s="32">
        <v>0</v>
      </c>
      <c r="Z203" s="32">
        <v>0</v>
      </c>
      <c r="AA203" s="32">
        <v>0</v>
      </c>
      <c r="AB203" s="32">
        <v>0</v>
      </c>
      <c r="AC203" s="32" t="s">
        <v>540</v>
      </c>
      <c r="AD203" s="32"/>
      <c r="AE203" s="32">
        <v>0</v>
      </c>
    </row>
    <row r="204" spans="1:31" x14ac:dyDescent="0.25">
      <c r="A204">
        <v>6477</v>
      </c>
      <c r="B204" t="s">
        <v>500</v>
      </c>
      <c r="C204" t="s">
        <v>99</v>
      </c>
      <c r="D204" s="35">
        <v>221088</v>
      </c>
      <c r="E204">
        <v>1246261235</v>
      </c>
      <c r="F204" s="324">
        <v>46139</v>
      </c>
      <c r="H204" t="s">
        <v>28</v>
      </c>
      <c r="I204" t="s">
        <v>29</v>
      </c>
      <c r="J204">
        <v>10588</v>
      </c>
      <c r="K204" s="324">
        <v>46049</v>
      </c>
      <c r="L204">
        <v>1010100</v>
      </c>
      <c r="M204" t="s">
        <v>35</v>
      </c>
      <c r="N204">
        <v>-27</v>
      </c>
      <c r="O204" s="32">
        <v>0</v>
      </c>
      <c r="P204" s="32">
        <v>0</v>
      </c>
      <c r="Q204" s="32">
        <v>221088</v>
      </c>
      <c r="R204" s="32">
        <v>0</v>
      </c>
      <c r="S204" s="32">
        <v>0</v>
      </c>
      <c r="T204" s="32">
        <v>0</v>
      </c>
      <c r="U204" s="32">
        <v>0</v>
      </c>
      <c r="V204" s="32">
        <v>0</v>
      </c>
      <c r="W204" s="32">
        <v>0</v>
      </c>
      <c r="X204" s="32">
        <v>0</v>
      </c>
      <c r="Y204" s="32">
        <v>0</v>
      </c>
      <c r="Z204" s="32">
        <v>0</v>
      </c>
      <c r="AA204" s="32">
        <v>0</v>
      </c>
      <c r="AB204" s="32">
        <v>0</v>
      </c>
      <c r="AC204" s="32" t="s">
        <v>540</v>
      </c>
      <c r="AD204" s="32"/>
      <c r="AE204" s="32">
        <v>0</v>
      </c>
    </row>
    <row r="205" spans="1:31" x14ac:dyDescent="0.25">
      <c r="A205">
        <v>6477</v>
      </c>
      <c r="B205" t="s">
        <v>500</v>
      </c>
      <c r="C205" t="s">
        <v>99</v>
      </c>
      <c r="D205" s="35">
        <v>167720</v>
      </c>
      <c r="E205">
        <v>1246262010</v>
      </c>
      <c r="F205" s="324">
        <v>46145</v>
      </c>
      <c r="H205" t="s">
        <v>28</v>
      </c>
      <c r="I205" t="s">
        <v>29</v>
      </c>
      <c r="J205">
        <v>10625</v>
      </c>
      <c r="K205" s="324">
        <v>46055</v>
      </c>
      <c r="L205">
        <v>1010100</v>
      </c>
      <c r="M205" t="s">
        <v>35</v>
      </c>
      <c r="N205">
        <v>-33</v>
      </c>
      <c r="O205" s="32">
        <v>0</v>
      </c>
      <c r="P205" s="32">
        <v>0</v>
      </c>
      <c r="Q205" s="32">
        <v>167720</v>
      </c>
      <c r="R205" s="32">
        <v>0</v>
      </c>
      <c r="S205" s="32">
        <v>0</v>
      </c>
      <c r="T205" s="32">
        <v>0</v>
      </c>
      <c r="U205" s="32">
        <v>0</v>
      </c>
      <c r="V205" s="32">
        <v>0</v>
      </c>
      <c r="W205" s="32">
        <v>0</v>
      </c>
      <c r="X205" s="32">
        <v>0</v>
      </c>
      <c r="Y205" s="32">
        <v>0</v>
      </c>
      <c r="Z205" s="32">
        <v>0</v>
      </c>
      <c r="AA205" s="32">
        <v>0</v>
      </c>
      <c r="AB205" s="32">
        <v>0</v>
      </c>
      <c r="AC205" s="32" t="s">
        <v>540</v>
      </c>
      <c r="AD205" s="32"/>
      <c r="AE205" s="32">
        <v>0</v>
      </c>
    </row>
    <row r="206" spans="1:31" x14ac:dyDescent="0.25">
      <c r="A206">
        <v>6477</v>
      </c>
      <c r="B206" t="s">
        <v>500</v>
      </c>
      <c r="C206" t="s">
        <v>99</v>
      </c>
      <c r="D206" s="35">
        <v>167048</v>
      </c>
      <c r="E206">
        <v>1246260177</v>
      </c>
      <c r="F206" s="324">
        <v>46132</v>
      </c>
      <c r="H206" t="s">
        <v>28</v>
      </c>
      <c r="I206" t="s">
        <v>29</v>
      </c>
      <c r="J206">
        <v>10533</v>
      </c>
      <c r="K206" s="324">
        <v>46042</v>
      </c>
      <c r="L206">
        <v>1010100</v>
      </c>
      <c r="M206" t="s">
        <v>35</v>
      </c>
      <c r="N206">
        <v>-20</v>
      </c>
      <c r="O206" s="32">
        <v>0</v>
      </c>
      <c r="P206" s="32">
        <v>0</v>
      </c>
      <c r="Q206" s="32">
        <v>167048</v>
      </c>
      <c r="R206" s="32">
        <v>0</v>
      </c>
      <c r="S206" s="32">
        <v>0</v>
      </c>
      <c r="T206" s="32">
        <v>0</v>
      </c>
      <c r="U206" s="32">
        <v>0</v>
      </c>
      <c r="V206" s="32">
        <v>0</v>
      </c>
      <c r="W206" s="32">
        <v>0</v>
      </c>
      <c r="X206" s="32">
        <v>0</v>
      </c>
      <c r="Y206" s="32">
        <v>0</v>
      </c>
      <c r="Z206" s="32">
        <v>0</v>
      </c>
      <c r="AA206" s="32">
        <v>0</v>
      </c>
      <c r="AB206" s="32">
        <v>0</v>
      </c>
      <c r="AC206" s="32" t="s">
        <v>540</v>
      </c>
      <c r="AD206" s="32"/>
      <c r="AE206" s="32">
        <v>0</v>
      </c>
    </row>
    <row r="207" spans="1:31" x14ac:dyDescent="0.25">
      <c r="A207">
        <v>6477</v>
      </c>
      <c r="B207" t="s">
        <v>500</v>
      </c>
      <c r="C207" t="s">
        <v>99</v>
      </c>
      <c r="D207" s="35">
        <v>168000</v>
      </c>
      <c r="E207">
        <v>1246259444</v>
      </c>
      <c r="F207" s="324">
        <v>46126</v>
      </c>
      <c r="H207" t="s">
        <v>28</v>
      </c>
      <c r="I207" t="s">
        <v>29</v>
      </c>
      <c r="J207">
        <v>10483</v>
      </c>
      <c r="K207" s="324">
        <v>46036</v>
      </c>
      <c r="L207">
        <v>1010100</v>
      </c>
      <c r="M207" t="s">
        <v>35</v>
      </c>
      <c r="N207">
        <v>-14</v>
      </c>
      <c r="O207" s="32">
        <v>0</v>
      </c>
      <c r="P207" s="32">
        <v>0</v>
      </c>
      <c r="Q207" s="32">
        <v>168000</v>
      </c>
      <c r="R207" s="32">
        <v>0</v>
      </c>
      <c r="S207" s="32">
        <v>0</v>
      </c>
      <c r="T207" s="32">
        <v>0</v>
      </c>
      <c r="U207" s="32">
        <v>0</v>
      </c>
      <c r="V207" s="32">
        <v>0</v>
      </c>
      <c r="W207" s="32">
        <v>0</v>
      </c>
      <c r="X207" s="32">
        <v>0</v>
      </c>
      <c r="Y207" s="32">
        <v>0</v>
      </c>
      <c r="Z207" s="32">
        <v>0</v>
      </c>
      <c r="AA207" s="32">
        <v>0</v>
      </c>
      <c r="AB207" s="32">
        <v>0</v>
      </c>
      <c r="AC207" s="32" t="s">
        <v>540</v>
      </c>
      <c r="AD207" s="32"/>
      <c r="AE207" s="32">
        <v>0</v>
      </c>
    </row>
    <row r="208" spans="1:31" x14ac:dyDescent="0.25">
      <c r="A208">
        <v>6477</v>
      </c>
      <c r="B208" t="s">
        <v>500</v>
      </c>
      <c r="C208" t="s">
        <v>99</v>
      </c>
      <c r="D208" s="35">
        <v>6302.6</v>
      </c>
      <c r="E208">
        <v>1246212732</v>
      </c>
      <c r="F208" s="324">
        <v>45682</v>
      </c>
      <c r="H208" t="s">
        <v>28</v>
      </c>
      <c r="I208" t="s">
        <v>29</v>
      </c>
      <c r="J208">
        <v>6197</v>
      </c>
      <c r="K208" s="324">
        <v>45622</v>
      </c>
      <c r="L208">
        <v>1010100</v>
      </c>
      <c r="M208" t="s">
        <v>35</v>
      </c>
      <c r="N208">
        <v>430</v>
      </c>
      <c r="O208" s="32">
        <v>0</v>
      </c>
      <c r="P208" s="32">
        <v>6302.6</v>
      </c>
      <c r="Q208" s="32">
        <v>0</v>
      </c>
      <c r="R208" s="32">
        <v>0</v>
      </c>
      <c r="S208" s="32">
        <v>0</v>
      </c>
      <c r="T208" s="32">
        <v>0</v>
      </c>
      <c r="U208" s="32">
        <v>6302.6</v>
      </c>
      <c r="V208" s="32">
        <v>0</v>
      </c>
      <c r="W208" s="32">
        <v>189.078</v>
      </c>
      <c r="X208" s="32">
        <v>6113.5219999999999</v>
      </c>
      <c r="Y208" s="32">
        <v>6113.5219999999999</v>
      </c>
      <c r="Z208" s="32">
        <v>6302.6</v>
      </c>
      <c r="AA208" s="32">
        <v>0</v>
      </c>
      <c r="AB208" s="32">
        <v>6302.6</v>
      </c>
      <c r="AC208" s="32" t="s">
        <v>540</v>
      </c>
      <c r="AD208" s="32"/>
      <c r="AE208" s="32">
        <v>6302.6</v>
      </c>
    </row>
    <row r="209" spans="1:31" x14ac:dyDescent="0.25">
      <c r="A209">
        <v>7097</v>
      </c>
      <c r="B209" t="s">
        <v>500</v>
      </c>
      <c r="C209" t="s">
        <v>103</v>
      </c>
      <c r="D209" s="35">
        <v>177977.8</v>
      </c>
      <c r="E209">
        <v>1246265921</v>
      </c>
      <c r="F209" s="324">
        <v>46173</v>
      </c>
      <c r="H209" t="s">
        <v>28</v>
      </c>
      <c r="I209" t="s">
        <v>29</v>
      </c>
      <c r="J209">
        <v>10795</v>
      </c>
      <c r="K209" s="324">
        <v>46083</v>
      </c>
      <c r="L209">
        <v>1010100</v>
      </c>
      <c r="M209" t="s">
        <v>35</v>
      </c>
      <c r="N209">
        <v>-61</v>
      </c>
      <c r="O209" s="32">
        <v>0</v>
      </c>
      <c r="P209" s="32">
        <v>0</v>
      </c>
      <c r="Q209" s="32">
        <v>177977.8</v>
      </c>
      <c r="R209" s="32">
        <v>0</v>
      </c>
      <c r="S209" s="32">
        <v>0</v>
      </c>
      <c r="T209" s="32">
        <v>0</v>
      </c>
      <c r="U209" s="32">
        <v>0</v>
      </c>
      <c r="V209" s="32">
        <v>0</v>
      </c>
      <c r="W209" s="32">
        <v>0</v>
      </c>
      <c r="X209" s="32">
        <v>0</v>
      </c>
      <c r="Y209" s="32">
        <v>0</v>
      </c>
      <c r="Z209" s="32">
        <v>0</v>
      </c>
      <c r="AA209" s="32">
        <v>0</v>
      </c>
      <c r="AB209" s="32">
        <v>0</v>
      </c>
      <c r="AC209" s="32" t="s">
        <v>540</v>
      </c>
      <c r="AD209" s="32"/>
      <c r="AE209" s="32">
        <v>0</v>
      </c>
    </row>
    <row r="210" spans="1:31" x14ac:dyDescent="0.25">
      <c r="A210">
        <v>7097</v>
      </c>
      <c r="B210" t="s">
        <v>500</v>
      </c>
      <c r="C210" t="s">
        <v>103</v>
      </c>
      <c r="D210" s="35">
        <v>24552</v>
      </c>
      <c r="E210">
        <v>1246259145</v>
      </c>
      <c r="F210" s="324">
        <v>46124</v>
      </c>
      <c r="H210" t="s">
        <v>28</v>
      </c>
      <c r="I210" t="s">
        <v>29</v>
      </c>
      <c r="J210">
        <v>10460</v>
      </c>
      <c r="K210" s="324">
        <v>46034</v>
      </c>
      <c r="L210">
        <v>1010100</v>
      </c>
      <c r="M210" t="s">
        <v>35</v>
      </c>
      <c r="N210">
        <v>-12</v>
      </c>
      <c r="O210" s="32">
        <v>0</v>
      </c>
      <c r="P210" s="32">
        <v>0</v>
      </c>
      <c r="Q210" s="32">
        <v>24552</v>
      </c>
      <c r="R210" s="32">
        <v>0</v>
      </c>
      <c r="S210" s="32">
        <v>0</v>
      </c>
      <c r="T210" s="32">
        <v>0</v>
      </c>
      <c r="U210" s="32">
        <v>0</v>
      </c>
      <c r="V210" s="32">
        <v>0</v>
      </c>
      <c r="W210" s="32">
        <v>0</v>
      </c>
      <c r="X210" s="32">
        <v>0</v>
      </c>
      <c r="Y210" s="32">
        <v>0</v>
      </c>
      <c r="Z210" s="32">
        <v>0</v>
      </c>
      <c r="AA210" s="32">
        <v>0</v>
      </c>
      <c r="AB210" s="32">
        <v>0</v>
      </c>
      <c r="AC210" s="32" t="s">
        <v>540</v>
      </c>
      <c r="AD210" s="32"/>
      <c r="AE210" s="32">
        <v>0</v>
      </c>
    </row>
    <row r="211" spans="1:31" x14ac:dyDescent="0.25">
      <c r="A211">
        <v>7024</v>
      </c>
      <c r="B211" t="s">
        <v>500</v>
      </c>
      <c r="C211" t="s">
        <v>861</v>
      </c>
      <c r="D211" s="35">
        <v>70855.199999999997</v>
      </c>
      <c r="E211">
        <v>1246269662</v>
      </c>
      <c r="F211" s="324">
        <v>46201</v>
      </c>
      <c r="H211" t="s">
        <v>28</v>
      </c>
      <c r="I211" t="s">
        <v>29</v>
      </c>
      <c r="J211">
        <v>11011</v>
      </c>
      <c r="K211" s="324">
        <v>46111</v>
      </c>
      <c r="L211">
        <v>1010100</v>
      </c>
      <c r="M211" t="s">
        <v>35</v>
      </c>
      <c r="N211">
        <v>-89</v>
      </c>
      <c r="O211" s="32">
        <v>0</v>
      </c>
      <c r="P211" s="32">
        <v>0</v>
      </c>
      <c r="Q211" s="32">
        <v>70855.199999999997</v>
      </c>
      <c r="R211" s="32">
        <v>0</v>
      </c>
      <c r="S211" s="32">
        <v>0</v>
      </c>
      <c r="T211" s="32">
        <v>0</v>
      </c>
      <c r="U211" s="32">
        <v>0</v>
      </c>
      <c r="V211" s="32">
        <v>0</v>
      </c>
      <c r="W211" s="32">
        <v>0</v>
      </c>
      <c r="X211" s="32">
        <v>0</v>
      </c>
      <c r="Y211" s="32">
        <v>0</v>
      </c>
      <c r="Z211" s="32">
        <v>0</v>
      </c>
      <c r="AA211" s="32">
        <v>0</v>
      </c>
      <c r="AB211" s="32">
        <v>0</v>
      </c>
      <c r="AC211" s="32" t="s">
        <v>540</v>
      </c>
      <c r="AD211" s="32"/>
      <c r="AE211" s="32">
        <v>0</v>
      </c>
    </row>
    <row r="212" spans="1:31" x14ac:dyDescent="0.25">
      <c r="A212">
        <v>7024</v>
      </c>
      <c r="B212" t="s">
        <v>500</v>
      </c>
      <c r="C212" t="s">
        <v>861</v>
      </c>
      <c r="D212" s="35">
        <v>70410.600000000006</v>
      </c>
      <c r="E212">
        <v>1246265856</v>
      </c>
      <c r="F212" s="324">
        <v>46170</v>
      </c>
      <c r="H212" t="s">
        <v>28</v>
      </c>
      <c r="I212" t="s">
        <v>29</v>
      </c>
      <c r="J212">
        <v>10790</v>
      </c>
      <c r="K212" s="324">
        <v>46080</v>
      </c>
      <c r="L212">
        <v>1010100</v>
      </c>
      <c r="M212" t="s">
        <v>35</v>
      </c>
      <c r="N212">
        <v>-58</v>
      </c>
      <c r="O212" s="32">
        <v>0</v>
      </c>
      <c r="P212" s="32">
        <v>0</v>
      </c>
      <c r="Q212" s="32">
        <v>70410.600000000006</v>
      </c>
      <c r="R212" s="32">
        <v>0</v>
      </c>
      <c r="S212" s="32">
        <v>0</v>
      </c>
      <c r="T212" s="32">
        <v>0</v>
      </c>
      <c r="U212" s="32">
        <v>0</v>
      </c>
      <c r="V212" s="32">
        <v>0</v>
      </c>
      <c r="W212" s="32">
        <v>0</v>
      </c>
      <c r="X212" s="32">
        <v>0</v>
      </c>
      <c r="Y212" s="32">
        <v>0</v>
      </c>
      <c r="Z212" s="32">
        <v>0</v>
      </c>
      <c r="AA212" s="32">
        <v>0</v>
      </c>
      <c r="AB212" s="32">
        <v>0</v>
      </c>
      <c r="AC212" s="32" t="s">
        <v>540</v>
      </c>
      <c r="AD212" s="32"/>
      <c r="AE212" s="32">
        <v>0</v>
      </c>
    </row>
    <row r="213" spans="1:31" x14ac:dyDescent="0.25">
      <c r="A213">
        <v>7302</v>
      </c>
      <c r="B213" t="s">
        <v>500</v>
      </c>
      <c r="C213" t="s">
        <v>105</v>
      </c>
      <c r="D213" s="35">
        <v>2517.4</v>
      </c>
      <c r="E213">
        <v>1246055324</v>
      </c>
      <c r="F213" s="324">
        <v>44887</v>
      </c>
      <c r="H213" t="s">
        <v>28</v>
      </c>
      <c r="I213" t="s">
        <v>29</v>
      </c>
      <c r="J213">
        <v>19314</v>
      </c>
      <c r="K213" s="324">
        <v>44827</v>
      </c>
      <c r="L213">
        <v>1010100</v>
      </c>
      <c r="M213" t="s">
        <v>35</v>
      </c>
      <c r="N213">
        <v>1225</v>
      </c>
      <c r="O213" s="32">
        <v>0</v>
      </c>
      <c r="P213" s="32">
        <v>2517.4</v>
      </c>
      <c r="Q213" s="32">
        <v>0</v>
      </c>
      <c r="R213" s="32">
        <v>0</v>
      </c>
      <c r="S213" s="32">
        <v>0</v>
      </c>
      <c r="T213" s="32">
        <v>0</v>
      </c>
      <c r="U213" s="32">
        <v>2517.4</v>
      </c>
      <c r="V213" s="32">
        <v>0</v>
      </c>
      <c r="W213" s="32">
        <v>75.522000000000006</v>
      </c>
      <c r="X213" s="32">
        <v>2441.8780000000002</v>
      </c>
      <c r="Y213" s="32">
        <v>2441.8780000000002</v>
      </c>
      <c r="Z213" s="32">
        <v>2517.4</v>
      </c>
      <c r="AA213" s="32">
        <v>0</v>
      </c>
      <c r="AB213" s="32">
        <v>2517.4</v>
      </c>
      <c r="AC213" s="32" t="s">
        <v>540</v>
      </c>
      <c r="AD213" s="32"/>
      <c r="AE213" s="32">
        <v>2517.4</v>
      </c>
    </row>
    <row r="214" spans="1:31" x14ac:dyDescent="0.25">
      <c r="A214">
        <v>7302</v>
      </c>
      <c r="B214" t="s">
        <v>500</v>
      </c>
      <c r="C214" t="s">
        <v>105</v>
      </c>
      <c r="D214" s="35">
        <v>166320</v>
      </c>
      <c r="E214">
        <v>1246263181</v>
      </c>
      <c r="F214" s="324">
        <v>46153</v>
      </c>
      <c r="H214" t="s">
        <v>28</v>
      </c>
      <c r="I214" t="s">
        <v>29</v>
      </c>
      <c r="J214">
        <v>10672</v>
      </c>
      <c r="K214" s="324">
        <v>46063</v>
      </c>
      <c r="L214">
        <v>1010100</v>
      </c>
      <c r="M214" t="s">
        <v>35</v>
      </c>
      <c r="N214">
        <v>-41</v>
      </c>
      <c r="O214" s="32">
        <v>0</v>
      </c>
      <c r="P214" s="32">
        <v>0</v>
      </c>
      <c r="Q214" s="32">
        <v>166320</v>
      </c>
      <c r="R214" s="32">
        <v>0</v>
      </c>
      <c r="S214" s="32">
        <v>0</v>
      </c>
      <c r="T214" s="32">
        <v>0</v>
      </c>
      <c r="U214" s="32">
        <v>0</v>
      </c>
      <c r="V214" s="32">
        <v>0</v>
      </c>
      <c r="W214" s="32">
        <v>0</v>
      </c>
      <c r="X214" s="32">
        <v>0</v>
      </c>
      <c r="Y214" s="32">
        <v>0</v>
      </c>
      <c r="Z214" s="32">
        <v>0</v>
      </c>
      <c r="AA214" s="32">
        <v>0</v>
      </c>
      <c r="AB214" s="32">
        <v>0</v>
      </c>
      <c r="AC214" s="32" t="s">
        <v>540</v>
      </c>
      <c r="AD214" s="32"/>
      <c r="AE214" s="32">
        <v>0</v>
      </c>
    </row>
    <row r="215" spans="1:31" x14ac:dyDescent="0.25">
      <c r="A215">
        <v>7302</v>
      </c>
      <c r="B215" t="s">
        <v>500</v>
      </c>
      <c r="C215" t="s">
        <v>105</v>
      </c>
      <c r="D215" s="35">
        <v>112000</v>
      </c>
      <c r="E215">
        <v>1246261232</v>
      </c>
      <c r="F215" s="324">
        <v>46139</v>
      </c>
      <c r="H215" t="s">
        <v>28</v>
      </c>
      <c r="I215" t="s">
        <v>29</v>
      </c>
      <c r="J215">
        <v>10587</v>
      </c>
      <c r="K215" s="324">
        <v>46049</v>
      </c>
      <c r="L215">
        <v>1010100</v>
      </c>
      <c r="M215" t="s">
        <v>35</v>
      </c>
      <c r="N215">
        <v>-27</v>
      </c>
      <c r="O215" s="32">
        <v>0</v>
      </c>
      <c r="P215" s="32">
        <v>0</v>
      </c>
      <c r="Q215" s="32">
        <v>112000</v>
      </c>
      <c r="R215" s="32">
        <v>0</v>
      </c>
      <c r="S215" s="32">
        <v>0</v>
      </c>
      <c r="T215" s="32">
        <v>0</v>
      </c>
      <c r="U215" s="32">
        <v>0</v>
      </c>
      <c r="V215" s="32">
        <v>0</v>
      </c>
      <c r="W215" s="32">
        <v>0</v>
      </c>
      <c r="X215" s="32">
        <v>0</v>
      </c>
      <c r="Y215" s="32">
        <v>0</v>
      </c>
      <c r="Z215" s="32">
        <v>0</v>
      </c>
      <c r="AA215" s="32">
        <v>0</v>
      </c>
      <c r="AB215" s="32">
        <v>0</v>
      </c>
      <c r="AC215" s="32" t="s">
        <v>540</v>
      </c>
      <c r="AD215" s="32"/>
      <c r="AE215" s="32">
        <v>0</v>
      </c>
    </row>
    <row r="216" spans="1:31" x14ac:dyDescent="0.25">
      <c r="A216">
        <v>7302</v>
      </c>
      <c r="B216" t="s">
        <v>500</v>
      </c>
      <c r="C216" t="s">
        <v>105</v>
      </c>
      <c r="D216" s="35">
        <v>157472</v>
      </c>
      <c r="E216">
        <v>1246259446</v>
      </c>
      <c r="F216" s="324">
        <v>46126</v>
      </c>
      <c r="H216" t="s">
        <v>28</v>
      </c>
      <c r="I216" t="s">
        <v>29</v>
      </c>
      <c r="J216">
        <v>10484</v>
      </c>
      <c r="K216" s="324">
        <v>46036</v>
      </c>
      <c r="L216">
        <v>1010100</v>
      </c>
      <c r="M216" t="s">
        <v>35</v>
      </c>
      <c r="N216">
        <v>-14</v>
      </c>
      <c r="O216" s="32">
        <v>0</v>
      </c>
      <c r="P216" s="32">
        <v>0</v>
      </c>
      <c r="Q216" s="32">
        <v>157472</v>
      </c>
      <c r="R216" s="32">
        <v>0</v>
      </c>
      <c r="S216" s="32">
        <v>0</v>
      </c>
      <c r="T216" s="32">
        <v>0</v>
      </c>
      <c r="U216" s="32">
        <v>0</v>
      </c>
      <c r="V216" s="32">
        <v>0</v>
      </c>
      <c r="W216" s="32">
        <v>0</v>
      </c>
      <c r="X216" s="32">
        <v>0</v>
      </c>
      <c r="Y216" s="32">
        <v>0</v>
      </c>
      <c r="Z216" s="32">
        <v>0</v>
      </c>
      <c r="AA216" s="32">
        <v>0</v>
      </c>
      <c r="AB216" s="32">
        <v>0</v>
      </c>
      <c r="AC216" s="32" t="s">
        <v>540</v>
      </c>
      <c r="AD216" s="32"/>
      <c r="AE216" s="32">
        <v>0</v>
      </c>
    </row>
    <row r="217" spans="1:31" x14ac:dyDescent="0.25">
      <c r="A217">
        <v>7302</v>
      </c>
      <c r="B217" t="s">
        <v>500</v>
      </c>
      <c r="C217" t="s">
        <v>105</v>
      </c>
      <c r="D217" s="35">
        <v>167048</v>
      </c>
      <c r="E217">
        <v>1246260176</v>
      </c>
      <c r="F217" s="324">
        <v>46132</v>
      </c>
      <c r="H217" t="s">
        <v>28</v>
      </c>
      <c r="I217" t="s">
        <v>29</v>
      </c>
      <c r="J217">
        <v>10532</v>
      </c>
      <c r="K217" s="324">
        <v>46042</v>
      </c>
      <c r="L217">
        <v>1010100</v>
      </c>
      <c r="M217" t="s">
        <v>35</v>
      </c>
      <c r="N217">
        <v>-20</v>
      </c>
      <c r="O217" s="32">
        <v>0</v>
      </c>
      <c r="P217" s="32">
        <v>0</v>
      </c>
      <c r="Q217" s="32">
        <v>167048</v>
      </c>
      <c r="R217" s="32">
        <v>0</v>
      </c>
      <c r="S217" s="32">
        <v>0</v>
      </c>
      <c r="T217" s="32">
        <v>0</v>
      </c>
      <c r="U217" s="32">
        <v>0</v>
      </c>
      <c r="V217" s="32">
        <v>0</v>
      </c>
      <c r="W217" s="32">
        <v>0</v>
      </c>
      <c r="X217" s="32">
        <v>0</v>
      </c>
      <c r="Y217" s="32">
        <v>0</v>
      </c>
      <c r="Z217" s="32">
        <v>0</v>
      </c>
      <c r="AA217" s="32">
        <v>0</v>
      </c>
      <c r="AB217" s="32">
        <v>0</v>
      </c>
      <c r="AC217" s="32" t="s">
        <v>540</v>
      </c>
      <c r="AD217" s="32"/>
      <c r="AE217" s="32">
        <v>0</v>
      </c>
    </row>
    <row r="218" spans="1:31" x14ac:dyDescent="0.25">
      <c r="A218">
        <v>7302</v>
      </c>
      <c r="B218" t="s">
        <v>500</v>
      </c>
      <c r="C218" t="s">
        <v>105</v>
      </c>
      <c r="D218" s="35">
        <v>167720</v>
      </c>
      <c r="E218">
        <v>1246262004</v>
      </c>
      <c r="F218" s="324">
        <v>46145</v>
      </c>
      <c r="H218" t="s">
        <v>28</v>
      </c>
      <c r="I218" t="s">
        <v>29</v>
      </c>
      <c r="J218">
        <v>10622</v>
      </c>
      <c r="K218" s="324">
        <v>46055</v>
      </c>
      <c r="L218">
        <v>1010100</v>
      </c>
      <c r="M218" t="s">
        <v>35</v>
      </c>
      <c r="N218">
        <v>-33</v>
      </c>
      <c r="O218" s="32">
        <v>0</v>
      </c>
      <c r="P218" s="32">
        <v>0</v>
      </c>
      <c r="Q218" s="32">
        <v>167720</v>
      </c>
      <c r="R218" s="32">
        <v>0</v>
      </c>
      <c r="S218" s="32">
        <v>0</v>
      </c>
      <c r="T218" s="32">
        <v>0</v>
      </c>
      <c r="U218" s="32">
        <v>0</v>
      </c>
      <c r="V218" s="32">
        <v>0</v>
      </c>
      <c r="W218" s="32">
        <v>0</v>
      </c>
      <c r="X218" s="32">
        <v>0</v>
      </c>
      <c r="Y218" s="32">
        <v>0</v>
      </c>
      <c r="Z218" s="32">
        <v>0</v>
      </c>
      <c r="AA218" s="32">
        <v>0</v>
      </c>
      <c r="AB218" s="32">
        <v>0</v>
      </c>
      <c r="AC218" s="32" t="s">
        <v>540</v>
      </c>
      <c r="AD218" s="32"/>
      <c r="AE218" s="32">
        <v>0</v>
      </c>
    </row>
    <row r="219" spans="1:31" x14ac:dyDescent="0.25">
      <c r="A219">
        <v>7302</v>
      </c>
      <c r="B219" t="s">
        <v>500</v>
      </c>
      <c r="C219" t="s">
        <v>105</v>
      </c>
      <c r="D219" s="35">
        <v>64.2</v>
      </c>
      <c r="E219">
        <v>1246226087</v>
      </c>
      <c r="F219" s="324">
        <v>45919</v>
      </c>
      <c r="H219" t="s">
        <v>28</v>
      </c>
      <c r="I219" t="s">
        <v>29</v>
      </c>
      <c r="J219">
        <v>8559</v>
      </c>
      <c r="K219" s="324">
        <v>45859</v>
      </c>
      <c r="L219">
        <v>1010100</v>
      </c>
      <c r="M219" t="s">
        <v>35</v>
      </c>
      <c r="N219">
        <v>193</v>
      </c>
      <c r="O219" s="32">
        <v>0</v>
      </c>
      <c r="P219" s="32">
        <v>1.9259999999999999</v>
      </c>
      <c r="Q219" s="32">
        <v>0</v>
      </c>
      <c r="R219" s="32">
        <v>0</v>
      </c>
      <c r="S219" s="32">
        <v>0</v>
      </c>
      <c r="T219" s="32">
        <v>64.2</v>
      </c>
      <c r="U219" s="32">
        <v>0</v>
      </c>
      <c r="V219" s="32">
        <v>0</v>
      </c>
      <c r="W219" s="32">
        <v>1.9259999999999999</v>
      </c>
      <c r="X219" s="32">
        <v>0</v>
      </c>
      <c r="Y219" s="32">
        <v>0</v>
      </c>
      <c r="Z219" s="32">
        <v>64.2</v>
      </c>
      <c r="AA219" s="32">
        <v>0</v>
      </c>
      <c r="AB219" s="32">
        <v>1.9259999999999999</v>
      </c>
      <c r="AC219" s="32" t="s">
        <v>540</v>
      </c>
      <c r="AD219" s="32"/>
      <c r="AE219" s="32">
        <v>1.9259999999999999</v>
      </c>
    </row>
    <row r="220" spans="1:31" x14ac:dyDescent="0.25">
      <c r="A220">
        <v>7103</v>
      </c>
      <c r="B220" t="s">
        <v>500</v>
      </c>
      <c r="C220" t="s">
        <v>570</v>
      </c>
      <c r="D220" s="35">
        <v>57019</v>
      </c>
      <c r="E220">
        <v>1246269403</v>
      </c>
      <c r="F220" s="324">
        <v>46198</v>
      </c>
      <c r="H220" t="s">
        <v>28</v>
      </c>
      <c r="I220" t="s">
        <v>29</v>
      </c>
      <c r="J220">
        <v>10985</v>
      </c>
      <c r="K220" s="324">
        <v>46108</v>
      </c>
      <c r="L220">
        <v>1010100</v>
      </c>
      <c r="M220" t="s">
        <v>35</v>
      </c>
      <c r="N220">
        <v>-86</v>
      </c>
      <c r="O220" s="32">
        <v>0</v>
      </c>
      <c r="P220" s="32">
        <v>0</v>
      </c>
      <c r="Q220" s="32">
        <v>57019</v>
      </c>
      <c r="R220" s="32">
        <v>0</v>
      </c>
      <c r="S220" s="32">
        <v>0</v>
      </c>
      <c r="T220" s="32">
        <v>0</v>
      </c>
      <c r="U220" s="32">
        <v>0</v>
      </c>
      <c r="V220" s="32">
        <v>0</v>
      </c>
      <c r="W220" s="32">
        <v>0</v>
      </c>
      <c r="X220" s="32">
        <v>0</v>
      </c>
      <c r="Y220" s="32">
        <v>0</v>
      </c>
      <c r="Z220" s="32">
        <v>0</v>
      </c>
      <c r="AA220" s="32">
        <v>0</v>
      </c>
      <c r="AB220" s="32">
        <v>0</v>
      </c>
      <c r="AC220" s="32" t="s">
        <v>540</v>
      </c>
      <c r="AD220" s="32"/>
      <c r="AE220" s="32">
        <v>0</v>
      </c>
    </row>
    <row r="221" spans="1:31" x14ac:dyDescent="0.25">
      <c r="A221">
        <v>7103</v>
      </c>
      <c r="B221" t="s">
        <v>500</v>
      </c>
      <c r="C221" t="s">
        <v>570</v>
      </c>
      <c r="D221" s="35">
        <v>288000</v>
      </c>
      <c r="E221">
        <v>1246264792</v>
      </c>
      <c r="F221" s="324">
        <v>46167</v>
      </c>
      <c r="H221" t="s">
        <v>28</v>
      </c>
      <c r="I221" t="s">
        <v>29</v>
      </c>
      <c r="J221">
        <v>2769</v>
      </c>
      <c r="K221" s="324">
        <v>46077</v>
      </c>
      <c r="L221">
        <v>1010100</v>
      </c>
      <c r="M221" t="s">
        <v>35</v>
      </c>
      <c r="N221">
        <v>-55</v>
      </c>
      <c r="O221" s="32">
        <v>0</v>
      </c>
      <c r="P221" s="32">
        <v>0</v>
      </c>
      <c r="Q221" s="32">
        <v>288000</v>
      </c>
      <c r="R221" s="32">
        <v>0</v>
      </c>
      <c r="S221" s="32">
        <v>0</v>
      </c>
      <c r="T221" s="32">
        <v>0</v>
      </c>
      <c r="U221" s="32">
        <v>0</v>
      </c>
      <c r="V221" s="32">
        <v>0</v>
      </c>
      <c r="W221" s="32">
        <v>0</v>
      </c>
      <c r="X221" s="32">
        <v>0</v>
      </c>
      <c r="Y221" s="32">
        <v>0</v>
      </c>
      <c r="Z221" s="32">
        <v>0</v>
      </c>
      <c r="AA221" s="32">
        <v>0</v>
      </c>
      <c r="AB221" s="32">
        <v>0</v>
      </c>
      <c r="AC221" s="32" t="s">
        <v>540</v>
      </c>
      <c r="AD221" s="32"/>
      <c r="AE221" s="32">
        <v>0</v>
      </c>
    </row>
    <row r="222" spans="1:31" x14ac:dyDescent="0.25">
      <c r="A222">
        <v>9824</v>
      </c>
      <c r="B222" t="s">
        <v>427</v>
      </c>
      <c r="C222" t="s">
        <v>190</v>
      </c>
      <c r="D222" s="35">
        <v>69971.199999999997</v>
      </c>
      <c r="E222">
        <v>1246154720</v>
      </c>
      <c r="F222" s="324">
        <v>45738</v>
      </c>
      <c r="H222" t="s">
        <v>173</v>
      </c>
      <c r="I222" t="s">
        <v>174</v>
      </c>
      <c r="J222">
        <v>4113</v>
      </c>
      <c r="K222" s="324">
        <v>45475</v>
      </c>
      <c r="L222">
        <v>1010100</v>
      </c>
      <c r="M222" t="s">
        <v>35</v>
      </c>
      <c r="N222">
        <v>374</v>
      </c>
      <c r="O222" s="32">
        <v>0</v>
      </c>
      <c r="P222" s="32">
        <v>69971.199999999997</v>
      </c>
      <c r="Q222" s="32">
        <v>0</v>
      </c>
      <c r="R222" s="32">
        <v>0</v>
      </c>
      <c r="S222" s="32">
        <v>0</v>
      </c>
      <c r="T222" s="32">
        <v>0</v>
      </c>
      <c r="U222" s="32">
        <v>69971.199999999997</v>
      </c>
      <c r="V222" s="32">
        <v>0</v>
      </c>
      <c r="W222" s="32">
        <v>2099.136</v>
      </c>
      <c r="X222" s="32">
        <v>67872.063999999998</v>
      </c>
      <c r="Y222" s="32">
        <v>67872.063999999998</v>
      </c>
      <c r="Z222" s="32">
        <v>69971.199999999997</v>
      </c>
      <c r="AA222" s="32">
        <v>0</v>
      </c>
      <c r="AB222" s="32">
        <v>69971.199999999997</v>
      </c>
      <c r="AC222" s="32" t="s">
        <v>541</v>
      </c>
      <c r="AD222" s="32"/>
      <c r="AE222" s="32">
        <v>69971.199999999997</v>
      </c>
    </row>
    <row r="223" spans="1:31" x14ac:dyDescent="0.25">
      <c r="A223">
        <v>9824</v>
      </c>
      <c r="B223" t="s">
        <v>427</v>
      </c>
      <c r="C223" t="s">
        <v>190</v>
      </c>
      <c r="D223" s="35">
        <v>60656</v>
      </c>
      <c r="E223">
        <v>1246154724</v>
      </c>
      <c r="F223" s="324">
        <v>45738</v>
      </c>
      <c r="H223" t="s">
        <v>173</v>
      </c>
      <c r="I223" t="s">
        <v>174</v>
      </c>
      <c r="J223">
        <v>4114</v>
      </c>
      <c r="K223" s="324">
        <v>45475</v>
      </c>
      <c r="L223">
        <v>1010100</v>
      </c>
      <c r="M223" t="s">
        <v>35</v>
      </c>
      <c r="N223">
        <v>374</v>
      </c>
      <c r="O223" s="32">
        <v>0</v>
      </c>
      <c r="P223" s="32">
        <v>60656</v>
      </c>
      <c r="Q223" s="32">
        <v>0</v>
      </c>
      <c r="R223" s="32">
        <v>0</v>
      </c>
      <c r="S223" s="32">
        <v>0</v>
      </c>
      <c r="T223" s="32">
        <v>0</v>
      </c>
      <c r="U223" s="32">
        <v>60656</v>
      </c>
      <c r="V223" s="32">
        <v>0</v>
      </c>
      <c r="W223" s="32">
        <v>1819.6799999999998</v>
      </c>
      <c r="X223" s="32">
        <v>58836.32</v>
      </c>
      <c r="Y223" s="32">
        <v>58836.32</v>
      </c>
      <c r="Z223" s="32">
        <v>60656</v>
      </c>
      <c r="AA223" s="32">
        <v>0</v>
      </c>
      <c r="AB223" s="32">
        <v>60656</v>
      </c>
      <c r="AC223" s="32" t="s">
        <v>541</v>
      </c>
      <c r="AD223" s="32"/>
      <c r="AE223" s="32">
        <v>60656</v>
      </c>
    </row>
    <row r="224" spans="1:31" x14ac:dyDescent="0.25">
      <c r="A224">
        <v>11724</v>
      </c>
      <c r="B224" t="s">
        <v>428</v>
      </c>
      <c r="C224" t="s">
        <v>119</v>
      </c>
      <c r="D224" s="35">
        <v>143868</v>
      </c>
      <c r="E224">
        <v>1246267487</v>
      </c>
      <c r="F224" s="324">
        <v>46167</v>
      </c>
      <c r="H224" t="s">
        <v>28</v>
      </c>
      <c r="I224" t="s">
        <v>29</v>
      </c>
      <c r="J224">
        <v>10867</v>
      </c>
      <c r="K224" s="324">
        <v>46092</v>
      </c>
      <c r="L224">
        <v>1010100</v>
      </c>
      <c r="M224" t="s">
        <v>35</v>
      </c>
      <c r="N224">
        <v>-55</v>
      </c>
      <c r="O224" s="32">
        <v>0</v>
      </c>
      <c r="P224" s="32">
        <v>0</v>
      </c>
      <c r="Q224" s="32">
        <v>143868</v>
      </c>
      <c r="R224" s="32">
        <v>0</v>
      </c>
      <c r="S224" s="32">
        <v>0</v>
      </c>
      <c r="T224" s="32">
        <v>0</v>
      </c>
      <c r="U224" s="32">
        <v>0</v>
      </c>
      <c r="V224" s="32">
        <v>0</v>
      </c>
      <c r="W224" s="32">
        <v>0</v>
      </c>
      <c r="X224" s="32">
        <v>0</v>
      </c>
      <c r="Y224" s="32">
        <v>0</v>
      </c>
      <c r="Z224" s="32">
        <v>0</v>
      </c>
      <c r="AA224" s="32">
        <v>0</v>
      </c>
      <c r="AB224" s="32">
        <v>0</v>
      </c>
      <c r="AC224" s="32" t="s">
        <v>475</v>
      </c>
      <c r="AD224" s="32"/>
      <c r="AE224" s="32">
        <v>0</v>
      </c>
    </row>
    <row r="225" spans="1:31" x14ac:dyDescent="0.25">
      <c r="A225">
        <v>11724</v>
      </c>
      <c r="B225" t="s">
        <v>428</v>
      </c>
      <c r="C225" t="s">
        <v>119</v>
      </c>
      <c r="D225" s="35">
        <v>179580.2</v>
      </c>
      <c r="E225">
        <v>1246262079</v>
      </c>
      <c r="F225" s="324">
        <v>46122</v>
      </c>
      <c r="H225" t="s">
        <v>28</v>
      </c>
      <c r="I225" t="s">
        <v>29</v>
      </c>
      <c r="J225">
        <v>10628</v>
      </c>
      <c r="K225" s="324">
        <v>46056</v>
      </c>
      <c r="L225">
        <v>1010100</v>
      </c>
      <c r="M225" t="s">
        <v>35</v>
      </c>
      <c r="N225">
        <v>-10</v>
      </c>
      <c r="O225" s="32">
        <v>0</v>
      </c>
      <c r="P225" s="32">
        <v>0</v>
      </c>
      <c r="Q225" s="32">
        <v>179580.2</v>
      </c>
      <c r="R225" s="32">
        <v>0</v>
      </c>
      <c r="S225" s="32">
        <v>0</v>
      </c>
      <c r="T225" s="32">
        <v>0</v>
      </c>
      <c r="U225" s="32">
        <v>0</v>
      </c>
      <c r="V225" s="32">
        <v>0</v>
      </c>
      <c r="W225" s="32">
        <v>0</v>
      </c>
      <c r="X225" s="32">
        <v>0</v>
      </c>
      <c r="Y225" s="32">
        <v>0</v>
      </c>
      <c r="Z225" s="32">
        <v>0</v>
      </c>
      <c r="AA225" s="32">
        <v>0</v>
      </c>
      <c r="AB225" s="32">
        <v>0</v>
      </c>
      <c r="AC225" s="32" t="s">
        <v>475</v>
      </c>
      <c r="AD225" s="32"/>
      <c r="AE225" s="32">
        <v>0</v>
      </c>
    </row>
    <row r="226" spans="1:31" x14ac:dyDescent="0.25">
      <c r="A226">
        <v>11724</v>
      </c>
      <c r="B226" t="s">
        <v>428</v>
      </c>
      <c r="C226" t="s">
        <v>119</v>
      </c>
      <c r="D226" s="35">
        <v>171254.1</v>
      </c>
      <c r="E226">
        <v>1246263820</v>
      </c>
      <c r="F226" s="324">
        <v>46137</v>
      </c>
      <c r="H226" t="s">
        <v>28</v>
      </c>
      <c r="I226" t="s">
        <v>29</v>
      </c>
      <c r="J226">
        <v>10704</v>
      </c>
      <c r="K226" s="324">
        <v>46069</v>
      </c>
      <c r="L226">
        <v>1010100</v>
      </c>
      <c r="M226" t="s">
        <v>35</v>
      </c>
      <c r="N226">
        <v>-25</v>
      </c>
      <c r="O226" s="32">
        <v>0</v>
      </c>
      <c r="P226" s="32">
        <v>0</v>
      </c>
      <c r="Q226" s="32">
        <v>171254.1</v>
      </c>
      <c r="R226" s="32">
        <v>0</v>
      </c>
      <c r="S226" s="32">
        <v>0</v>
      </c>
      <c r="T226" s="32">
        <v>0</v>
      </c>
      <c r="U226" s="32">
        <v>0</v>
      </c>
      <c r="V226" s="32">
        <v>0</v>
      </c>
      <c r="W226" s="32">
        <v>0</v>
      </c>
      <c r="X226" s="32">
        <v>0</v>
      </c>
      <c r="Y226" s="32">
        <v>0</v>
      </c>
      <c r="Z226" s="32">
        <v>0</v>
      </c>
      <c r="AA226" s="32">
        <v>0</v>
      </c>
      <c r="AB226" s="32">
        <v>0</v>
      </c>
      <c r="AC226" s="32" t="s">
        <v>475</v>
      </c>
      <c r="AD226" s="32"/>
      <c r="AE226" s="32">
        <v>0</v>
      </c>
    </row>
    <row r="227" spans="1:31" x14ac:dyDescent="0.25">
      <c r="A227">
        <v>10371</v>
      </c>
      <c r="B227" t="s">
        <v>427</v>
      </c>
      <c r="C227" t="s">
        <v>256</v>
      </c>
      <c r="D227" s="35">
        <v>56674.77</v>
      </c>
      <c r="E227">
        <v>1246161059</v>
      </c>
      <c r="F227" s="324">
        <v>45736</v>
      </c>
      <c r="H227" t="s">
        <v>173</v>
      </c>
      <c r="I227" t="s">
        <v>174</v>
      </c>
      <c r="J227">
        <v>4516</v>
      </c>
      <c r="K227" s="324">
        <v>45502</v>
      </c>
      <c r="L227">
        <v>1010100</v>
      </c>
      <c r="M227" t="s">
        <v>35</v>
      </c>
      <c r="N227">
        <v>376</v>
      </c>
      <c r="O227" s="32">
        <v>0</v>
      </c>
      <c r="P227" s="32">
        <v>56674.77</v>
      </c>
      <c r="Q227" s="32">
        <v>0</v>
      </c>
      <c r="R227" s="32">
        <v>0</v>
      </c>
      <c r="S227" s="32">
        <v>0</v>
      </c>
      <c r="T227" s="32">
        <v>0</v>
      </c>
      <c r="U227" s="32">
        <v>56674.77</v>
      </c>
      <c r="V227" s="32">
        <v>0</v>
      </c>
      <c r="W227" s="32">
        <v>1700.2430999999999</v>
      </c>
      <c r="X227" s="32">
        <v>54974.526899999997</v>
      </c>
      <c r="Y227" s="32">
        <v>54974.526899999997</v>
      </c>
      <c r="Z227" s="32">
        <v>56674.77</v>
      </c>
      <c r="AA227" s="32">
        <v>0</v>
      </c>
      <c r="AB227" s="32">
        <v>56674.77</v>
      </c>
      <c r="AC227" s="32" t="s">
        <v>541</v>
      </c>
      <c r="AD227" s="32"/>
      <c r="AE227" s="32">
        <v>56674.77</v>
      </c>
    </row>
    <row r="228" spans="1:31" x14ac:dyDescent="0.25">
      <c r="A228">
        <v>10371</v>
      </c>
      <c r="B228" t="s">
        <v>427</v>
      </c>
      <c r="C228" t="s">
        <v>256</v>
      </c>
      <c r="D228" s="35">
        <v>50007.15</v>
      </c>
      <c r="E228">
        <v>1246161057</v>
      </c>
      <c r="F228" s="324">
        <v>45736</v>
      </c>
      <c r="H228" t="s">
        <v>173</v>
      </c>
      <c r="I228" t="s">
        <v>174</v>
      </c>
      <c r="J228">
        <v>4515</v>
      </c>
      <c r="K228" s="324">
        <v>45502</v>
      </c>
      <c r="L228">
        <v>1010100</v>
      </c>
      <c r="M228" t="s">
        <v>35</v>
      </c>
      <c r="N228">
        <v>376</v>
      </c>
      <c r="O228" s="32">
        <v>0</v>
      </c>
      <c r="P228" s="32">
        <v>50007.15</v>
      </c>
      <c r="Q228" s="32">
        <v>0</v>
      </c>
      <c r="R228" s="32">
        <v>0</v>
      </c>
      <c r="S228" s="32">
        <v>0</v>
      </c>
      <c r="T228" s="32">
        <v>0</v>
      </c>
      <c r="U228" s="32">
        <v>50007.15</v>
      </c>
      <c r="V228" s="32">
        <v>0</v>
      </c>
      <c r="W228" s="32">
        <v>1500.2145</v>
      </c>
      <c r="X228" s="32">
        <v>48506.9355</v>
      </c>
      <c r="Y228" s="32">
        <v>48506.9355</v>
      </c>
      <c r="Z228" s="32">
        <v>50007.15</v>
      </c>
      <c r="AA228" s="32">
        <v>0</v>
      </c>
      <c r="AB228" s="32">
        <v>50007.15</v>
      </c>
      <c r="AC228" s="32" t="s">
        <v>541</v>
      </c>
      <c r="AD228" s="32"/>
      <c r="AE228" s="32">
        <v>50007.15</v>
      </c>
    </row>
    <row r="229" spans="1:31" x14ac:dyDescent="0.25">
      <c r="A229">
        <v>10660</v>
      </c>
      <c r="B229" t="s">
        <v>420</v>
      </c>
      <c r="C229" t="s">
        <v>114</v>
      </c>
      <c r="D229" s="35">
        <v>1282.56</v>
      </c>
      <c r="E229">
        <v>1246157883</v>
      </c>
      <c r="F229" s="324">
        <v>45472</v>
      </c>
      <c r="H229" t="s">
        <v>28</v>
      </c>
      <c r="I229" t="s">
        <v>29</v>
      </c>
      <c r="J229">
        <v>3740</v>
      </c>
      <c r="K229" s="324">
        <v>45444</v>
      </c>
      <c r="L229">
        <v>1010100</v>
      </c>
      <c r="M229" t="s">
        <v>35</v>
      </c>
      <c r="N229">
        <v>640</v>
      </c>
      <c r="O229" s="32">
        <v>0</v>
      </c>
      <c r="P229" s="32">
        <v>1282.5599999999997</v>
      </c>
      <c r="Q229" s="32">
        <v>0</v>
      </c>
      <c r="R229" s="32">
        <v>0</v>
      </c>
      <c r="S229" s="32">
        <v>0</v>
      </c>
      <c r="T229" s="32">
        <v>0</v>
      </c>
      <c r="U229" s="32">
        <v>1282.56</v>
      </c>
      <c r="V229" s="32">
        <v>0</v>
      </c>
      <c r="W229" s="32">
        <v>38.476799999999997</v>
      </c>
      <c r="X229" s="32">
        <v>1244.0831999999998</v>
      </c>
      <c r="Y229" s="32">
        <v>1244.0831999999998</v>
      </c>
      <c r="Z229" s="32">
        <v>1282.56</v>
      </c>
      <c r="AA229" s="32">
        <v>0</v>
      </c>
      <c r="AB229" s="32">
        <v>1282.5599999999997</v>
      </c>
      <c r="AC229" s="32" t="s">
        <v>540</v>
      </c>
      <c r="AD229" s="32"/>
      <c r="AE229" s="32">
        <v>1282.5599999999997</v>
      </c>
    </row>
    <row r="230" spans="1:31" x14ac:dyDescent="0.25">
      <c r="A230">
        <v>10660</v>
      </c>
      <c r="B230" t="s">
        <v>420</v>
      </c>
      <c r="C230" t="s">
        <v>114</v>
      </c>
      <c r="D230" s="35">
        <v>1603.2</v>
      </c>
      <c r="E230">
        <v>1246176576</v>
      </c>
      <c r="F230" s="324">
        <v>45577</v>
      </c>
      <c r="H230" t="s">
        <v>28</v>
      </c>
      <c r="I230" t="s">
        <v>29</v>
      </c>
      <c r="J230">
        <v>5264</v>
      </c>
      <c r="K230" s="324">
        <v>45549</v>
      </c>
      <c r="L230">
        <v>1010100</v>
      </c>
      <c r="M230" t="s">
        <v>35</v>
      </c>
      <c r="N230">
        <v>535</v>
      </c>
      <c r="O230" s="32">
        <v>0</v>
      </c>
      <c r="P230" s="32">
        <v>1603.2</v>
      </c>
      <c r="Q230" s="32">
        <v>0</v>
      </c>
      <c r="R230" s="32">
        <v>0</v>
      </c>
      <c r="S230" s="32">
        <v>0</v>
      </c>
      <c r="T230" s="32">
        <v>0</v>
      </c>
      <c r="U230" s="32">
        <v>1603.2</v>
      </c>
      <c r="V230" s="32">
        <v>0</v>
      </c>
      <c r="W230" s="32">
        <v>48.095999999999997</v>
      </c>
      <c r="X230" s="32">
        <v>1555.104</v>
      </c>
      <c r="Y230" s="32">
        <v>1555.104</v>
      </c>
      <c r="Z230" s="32">
        <v>1603.2</v>
      </c>
      <c r="AA230" s="32">
        <v>0</v>
      </c>
      <c r="AB230" s="32">
        <v>1603.2</v>
      </c>
      <c r="AC230" s="32" t="s">
        <v>540</v>
      </c>
      <c r="AD230" s="32"/>
      <c r="AE230" s="32">
        <v>1603.2</v>
      </c>
    </row>
    <row r="231" spans="1:31" x14ac:dyDescent="0.25">
      <c r="A231">
        <v>10660</v>
      </c>
      <c r="B231" t="s">
        <v>420</v>
      </c>
      <c r="C231" t="s">
        <v>114</v>
      </c>
      <c r="D231" s="35">
        <v>1282.56</v>
      </c>
      <c r="E231">
        <v>1246184893</v>
      </c>
      <c r="F231" s="324">
        <v>45623</v>
      </c>
      <c r="H231" t="s">
        <v>28</v>
      </c>
      <c r="I231" t="s">
        <v>29</v>
      </c>
      <c r="J231">
        <v>5907</v>
      </c>
      <c r="K231" s="324">
        <v>45595</v>
      </c>
      <c r="L231">
        <v>1010100</v>
      </c>
      <c r="M231" t="s">
        <v>35</v>
      </c>
      <c r="N231">
        <v>489</v>
      </c>
      <c r="O231" s="32">
        <v>0</v>
      </c>
      <c r="P231" s="32">
        <v>1282.5599999999997</v>
      </c>
      <c r="Q231" s="32">
        <v>0</v>
      </c>
      <c r="R231" s="32">
        <v>0</v>
      </c>
      <c r="S231" s="32">
        <v>0</v>
      </c>
      <c r="T231" s="32">
        <v>0</v>
      </c>
      <c r="U231" s="32">
        <v>1282.56</v>
      </c>
      <c r="V231" s="32">
        <v>0</v>
      </c>
      <c r="W231" s="32">
        <v>38.476799999999997</v>
      </c>
      <c r="X231" s="32">
        <v>1244.0831999999998</v>
      </c>
      <c r="Y231" s="32">
        <v>1244.0831999999998</v>
      </c>
      <c r="Z231" s="32">
        <v>1282.56</v>
      </c>
      <c r="AA231" s="32">
        <v>0</v>
      </c>
      <c r="AB231" s="32">
        <v>1282.5599999999997</v>
      </c>
      <c r="AC231" s="32" t="s">
        <v>540</v>
      </c>
      <c r="AD231" s="32"/>
      <c r="AE231" s="32">
        <v>1282.5599999999997</v>
      </c>
    </row>
    <row r="232" spans="1:31" x14ac:dyDescent="0.25">
      <c r="A232">
        <v>11207</v>
      </c>
      <c r="B232" t="s">
        <v>429</v>
      </c>
      <c r="C232" t="s">
        <v>194</v>
      </c>
      <c r="D232" s="35">
        <v>153825.49</v>
      </c>
      <c r="E232">
        <v>1246067872</v>
      </c>
      <c r="F232" s="324">
        <v>45412</v>
      </c>
      <c r="H232" t="s">
        <v>173</v>
      </c>
      <c r="I232" t="s">
        <v>174</v>
      </c>
      <c r="J232">
        <v>20696</v>
      </c>
      <c r="K232" s="324">
        <v>44973</v>
      </c>
      <c r="L232">
        <v>1010100</v>
      </c>
      <c r="M232" t="s">
        <v>35</v>
      </c>
      <c r="N232">
        <v>700</v>
      </c>
      <c r="O232" s="32">
        <v>0</v>
      </c>
      <c r="P232" s="32">
        <v>153825.49</v>
      </c>
      <c r="Q232" s="32">
        <v>0</v>
      </c>
      <c r="R232" s="32">
        <v>0</v>
      </c>
      <c r="S232" s="32">
        <v>0</v>
      </c>
      <c r="T232" s="32">
        <v>0</v>
      </c>
      <c r="U232" s="32">
        <v>153825.49</v>
      </c>
      <c r="V232" s="32">
        <v>0</v>
      </c>
      <c r="W232" s="32">
        <v>0</v>
      </c>
      <c r="X232" s="32">
        <v>0</v>
      </c>
      <c r="Y232" s="32">
        <v>0</v>
      </c>
      <c r="Z232" s="32">
        <v>153825.49</v>
      </c>
      <c r="AA232" s="32">
        <v>153825.49</v>
      </c>
      <c r="AB232" s="32">
        <v>153825.49</v>
      </c>
      <c r="AC232" s="32" t="s">
        <v>541</v>
      </c>
      <c r="AD232" s="32"/>
      <c r="AE232" s="32">
        <v>153825.49</v>
      </c>
    </row>
    <row r="233" spans="1:31" x14ac:dyDescent="0.25">
      <c r="A233">
        <v>11207</v>
      </c>
      <c r="B233" t="s">
        <v>429</v>
      </c>
      <c r="C233" t="s">
        <v>194</v>
      </c>
      <c r="D233" s="35">
        <v>118231.86</v>
      </c>
      <c r="E233">
        <v>1246074301</v>
      </c>
      <c r="F233" s="324">
        <v>45412</v>
      </c>
      <c r="H233" t="s">
        <v>173</v>
      </c>
      <c r="I233" t="s">
        <v>174</v>
      </c>
      <c r="J233">
        <v>21005</v>
      </c>
      <c r="K233" s="324">
        <v>45015</v>
      </c>
      <c r="L233">
        <v>1010100</v>
      </c>
      <c r="M233" t="s">
        <v>35</v>
      </c>
      <c r="N233">
        <v>700</v>
      </c>
      <c r="O233" s="32">
        <v>0</v>
      </c>
      <c r="P233" s="32">
        <v>118231.86</v>
      </c>
      <c r="Q233" s="32">
        <v>0</v>
      </c>
      <c r="R233" s="32">
        <v>0</v>
      </c>
      <c r="S233" s="32">
        <v>0</v>
      </c>
      <c r="T233" s="32">
        <v>0</v>
      </c>
      <c r="U233" s="32">
        <v>118231.86</v>
      </c>
      <c r="V233" s="32">
        <v>0</v>
      </c>
      <c r="W233" s="32">
        <v>0</v>
      </c>
      <c r="X233" s="32">
        <v>0</v>
      </c>
      <c r="Y233" s="32">
        <v>0</v>
      </c>
      <c r="Z233" s="32">
        <v>118231.86</v>
      </c>
      <c r="AA233" s="32">
        <v>118231.86</v>
      </c>
      <c r="AB233" s="32">
        <v>118231.86</v>
      </c>
      <c r="AC233" s="32" t="s">
        <v>541</v>
      </c>
      <c r="AD233" s="32"/>
      <c r="AE233" s="32">
        <v>118231.86</v>
      </c>
    </row>
    <row r="234" spans="1:31" x14ac:dyDescent="0.25">
      <c r="A234">
        <v>11207</v>
      </c>
      <c r="B234" t="s">
        <v>429</v>
      </c>
      <c r="C234" t="s">
        <v>194</v>
      </c>
      <c r="D234" s="35">
        <v>91167.15</v>
      </c>
      <c r="E234">
        <v>1246075550</v>
      </c>
      <c r="F234" s="324">
        <v>45412</v>
      </c>
      <c r="H234" t="s">
        <v>173</v>
      </c>
      <c r="I234" t="s">
        <v>174</v>
      </c>
      <c r="J234">
        <v>21053</v>
      </c>
      <c r="K234" s="324">
        <v>45022</v>
      </c>
      <c r="L234">
        <v>1010100</v>
      </c>
      <c r="M234" t="s">
        <v>35</v>
      </c>
      <c r="N234">
        <v>700</v>
      </c>
      <c r="O234" s="32">
        <v>0</v>
      </c>
      <c r="P234" s="32">
        <v>91167.15</v>
      </c>
      <c r="Q234" s="32">
        <v>0</v>
      </c>
      <c r="R234" s="32">
        <v>0</v>
      </c>
      <c r="S234" s="32">
        <v>0</v>
      </c>
      <c r="T234" s="32">
        <v>0</v>
      </c>
      <c r="U234" s="32">
        <v>91167.15</v>
      </c>
      <c r="V234" s="32">
        <v>0</v>
      </c>
      <c r="W234" s="32">
        <v>0</v>
      </c>
      <c r="X234" s="32">
        <v>0</v>
      </c>
      <c r="Y234" s="32">
        <v>0</v>
      </c>
      <c r="Z234" s="32">
        <v>91167.15</v>
      </c>
      <c r="AA234" s="32">
        <v>91167.15</v>
      </c>
      <c r="AB234" s="32">
        <v>91167.15</v>
      </c>
      <c r="AC234" s="32" t="s">
        <v>541</v>
      </c>
      <c r="AD234" s="32"/>
      <c r="AE234" s="32">
        <v>91167.15</v>
      </c>
    </row>
    <row r="235" spans="1:31" x14ac:dyDescent="0.25">
      <c r="A235">
        <v>11207</v>
      </c>
      <c r="B235" t="s">
        <v>429</v>
      </c>
      <c r="C235" t="s">
        <v>194</v>
      </c>
      <c r="D235" s="35">
        <v>43771.16</v>
      </c>
      <c r="E235">
        <v>1246094423</v>
      </c>
      <c r="F235" s="324">
        <v>45423</v>
      </c>
      <c r="H235" t="s">
        <v>173</v>
      </c>
      <c r="I235" t="s">
        <v>174</v>
      </c>
      <c r="J235">
        <v>356</v>
      </c>
      <c r="K235" s="324">
        <v>45133</v>
      </c>
      <c r="L235">
        <v>1010100</v>
      </c>
      <c r="M235" t="s">
        <v>35</v>
      </c>
      <c r="N235">
        <v>689</v>
      </c>
      <c r="O235" s="32">
        <v>0</v>
      </c>
      <c r="P235" s="32">
        <v>43771.16</v>
      </c>
      <c r="Q235" s="32">
        <v>0</v>
      </c>
      <c r="R235" s="32">
        <v>0</v>
      </c>
      <c r="S235" s="32">
        <v>0</v>
      </c>
      <c r="T235" s="32">
        <v>0</v>
      </c>
      <c r="U235" s="32">
        <v>43771.16</v>
      </c>
      <c r="V235" s="32">
        <v>0</v>
      </c>
      <c r="W235" s="32">
        <v>0</v>
      </c>
      <c r="X235" s="32">
        <v>0</v>
      </c>
      <c r="Y235" s="32">
        <v>0</v>
      </c>
      <c r="Z235" s="32">
        <v>43771.16</v>
      </c>
      <c r="AA235" s="32">
        <v>43771.16</v>
      </c>
      <c r="AB235" s="32">
        <v>43771.16</v>
      </c>
      <c r="AC235" s="32" t="s">
        <v>541</v>
      </c>
      <c r="AD235" s="32"/>
      <c r="AE235" s="32">
        <v>43771.16</v>
      </c>
    </row>
    <row r="236" spans="1:31" x14ac:dyDescent="0.25">
      <c r="A236">
        <v>11207</v>
      </c>
      <c r="B236" t="s">
        <v>429</v>
      </c>
      <c r="C236" t="s">
        <v>194</v>
      </c>
      <c r="D236" s="35">
        <v>44760.26</v>
      </c>
      <c r="E236">
        <v>1246092027</v>
      </c>
      <c r="F236" s="324">
        <v>45504</v>
      </c>
      <c r="H236" t="s">
        <v>173</v>
      </c>
      <c r="I236" t="s">
        <v>174</v>
      </c>
      <c r="J236">
        <v>138</v>
      </c>
      <c r="K236" s="324">
        <v>45119</v>
      </c>
      <c r="L236">
        <v>1010100</v>
      </c>
      <c r="M236" t="s">
        <v>35</v>
      </c>
      <c r="N236">
        <v>608</v>
      </c>
      <c r="O236" s="32">
        <v>0</v>
      </c>
      <c r="P236" s="32">
        <v>44760.26</v>
      </c>
      <c r="Q236" s="32">
        <v>0</v>
      </c>
      <c r="R236" s="32">
        <v>0</v>
      </c>
      <c r="S236" s="32">
        <v>0</v>
      </c>
      <c r="T236" s="32">
        <v>0</v>
      </c>
      <c r="U236" s="32">
        <v>44760.26</v>
      </c>
      <c r="V236" s="32">
        <v>0</v>
      </c>
      <c r="W236" s="32">
        <v>0</v>
      </c>
      <c r="X236" s="32">
        <v>0</v>
      </c>
      <c r="Y236" s="32">
        <v>0</v>
      </c>
      <c r="Z236" s="32">
        <v>44760.26</v>
      </c>
      <c r="AA236" s="32">
        <v>44760.26</v>
      </c>
      <c r="AB236" s="32">
        <v>44760.26</v>
      </c>
      <c r="AC236" s="32" t="s">
        <v>541</v>
      </c>
      <c r="AD236" s="32"/>
      <c r="AE236" s="32">
        <v>44760.26</v>
      </c>
    </row>
    <row r="237" spans="1:31" x14ac:dyDescent="0.25">
      <c r="A237">
        <v>11207</v>
      </c>
      <c r="B237" t="s">
        <v>429</v>
      </c>
      <c r="C237" t="s">
        <v>194</v>
      </c>
      <c r="D237" s="35">
        <v>43771.16</v>
      </c>
      <c r="E237">
        <v>1246093362</v>
      </c>
      <c r="F237" s="324">
        <v>45417</v>
      </c>
      <c r="H237" t="s">
        <v>173</v>
      </c>
      <c r="I237" t="s">
        <v>174</v>
      </c>
      <c r="J237">
        <v>253</v>
      </c>
      <c r="K237" s="324">
        <v>45127</v>
      </c>
      <c r="L237">
        <v>1010100</v>
      </c>
      <c r="M237" t="s">
        <v>35</v>
      </c>
      <c r="N237">
        <v>695</v>
      </c>
      <c r="O237" s="32">
        <v>0</v>
      </c>
      <c r="P237" s="32">
        <v>43771.16</v>
      </c>
      <c r="Q237" s="32">
        <v>0</v>
      </c>
      <c r="R237" s="32">
        <v>0</v>
      </c>
      <c r="S237" s="32">
        <v>0</v>
      </c>
      <c r="T237" s="32">
        <v>0</v>
      </c>
      <c r="U237" s="32">
        <v>43771.16</v>
      </c>
      <c r="V237" s="32">
        <v>0</v>
      </c>
      <c r="W237" s="32">
        <v>0</v>
      </c>
      <c r="X237" s="32">
        <v>0</v>
      </c>
      <c r="Y237" s="32">
        <v>0</v>
      </c>
      <c r="Z237" s="32">
        <v>43771.16</v>
      </c>
      <c r="AA237" s="32">
        <v>43771.16</v>
      </c>
      <c r="AB237" s="32">
        <v>43771.16</v>
      </c>
      <c r="AC237" s="32" t="s">
        <v>541</v>
      </c>
      <c r="AD237" s="32"/>
      <c r="AE237" s="32">
        <v>43771.16</v>
      </c>
    </row>
    <row r="238" spans="1:31" x14ac:dyDescent="0.25">
      <c r="A238">
        <v>11207</v>
      </c>
      <c r="B238" t="s">
        <v>429</v>
      </c>
      <c r="C238" t="s">
        <v>194</v>
      </c>
      <c r="D238" s="35">
        <v>47925.4</v>
      </c>
      <c r="E238">
        <v>1246094864</v>
      </c>
      <c r="F238" s="324">
        <v>45544</v>
      </c>
      <c r="H238" t="s">
        <v>173</v>
      </c>
      <c r="I238" t="s">
        <v>174</v>
      </c>
      <c r="J238">
        <v>407</v>
      </c>
      <c r="K238" s="324">
        <v>45135</v>
      </c>
      <c r="L238">
        <v>1010100</v>
      </c>
      <c r="M238" t="s">
        <v>35</v>
      </c>
      <c r="N238">
        <v>568</v>
      </c>
      <c r="O238" s="32">
        <v>0</v>
      </c>
      <c r="P238" s="32">
        <v>47925.4</v>
      </c>
      <c r="Q238" s="32">
        <v>0</v>
      </c>
      <c r="R238" s="32">
        <v>0</v>
      </c>
      <c r="S238" s="32">
        <v>0</v>
      </c>
      <c r="T238" s="32">
        <v>0</v>
      </c>
      <c r="U238" s="32">
        <v>47925.4</v>
      </c>
      <c r="V238" s="32">
        <v>0</v>
      </c>
      <c r="W238" s="32">
        <v>0</v>
      </c>
      <c r="X238" s="32">
        <v>0</v>
      </c>
      <c r="Y238" s="32">
        <v>0</v>
      </c>
      <c r="Z238" s="32">
        <v>47925.4</v>
      </c>
      <c r="AA238" s="32">
        <v>47925.4</v>
      </c>
      <c r="AB238" s="32">
        <v>47925.4</v>
      </c>
      <c r="AC238" s="32" t="s">
        <v>541</v>
      </c>
      <c r="AD238" s="32"/>
      <c r="AE238" s="32">
        <v>47925.4</v>
      </c>
    </row>
    <row r="239" spans="1:31" x14ac:dyDescent="0.25">
      <c r="A239">
        <v>11207</v>
      </c>
      <c r="B239" t="s">
        <v>429</v>
      </c>
      <c r="C239" t="s">
        <v>194</v>
      </c>
      <c r="D239" s="35">
        <v>106301.38</v>
      </c>
      <c r="E239">
        <v>1246094863</v>
      </c>
      <c r="F239" s="324">
        <v>45425</v>
      </c>
      <c r="H239" t="s">
        <v>173</v>
      </c>
      <c r="I239" t="s">
        <v>174</v>
      </c>
      <c r="J239">
        <v>406</v>
      </c>
      <c r="K239" s="324">
        <v>45135</v>
      </c>
      <c r="L239">
        <v>1010100</v>
      </c>
      <c r="M239" t="s">
        <v>35</v>
      </c>
      <c r="N239">
        <v>687</v>
      </c>
      <c r="O239" s="32">
        <v>0</v>
      </c>
      <c r="P239" s="32">
        <v>106301.38</v>
      </c>
      <c r="Q239" s="32">
        <v>0</v>
      </c>
      <c r="R239" s="32">
        <v>0</v>
      </c>
      <c r="S239" s="32">
        <v>0</v>
      </c>
      <c r="T239" s="32">
        <v>0</v>
      </c>
      <c r="U239" s="32">
        <v>106301.38</v>
      </c>
      <c r="V239" s="32">
        <v>0</v>
      </c>
      <c r="W239" s="32">
        <v>0</v>
      </c>
      <c r="X239" s="32">
        <v>0</v>
      </c>
      <c r="Y239" s="32">
        <v>0</v>
      </c>
      <c r="Z239" s="32">
        <v>106301.38</v>
      </c>
      <c r="AA239" s="32">
        <v>106301.38</v>
      </c>
      <c r="AB239" s="32">
        <v>106301.38</v>
      </c>
      <c r="AC239" s="32" t="s">
        <v>541</v>
      </c>
      <c r="AD239" s="32"/>
      <c r="AE239" s="32">
        <v>106301.38</v>
      </c>
    </row>
    <row r="240" spans="1:31" x14ac:dyDescent="0.25">
      <c r="A240">
        <v>11207</v>
      </c>
      <c r="B240" t="s">
        <v>429</v>
      </c>
      <c r="C240" t="s">
        <v>194</v>
      </c>
      <c r="D240" s="35">
        <v>150072.54</v>
      </c>
      <c r="E240">
        <v>1246095554</v>
      </c>
      <c r="F240" s="324">
        <v>45415</v>
      </c>
      <c r="H240" t="s">
        <v>173</v>
      </c>
      <c r="I240" t="s">
        <v>174</v>
      </c>
      <c r="J240">
        <v>485</v>
      </c>
      <c r="K240" s="324">
        <v>45140</v>
      </c>
      <c r="L240">
        <v>1010100</v>
      </c>
      <c r="M240" t="s">
        <v>35</v>
      </c>
      <c r="N240">
        <v>697</v>
      </c>
      <c r="O240" s="32">
        <v>0</v>
      </c>
      <c r="P240" s="32">
        <v>150072.54</v>
      </c>
      <c r="Q240" s="32">
        <v>0</v>
      </c>
      <c r="R240" s="32">
        <v>0</v>
      </c>
      <c r="S240" s="32">
        <v>0</v>
      </c>
      <c r="T240" s="32">
        <v>0</v>
      </c>
      <c r="U240" s="32">
        <v>150072.54</v>
      </c>
      <c r="V240" s="32">
        <v>0</v>
      </c>
      <c r="W240" s="32">
        <v>0</v>
      </c>
      <c r="X240" s="32">
        <v>0</v>
      </c>
      <c r="Y240" s="32">
        <v>0</v>
      </c>
      <c r="Z240" s="32">
        <v>150072.54</v>
      </c>
      <c r="AA240" s="32">
        <v>150072.54</v>
      </c>
      <c r="AB240" s="32">
        <v>150072.54</v>
      </c>
      <c r="AC240" s="32" t="s">
        <v>541</v>
      </c>
      <c r="AD240" s="32"/>
      <c r="AE240" s="32">
        <v>150072.54</v>
      </c>
    </row>
    <row r="241" spans="1:31" x14ac:dyDescent="0.25">
      <c r="A241">
        <v>11207</v>
      </c>
      <c r="B241" t="s">
        <v>429</v>
      </c>
      <c r="C241" t="s">
        <v>194</v>
      </c>
      <c r="D241" s="35">
        <v>150072.54999999999</v>
      </c>
      <c r="E241">
        <v>1246098101</v>
      </c>
      <c r="F241" s="324">
        <v>45414</v>
      </c>
      <c r="H241" t="s">
        <v>173</v>
      </c>
      <c r="I241" t="s">
        <v>174</v>
      </c>
      <c r="J241">
        <v>151</v>
      </c>
      <c r="K241" s="324">
        <v>45154</v>
      </c>
      <c r="L241">
        <v>1010100</v>
      </c>
      <c r="M241" t="s">
        <v>35</v>
      </c>
      <c r="N241">
        <v>698</v>
      </c>
      <c r="O241" s="32">
        <v>0</v>
      </c>
      <c r="P241" s="32">
        <v>150072.54999999999</v>
      </c>
      <c r="Q241" s="32">
        <v>0</v>
      </c>
      <c r="R241" s="32">
        <v>0</v>
      </c>
      <c r="S241" s="32">
        <v>0</v>
      </c>
      <c r="T241" s="32">
        <v>0</v>
      </c>
      <c r="U241" s="32">
        <v>150072.54999999999</v>
      </c>
      <c r="V241" s="32">
        <v>0</v>
      </c>
      <c r="W241" s="32">
        <v>0</v>
      </c>
      <c r="X241" s="32">
        <v>0</v>
      </c>
      <c r="Y241" s="32">
        <v>0</v>
      </c>
      <c r="Z241" s="32">
        <v>150072.54999999999</v>
      </c>
      <c r="AA241" s="32">
        <v>150072.54999999999</v>
      </c>
      <c r="AB241" s="32">
        <v>150072.54999999999</v>
      </c>
      <c r="AC241" s="32" t="s">
        <v>541</v>
      </c>
      <c r="AD241" s="32"/>
      <c r="AE241" s="32">
        <v>150072.54999999999</v>
      </c>
    </row>
    <row r="242" spans="1:31" x14ac:dyDescent="0.25">
      <c r="A242">
        <v>11207</v>
      </c>
      <c r="B242" t="s">
        <v>429</v>
      </c>
      <c r="C242" t="s">
        <v>194</v>
      </c>
      <c r="D242" s="35">
        <v>43771.16</v>
      </c>
      <c r="E242">
        <v>1246098102</v>
      </c>
      <c r="F242" s="324">
        <v>45414</v>
      </c>
      <c r="H242" t="s">
        <v>173</v>
      </c>
      <c r="I242" t="s">
        <v>174</v>
      </c>
      <c r="J242">
        <v>152</v>
      </c>
      <c r="K242" s="324">
        <v>45154</v>
      </c>
      <c r="L242">
        <v>1010100</v>
      </c>
      <c r="M242" t="s">
        <v>35</v>
      </c>
      <c r="N242">
        <v>698</v>
      </c>
      <c r="O242" s="32">
        <v>0</v>
      </c>
      <c r="P242" s="32">
        <v>43771.16</v>
      </c>
      <c r="Q242" s="32">
        <v>0</v>
      </c>
      <c r="R242" s="32">
        <v>0</v>
      </c>
      <c r="S242" s="32">
        <v>0</v>
      </c>
      <c r="T242" s="32">
        <v>0</v>
      </c>
      <c r="U242" s="32">
        <v>43771.16</v>
      </c>
      <c r="V242" s="32">
        <v>0</v>
      </c>
      <c r="W242" s="32">
        <v>0</v>
      </c>
      <c r="X242" s="32">
        <v>0</v>
      </c>
      <c r="Y242" s="32">
        <v>0</v>
      </c>
      <c r="Z242" s="32">
        <v>43771.16</v>
      </c>
      <c r="AA242" s="32">
        <v>43771.16</v>
      </c>
      <c r="AB242" s="32">
        <v>43771.16</v>
      </c>
      <c r="AC242" s="32" t="s">
        <v>541</v>
      </c>
      <c r="AD242" s="32"/>
      <c r="AE242" s="32">
        <v>43771.16</v>
      </c>
    </row>
    <row r="243" spans="1:31" x14ac:dyDescent="0.25">
      <c r="A243">
        <v>11207</v>
      </c>
      <c r="B243" t="s">
        <v>429</v>
      </c>
      <c r="C243" t="s">
        <v>194</v>
      </c>
      <c r="D243" s="35">
        <v>150072.54</v>
      </c>
      <c r="E243">
        <v>1246096042</v>
      </c>
      <c r="F243" s="324">
        <v>45417</v>
      </c>
      <c r="H243" t="s">
        <v>173</v>
      </c>
      <c r="I243" t="s">
        <v>174</v>
      </c>
      <c r="J243">
        <v>520</v>
      </c>
      <c r="K243" s="324">
        <v>45142</v>
      </c>
      <c r="L243">
        <v>1010100</v>
      </c>
      <c r="M243" t="s">
        <v>35</v>
      </c>
      <c r="N243">
        <v>695</v>
      </c>
      <c r="O243" s="32">
        <v>0</v>
      </c>
      <c r="P243" s="32">
        <v>150072.54</v>
      </c>
      <c r="Q243" s="32">
        <v>0</v>
      </c>
      <c r="R243" s="32">
        <v>0</v>
      </c>
      <c r="S243" s="32">
        <v>0</v>
      </c>
      <c r="T243" s="32">
        <v>0</v>
      </c>
      <c r="U243" s="32">
        <v>150072.54</v>
      </c>
      <c r="V243" s="32">
        <v>0</v>
      </c>
      <c r="W243" s="32">
        <v>0</v>
      </c>
      <c r="X243" s="32">
        <v>0</v>
      </c>
      <c r="Y243" s="32">
        <v>0</v>
      </c>
      <c r="Z243" s="32">
        <v>150072.54</v>
      </c>
      <c r="AA243" s="32">
        <v>150072.54</v>
      </c>
      <c r="AB243" s="32">
        <v>150072.54</v>
      </c>
      <c r="AC243" s="32" t="s">
        <v>541</v>
      </c>
      <c r="AD243" s="32"/>
      <c r="AE243" s="32">
        <v>150072.54</v>
      </c>
    </row>
    <row r="244" spans="1:31" x14ac:dyDescent="0.25">
      <c r="A244">
        <v>11207</v>
      </c>
      <c r="B244" t="s">
        <v>429</v>
      </c>
      <c r="C244" t="s">
        <v>194</v>
      </c>
      <c r="D244" s="35">
        <v>150072.54999999999</v>
      </c>
      <c r="E244">
        <v>1246098739</v>
      </c>
      <c r="F244" s="324">
        <v>45446</v>
      </c>
      <c r="H244" t="s">
        <v>173</v>
      </c>
      <c r="I244" t="s">
        <v>174</v>
      </c>
      <c r="J244">
        <v>161</v>
      </c>
      <c r="K244" s="324">
        <v>45156</v>
      </c>
      <c r="L244">
        <v>1010100</v>
      </c>
      <c r="M244" t="s">
        <v>35</v>
      </c>
      <c r="N244">
        <v>666</v>
      </c>
      <c r="O244" s="32">
        <v>0</v>
      </c>
      <c r="P244" s="32">
        <v>150072.54999999999</v>
      </c>
      <c r="Q244" s="32">
        <v>0</v>
      </c>
      <c r="R244" s="32">
        <v>0</v>
      </c>
      <c r="S244" s="32">
        <v>0</v>
      </c>
      <c r="T244" s="32">
        <v>0</v>
      </c>
      <c r="U244" s="32">
        <v>150072.54999999999</v>
      </c>
      <c r="V244" s="32">
        <v>0</v>
      </c>
      <c r="W244" s="32">
        <v>0</v>
      </c>
      <c r="X244" s="32">
        <v>0</v>
      </c>
      <c r="Y244" s="32">
        <v>0</v>
      </c>
      <c r="Z244" s="32">
        <v>150072.54999999999</v>
      </c>
      <c r="AA244" s="32">
        <v>150072.54999999999</v>
      </c>
      <c r="AB244" s="32">
        <v>150072.54999999999</v>
      </c>
      <c r="AC244" s="32" t="s">
        <v>541</v>
      </c>
      <c r="AD244" s="32"/>
      <c r="AE244" s="32">
        <v>150072.54999999999</v>
      </c>
    </row>
    <row r="245" spans="1:31" x14ac:dyDescent="0.25">
      <c r="A245">
        <v>11207</v>
      </c>
      <c r="B245" t="s">
        <v>429</v>
      </c>
      <c r="C245" t="s">
        <v>194</v>
      </c>
      <c r="D245" s="35">
        <v>150072.54</v>
      </c>
      <c r="E245">
        <v>1246103409</v>
      </c>
      <c r="F245" s="324">
        <v>45421</v>
      </c>
      <c r="H245" t="s">
        <v>173</v>
      </c>
      <c r="I245" t="s">
        <v>174</v>
      </c>
      <c r="J245">
        <v>231</v>
      </c>
      <c r="K245" s="324">
        <v>45181</v>
      </c>
      <c r="L245">
        <v>1010100</v>
      </c>
      <c r="M245" t="s">
        <v>35</v>
      </c>
      <c r="N245">
        <v>691</v>
      </c>
      <c r="O245" s="32">
        <v>0</v>
      </c>
      <c r="P245" s="32">
        <v>150072.54</v>
      </c>
      <c r="Q245" s="32">
        <v>0</v>
      </c>
      <c r="R245" s="32">
        <v>0</v>
      </c>
      <c r="S245" s="32">
        <v>0</v>
      </c>
      <c r="T245" s="32">
        <v>0</v>
      </c>
      <c r="U245" s="32">
        <v>150072.54</v>
      </c>
      <c r="V245" s="32">
        <v>0</v>
      </c>
      <c r="W245" s="32">
        <v>0</v>
      </c>
      <c r="X245" s="32">
        <v>0</v>
      </c>
      <c r="Y245" s="32">
        <v>0</v>
      </c>
      <c r="Z245" s="32">
        <v>150072.54</v>
      </c>
      <c r="AA245" s="32">
        <v>150072.54</v>
      </c>
      <c r="AB245" s="32">
        <v>150072.54</v>
      </c>
      <c r="AC245" s="32" t="s">
        <v>541</v>
      </c>
      <c r="AD245" s="32"/>
      <c r="AE245" s="32">
        <v>150072.54</v>
      </c>
    </row>
    <row r="246" spans="1:31" x14ac:dyDescent="0.25">
      <c r="A246">
        <v>11207</v>
      </c>
      <c r="B246" t="s">
        <v>429</v>
      </c>
      <c r="C246" t="s">
        <v>194</v>
      </c>
      <c r="D246" s="35">
        <v>150072.54999999999</v>
      </c>
      <c r="E246">
        <v>1246104480</v>
      </c>
      <c r="F246" s="324">
        <v>45427</v>
      </c>
      <c r="H246" t="s">
        <v>173</v>
      </c>
      <c r="I246" t="s">
        <v>174</v>
      </c>
      <c r="J246">
        <v>1209</v>
      </c>
      <c r="K246" s="324">
        <v>45187</v>
      </c>
      <c r="L246">
        <v>1010100</v>
      </c>
      <c r="M246" t="s">
        <v>35</v>
      </c>
      <c r="N246">
        <v>685</v>
      </c>
      <c r="O246" s="32">
        <v>0</v>
      </c>
      <c r="P246" s="32">
        <v>150072.54999999999</v>
      </c>
      <c r="Q246" s="32">
        <v>0</v>
      </c>
      <c r="R246" s="32">
        <v>0</v>
      </c>
      <c r="S246" s="32">
        <v>0</v>
      </c>
      <c r="T246" s="32">
        <v>0</v>
      </c>
      <c r="U246" s="32">
        <v>150072.54999999999</v>
      </c>
      <c r="V246" s="32">
        <v>0</v>
      </c>
      <c r="W246" s="32">
        <v>0</v>
      </c>
      <c r="X246" s="32">
        <v>0</v>
      </c>
      <c r="Y246" s="32">
        <v>0</v>
      </c>
      <c r="Z246" s="32">
        <v>150072.54999999999</v>
      </c>
      <c r="AA246" s="32">
        <v>150072.54999999999</v>
      </c>
      <c r="AB246" s="32">
        <v>150072.54999999999</v>
      </c>
      <c r="AC246" s="32" t="s">
        <v>541</v>
      </c>
      <c r="AD246" s="32"/>
      <c r="AE246" s="32">
        <v>150072.54999999999</v>
      </c>
    </row>
    <row r="247" spans="1:31" x14ac:dyDescent="0.25">
      <c r="A247">
        <v>11207</v>
      </c>
      <c r="B247" t="s">
        <v>429</v>
      </c>
      <c r="C247" t="s">
        <v>194</v>
      </c>
      <c r="D247" s="35">
        <v>98152.42</v>
      </c>
      <c r="E247">
        <v>1246128194</v>
      </c>
      <c r="F247" s="324">
        <v>45595</v>
      </c>
      <c r="H247" t="s">
        <v>173</v>
      </c>
      <c r="I247" t="s">
        <v>174</v>
      </c>
      <c r="J247">
        <v>2705</v>
      </c>
      <c r="K247" s="324">
        <v>45327</v>
      </c>
      <c r="L247">
        <v>1010100</v>
      </c>
      <c r="M247" t="s">
        <v>35</v>
      </c>
      <c r="N247">
        <v>517</v>
      </c>
      <c r="O247" s="32">
        <v>0</v>
      </c>
      <c r="P247" s="32">
        <v>98152.42</v>
      </c>
      <c r="Q247" s="32">
        <v>0</v>
      </c>
      <c r="R247" s="32">
        <v>0</v>
      </c>
      <c r="S247" s="32">
        <v>0</v>
      </c>
      <c r="T247" s="32">
        <v>0</v>
      </c>
      <c r="U247" s="32">
        <v>98152.42</v>
      </c>
      <c r="V247" s="32">
        <v>0</v>
      </c>
      <c r="W247" s="32">
        <v>0</v>
      </c>
      <c r="X247" s="32">
        <v>0</v>
      </c>
      <c r="Y247" s="32">
        <v>0</v>
      </c>
      <c r="Z247" s="32">
        <v>98152.42</v>
      </c>
      <c r="AA247" s="32">
        <v>98152.42</v>
      </c>
      <c r="AB247" s="32">
        <v>98152.42</v>
      </c>
      <c r="AC247" s="32" t="s">
        <v>541</v>
      </c>
      <c r="AD247" s="32"/>
      <c r="AE247" s="32">
        <v>98152.42</v>
      </c>
    </row>
    <row r="248" spans="1:31" x14ac:dyDescent="0.25">
      <c r="A248">
        <v>11207</v>
      </c>
      <c r="B248" t="s">
        <v>429</v>
      </c>
      <c r="C248" t="s">
        <v>194</v>
      </c>
      <c r="D248" s="35">
        <v>98152.43</v>
      </c>
      <c r="E248">
        <v>1246128212</v>
      </c>
      <c r="F248" s="324">
        <v>45595</v>
      </c>
      <c r="H248" t="s">
        <v>173</v>
      </c>
      <c r="I248" t="s">
        <v>174</v>
      </c>
      <c r="J248">
        <v>2708</v>
      </c>
      <c r="K248" s="324">
        <v>45327</v>
      </c>
      <c r="L248">
        <v>1010100</v>
      </c>
      <c r="M248" t="s">
        <v>35</v>
      </c>
      <c r="N248">
        <v>517</v>
      </c>
      <c r="O248" s="32">
        <v>0</v>
      </c>
      <c r="P248" s="32">
        <v>98152.43</v>
      </c>
      <c r="Q248" s="32">
        <v>0</v>
      </c>
      <c r="R248" s="32">
        <v>0</v>
      </c>
      <c r="S248" s="32">
        <v>0</v>
      </c>
      <c r="T248" s="32">
        <v>0</v>
      </c>
      <c r="U248" s="32">
        <v>98152.43</v>
      </c>
      <c r="V248" s="32">
        <v>0</v>
      </c>
      <c r="W248" s="32">
        <v>0</v>
      </c>
      <c r="X248" s="32">
        <v>0</v>
      </c>
      <c r="Y248" s="32">
        <v>0</v>
      </c>
      <c r="Z248" s="32">
        <v>98152.43</v>
      </c>
      <c r="AA248" s="32">
        <v>98152.43</v>
      </c>
      <c r="AB248" s="32">
        <v>98152.43</v>
      </c>
      <c r="AC248" s="32" t="s">
        <v>541</v>
      </c>
      <c r="AD248" s="32"/>
      <c r="AE248" s="32">
        <v>98152.43</v>
      </c>
    </row>
    <row r="249" spans="1:31" x14ac:dyDescent="0.25">
      <c r="A249">
        <v>11207</v>
      </c>
      <c r="B249" t="s">
        <v>429</v>
      </c>
      <c r="C249" t="s">
        <v>194</v>
      </c>
      <c r="D249" s="35">
        <v>43771.16</v>
      </c>
      <c r="E249">
        <v>1246102312</v>
      </c>
      <c r="F249" s="324">
        <v>45414</v>
      </c>
      <c r="H249" t="s">
        <v>173</v>
      </c>
      <c r="I249" t="s">
        <v>174</v>
      </c>
      <c r="J249">
        <v>1038</v>
      </c>
      <c r="K249" s="324">
        <v>45174</v>
      </c>
      <c r="L249">
        <v>1010100</v>
      </c>
      <c r="M249" t="s">
        <v>35</v>
      </c>
      <c r="N249">
        <v>698</v>
      </c>
      <c r="O249" s="32">
        <v>0</v>
      </c>
      <c r="P249" s="32">
        <v>43771.16</v>
      </c>
      <c r="Q249" s="32">
        <v>0</v>
      </c>
      <c r="R249" s="32">
        <v>0</v>
      </c>
      <c r="S249" s="32">
        <v>0</v>
      </c>
      <c r="T249" s="32">
        <v>0</v>
      </c>
      <c r="U249" s="32">
        <v>43771.16</v>
      </c>
      <c r="V249" s="32">
        <v>0</v>
      </c>
      <c r="W249" s="32">
        <v>0</v>
      </c>
      <c r="X249" s="32">
        <v>0</v>
      </c>
      <c r="Y249" s="32">
        <v>0</v>
      </c>
      <c r="Z249" s="32">
        <v>43771.16</v>
      </c>
      <c r="AA249" s="32">
        <v>43771.16</v>
      </c>
      <c r="AB249" s="32">
        <v>43771.16</v>
      </c>
      <c r="AC249" s="32" t="s">
        <v>541</v>
      </c>
      <c r="AD249" s="32"/>
      <c r="AE249" s="32">
        <v>43771.16</v>
      </c>
    </row>
    <row r="250" spans="1:31" x14ac:dyDescent="0.25">
      <c r="A250">
        <v>11207</v>
      </c>
      <c r="B250" t="s">
        <v>429</v>
      </c>
      <c r="C250" t="s">
        <v>194</v>
      </c>
      <c r="D250" s="35">
        <v>43771.16</v>
      </c>
      <c r="E250">
        <v>1246103425</v>
      </c>
      <c r="F250" s="324">
        <v>45421</v>
      </c>
      <c r="H250" t="s">
        <v>173</v>
      </c>
      <c r="I250" t="s">
        <v>174</v>
      </c>
      <c r="J250">
        <v>232</v>
      </c>
      <c r="K250" s="324">
        <v>45181</v>
      </c>
      <c r="L250">
        <v>1010100</v>
      </c>
      <c r="M250" t="s">
        <v>35</v>
      </c>
      <c r="N250">
        <v>691</v>
      </c>
      <c r="O250" s="32">
        <v>0</v>
      </c>
      <c r="P250" s="32">
        <v>43771.16</v>
      </c>
      <c r="Q250" s="32">
        <v>0</v>
      </c>
      <c r="R250" s="32">
        <v>0</v>
      </c>
      <c r="S250" s="32">
        <v>0</v>
      </c>
      <c r="T250" s="32">
        <v>0</v>
      </c>
      <c r="U250" s="32">
        <v>43771.16</v>
      </c>
      <c r="V250" s="32">
        <v>0</v>
      </c>
      <c r="W250" s="32">
        <v>0</v>
      </c>
      <c r="X250" s="32">
        <v>0</v>
      </c>
      <c r="Y250" s="32">
        <v>0</v>
      </c>
      <c r="Z250" s="32">
        <v>43771.16</v>
      </c>
      <c r="AA250" s="32">
        <v>43771.16</v>
      </c>
      <c r="AB250" s="32">
        <v>43771.16</v>
      </c>
      <c r="AC250" s="32" t="s">
        <v>541</v>
      </c>
      <c r="AD250" s="32"/>
      <c r="AE250" s="32">
        <v>43771.16</v>
      </c>
    </row>
    <row r="251" spans="1:31" x14ac:dyDescent="0.25">
      <c r="A251">
        <v>11207</v>
      </c>
      <c r="B251" t="s">
        <v>429</v>
      </c>
      <c r="C251" t="s">
        <v>194</v>
      </c>
      <c r="D251" s="35">
        <v>85883.37</v>
      </c>
      <c r="E251">
        <v>1246128634</v>
      </c>
      <c r="F251" s="324">
        <v>45597</v>
      </c>
      <c r="H251" t="s">
        <v>173</v>
      </c>
      <c r="I251" t="s">
        <v>174</v>
      </c>
      <c r="J251">
        <v>2731</v>
      </c>
      <c r="K251" s="324">
        <v>45329</v>
      </c>
      <c r="L251">
        <v>1010100</v>
      </c>
      <c r="M251" t="s">
        <v>35</v>
      </c>
      <c r="N251">
        <v>515</v>
      </c>
      <c r="O251" s="32">
        <v>0</v>
      </c>
      <c r="P251" s="32">
        <v>85883.37</v>
      </c>
      <c r="Q251" s="32">
        <v>0</v>
      </c>
      <c r="R251" s="32">
        <v>0</v>
      </c>
      <c r="S251" s="32">
        <v>0</v>
      </c>
      <c r="T251" s="32">
        <v>0</v>
      </c>
      <c r="U251" s="32">
        <v>85883.37</v>
      </c>
      <c r="V251" s="32">
        <v>0</v>
      </c>
      <c r="W251" s="32">
        <v>0</v>
      </c>
      <c r="X251" s="32">
        <v>0</v>
      </c>
      <c r="Y251" s="32">
        <v>0</v>
      </c>
      <c r="Z251" s="32">
        <v>85883.37</v>
      </c>
      <c r="AA251" s="32">
        <v>85883.37</v>
      </c>
      <c r="AB251" s="32">
        <v>85883.37</v>
      </c>
      <c r="AC251" s="32" t="s">
        <v>541</v>
      </c>
      <c r="AD251" s="32"/>
      <c r="AE251" s="32">
        <v>85883.37</v>
      </c>
    </row>
    <row r="252" spans="1:31" x14ac:dyDescent="0.25">
      <c r="A252">
        <v>11207</v>
      </c>
      <c r="B252" t="s">
        <v>429</v>
      </c>
      <c r="C252" t="s">
        <v>194</v>
      </c>
      <c r="D252" s="35">
        <v>150072.54</v>
      </c>
      <c r="E252">
        <v>1246106013</v>
      </c>
      <c r="F252" s="324">
        <v>45416</v>
      </c>
      <c r="H252" t="s">
        <v>173</v>
      </c>
      <c r="I252" t="s">
        <v>174</v>
      </c>
      <c r="J252">
        <v>1329</v>
      </c>
      <c r="K252" s="324">
        <v>45194</v>
      </c>
      <c r="L252">
        <v>1010100</v>
      </c>
      <c r="M252" t="s">
        <v>35</v>
      </c>
      <c r="N252">
        <v>696</v>
      </c>
      <c r="O252" s="32">
        <v>0</v>
      </c>
      <c r="P252" s="32">
        <v>150072.54</v>
      </c>
      <c r="Q252" s="32">
        <v>0</v>
      </c>
      <c r="R252" s="32">
        <v>0</v>
      </c>
      <c r="S252" s="32">
        <v>0</v>
      </c>
      <c r="T252" s="32">
        <v>0</v>
      </c>
      <c r="U252" s="32">
        <v>150072.54</v>
      </c>
      <c r="V252" s="32">
        <v>0</v>
      </c>
      <c r="W252" s="32">
        <v>0</v>
      </c>
      <c r="X252" s="32">
        <v>0</v>
      </c>
      <c r="Y252" s="32">
        <v>0</v>
      </c>
      <c r="Z252" s="32">
        <v>150072.54</v>
      </c>
      <c r="AA252" s="32">
        <v>150072.54</v>
      </c>
      <c r="AB252" s="32">
        <v>150072.54</v>
      </c>
      <c r="AC252" s="32" t="s">
        <v>541</v>
      </c>
      <c r="AD252" s="32"/>
      <c r="AE252" s="32">
        <v>150072.54</v>
      </c>
    </row>
    <row r="253" spans="1:31" x14ac:dyDescent="0.25">
      <c r="A253">
        <v>11207</v>
      </c>
      <c r="B253" t="s">
        <v>429</v>
      </c>
      <c r="C253" t="s">
        <v>194</v>
      </c>
      <c r="D253" s="35">
        <v>150072.54</v>
      </c>
      <c r="E253">
        <v>1246102752</v>
      </c>
      <c r="F253" s="324">
        <v>45415</v>
      </c>
      <c r="H253" t="s">
        <v>173</v>
      </c>
      <c r="I253" t="s">
        <v>174</v>
      </c>
      <c r="J253">
        <v>1071</v>
      </c>
      <c r="K253" s="324">
        <v>45175</v>
      </c>
      <c r="L253">
        <v>1010100</v>
      </c>
      <c r="M253" t="s">
        <v>35</v>
      </c>
      <c r="N253">
        <v>697</v>
      </c>
      <c r="O253" s="32">
        <v>0</v>
      </c>
      <c r="P253" s="32">
        <v>150072.54</v>
      </c>
      <c r="Q253" s="32">
        <v>0</v>
      </c>
      <c r="R253" s="32">
        <v>0</v>
      </c>
      <c r="S253" s="32">
        <v>0</v>
      </c>
      <c r="T253" s="32">
        <v>0</v>
      </c>
      <c r="U253" s="32">
        <v>150072.54</v>
      </c>
      <c r="V253" s="32">
        <v>0</v>
      </c>
      <c r="W253" s="32">
        <v>0</v>
      </c>
      <c r="X253" s="32">
        <v>0</v>
      </c>
      <c r="Y253" s="32">
        <v>0</v>
      </c>
      <c r="Z253" s="32">
        <v>150072.54</v>
      </c>
      <c r="AA253" s="32">
        <v>150072.54</v>
      </c>
      <c r="AB253" s="32">
        <v>150072.54</v>
      </c>
      <c r="AC253" s="32" t="s">
        <v>541</v>
      </c>
      <c r="AD253" s="32"/>
      <c r="AE253" s="32">
        <v>150072.54</v>
      </c>
    </row>
    <row r="254" spans="1:31" x14ac:dyDescent="0.25">
      <c r="A254">
        <v>11207</v>
      </c>
      <c r="B254" t="s">
        <v>429</v>
      </c>
      <c r="C254" t="s">
        <v>194</v>
      </c>
      <c r="D254" s="35">
        <v>43771.16</v>
      </c>
      <c r="E254">
        <v>1246103933</v>
      </c>
      <c r="F254" s="324">
        <v>45423</v>
      </c>
      <c r="H254" t="s">
        <v>173</v>
      </c>
      <c r="I254" t="s">
        <v>174</v>
      </c>
      <c r="J254">
        <v>1167</v>
      </c>
      <c r="K254" s="324">
        <v>45183</v>
      </c>
      <c r="L254">
        <v>1010100</v>
      </c>
      <c r="M254" t="s">
        <v>35</v>
      </c>
      <c r="N254">
        <v>689</v>
      </c>
      <c r="O254" s="32">
        <v>0</v>
      </c>
      <c r="P254" s="32">
        <v>43771.16</v>
      </c>
      <c r="Q254" s="32">
        <v>0</v>
      </c>
      <c r="R254" s="32">
        <v>0</v>
      </c>
      <c r="S254" s="32">
        <v>0</v>
      </c>
      <c r="T254" s="32">
        <v>0</v>
      </c>
      <c r="U254" s="32">
        <v>43771.16</v>
      </c>
      <c r="V254" s="32">
        <v>0</v>
      </c>
      <c r="W254" s="32">
        <v>0</v>
      </c>
      <c r="X254" s="32">
        <v>0</v>
      </c>
      <c r="Y254" s="32">
        <v>0</v>
      </c>
      <c r="Z254" s="32">
        <v>43771.16</v>
      </c>
      <c r="AA254" s="32">
        <v>43771.16</v>
      </c>
      <c r="AB254" s="32">
        <v>43771.16</v>
      </c>
      <c r="AC254" s="32" t="s">
        <v>541</v>
      </c>
      <c r="AD254" s="32"/>
      <c r="AE254" s="32">
        <v>43771.16</v>
      </c>
    </row>
    <row r="255" spans="1:31" x14ac:dyDescent="0.25">
      <c r="A255">
        <v>11207</v>
      </c>
      <c r="B255" t="s">
        <v>429</v>
      </c>
      <c r="C255" t="s">
        <v>194</v>
      </c>
      <c r="D255" s="35">
        <v>150072.54</v>
      </c>
      <c r="E255">
        <v>1246105096</v>
      </c>
      <c r="F255" s="324">
        <v>45429</v>
      </c>
      <c r="H255" t="s">
        <v>173</v>
      </c>
      <c r="I255" t="s">
        <v>174</v>
      </c>
      <c r="J255">
        <v>1263</v>
      </c>
      <c r="K255" s="324">
        <v>45189</v>
      </c>
      <c r="L255">
        <v>1010100</v>
      </c>
      <c r="M255" t="s">
        <v>35</v>
      </c>
      <c r="N255">
        <v>683</v>
      </c>
      <c r="O255" s="32">
        <v>0</v>
      </c>
      <c r="P255" s="32">
        <v>150072.54</v>
      </c>
      <c r="Q255" s="32">
        <v>0</v>
      </c>
      <c r="R255" s="32">
        <v>0</v>
      </c>
      <c r="S255" s="32">
        <v>0</v>
      </c>
      <c r="T255" s="32">
        <v>0</v>
      </c>
      <c r="U255" s="32">
        <v>150072.54</v>
      </c>
      <c r="V255" s="32">
        <v>0</v>
      </c>
      <c r="W255" s="32">
        <v>0</v>
      </c>
      <c r="X255" s="32">
        <v>0</v>
      </c>
      <c r="Y255" s="32">
        <v>0</v>
      </c>
      <c r="Z255" s="32">
        <v>150072.54</v>
      </c>
      <c r="AA255" s="32">
        <v>150072.54</v>
      </c>
      <c r="AB255" s="32">
        <v>150072.54</v>
      </c>
      <c r="AC255" s="32" t="s">
        <v>541</v>
      </c>
      <c r="AD255" s="32"/>
      <c r="AE255" s="32">
        <v>150072.54</v>
      </c>
    </row>
    <row r="256" spans="1:31" x14ac:dyDescent="0.25">
      <c r="A256">
        <v>11207</v>
      </c>
      <c r="B256" t="s">
        <v>429</v>
      </c>
      <c r="C256" t="s">
        <v>194</v>
      </c>
      <c r="D256" s="35">
        <v>85883.37</v>
      </c>
      <c r="E256">
        <v>1246131973</v>
      </c>
      <c r="F256" s="324">
        <v>45595</v>
      </c>
      <c r="H256" t="s">
        <v>173</v>
      </c>
      <c r="I256" t="s">
        <v>174</v>
      </c>
      <c r="J256">
        <v>2972</v>
      </c>
      <c r="K256" s="324">
        <v>45352</v>
      </c>
      <c r="L256">
        <v>1010100</v>
      </c>
      <c r="M256" t="s">
        <v>35</v>
      </c>
      <c r="N256">
        <v>517</v>
      </c>
      <c r="O256" s="32">
        <v>0</v>
      </c>
      <c r="P256" s="32">
        <v>85883.37</v>
      </c>
      <c r="Q256" s="32">
        <v>0</v>
      </c>
      <c r="R256" s="32">
        <v>0</v>
      </c>
      <c r="S256" s="32">
        <v>0</v>
      </c>
      <c r="T256" s="32">
        <v>0</v>
      </c>
      <c r="U256" s="32">
        <v>85883.37</v>
      </c>
      <c r="V256" s="32">
        <v>0</v>
      </c>
      <c r="W256" s="32">
        <v>0</v>
      </c>
      <c r="X256" s="32">
        <v>0</v>
      </c>
      <c r="Y256" s="32">
        <v>0</v>
      </c>
      <c r="Z256" s="32">
        <v>85883.37</v>
      </c>
      <c r="AA256" s="32">
        <v>85883.37</v>
      </c>
      <c r="AB256" s="32">
        <v>85883.37</v>
      </c>
      <c r="AC256" s="32" t="s">
        <v>541</v>
      </c>
      <c r="AD256" s="32"/>
      <c r="AE256" s="32">
        <v>85883.37</v>
      </c>
    </row>
    <row r="257" spans="1:31" x14ac:dyDescent="0.25">
      <c r="A257">
        <v>11456</v>
      </c>
      <c r="B257" t="s">
        <v>429</v>
      </c>
      <c r="C257" t="s">
        <v>202</v>
      </c>
      <c r="D257" s="35">
        <v>108608.88999999998</v>
      </c>
      <c r="E257">
        <v>1246074872</v>
      </c>
      <c r="F257" s="324">
        <v>45412</v>
      </c>
      <c r="H257" t="s">
        <v>173</v>
      </c>
      <c r="I257" t="s">
        <v>174</v>
      </c>
      <c r="J257">
        <v>21029</v>
      </c>
      <c r="K257" s="324">
        <v>45019</v>
      </c>
      <c r="L257">
        <v>1010100</v>
      </c>
      <c r="M257" t="s">
        <v>35</v>
      </c>
      <c r="N257">
        <v>700</v>
      </c>
      <c r="O257" s="32">
        <v>0</v>
      </c>
      <c r="P257" s="32">
        <v>108608.88999999998</v>
      </c>
      <c r="Q257" s="32">
        <v>0</v>
      </c>
      <c r="R257" s="32">
        <v>0</v>
      </c>
      <c r="S257" s="32">
        <v>0</v>
      </c>
      <c r="T257" s="32">
        <v>0</v>
      </c>
      <c r="U257" s="32">
        <v>108608.88999999998</v>
      </c>
      <c r="V257" s="32">
        <v>0</v>
      </c>
      <c r="W257" s="32">
        <v>0</v>
      </c>
      <c r="X257" s="32">
        <v>0</v>
      </c>
      <c r="Y257" s="32">
        <v>0</v>
      </c>
      <c r="Z257" s="32">
        <v>108608.88999999998</v>
      </c>
      <c r="AA257" s="32">
        <v>108608.88999999998</v>
      </c>
      <c r="AB257" s="32">
        <v>108608.88999999998</v>
      </c>
      <c r="AC257" s="32" t="s">
        <v>541</v>
      </c>
      <c r="AD257" s="32"/>
      <c r="AE257" s="32">
        <v>108608.88999999998</v>
      </c>
    </row>
    <row r="258" spans="1:31" x14ac:dyDescent="0.25">
      <c r="A258">
        <v>11456</v>
      </c>
      <c r="B258" t="s">
        <v>429</v>
      </c>
      <c r="C258" t="s">
        <v>202</v>
      </c>
      <c r="D258" s="35">
        <v>136139</v>
      </c>
      <c r="E258">
        <v>1246074571</v>
      </c>
      <c r="F258" s="324">
        <v>45412</v>
      </c>
      <c r="H258" t="s">
        <v>173</v>
      </c>
      <c r="I258" t="s">
        <v>174</v>
      </c>
      <c r="J258">
        <v>21023</v>
      </c>
      <c r="K258" s="324">
        <v>45017</v>
      </c>
      <c r="L258">
        <v>1010100</v>
      </c>
      <c r="M258" t="s">
        <v>35</v>
      </c>
      <c r="N258">
        <v>700</v>
      </c>
      <c r="O258" s="32">
        <v>0</v>
      </c>
      <c r="P258" s="32">
        <v>136139</v>
      </c>
      <c r="Q258" s="32">
        <v>0</v>
      </c>
      <c r="R258" s="32">
        <v>0</v>
      </c>
      <c r="S258" s="32">
        <v>0</v>
      </c>
      <c r="T258" s="32">
        <v>0</v>
      </c>
      <c r="U258" s="32">
        <v>136139</v>
      </c>
      <c r="V258" s="32">
        <v>0</v>
      </c>
      <c r="W258" s="32">
        <v>0</v>
      </c>
      <c r="X258" s="32">
        <v>0</v>
      </c>
      <c r="Y258" s="32">
        <v>0</v>
      </c>
      <c r="Z258" s="32">
        <v>136139</v>
      </c>
      <c r="AA258" s="32">
        <v>136139</v>
      </c>
      <c r="AB258" s="32">
        <v>136139</v>
      </c>
      <c r="AC258" s="32" t="s">
        <v>541</v>
      </c>
      <c r="AD258" s="32"/>
      <c r="AE258" s="32">
        <v>136139</v>
      </c>
    </row>
    <row r="259" spans="1:31" x14ac:dyDescent="0.25">
      <c r="A259">
        <v>11456</v>
      </c>
      <c r="B259" t="s">
        <v>429</v>
      </c>
      <c r="C259" t="s">
        <v>202</v>
      </c>
      <c r="D259" s="35">
        <v>150110.1</v>
      </c>
      <c r="E259">
        <v>1246127149</v>
      </c>
      <c r="F259" s="324">
        <v>45615</v>
      </c>
      <c r="H259" t="s">
        <v>173</v>
      </c>
      <c r="I259" t="s">
        <v>174</v>
      </c>
      <c r="J259">
        <v>2634</v>
      </c>
      <c r="K259" s="324">
        <v>45320</v>
      </c>
      <c r="L259">
        <v>1010100</v>
      </c>
      <c r="M259" t="s">
        <v>35</v>
      </c>
      <c r="N259">
        <v>497</v>
      </c>
      <c r="O259" s="32">
        <v>0</v>
      </c>
      <c r="P259" s="32">
        <v>150110.1</v>
      </c>
      <c r="Q259" s="32">
        <v>0</v>
      </c>
      <c r="R259" s="32">
        <v>0</v>
      </c>
      <c r="S259" s="32">
        <v>0</v>
      </c>
      <c r="T259" s="32">
        <v>0</v>
      </c>
      <c r="U259" s="32">
        <v>150110.1</v>
      </c>
      <c r="V259" s="32">
        <v>0</v>
      </c>
      <c r="W259" s="32">
        <v>0</v>
      </c>
      <c r="X259" s="32">
        <v>0</v>
      </c>
      <c r="Y259" s="32">
        <v>0</v>
      </c>
      <c r="Z259" s="32">
        <v>150110.1</v>
      </c>
      <c r="AA259" s="32">
        <v>150110.1</v>
      </c>
      <c r="AB259" s="32">
        <v>150110.1</v>
      </c>
      <c r="AC259" s="32" t="s">
        <v>541</v>
      </c>
      <c r="AD259" s="32"/>
      <c r="AE259" s="32">
        <v>150110.1</v>
      </c>
    </row>
    <row r="260" spans="1:31" x14ac:dyDescent="0.25">
      <c r="A260">
        <v>11456</v>
      </c>
      <c r="B260" t="s">
        <v>429</v>
      </c>
      <c r="C260" t="s">
        <v>202</v>
      </c>
      <c r="D260" s="35">
        <v>150110.1</v>
      </c>
      <c r="E260">
        <v>1246128463</v>
      </c>
      <c r="F260" s="324">
        <v>45623</v>
      </c>
      <c r="H260" t="s">
        <v>173</v>
      </c>
      <c r="I260" t="s">
        <v>174</v>
      </c>
      <c r="J260">
        <v>2720</v>
      </c>
      <c r="K260" s="324">
        <v>45328</v>
      </c>
      <c r="L260">
        <v>1010100</v>
      </c>
      <c r="M260" t="s">
        <v>35</v>
      </c>
      <c r="N260">
        <v>489</v>
      </c>
      <c r="O260" s="32">
        <v>0</v>
      </c>
      <c r="P260" s="32">
        <v>150110.1</v>
      </c>
      <c r="Q260" s="32">
        <v>0</v>
      </c>
      <c r="R260" s="32">
        <v>0</v>
      </c>
      <c r="S260" s="32">
        <v>0</v>
      </c>
      <c r="T260" s="32">
        <v>0</v>
      </c>
      <c r="U260" s="32">
        <v>150110.1</v>
      </c>
      <c r="V260" s="32">
        <v>0</v>
      </c>
      <c r="W260" s="32">
        <v>0</v>
      </c>
      <c r="X260" s="32">
        <v>0</v>
      </c>
      <c r="Y260" s="32">
        <v>0</v>
      </c>
      <c r="Z260" s="32">
        <v>150110.1</v>
      </c>
      <c r="AA260" s="32">
        <v>150110.1</v>
      </c>
      <c r="AB260" s="32">
        <v>150110.1</v>
      </c>
      <c r="AC260" s="32" t="s">
        <v>541</v>
      </c>
      <c r="AD260" s="32"/>
      <c r="AE260" s="32">
        <v>150110.1</v>
      </c>
    </row>
    <row r="261" spans="1:31" x14ac:dyDescent="0.25">
      <c r="A261">
        <v>10492</v>
      </c>
      <c r="B261" t="s">
        <v>417</v>
      </c>
      <c r="C261" t="s">
        <v>874</v>
      </c>
      <c r="D261" s="35">
        <v>352080</v>
      </c>
      <c r="E261">
        <v>1246269406</v>
      </c>
      <c r="F261" s="324">
        <v>46136</v>
      </c>
      <c r="H261" t="s">
        <v>28</v>
      </c>
      <c r="I261" t="s">
        <v>29</v>
      </c>
      <c r="J261">
        <v>2845</v>
      </c>
      <c r="K261" s="324">
        <v>46108</v>
      </c>
      <c r="L261">
        <v>1010100</v>
      </c>
      <c r="M261" t="s">
        <v>35</v>
      </c>
      <c r="N261">
        <v>-24</v>
      </c>
      <c r="O261" s="32">
        <v>0</v>
      </c>
      <c r="P261" s="32">
        <v>0</v>
      </c>
      <c r="Q261" s="32">
        <v>352080</v>
      </c>
      <c r="R261" s="32">
        <v>0</v>
      </c>
      <c r="S261" s="32">
        <v>0</v>
      </c>
      <c r="T261" s="32">
        <v>0</v>
      </c>
      <c r="U261" s="32">
        <v>0</v>
      </c>
      <c r="V261" s="32">
        <v>0</v>
      </c>
      <c r="W261" s="32">
        <v>0</v>
      </c>
      <c r="X261" s="32">
        <v>0</v>
      </c>
      <c r="Y261" s="32">
        <v>0</v>
      </c>
      <c r="Z261" s="32">
        <v>0</v>
      </c>
      <c r="AA261" s="32">
        <v>0</v>
      </c>
      <c r="AB261" s="32">
        <v>0</v>
      </c>
      <c r="AC261" s="32" t="s">
        <v>475</v>
      </c>
      <c r="AD261" s="32"/>
      <c r="AE261" s="32">
        <v>0</v>
      </c>
    </row>
    <row r="262" spans="1:31" x14ac:dyDescent="0.25">
      <c r="A262">
        <v>13018</v>
      </c>
      <c r="B262" t="s">
        <v>683</v>
      </c>
      <c r="C262" t="s">
        <v>686</v>
      </c>
      <c r="D262" s="35">
        <v>65364.2</v>
      </c>
      <c r="E262">
        <v>1246251307</v>
      </c>
      <c r="F262" s="324">
        <v>46387</v>
      </c>
      <c r="H262" t="s">
        <v>28</v>
      </c>
      <c r="I262" t="s">
        <v>29</v>
      </c>
      <c r="J262">
        <v>10138</v>
      </c>
      <c r="K262" s="324">
        <v>45988</v>
      </c>
      <c r="L262">
        <v>1010100</v>
      </c>
      <c r="M262" t="s">
        <v>35</v>
      </c>
      <c r="N262">
        <v>-275</v>
      </c>
      <c r="O262" s="32">
        <v>0</v>
      </c>
      <c r="P262" s="32">
        <v>0</v>
      </c>
      <c r="Q262" s="32">
        <v>65364.2</v>
      </c>
      <c r="R262" s="32">
        <v>0</v>
      </c>
      <c r="S262" s="32">
        <v>0</v>
      </c>
      <c r="T262" s="32">
        <v>0</v>
      </c>
      <c r="U262" s="32">
        <v>0</v>
      </c>
      <c r="V262" s="32">
        <v>0</v>
      </c>
      <c r="W262" s="32">
        <v>0</v>
      </c>
      <c r="X262" s="32">
        <v>0</v>
      </c>
      <c r="Y262" s="32">
        <v>0</v>
      </c>
      <c r="Z262" s="32">
        <v>0</v>
      </c>
      <c r="AA262" s="32">
        <v>0</v>
      </c>
      <c r="AB262" s="32">
        <v>0</v>
      </c>
      <c r="AC262" s="32" t="s">
        <v>475</v>
      </c>
      <c r="AD262" s="32"/>
      <c r="AE262" s="32">
        <v>0</v>
      </c>
    </row>
    <row r="263" spans="1:31" x14ac:dyDescent="0.25">
      <c r="A263">
        <v>13018</v>
      </c>
      <c r="B263" t="s">
        <v>683</v>
      </c>
      <c r="C263" t="s">
        <v>686</v>
      </c>
      <c r="D263" s="35">
        <v>49092.5</v>
      </c>
      <c r="E263">
        <v>1246237155</v>
      </c>
      <c r="F263" s="324">
        <v>46387</v>
      </c>
      <c r="H263" t="s">
        <v>28</v>
      </c>
      <c r="I263" t="s">
        <v>29</v>
      </c>
      <c r="J263">
        <v>9357</v>
      </c>
      <c r="K263" s="324">
        <v>45917</v>
      </c>
      <c r="L263">
        <v>1010100</v>
      </c>
      <c r="M263" t="s">
        <v>35</v>
      </c>
      <c r="N263">
        <v>-275</v>
      </c>
      <c r="O263" s="32">
        <v>0</v>
      </c>
      <c r="P263" s="32">
        <v>0</v>
      </c>
      <c r="Q263" s="32">
        <v>49092.5</v>
      </c>
      <c r="R263" s="32">
        <v>0</v>
      </c>
      <c r="S263" s="32">
        <v>0</v>
      </c>
      <c r="T263" s="32">
        <v>0</v>
      </c>
      <c r="U263" s="32">
        <v>0</v>
      </c>
      <c r="V263" s="32">
        <v>0</v>
      </c>
      <c r="W263" s="32">
        <v>0</v>
      </c>
      <c r="X263" s="32">
        <v>0</v>
      </c>
      <c r="Y263" s="32">
        <v>0</v>
      </c>
      <c r="Z263" s="32">
        <v>0</v>
      </c>
      <c r="AA263" s="32">
        <v>0</v>
      </c>
      <c r="AB263" s="32">
        <v>0</v>
      </c>
      <c r="AC263" s="32" t="s">
        <v>475</v>
      </c>
      <c r="AD263" s="32"/>
      <c r="AE263" s="32">
        <v>0</v>
      </c>
    </row>
    <row r="264" spans="1:31" x14ac:dyDescent="0.25">
      <c r="A264">
        <v>13018</v>
      </c>
      <c r="B264" t="s">
        <v>683</v>
      </c>
      <c r="C264" t="s">
        <v>686</v>
      </c>
      <c r="D264" s="35">
        <v>71295.600000000006</v>
      </c>
      <c r="E264">
        <v>1246239405</v>
      </c>
      <c r="F264" s="324">
        <v>46387</v>
      </c>
      <c r="H264" t="s">
        <v>28</v>
      </c>
      <c r="I264" t="s">
        <v>29</v>
      </c>
      <c r="J264">
        <v>9472</v>
      </c>
      <c r="K264" s="324">
        <v>45926</v>
      </c>
      <c r="L264">
        <v>1010100</v>
      </c>
      <c r="M264" t="s">
        <v>35</v>
      </c>
      <c r="N264">
        <v>-275</v>
      </c>
      <c r="O264" s="32">
        <v>0</v>
      </c>
      <c r="P264" s="32">
        <v>0</v>
      </c>
      <c r="Q264" s="32">
        <v>71295.600000000006</v>
      </c>
      <c r="R264" s="32">
        <v>0</v>
      </c>
      <c r="S264" s="32">
        <v>0</v>
      </c>
      <c r="T264" s="32">
        <v>0</v>
      </c>
      <c r="U264" s="32">
        <v>0</v>
      </c>
      <c r="V264" s="32">
        <v>0</v>
      </c>
      <c r="W264" s="32">
        <v>0</v>
      </c>
      <c r="X264" s="32">
        <v>0</v>
      </c>
      <c r="Y264" s="32">
        <v>0</v>
      </c>
      <c r="Z264" s="32">
        <v>0</v>
      </c>
      <c r="AA264" s="32">
        <v>0</v>
      </c>
      <c r="AB264" s="32">
        <v>0</v>
      </c>
      <c r="AC264" s="32" t="s">
        <v>475</v>
      </c>
      <c r="AD264" s="32"/>
      <c r="AE264" s="32">
        <v>0</v>
      </c>
    </row>
    <row r="265" spans="1:31" x14ac:dyDescent="0.25">
      <c r="A265">
        <v>13018</v>
      </c>
      <c r="B265" t="s">
        <v>683</v>
      </c>
      <c r="C265" t="s">
        <v>686</v>
      </c>
      <c r="D265" s="35">
        <v>70705.600000000006</v>
      </c>
      <c r="E265">
        <v>1246239411</v>
      </c>
      <c r="F265" s="324">
        <v>46387</v>
      </c>
      <c r="H265" t="s">
        <v>28</v>
      </c>
      <c r="I265" t="s">
        <v>29</v>
      </c>
      <c r="J265">
        <v>9474</v>
      </c>
      <c r="K265" s="324">
        <v>45926</v>
      </c>
      <c r="L265">
        <v>1010100</v>
      </c>
      <c r="M265" t="s">
        <v>35</v>
      </c>
      <c r="N265">
        <v>-275</v>
      </c>
      <c r="O265" s="32">
        <v>0</v>
      </c>
      <c r="P265" s="32">
        <v>0</v>
      </c>
      <c r="Q265" s="32">
        <v>70705.600000000006</v>
      </c>
      <c r="R265" s="32">
        <v>0</v>
      </c>
      <c r="S265" s="32">
        <v>0</v>
      </c>
      <c r="T265" s="32">
        <v>0</v>
      </c>
      <c r="U265" s="32">
        <v>0</v>
      </c>
      <c r="V265" s="32">
        <v>0</v>
      </c>
      <c r="W265" s="32">
        <v>0</v>
      </c>
      <c r="X265" s="32">
        <v>0</v>
      </c>
      <c r="Y265" s="32">
        <v>0</v>
      </c>
      <c r="Z265" s="32">
        <v>0</v>
      </c>
      <c r="AA265" s="32">
        <v>0</v>
      </c>
      <c r="AB265" s="32">
        <v>0</v>
      </c>
      <c r="AC265" s="32" t="s">
        <v>475</v>
      </c>
      <c r="AD265" s="32"/>
      <c r="AE265" s="32">
        <v>0</v>
      </c>
    </row>
    <row r="266" spans="1:31" x14ac:dyDescent="0.25">
      <c r="A266">
        <v>13018</v>
      </c>
      <c r="B266" t="s">
        <v>683</v>
      </c>
      <c r="C266" t="s">
        <v>686</v>
      </c>
      <c r="D266" s="35">
        <v>70800</v>
      </c>
      <c r="E266">
        <v>1246239409</v>
      </c>
      <c r="F266" s="324">
        <v>46387</v>
      </c>
      <c r="H266" t="s">
        <v>28</v>
      </c>
      <c r="I266" t="s">
        <v>29</v>
      </c>
      <c r="J266">
        <v>9473</v>
      </c>
      <c r="K266" s="324">
        <v>45926</v>
      </c>
      <c r="L266">
        <v>1010100</v>
      </c>
      <c r="M266" t="s">
        <v>35</v>
      </c>
      <c r="N266">
        <v>-275</v>
      </c>
      <c r="O266" s="32">
        <v>0</v>
      </c>
      <c r="P266" s="32">
        <v>0</v>
      </c>
      <c r="Q266" s="32">
        <v>70800</v>
      </c>
      <c r="R266" s="32">
        <v>0</v>
      </c>
      <c r="S266" s="32">
        <v>0</v>
      </c>
      <c r="T266" s="32">
        <v>0</v>
      </c>
      <c r="U266" s="32">
        <v>0</v>
      </c>
      <c r="V266" s="32">
        <v>0</v>
      </c>
      <c r="W266" s="32">
        <v>0</v>
      </c>
      <c r="X266" s="32">
        <v>0</v>
      </c>
      <c r="Y266" s="32">
        <v>0</v>
      </c>
      <c r="Z266" s="32">
        <v>0</v>
      </c>
      <c r="AA266" s="32">
        <v>0</v>
      </c>
      <c r="AB266" s="32">
        <v>0</v>
      </c>
      <c r="AC266" s="32" t="s">
        <v>475</v>
      </c>
      <c r="AD266" s="32"/>
      <c r="AE266" s="32">
        <v>0</v>
      </c>
    </row>
    <row r="267" spans="1:31" x14ac:dyDescent="0.25">
      <c r="A267">
        <v>12741</v>
      </c>
      <c r="B267" t="s">
        <v>428</v>
      </c>
      <c r="C267" t="s">
        <v>886</v>
      </c>
      <c r="D267" s="35">
        <v>137256</v>
      </c>
      <c r="E267">
        <v>1246268240</v>
      </c>
      <c r="F267" s="324">
        <v>46167</v>
      </c>
      <c r="H267" t="s">
        <v>28</v>
      </c>
      <c r="I267" t="s">
        <v>29</v>
      </c>
      <c r="J267">
        <v>10917</v>
      </c>
      <c r="K267" s="324">
        <v>46099</v>
      </c>
      <c r="L267">
        <v>1010100</v>
      </c>
      <c r="M267" t="s">
        <v>35</v>
      </c>
      <c r="N267">
        <v>-55</v>
      </c>
      <c r="O267" s="32">
        <v>0</v>
      </c>
      <c r="P267" s="32">
        <v>0</v>
      </c>
      <c r="Q267" s="32">
        <v>137256</v>
      </c>
      <c r="R267" s="32">
        <v>0</v>
      </c>
      <c r="S267" s="32">
        <v>0</v>
      </c>
      <c r="T267" s="32">
        <v>0</v>
      </c>
      <c r="U267" s="32">
        <v>0</v>
      </c>
      <c r="V267" s="32">
        <v>0</v>
      </c>
      <c r="W267" s="32">
        <v>0</v>
      </c>
      <c r="X267" s="32">
        <v>0</v>
      </c>
      <c r="Y267" s="32">
        <v>0</v>
      </c>
      <c r="Z267" s="32">
        <v>0</v>
      </c>
      <c r="AA267" s="32">
        <v>0</v>
      </c>
      <c r="AB267" s="32">
        <v>0</v>
      </c>
      <c r="AC267" s="32" t="s">
        <v>475</v>
      </c>
      <c r="AD267" s="32"/>
      <c r="AE267" s="32">
        <v>0</v>
      </c>
    </row>
    <row r="268" spans="1:31" x14ac:dyDescent="0.25">
      <c r="A268">
        <v>13861</v>
      </c>
      <c r="B268" t="s">
        <v>419</v>
      </c>
      <c r="C268" t="s">
        <v>851</v>
      </c>
      <c r="D268" s="35">
        <v>29700</v>
      </c>
      <c r="E268">
        <v>1246264670</v>
      </c>
      <c r="F268" s="324">
        <v>46136</v>
      </c>
      <c r="H268" t="s">
        <v>28</v>
      </c>
      <c r="I268" t="s">
        <v>29</v>
      </c>
      <c r="J268">
        <v>10750</v>
      </c>
      <c r="K268" s="324">
        <v>46076</v>
      </c>
      <c r="L268">
        <v>1010100</v>
      </c>
      <c r="M268" t="s">
        <v>35</v>
      </c>
      <c r="N268">
        <v>-24</v>
      </c>
      <c r="O268" s="32">
        <v>0</v>
      </c>
      <c r="P268" s="32">
        <v>0</v>
      </c>
      <c r="Q268" s="32">
        <v>29700</v>
      </c>
      <c r="R268" s="32">
        <v>0</v>
      </c>
      <c r="S268" s="32">
        <v>0</v>
      </c>
      <c r="T268" s="32">
        <v>0</v>
      </c>
      <c r="U268" s="32">
        <v>0</v>
      </c>
      <c r="V268" s="32">
        <v>0</v>
      </c>
      <c r="W268" s="32">
        <v>0</v>
      </c>
      <c r="X268" s="32">
        <v>0</v>
      </c>
      <c r="Y268" s="32">
        <v>0</v>
      </c>
      <c r="Z268" s="32">
        <v>0</v>
      </c>
      <c r="AA268" s="32">
        <v>0</v>
      </c>
      <c r="AB268" s="32">
        <v>0</v>
      </c>
      <c r="AC268" s="32" t="s">
        <v>475</v>
      </c>
      <c r="AD268" s="32"/>
      <c r="AE268" s="32">
        <v>0</v>
      </c>
    </row>
    <row r="269" spans="1:31" x14ac:dyDescent="0.25">
      <c r="A269">
        <v>13861</v>
      </c>
      <c r="B269" t="s">
        <v>419</v>
      </c>
      <c r="C269" t="s">
        <v>851</v>
      </c>
      <c r="D269" s="35">
        <v>51280</v>
      </c>
      <c r="E269">
        <v>1246264568</v>
      </c>
      <c r="F269" s="324">
        <v>46136</v>
      </c>
      <c r="H269" t="s">
        <v>28</v>
      </c>
      <c r="I269" t="s">
        <v>29</v>
      </c>
      <c r="J269">
        <v>2764</v>
      </c>
      <c r="K269" s="324">
        <v>46076</v>
      </c>
      <c r="L269">
        <v>1010100</v>
      </c>
      <c r="M269" t="s">
        <v>35</v>
      </c>
      <c r="N269">
        <v>-24</v>
      </c>
      <c r="O269" s="32">
        <v>0</v>
      </c>
      <c r="P269" s="32">
        <v>0</v>
      </c>
      <c r="Q269" s="32">
        <v>51280</v>
      </c>
      <c r="R269" s="32">
        <v>0</v>
      </c>
      <c r="S269" s="32">
        <v>0</v>
      </c>
      <c r="T269" s="32">
        <v>0</v>
      </c>
      <c r="U269" s="32">
        <v>0</v>
      </c>
      <c r="V269" s="32">
        <v>0</v>
      </c>
      <c r="W269" s="32">
        <v>0</v>
      </c>
      <c r="X269" s="32">
        <v>0</v>
      </c>
      <c r="Y269" s="32">
        <v>0</v>
      </c>
      <c r="Z269" s="32">
        <v>0</v>
      </c>
      <c r="AA269" s="32">
        <v>0</v>
      </c>
      <c r="AB269" s="32">
        <v>0</v>
      </c>
      <c r="AC269" s="32" t="s">
        <v>475</v>
      </c>
      <c r="AD269" s="32"/>
      <c r="AE269" s="32">
        <v>0</v>
      </c>
    </row>
    <row r="270" spans="1:31" x14ac:dyDescent="0.25">
      <c r="A270">
        <v>14166</v>
      </c>
      <c r="B270" t="s">
        <v>432</v>
      </c>
      <c r="C270" t="s">
        <v>124</v>
      </c>
      <c r="D270" s="35">
        <v>82152</v>
      </c>
      <c r="E270">
        <v>1246231876</v>
      </c>
      <c r="F270" s="324">
        <v>46144</v>
      </c>
      <c r="H270" t="s">
        <v>173</v>
      </c>
      <c r="I270" t="s">
        <v>174</v>
      </c>
      <c r="J270">
        <v>8933</v>
      </c>
      <c r="K270" s="324">
        <v>45888</v>
      </c>
      <c r="L270">
        <v>1010100</v>
      </c>
      <c r="M270" t="s">
        <v>35</v>
      </c>
      <c r="N270">
        <v>-32</v>
      </c>
      <c r="O270" s="32">
        <v>0</v>
      </c>
      <c r="P270" s="32">
        <v>0</v>
      </c>
      <c r="Q270" s="32">
        <v>82152</v>
      </c>
      <c r="R270" s="32">
        <v>0</v>
      </c>
      <c r="S270" s="32">
        <v>0</v>
      </c>
      <c r="T270" s="32">
        <v>0</v>
      </c>
      <c r="U270" s="32">
        <v>0</v>
      </c>
      <c r="V270" s="32">
        <v>0</v>
      </c>
      <c r="W270" s="32">
        <v>0</v>
      </c>
      <c r="X270" s="32">
        <v>0</v>
      </c>
      <c r="Y270" s="32">
        <v>0</v>
      </c>
      <c r="Z270" s="32">
        <v>0</v>
      </c>
      <c r="AA270" s="32">
        <v>0</v>
      </c>
      <c r="AB270" s="32">
        <v>0</v>
      </c>
      <c r="AC270" s="32" t="s">
        <v>475</v>
      </c>
      <c r="AD270" s="32"/>
      <c r="AE270" s="32">
        <v>0</v>
      </c>
    </row>
    <row r="271" spans="1:31" x14ac:dyDescent="0.25">
      <c r="A271">
        <v>14166</v>
      </c>
      <c r="B271" t="s">
        <v>432</v>
      </c>
      <c r="C271" t="s">
        <v>124</v>
      </c>
      <c r="D271" s="35">
        <v>93462.6</v>
      </c>
      <c r="E271">
        <v>1246231878</v>
      </c>
      <c r="F271" s="324">
        <v>46144</v>
      </c>
      <c r="H271" t="s">
        <v>173</v>
      </c>
      <c r="I271" t="s">
        <v>174</v>
      </c>
      <c r="J271">
        <v>8934</v>
      </c>
      <c r="K271" s="324">
        <v>45888</v>
      </c>
      <c r="L271">
        <v>1010100</v>
      </c>
      <c r="M271" t="s">
        <v>35</v>
      </c>
      <c r="N271">
        <v>-32</v>
      </c>
      <c r="O271" s="32">
        <v>0</v>
      </c>
      <c r="P271" s="32">
        <v>0</v>
      </c>
      <c r="Q271" s="32">
        <v>93462.6</v>
      </c>
      <c r="R271" s="32">
        <v>0</v>
      </c>
      <c r="S271" s="32">
        <v>0</v>
      </c>
      <c r="T271" s="32">
        <v>0</v>
      </c>
      <c r="U271" s="32">
        <v>0</v>
      </c>
      <c r="V271" s="32">
        <v>0</v>
      </c>
      <c r="W271" s="32">
        <v>0</v>
      </c>
      <c r="X271" s="32">
        <v>0</v>
      </c>
      <c r="Y271" s="32">
        <v>0</v>
      </c>
      <c r="Z271" s="32">
        <v>0</v>
      </c>
      <c r="AA271" s="32">
        <v>0</v>
      </c>
      <c r="AB271" s="32">
        <v>0</v>
      </c>
      <c r="AC271" s="32" t="s">
        <v>475</v>
      </c>
      <c r="AD271" s="32"/>
      <c r="AE271" s="32">
        <v>0</v>
      </c>
    </row>
    <row r="272" spans="1:31" x14ac:dyDescent="0.25">
      <c r="A272">
        <v>14166</v>
      </c>
      <c r="B272" t="s">
        <v>432</v>
      </c>
      <c r="C272" t="s">
        <v>124</v>
      </c>
      <c r="D272" s="35">
        <v>188705.92000000001</v>
      </c>
      <c r="E272">
        <v>1246224769</v>
      </c>
      <c r="F272" s="324">
        <v>46132</v>
      </c>
      <c r="H272" t="s">
        <v>173</v>
      </c>
      <c r="I272" t="s">
        <v>174</v>
      </c>
      <c r="J272">
        <v>8477</v>
      </c>
      <c r="K272" s="324">
        <v>45852</v>
      </c>
      <c r="L272">
        <v>1010100</v>
      </c>
      <c r="M272" t="s">
        <v>35</v>
      </c>
      <c r="N272">
        <v>-20</v>
      </c>
      <c r="O272" s="32">
        <v>0</v>
      </c>
      <c r="P272" s="32">
        <v>0</v>
      </c>
      <c r="Q272" s="32">
        <v>188705.92000000001</v>
      </c>
      <c r="R272" s="32">
        <v>0</v>
      </c>
      <c r="S272" s="32">
        <v>0</v>
      </c>
      <c r="T272" s="32">
        <v>0</v>
      </c>
      <c r="U272" s="32">
        <v>0</v>
      </c>
      <c r="V272" s="32">
        <v>0</v>
      </c>
      <c r="W272" s="32">
        <v>0</v>
      </c>
      <c r="X272" s="32">
        <v>0</v>
      </c>
      <c r="Y272" s="32">
        <v>0</v>
      </c>
      <c r="Z272" s="32">
        <v>0</v>
      </c>
      <c r="AA272" s="32">
        <v>0</v>
      </c>
      <c r="AB272" s="32">
        <v>0</v>
      </c>
      <c r="AC272" s="32" t="s">
        <v>475</v>
      </c>
      <c r="AD272" s="32"/>
      <c r="AE272" s="32">
        <v>0</v>
      </c>
    </row>
    <row r="273" spans="1:31" x14ac:dyDescent="0.25">
      <c r="A273">
        <v>14166</v>
      </c>
      <c r="B273" t="s">
        <v>432</v>
      </c>
      <c r="C273" t="s">
        <v>124</v>
      </c>
      <c r="D273" s="35">
        <v>83930.4</v>
      </c>
      <c r="E273">
        <v>1246227452</v>
      </c>
      <c r="F273" s="324">
        <v>46131</v>
      </c>
      <c r="H273" t="s">
        <v>173</v>
      </c>
      <c r="I273" t="s">
        <v>174</v>
      </c>
      <c r="J273">
        <v>8647</v>
      </c>
      <c r="K273" s="324">
        <v>45866</v>
      </c>
      <c r="L273">
        <v>1010100</v>
      </c>
      <c r="M273" t="s">
        <v>35</v>
      </c>
      <c r="N273">
        <v>-19</v>
      </c>
      <c r="O273" s="32">
        <v>0</v>
      </c>
      <c r="P273" s="32">
        <v>0</v>
      </c>
      <c r="Q273" s="32">
        <v>83930.4</v>
      </c>
      <c r="R273" s="32">
        <v>0</v>
      </c>
      <c r="S273" s="32">
        <v>0</v>
      </c>
      <c r="T273" s="32">
        <v>0</v>
      </c>
      <c r="U273" s="32">
        <v>0</v>
      </c>
      <c r="V273" s="32">
        <v>0</v>
      </c>
      <c r="W273" s="32">
        <v>0</v>
      </c>
      <c r="X273" s="32">
        <v>0</v>
      </c>
      <c r="Y273" s="32">
        <v>0</v>
      </c>
      <c r="Z273" s="32">
        <v>0</v>
      </c>
      <c r="AA273" s="32">
        <v>0</v>
      </c>
      <c r="AB273" s="32">
        <v>0</v>
      </c>
      <c r="AC273" s="32" t="s">
        <v>475</v>
      </c>
      <c r="AD273" s="32"/>
      <c r="AE273" s="32">
        <v>0</v>
      </c>
    </row>
    <row r="274" spans="1:31" x14ac:dyDescent="0.25">
      <c r="A274">
        <v>14166</v>
      </c>
      <c r="B274" t="s">
        <v>432</v>
      </c>
      <c r="C274" t="s">
        <v>124</v>
      </c>
      <c r="D274" s="35">
        <v>191491.28</v>
      </c>
      <c r="E274">
        <v>1246221981</v>
      </c>
      <c r="F274" s="324">
        <v>46140</v>
      </c>
      <c r="H274" t="s">
        <v>173</v>
      </c>
      <c r="I274" t="s">
        <v>174</v>
      </c>
      <c r="J274">
        <v>8305</v>
      </c>
      <c r="K274" s="324">
        <v>45838</v>
      </c>
      <c r="L274">
        <v>1010100</v>
      </c>
      <c r="M274" t="s">
        <v>35</v>
      </c>
      <c r="N274">
        <v>-28</v>
      </c>
      <c r="O274" s="32">
        <v>0</v>
      </c>
      <c r="P274" s="32">
        <v>0</v>
      </c>
      <c r="Q274" s="32">
        <v>191491.28</v>
      </c>
      <c r="R274" s="32">
        <v>0</v>
      </c>
      <c r="S274" s="32">
        <v>0</v>
      </c>
      <c r="T274" s="32">
        <v>0</v>
      </c>
      <c r="U274" s="32">
        <v>0</v>
      </c>
      <c r="V274" s="32">
        <v>0</v>
      </c>
      <c r="W274" s="32">
        <v>0</v>
      </c>
      <c r="X274" s="32">
        <v>0</v>
      </c>
      <c r="Y274" s="32">
        <v>0</v>
      </c>
      <c r="Z274" s="32">
        <v>0</v>
      </c>
      <c r="AA274" s="32">
        <v>0</v>
      </c>
      <c r="AB274" s="32">
        <v>0</v>
      </c>
      <c r="AC274" s="32" t="s">
        <v>475</v>
      </c>
      <c r="AD274" s="32"/>
      <c r="AE274" s="32">
        <v>0</v>
      </c>
    </row>
    <row r="275" spans="1:31" x14ac:dyDescent="0.25">
      <c r="A275">
        <v>14849</v>
      </c>
      <c r="B275" t="s">
        <v>433</v>
      </c>
      <c r="C275" t="s">
        <v>619</v>
      </c>
      <c r="D275" s="35">
        <v>133718</v>
      </c>
      <c r="E275">
        <v>1246222953</v>
      </c>
      <c r="F275" s="324">
        <v>46143</v>
      </c>
      <c r="H275" t="s">
        <v>173</v>
      </c>
      <c r="I275" t="s">
        <v>174</v>
      </c>
      <c r="J275">
        <v>8360</v>
      </c>
      <c r="K275" s="324">
        <v>45841</v>
      </c>
      <c r="L275">
        <v>1010100</v>
      </c>
      <c r="M275" t="s">
        <v>35</v>
      </c>
      <c r="N275">
        <v>-31</v>
      </c>
      <c r="O275" s="32">
        <v>0</v>
      </c>
      <c r="P275" s="32">
        <v>0</v>
      </c>
      <c r="Q275" s="32">
        <v>133718</v>
      </c>
      <c r="R275" s="32">
        <v>0</v>
      </c>
      <c r="S275" s="32">
        <v>0</v>
      </c>
      <c r="T275" s="32">
        <v>0</v>
      </c>
      <c r="U275" s="32">
        <v>0</v>
      </c>
      <c r="V275" s="32">
        <v>0</v>
      </c>
      <c r="W275" s="32">
        <v>0</v>
      </c>
      <c r="X275" s="32">
        <v>0</v>
      </c>
      <c r="Y275" s="32">
        <v>0</v>
      </c>
      <c r="Z275" s="32">
        <v>0</v>
      </c>
      <c r="AA275" s="32">
        <v>0</v>
      </c>
      <c r="AB275" s="32">
        <v>0</v>
      </c>
      <c r="AC275" s="32" t="s">
        <v>475</v>
      </c>
      <c r="AD275" s="32"/>
      <c r="AE275" s="32">
        <v>0</v>
      </c>
    </row>
    <row r="276" spans="1:31" x14ac:dyDescent="0.25">
      <c r="A276">
        <v>15908</v>
      </c>
      <c r="B276" t="s">
        <v>83</v>
      </c>
      <c r="C276" t="s">
        <v>898</v>
      </c>
      <c r="D276" s="35">
        <v>152185.74</v>
      </c>
      <c r="E276">
        <v>1246268845</v>
      </c>
      <c r="F276" s="324">
        <v>46195</v>
      </c>
      <c r="H276" t="s">
        <v>173</v>
      </c>
      <c r="I276" t="s">
        <v>174</v>
      </c>
      <c r="J276">
        <v>10968</v>
      </c>
      <c r="K276" s="324">
        <v>46105</v>
      </c>
      <c r="L276">
        <v>1010100</v>
      </c>
      <c r="M276" t="s">
        <v>35</v>
      </c>
      <c r="N276">
        <v>-83</v>
      </c>
      <c r="O276" s="32">
        <v>0</v>
      </c>
      <c r="P276" s="32">
        <v>0</v>
      </c>
      <c r="Q276" s="32">
        <v>152185.74</v>
      </c>
      <c r="R276" s="32">
        <v>0</v>
      </c>
      <c r="S276" s="32">
        <v>0</v>
      </c>
      <c r="T276" s="32">
        <v>0</v>
      </c>
      <c r="U276" s="32">
        <v>0</v>
      </c>
      <c r="V276" s="32">
        <v>0</v>
      </c>
      <c r="W276" s="32">
        <v>0</v>
      </c>
      <c r="X276" s="32">
        <v>0</v>
      </c>
      <c r="Y276" s="32">
        <v>0</v>
      </c>
      <c r="Z276" s="32">
        <v>0</v>
      </c>
      <c r="AA276" s="32">
        <v>0</v>
      </c>
      <c r="AB276" s="32">
        <v>0</v>
      </c>
      <c r="AC276" s="32" t="s">
        <v>475</v>
      </c>
      <c r="AD276" s="32"/>
      <c r="AE276" s="32">
        <v>0</v>
      </c>
    </row>
    <row r="277" spans="1:31" x14ac:dyDescent="0.25">
      <c r="A277">
        <v>15908</v>
      </c>
      <c r="B277" t="s">
        <v>83</v>
      </c>
      <c r="C277" t="s">
        <v>898</v>
      </c>
      <c r="D277" s="35">
        <v>38698.71</v>
      </c>
      <c r="E277">
        <v>1246268455</v>
      </c>
      <c r="F277" s="324">
        <v>46190</v>
      </c>
      <c r="H277" t="s">
        <v>173</v>
      </c>
      <c r="I277" t="s">
        <v>174</v>
      </c>
      <c r="J277">
        <v>10935</v>
      </c>
      <c r="K277" s="324">
        <v>46100</v>
      </c>
      <c r="L277">
        <v>1010100</v>
      </c>
      <c r="M277" t="s">
        <v>35</v>
      </c>
      <c r="N277">
        <v>-78</v>
      </c>
      <c r="O277" s="32">
        <v>0</v>
      </c>
      <c r="P277" s="32">
        <v>0</v>
      </c>
      <c r="Q277" s="32">
        <v>38698.71</v>
      </c>
      <c r="R277" s="32">
        <v>0</v>
      </c>
      <c r="S277" s="32">
        <v>0</v>
      </c>
      <c r="T277" s="32">
        <v>0</v>
      </c>
      <c r="U277" s="32">
        <v>0</v>
      </c>
      <c r="V277" s="32">
        <v>0</v>
      </c>
      <c r="W277" s="32">
        <v>0</v>
      </c>
      <c r="X277" s="32">
        <v>0</v>
      </c>
      <c r="Y277" s="32">
        <v>0</v>
      </c>
      <c r="Z277" s="32">
        <v>0</v>
      </c>
      <c r="AA277" s="32">
        <v>0</v>
      </c>
      <c r="AB277" s="32">
        <v>0</v>
      </c>
      <c r="AC277" s="32" t="s">
        <v>475</v>
      </c>
      <c r="AD277" s="32"/>
      <c r="AE277" s="32">
        <v>0</v>
      </c>
    </row>
    <row r="278" spans="1:31" x14ac:dyDescent="0.25">
      <c r="A278">
        <v>15905</v>
      </c>
      <c r="B278" t="s">
        <v>83</v>
      </c>
      <c r="C278" t="s">
        <v>900</v>
      </c>
      <c r="D278" s="35">
        <v>51551.06</v>
      </c>
      <c r="E278">
        <v>1246268473</v>
      </c>
      <c r="F278" s="324">
        <v>46190</v>
      </c>
      <c r="H278" t="s">
        <v>173</v>
      </c>
      <c r="I278" t="s">
        <v>174</v>
      </c>
      <c r="J278">
        <v>10938</v>
      </c>
      <c r="K278" s="324">
        <v>46100</v>
      </c>
      <c r="L278">
        <v>1010100</v>
      </c>
      <c r="M278" t="s">
        <v>35</v>
      </c>
      <c r="N278">
        <v>-78</v>
      </c>
      <c r="O278" s="32">
        <v>0</v>
      </c>
      <c r="P278" s="32">
        <v>0</v>
      </c>
      <c r="Q278" s="32">
        <v>51551.06</v>
      </c>
      <c r="R278" s="32">
        <v>0</v>
      </c>
      <c r="S278" s="32">
        <v>0</v>
      </c>
      <c r="T278" s="32">
        <v>0</v>
      </c>
      <c r="U278" s="32">
        <v>0</v>
      </c>
      <c r="V278" s="32">
        <v>0</v>
      </c>
      <c r="W278" s="32">
        <v>0</v>
      </c>
      <c r="X278" s="32">
        <v>0</v>
      </c>
      <c r="Y278" s="32">
        <v>0</v>
      </c>
      <c r="Z278" s="32">
        <v>0</v>
      </c>
      <c r="AA278" s="32">
        <v>0</v>
      </c>
      <c r="AB278" s="32">
        <v>0</v>
      </c>
      <c r="AC278" s="32" t="s">
        <v>475</v>
      </c>
      <c r="AD278" s="32"/>
      <c r="AE278" s="32">
        <v>0</v>
      </c>
    </row>
    <row r="279" spans="1:31" x14ac:dyDescent="0.25">
      <c r="A279">
        <v>15905</v>
      </c>
      <c r="B279" t="s">
        <v>83</v>
      </c>
      <c r="C279" t="s">
        <v>900</v>
      </c>
      <c r="D279" s="35">
        <v>177522.26</v>
      </c>
      <c r="E279">
        <v>1246268967</v>
      </c>
      <c r="F279" s="324">
        <v>46196</v>
      </c>
      <c r="H279" t="s">
        <v>173</v>
      </c>
      <c r="I279" t="s">
        <v>174</v>
      </c>
      <c r="J279">
        <v>10973</v>
      </c>
      <c r="K279" s="324">
        <v>46106</v>
      </c>
      <c r="L279">
        <v>1010100</v>
      </c>
      <c r="M279" t="s">
        <v>35</v>
      </c>
      <c r="N279">
        <v>-84</v>
      </c>
      <c r="O279" s="32">
        <v>0</v>
      </c>
      <c r="P279" s="32">
        <v>0</v>
      </c>
      <c r="Q279" s="32">
        <v>177522.26</v>
      </c>
      <c r="R279" s="32">
        <v>0</v>
      </c>
      <c r="S279" s="32">
        <v>0</v>
      </c>
      <c r="T279" s="32">
        <v>0</v>
      </c>
      <c r="U279" s="32">
        <v>0</v>
      </c>
      <c r="V279" s="32">
        <v>0</v>
      </c>
      <c r="W279" s="32">
        <v>0</v>
      </c>
      <c r="X279" s="32">
        <v>0</v>
      </c>
      <c r="Y279" s="32">
        <v>0</v>
      </c>
      <c r="Z279" s="32">
        <v>0</v>
      </c>
      <c r="AA279" s="32">
        <v>0</v>
      </c>
      <c r="AB279" s="32">
        <v>0</v>
      </c>
      <c r="AC279" s="32" t="s">
        <v>475</v>
      </c>
      <c r="AD279" s="32"/>
      <c r="AE279" s="32">
        <v>0</v>
      </c>
    </row>
    <row r="280" spans="1:31" x14ac:dyDescent="0.25">
      <c r="A280">
        <v>16387</v>
      </c>
      <c r="B280" t="s">
        <v>426</v>
      </c>
      <c r="C280" t="s">
        <v>746</v>
      </c>
      <c r="D280" s="35">
        <v>5030.5</v>
      </c>
      <c r="E280">
        <v>1246250305</v>
      </c>
      <c r="F280" s="324">
        <v>46254</v>
      </c>
      <c r="H280" t="s">
        <v>173</v>
      </c>
      <c r="I280" t="s">
        <v>174</v>
      </c>
      <c r="J280">
        <v>10088</v>
      </c>
      <c r="K280" s="324">
        <v>45982</v>
      </c>
      <c r="L280">
        <v>1010100</v>
      </c>
      <c r="M280" t="s">
        <v>35</v>
      </c>
      <c r="N280">
        <v>-142</v>
      </c>
      <c r="O280" s="32">
        <v>0</v>
      </c>
      <c r="P280" s="32">
        <v>0</v>
      </c>
      <c r="Q280" s="32">
        <v>5030.5</v>
      </c>
      <c r="R280" s="32">
        <v>0</v>
      </c>
      <c r="S280" s="32">
        <v>0</v>
      </c>
      <c r="T280" s="32">
        <v>0</v>
      </c>
      <c r="U280" s="32">
        <v>0</v>
      </c>
      <c r="V280" s="32">
        <v>0</v>
      </c>
      <c r="W280" s="32">
        <v>0</v>
      </c>
      <c r="X280" s="32">
        <v>0</v>
      </c>
      <c r="Y280" s="32">
        <v>0</v>
      </c>
      <c r="Z280" s="32">
        <v>0</v>
      </c>
      <c r="AA280" s="32">
        <v>0</v>
      </c>
      <c r="AB280" s="32">
        <v>0</v>
      </c>
      <c r="AC280" s="32" t="s">
        <v>475</v>
      </c>
      <c r="AD280" s="32"/>
      <c r="AE280" s="32">
        <v>0</v>
      </c>
    </row>
    <row r="281" spans="1:31" x14ac:dyDescent="0.25">
      <c r="A281">
        <v>15906</v>
      </c>
      <c r="B281" t="s">
        <v>83</v>
      </c>
      <c r="C281" t="s">
        <v>902</v>
      </c>
      <c r="D281" s="35">
        <v>51551.06</v>
      </c>
      <c r="E281">
        <v>1246268468</v>
      </c>
      <c r="F281" s="324">
        <v>46190</v>
      </c>
      <c r="H281" t="s">
        <v>173</v>
      </c>
      <c r="I281" t="s">
        <v>174</v>
      </c>
      <c r="J281">
        <v>10937</v>
      </c>
      <c r="K281" s="324">
        <v>46100</v>
      </c>
      <c r="L281">
        <v>1010100</v>
      </c>
      <c r="M281" t="s">
        <v>35</v>
      </c>
      <c r="N281">
        <v>-78</v>
      </c>
      <c r="O281" s="32">
        <v>0</v>
      </c>
      <c r="P281" s="32">
        <v>0</v>
      </c>
      <c r="Q281" s="32">
        <v>51551.06</v>
      </c>
      <c r="R281" s="32">
        <v>0</v>
      </c>
      <c r="S281" s="32">
        <v>0</v>
      </c>
      <c r="T281" s="32">
        <v>0</v>
      </c>
      <c r="U281" s="32">
        <v>0</v>
      </c>
      <c r="V281" s="32">
        <v>0</v>
      </c>
      <c r="W281" s="32">
        <v>0</v>
      </c>
      <c r="X281" s="32">
        <v>0</v>
      </c>
      <c r="Y281" s="32">
        <v>0</v>
      </c>
      <c r="Z281" s="32">
        <v>0</v>
      </c>
      <c r="AA281" s="32">
        <v>0</v>
      </c>
      <c r="AB281" s="32">
        <v>0</v>
      </c>
      <c r="AC281" s="32" t="s">
        <v>475</v>
      </c>
      <c r="AD281" s="32"/>
      <c r="AE281" s="32">
        <v>0</v>
      </c>
    </row>
    <row r="282" spans="1:31" x14ac:dyDescent="0.25">
      <c r="A282">
        <v>16099</v>
      </c>
      <c r="B282" t="s">
        <v>500</v>
      </c>
      <c r="C282" t="s">
        <v>856</v>
      </c>
      <c r="D282" s="35">
        <v>429480</v>
      </c>
      <c r="E282">
        <v>1246264672</v>
      </c>
      <c r="F282" s="324">
        <v>46166</v>
      </c>
      <c r="H282" t="s">
        <v>28</v>
      </c>
      <c r="I282" t="s">
        <v>29</v>
      </c>
      <c r="J282">
        <v>2767</v>
      </c>
      <c r="K282" s="324">
        <v>46076</v>
      </c>
      <c r="L282">
        <v>1010100</v>
      </c>
      <c r="M282" t="s">
        <v>35</v>
      </c>
      <c r="N282">
        <v>-54</v>
      </c>
      <c r="O282" s="32">
        <v>0</v>
      </c>
      <c r="P282" s="32">
        <v>0</v>
      </c>
      <c r="Q282" s="32">
        <v>429480</v>
      </c>
      <c r="R282" s="32">
        <v>0</v>
      </c>
      <c r="S282" s="32">
        <v>0</v>
      </c>
      <c r="T282" s="32">
        <v>0</v>
      </c>
      <c r="U282" s="32">
        <v>0</v>
      </c>
      <c r="V282" s="32">
        <v>0</v>
      </c>
      <c r="W282" s="32">
        <v>0</v>
      </c>
      <c r="X282" s="32">
        <v>0</v>
      </c>
      <c r="Y282" s="32">
        <v>0</v>
      </c>
      <c r="Z282" s="32">
        <v>0</v>
      </c>
      <c r="AA282" s="32">
        <v>0</v>
      </c>
      <c r="AB282" s="32">
        <v>0</v>
      </c>
      <c r="AC282" s="32" t="s">
        <v>540</v>
      </c>
      <c r="AD282" s="32"/>
      <c r="AE282" s="32">
        <v>0</v>
      </c>
    </row>
    <row r="283" spans="1:31" x14ac:dyDescent="0.25">
      <c r="A283">
        <v>15904</v>
      </c>
      <c r="B283" t="s">
        <v>83</v>
      </c>
      <c r="C283" t="s">
        <v>904</v>
      </c>
      <c r="D283" s="35">
        <v>38698.71</v>
      </c>
      <c r="E283">
        <v>1246268475</v>
      </c>
      <c r="F283" s="324">
        <v>46190</v>
      </c>
      <c r="H283" t="s">
        <v>173</v>
      </c>
      <c r="I283" t="s">
        <v>174</v>
      </c>
      <c r="J283">
        <v>10939</v>
      </c>
      <c r="K283" s="324">
        <v>46100</v>
      </c>
      <c r="L283">
        <v>1010100</v>
      </c>
      <c r="M283" t="s">
        <v>35</v>
      </c>
      <c r="N283">
        <v>-78</v>
      </c>
      <c r="O283" s="32">
        <v>0</v>
      </c>
      <c r="P283" s="32">
        <v>0</v>
      </c>
      <c r="Q283" s="32">
        <v>38698.71</v>
      </c>
      <c r="R283" s="32">
        <v>0</v>
      </c>
      <c r="S283" s="32">
        <v>0</v>
      </c>
      <c r="T283" s="32">
        <v>0</v>
      </c>
      <c r="U283" s="32">
        <v>0</v>
      </c>
      <c r="V283" s="32">
        <v>0</v>
      </c>
      <c r="W283" s="32">
        <v>0</v>
      </c>
      <c r="X283" s="32">
        <v>0</v>
      </c>
      <c r="Y283" s="32">
        <v>0</v>
      </c>
      <c r="Z283" s="32">
        <v>0</v>
      </c>
      <c r="AA283" s="32">
        <v>0</v>
      </c>
      <c r="AB283" s="32">
        <v>0</v>
      </c>
      <c r="AC283" s="32" t="s">
        <v>475</v>
      </c>
      <c r="AD283" s="32"/>
      <c r="AE283" s="32">
        <v>0</v>
      </c>
    </row>
    <row r="284" spans="1:31" x14ac:dyDescent="0.25">
      <c r="A284">
        <v>15904</v>
      </c>
      <c r="B284" t="s">
        <v>83</v>
      </c>
      <c r="C284" t="s">
        <v>904</v>
      </c>
      <c r="D284" s="35">
        <v>152158.14000000001</v>
      </c>
      <c r="E284">
        <v>1246269114</v>
      </c>
      <c r="F284" s="324">
        <v>46196</v>
      </c>
      <c r="G284" s="325"/>
      <c r="H284" t="s">
        <v>173</v>
      </c>
      <c r="I284" t="s">
        <v>174</v>
      </c>
      <c r="J284">
        <v>10978</v>
      </c>
      <c r="K284" s="324">
        <v>46106</v>
      </c>
      <c r="L284">
        <v>1010100</v>
      </c>
      <c r="M284" t="s">
        <v>35</v>
      </c>
      <c r="N284">
        <v>-84</v>
      </c>
      <c r="O284" s="32">
        <v>0</v>
      </c>
      <c r="P284" s="32">
        <v>0</v>
      </c>
      <c r="Q284" s="32">
        <v>152158.14000000001</v>
      </c>
      <c r="R284" s="32">
        <v>0</v>
      </c>
      <c r="S284" s="32">
        <v>0</v>
      </c>
      <c r="T284" s="32">
        <v>0</v>
      </c>
      <c r="U284" s="32">
        <v>0</v>
      </c>
      <c r="V284" s="32">
        <v>0</v>
      </c>
      <c r="W284" s="32">
        <v>0</v>
      </c>
      <c r="X284" s="32">
        <v>0</v>
      </c>
      <c r="Y284" s="32">
        <v>0</v>
      </c>
      <c r="Z284" s="32">
        <v>0</v>
      </c>
      <c r="AA284" s="32">
        <v>0</v>
      </c>
      <c r="AB284" s="32">
        <v>0</v>
      </c>
      <c r="AC284" s="32" t="s">
        <v>475</v>
      </c>
      <c r="AD284" s="32"/>
      <c r="AE284" s="32">
        <v>0</v>
      </c>
    </row>
    <row r="285" spans="1:31" x14ac:dyDescent="0.25">
      <c r="A285">
        <v>7022</v>
      </c>
      <c r="B285" t="s">
        <v>792</v>
      </c>
      <c r="C285" t="s">
        <v>101</v>
      </c>
      <c r="D285" s="35">
        <v>1800</v>
      </c>
      <c r="E285">
        <v>1246054442</v>
      </c>
      <c r="F285" s="324">
        <v>44897</v>
      </c>
      <c r="H285" t="s">
        <v>28</v>
      </c>
      <c r="I285" t="s">
        <v>29</v>
      </c>
      <c r="J285">
        <v>1246054442</v>
      </c>
      <c r="K285" s="324">
        <v>44882</v>
      </c>
      <c r="L285">
        <v>3041000</v>
      </c>
      <c r="M285" t="s">
        <v>138</v>
      </c>
      <c r="N285">
        <v>1215</v>
      </c>
      <c r="O285" s="32">
        <v>0</v>
      </c>
      <c r="P285" s="32">
        <v>1800</v>
      </c>
      <c r="Q285" s="32">
        <v>0</v>
      </c>
      <c r="R285" s="32">
        <v>0</v>
      </c>
      <c r="S285" s="32">
        <v>0</v>
      </c>
      <c r="T285" s="32">
        <v>0</v>
      </c>
      <c r="U285" s="32">
        <v>1800</v>
      </c>
      <c r="V285" s="32">
        <v>0</v>
      </c>
      <c r="W285" s="32">
        <v>54</v>
      </c>
      <c r="X285" s="32">
        <v>1746</v>
      </c>
      <c r="Y285" s="32">
        <v>1746</v>
      </c>
      <c r="Z285" s="32">
        <v>1800</v>
      </c>
      <c r="AA285" s="32">
        <v>0</v>
      </c>
      <c r="AB285" s="32">
        <v>1800</v>
      </c>
      <c r="AC285" s="32" t="s">
        <v>475</v>
      </c>
      <c r="AD285" s="32"/>
      <c r="AE285" s="32">
        <v>1800</v>
      </c>
    </row>
    <row r="286" spans="1:31" x14ac:dyDescent="0.25">
      <c r="A286">
        <v>13460</v>
      </c>
      <c r="B286" t="s">
        <v>911</v>
      </c>
      <c r="C286" t="s">
        <v>912</v>
      </c>
      <c r="D286" s="35">
        <v>341315.09000000008</v>
      </c>
      <c r="E286">
        <v>1246269887</v>
      </c>
      <c r="F286" s="324">
        <v>46112</v>
      </c>
      <c r="I286" t="s">
        <v>373</v>
      </c>
      <c r="J286">
        <v>31032026</v>
      </c>
      <c r="K286" s="324">
        <v>46112</v>
      </c>
      <c r="L286">
        <v>1020107</v>
      </c>
      <c r="M286" t="s">
        <v>913</v>
      </c>
      <c r="N286">
        <v>0</v>
      </c>
      <c r="O286" s="32">
        <v>0</v>
      </c>
      <c r="P286" s="32">
        <v>0</v>
      </c>
      <c r="Q286" s="32">
        <v>341315.09000000008</v>
      </c>
      <c r="R286" s="32">
        <v>0</v>
      </c>
      <c r="S286" s="32">
        <v>0</v>
      </c>
      <c r="T286" s="32">
        <v>0</v>
      </c>
      <c r="U286" s="32">
        <v>0</v>
      </c>
      <c r="V286" s="32">
        <v>0</v>
      </c>
      <c r="W286" s="32">
        <v>0</v>
      </c>
      <c r="X286" s="32">
        <v>0</v>
      </c>
      <c r="Y286" s="32">
        <v>0</v>
      </c>
      <c r="Z286" s="32">
        <v>0</v>
      </c>
      <c r="AA286" s="32">
        <v>0</v>
      </c>
      <c r="AB286" s="32">
        <v>0</v>
      </c>
      <c r="AC286" s="32" t="s">
        <v>475</v>
      </c>
      <c r="AD286" s="32"/>
      <c r="AE286" s="32">
        <v>0</v>
      </c>
    </row>
    <row r="287" spans="1:31" x14ac:dyDescent="0.25">
      <c r="A287">
        <v>16189</v>
      </c>
      <c r="B287" t="s">
        <v>841</v>
      </c>
      <c r="C287" t="s">
        <v>842</v>
      </c>
      <c r="D287" s="35">
        <v>49440</v>
      </c>
      <c r="E287">
        <v>1246261824</v>
      </c>
      <c r="F287" s="324">
        <v>46087</v>
      </c>
      <c r="I287" t="s">
        <v>373</v>
      </c>
      <c r="J287">
        <v>1246261824</v>
      </c>
      <c r="K287" s="324">
        <v>46055</v>
      </c>
      <c r="L287">
        <v>7240000</v>
      </c>
      <c r="M287" t="s">
        <v>843</v>
      </c>
      <c r="N287">
        <v>25</v>
      </c>
      <c r="O287" s="32">
        <v>0</v>
      </c>
      <c r="P287" s="32">
        <v>0</v>
      </c>
      <c r="Q287" s="32">
        <v>0</v>
      </c>
      <c r="R287" s="32">
        <v>49440</v>
      </c>
      <c r="S287" s="32">
        <v>0</v>
      </c>
      <c r="T287" s="32">
        <v>0</v>
      </c>
      <c r="U287" s="32">
        <v>0</v>
      </c>
      <c r="V287" s="32">
        <v>0</v>
      </c>
      <c r="W287" s="32">
        <v>0</v>
      </c>
      <c r="X287" s="32">
        <v>0</v>
      </c>
      <c r="Y287" s="32">
        <v>0</v>
      </c>
      <c r="Z287" s="32">
        <v>0</v>
      </c>
      <c r="AA287" s="32">
        <v>0</v>
      </c>
      <c r="AB287" s="32">
        <v>0</v>
      </c>
      <c r="AC287" s="32" t="s">
        <v>475</v>
      </c>
      <c r="AD287" s="32"/>
      <c r="AE287" s="32">
        <v>0</v>
      </c>
    </row>
    <row r="288" spans="1:31" x14ac:dyDescent="0.25">
      <c r="A288">
        <v>4222</v>
      </c>
      <c r="B288" t="s">
        <v>905</v>
      </c>
      <c r="C288" t="s">
        <v>31</v>
      </c>
      <c r="D288" s="35">
        <v>58715.6</v>
      </c>
      <c r="E288">
        <v>1246268732</v>
      </c>
      <c r="F288" s="324">
        <v>46122</v>
      </c>
      <c r="I288" t="s">
        <v>373</v>
      </c>
      <c r="J288">
        <v>2836</v>
      </c>
      <c r="K288" s="324">
        <v>46105</v>
      </c>
      <c r="L288">
        <v>1010200</v>
      </c>
      <c r="M288" t="s">
        <v>125</v>
      </c>
      <c r="N288">
        <v>-10</v>
      </c>
      <c r="O288" s="32">
        <v>0</v>
      </c>
      <c r="P288" s="32">
        <v>0</v>
      </c>
      <c r="Q288" s="32">
        <v>58715.6</v>
      </c>
      <c r="R288" s="32">
        <v>0</v>
      </c>
      <c r="S288" s="32">
        <v>0</v>
      </c>
      <c r="T288" s="32">
        <v>0</v>
      </c>
      <c r="U288" s="32">
        <v>0</v>
      </c>
      <c r="V288" s="32">
        <v>0</v>
      </c>
      <c r="W288" s="32">
        <v>0</v>
      </c>
      <c r="X288" s="32">
        <v>0</v>
      </c>
      <c r="Y288" s="32">
        <v>0</v>
      </c>
      <c r="Z288" s="32">
        <v>0</v>
      </c>
      <c r="AA288" s="32">
        <v>0</v>
      </c>
      <c r="AB288" s="32">
        <v>0</v>
      </c>
      <c r="AC288" s="32" t="s">
        <v>475</v>
      </c>
      <c r="AD288" s="32"/>
      <c r="AE288" s="32">
        <v>0</v>
      </c>
    </row>
    <row r="289" spans="1:31" x14ac:dyDescent="0.25">
      <c r="A289">
        <v>2680</v>
      </c>
      <c r="B289" t="s">
        <v>355</v>
      </c>
      <c r="C289" t="s">
        <v>31</v>
      </c>
      <c r="D289" s="35">
        <v>224812.61</v>
      </c>
      <c r="E289">
        <v>1246263810</v>
      </c>
      <c r="F289" s="324">
        <v>46129</v>
      </c>
      <c r="H289" t="s">
        <v>28</v>
      </c>
      <c r="I289" t="s">
        <v>29</v>
      </c>
      <c r="J289">
        <v>2743</v>
      </c>
      <c r="K289" s="324">
        <v>46069</v>
      </c>
      <c r="L289">
        <v>1010200</v>
      </c>
      <c r="M289" t="s">
        <v>125</v>
      </c>
      <c r="N289">
        <v>-17</v>
      </c>
      <c r="O289" s="32">
        <v>0</v>
      </c>
      <c r="P289" s="32">
        <v>0</v>
      </c>
      <c r="Q289" s="32">
        <v>224812.61</v>
      </c>
      <c r="R289" s="32">
        <v>0</v>
      </c>
      <c r="S289" s="32">
        <v>0</v>
      </c>
      <c r="T289" s="32">
        <v>0</v>
      </c>
      <c r="U289" s="32">
        <v>0</v>
      </c>
      <c r="V289" s="32">
        <v>0</v>
      </c>
      <c r="W289" s="32">
        <v>0</v>
      </c>
      <c r="X289" s="32">
        <v>0</v>
      </c>
      <c r="Y289" s="32">
        <v>0</v>
      </c>
      <c r="Z289" s="32">
        <v>0</v>
      </c>
      <c r="AA289" s="32">
        <v>0</v>
      </c>
      <c r="AB289" s="32">
        <v>0</v>
      </c>
      <c r="AC289" s="32" t="s">
        <v>475</v>
      </c>
      <c r="AD289" s="32"/>
      <c r="AE289" s="32">
        <v>0</v>
      </c>
    </row>
    <row r="290" spans="1:31" x14ac:dyDescent="0.25">
      <c r="A290">
        <v>2696</v>
      </c>
      <c r="B290" t="s">
        <v>131</v>
      </c>
      <c r="C290" t="s">
        <v>31</v>
      </c>
      <c r="D290" s="35">
        <v>119098.19</v>
      </c>
      <c r="E290">
        <v>1246265986</v>
      </c>
      <c r="F290" s="324">
        <v>46143</v>
      </c>
      <c r="H290" t="s">
        <v>28</v>
      </c>
      <c r="I290" t="s">
        <v>29</v>
      </c>
      <c r="J290">
        <v>10797</v>
      </c>
      <c r="K290" s="324">
        <v>46083</v>
      </c>
      <c r="L290">
        <v>1010200</v>
      </c>
      <c r="M290" t="s">
        <v>125</v>
      </c>
      <c r="N290">
        <v>-31</v>
      </c>
      <c r="O290" s="32">
        <v>0</v>
      </c>
      <c r="P290" s="32">
        <v>0</v>
      </c>
      <c r="Q290" s="32">
        <v>119098.19</v>
      </c>
      <c r="R290" s="32">
        <v>0</v>
      </c>
      <c r="S290" s="32">
        <v>0</v>
      </c>
      <c r="T290" s="32">
        <v>0</v>
      </c>
      <c r="U290" s="32">
        <v>0</v>
      </c>
      <c r="V290" s="32">
        <v>0</v>
      </c>
      <c r="W290" s="32">
        <v>0</v>
      </c>
      <c r="X290" s="32">
        <v>0</v>
      </c>
      <c r="Y290" s="32">
        <v>0</v>
      </c>
      <c r="Z290" s="32">
        <v>0</v>
      </c>
      <c r="AA290" s="32">
        <v>0</v>
      </c>
      <c r="AB290" s="32">
        <v>0</v>
      </c>
      <c r="AC290" s="32" t="s">
        <v>475</v>
      </c>
      <c r="AD290" s="32"/>
      <c r="AE290" s="32">
        <v>0</v>
      </c>
    </row>
    <row r="291" spans="1:31" x14ac:dyDescent="0.25">
      <c r="A291">
        <v>2696</v>
      </c>
      <c r="B291" t="s">
        <v>131</v>
      </c>
      <c r="C291" t="s">
        <v>31</v>
      </c>
      <c r="D291" s="35">
        <v>94619.53</v>
      </c>
      <c r="E291">
        <v>1246262122</v>
      </c>
      <c r="F291" s="324">
        <v>46116</v>
      </c>
      <c r="H291" t="s">
        <v>28</v>
      </c>
      <c r="I291" t="s">
        <v>29</v>
      </c>
      <c r="J291">
        <v>10630</v>
      </c>
      <c r="K291" s="324">
        <v>46056</v>
      </c>
      <c r="L291">
        <v>1010200</v>
      </c>
      <c r="M291" t="s">
        <v>125</v>
      </c>
      <c r="N291">
        <v>-4</v>
      </c>
      <c r="O291" s="32">
        <v>0</v>
      </c>
      <c r="P291" s="32">
        <v>0</v>
      </c>
      <c r="Q291" s="32">
        <v>94619.53</v>
      </c>
      <c r="R291" s="32">
        <v>0</v>
      </c>
      <c r="S291" s="32">
        <v>0</v>
      </c>
      <c r="T291" s="32">
        <v>0</v>
      </c>
      <c r="U291" s="32">
        <v>0</v>
      </c>
      <c r="V291" s="32">
        <v>0</v>
      </c>
      <c r="W291" s="32">
        <v>0</v>
      </c>
      <c r="X291" s="32">
        <v>0</v>
      </c>
      <c r="Y291" s="32">
        <v>0</v>
      </c>
      <c r="Z291" s="32">
        <v>0</v>
      </c>
      <c r="AA291" s="32">
        <v>0</v>
      </c>
      <c r="AB291" s="32">
        <v>0</v>
      </c>
      <c r="AC291" s="32" t="s">
        <v>475</v>
      </c>
      <c r="AD291" s="32"/>
      <c r="AE291" s="32">
        <v>0</v>
      </c>
    </row>
    <row r="292" spans="1:31" x14ac:dyDescent="0.25">
      <c r="A292">
        <v>2346</v>
      </c>
      <c r="B292" t="s">
        <v>535</v>
      </c>
      <c r="C292" t="s">
        <v>811</v>
      </c>
      <c r="D292" s="35">
        <v>103419.88999999998</v>
      </c>
      <c r="E292">
        <v>1246265843</v>
      </c>
      <c r="F292" s="324">
        <v>46170</v>
      </c>
      <c r="H292" t="s">
        <v>28</v>
      </c>
      <c r="I292" t="s">
        <v>29</v>
      </c>
      <c r="J292">
        <v>2789</v>
      </c>
      <c r="K292" s="324">
        <v>46080</v>
      </c>
      <c r="L292">
        <v>1010200</v>
      </c>
      <c r="M292" t="s">
        <v>125</v>
      </c>
      <c r="N292">
        <v>-58</v>
      </c>
      <c r="O292" s="32">
        <v>0</v>
      </c>
      <c r="P292" s="32">
        <v>0</v>
      </c>
      <c r="Q292" s="32">
        <v>103419.88999999998</v>
      </c>
      <c r="R292" s="32">
        <v>0</v>
      </c>
      <c r="S292" s="32">
        <v>0</v>
      </c>
      <c r="T292" s="32">
        <v>0</v>
      </c>
      <c r="U292" s="32">
        <v>0</v>
      </c>
      <c r="V292" s="32">
        <v>0</v>
      </c>
      <c r="W292" s="32">
        <v>0</v>
      </c>
      <c r="X292" s="32">
        <v>0</v>
      </c>
      <c r="Y292" s="32">
        <v>0</v>
      </c>
      <c r="Z292" s="32">
        <v>0</v>
      </c>
      <c r="AA292" s="32">
        <v>0</v>
      </c>
      <c r="AB292" s="32">
        <v>0</v>
      </c>
      <c r="AC292" s="32" t="s">
        <v>475</v>
      </c>
      <c r="AD292" s="32"/>
      <c r="AE292" s="32">
        <v>0</v>
      </c>
    </row>
    <row r="293" spans="1:31" x14ac:dyDescent="0.25">
      <c r="A293">
        <v>2651</v>
      </c>
      <c r="B293" t="s">
        <v>128</v>
      </c>
      <c r="C293" t="s">
        <v>31</v>
      </c>
      <c r="D293" s="35">
        <v>252226.12</v>
      </c>
      <c r="E293">
        <v>1246223341</v>
      </c>
      <c r="F293" s="324">
        <v>45935</v>
      </c>
      <c r="H293" t="s">
        <v>28</v>
      </c>
      <c r="I293" t="s">
        <v>29</v>
      </c>
      <c r="J293">
        <v>8388</v>
      </c>
      <c r="K293" s="324">
        <v>45845</v>
      </c>
      <c r="L293">
        <v>1010200</v>
      </c>
      <c r="M293" t="s">
        <v>125</v>
      </c>
      <c r="N293">
        <v>177</v>
      </c>
      <c r="O293" s="32">
        <v>0</v>
      </c>
      <c r="P293" s="32">
        <v>7566.7835999999998</v>
      </c>
      <c r="Q293" s="32">
        <v>0</v>
      </c>
      <c r="R293" s="32">
        <v>0</v>
      </c>
      <c r="S293" s="32">
        <v>252226.12</v>
      </c>
      <c r="T293" s="32">
        <v>0</v>
      </c>
      <c r="U293" s="32">
        <v>0</v>
      </c>
      <c r="V293" s="32">
        <v>0</v>
      </c>
      <c r="W293" s="32">
        <v>7566.7835999999998</v>
      </c>
      <c r="X293" s="32">
        <v>0</v>
      </c>
      <c r="Y293" s="32">
        <v>0</v>
      </c>
      <c r="Z293" s="32">
        <v>0</v>
      </c>
      <c r="AA293" s="32">
        <v>0</v>
      </c>
      <c r="AB293" s="32">
        <v>7566.7835999999998</v>
      </c>
      <c r="AC293" s="32" t="s">
        <v>475</v>
      </c>
      <c r="AD293" s="32"/>
      <c r="AE293" s="32">
        <v>0</v>
      </c>
    </row>
    <row r="294" spans="1:31" x14ac:dyDescent="0.25">
      <c r="A294">
        <v>2651</v>
      </c>
      <c r="B294" t="s">
        <v>128</v>
      </c>
      <c r="C294" t="s">
        <v>31</v>
      </c>
      <c r="D294" s="35">
        <v>197281.56999999998</v>
      </c>
      <c r="E294">
        <v>1246213269</v>
      </c>
      <c r="F294" s="324">
        <v>45849</v>
      </c>
      <c r="H294" t="s">
        <v>28</v>
      </c>
      <c r="I294" t="s">
        <v>29</v>
      </c>
      <c r="J294">
        <v>1965</v>
      </c>
      <c r="K294" s="324">
        <v>45789</v>
      </c>
      <c r="L294">
        <v>1010200</v>
      </c>
      <c r="M294" t="s">
        <v>125</v>
      </c>
      <c r="N294">
        <v>263</v>
      </c>
      <c r="O294" s="32">
        <v>0</v>
      </c>
      <c r="P294" s="32">
        <v>5918.4470999999994</v>
      </c>
      <c r="Q294" s="32">
        <v>0</v>
      </c>
      <c r="R294" s="32">
        <v>0</v>
      </c>
      <c r="S294" s="32">
        <v>0</v>
      </c>
      <c r="T294" s="32">
        <v>197281.56999999998</v>
      </c>
      <c r="U294" s="32">
        <v>0</v>
      </c>
      <c r="V294" s="32">
        <v>0</v>
      </c>
      <c r="W294" s="32">
        <v>5918.4470999999994</v>
      </c>
      <c r="X294" s="32">
        <v>0</v>
      </c>
      <c r="Y294" s="32">
        <v>0</v>
      </c>
      <c r="Z294" s="32">
        <v>0</v>
      </c>
      <c r="AA294" s="32">
        <v>0</v>
      </c>
      <c r="AB294" s="32">
        <v>5918.4470999999994</v>
      </c>
      <c r="AC294" s="32" t="s">
        <v>475</v>
      </c>
      <c r="AD294" s="32"/>
      <c r="AE294" s="32">
        <v>0</v>
      </c>
    </row>
    <row r="295" spans="1:31" x14ac:dyDescent="0.25">
      <c r="A295">
        <v>2287</v>
      </c>
      <c r="B295" t="s">
        <v>126</v>
      </c>
      <c r="C295" t="s">
        <v>127</v>
      </c>
      <c r="D295" s="35">
        <v>157607.13</v>
      </c>
      <c r="E295">
        <v>1246268026</v>
      </c>
      <c r="F295" s="324">
        <v>46128</v>
      </c>
      <c r="H295" t="s">
        <v>28</v>
      </c>
      <c r="I295" t="s">
        <v>29</v>
      </c>
      <c r="J295">
        <v>10909</v>
      </c>
      <c r="K295" s="324">
        <v>46098</v>
      </c>
      <c r="L295">
        <v>1010200</v>
      </c>
      <c r="M295" t="s">
        <v>125</v>
      </c>
      <c r="N295">
        <v>-16</v>
      </c>
      <c r="O295" s="32">
        <v>0</v>
      </c>
      <c r="P295" s="32">
        <v>0</v>
      </c>
      <c r="Q295" s="32">
        <v>157607.13</v>
      </c>
      <c r="R295" s="32">
        <v>0</v>
      </c>
      <c r="S295" s="32">
        <v>0</v>
      </c>
      <c r="T295" s="32">
        <v>0</v>
      </c>
      <c r="U295" s="32">
        <v>0</v>
      </c>
      <c r="V295" s="32">
        <v>0</v>
      </c>
      <c r="W295" s="32">
        <v>0</v>
      </c>
      <c r="X295" s="32">
        <v>0</v>
      </c>
      <c r="Y295" s="32">
        <v>0</v>
      </c>
      <c r="Z295" s="32">
        <v>0</v>
      </c>
      <c r="AA295" s="32">
        <v>0</v>
      </c>
      <c r="AB295" s="32">
        <v>0</v>
      </c>
      <c r="AC295" s="32" t="s">
        <v>475</v>
      </c>
      <c r="AD295" s="32"/>
      <c r="AE295" s="32">
        <v>0</v>
      </c>
    </row>
    <row r="296" spans="1:31" x14ac:dyDescent="0.25">
      <c r="A296">
        <v>2655</v>
      </c>
      <c r="B296" t="s">
        <v>360</v>
      </c>
      <c r="C296" t="s">
        <v>31</v>
      </c>
      <c r="D296" s="35">
        <v>40017.64</v>
      </c>
      <c r="E296">
        <v>1246268741</v>
      </c>
      <c r="F296" s="324">
        <v>46165</v>
      </c>
      <c r="H296" t="s">
        <v>28</v>
      </c>
      <c r="I296" t="s">
        <v>29</v>
      </c>
      <c r="J296">
        <v>10964</v>
      </c>
      <c r="K296" s="324">
        <v>46105</v>
      </c>
      <c r="L296">
        <v>1010200</v>
      </c>
      <c r="M296" t="s">
        <v>125</v>
      </c>
      <c r="N296">
        <v>-53</v>
      </c>
      <c r="O296" s="32">
        <v>0</v>
      </c>
      <c r="P296" s="32">
        <v>0</v>
      </c>
      <c r="Q296" s="32">
        <v>40017.64</v>
      </c>
      <c r="R296" s="32">
        <v>0</v>
      </c>
      <c r="S296" s="32">
        <v>0</v>
      </c>
      <c r="T296" s="32">
        <v>0</v>
      </c>
      <c r="U296" s="32">
        <v>0</v>
      </c>
      <c r="V296" s="32">
        <v>0</v>
      </c>
      <c r="W296" s="32">
        <v>0</v>
      </c>
      <c r="X296" s="32">
        <v>0</v>
      </c>
      <c r="Y296" s="32">
        <v>0</v>
      </c>
      <c r="Z296" s="32">
        <v>0</v>
      </c>
      <c r="AA296" s="32">
        <v>0</v>
      </c>
      <c r="AB296" s="32">
        <v>0</v>
      </c>
      <c r="AC296" s="32" t="s">
        <v>475</v>
      </c>
      <c r="AD296" s="32"/>
      <c r="AE296" s="32">
        <v>0</v>
      </c>
    </row>
    <row r="297" spans="1:31" x14ac:dyDescent="0.25">
      <c r="A297">
        <v>2656</v>
      </c>
      <c r="B297" t="s">
        <v>130</v>
      </c>
      <c r="C297" t="s">
        <v>31</v>
      </c>
      <c r="D297" s="35">
        <v>145895</v>
      </c>
      <c r="E297">
        <v>1246267103</v>
      </c>
      <c r="F297" s="324">
        <v>46120</v>
      </c>
      <c r="H297" t="s">
        <v>28</v>
      </c>
      <c r="I297" t="s">
        <v>29</v>
      </c>
      <c r="J297">
        <v>10850</v>
      </c>
      <c r="K297" s="324">
        <v>46090</v>
      </c>
      <c r="L297">
        <v>1010200</v>
      </c>
      <c r="M297" t="s">
        <v>125</v>
      </c>
      <c r="N297">
        <v>-8</v>
      </c>
      <c r="O297" s="32">
        <v>0</v>
      </c>
      <c r="P297" s="32">
        <v>0</v>
      </c>
      <c r="Q297" s="32">
        <v>145895</v>
      </c>
      <c r="R297" s="32">
        <v>0</v>
      </c>
      <c r="S297" s="32">
        <v>0</v>
      </c>
      <c r="T297" s="32">
        <v>0</v>
      </c>
      <c r="U297" s="32">
        <v>0</v>
      </c>
      <c r="V297" s="32">
        <v>0</v>
      </c>
      <c r="W297" s="32">
        <v>0</v>
      </c>
      <c r="X297" s="32">
        <v>0</v>
      </c>
      <c r="Y297" s="32">
        <v>0</v>
      </c>
      <c r="Z297" s="32">
        <v>0</v>
      </c>
      <c r="AA297" s="32">
        <v>0</v>
      </c>
      <c r="AB297" s="32">
        <v>0</v>
      </c>
      <c r="AC297" s="32" t="s">
        <v>475</v>
      </c>
      <c r="AD297" s="32"/>
      <c r="AE297" s="32">
        <v>0</v>
      </c>
    </row>
    <row r="298" spans="1:31" x14ac:dyDescent="0.25">
      <c r="A298">
        <v>6370</v>
      </c>
      <c r="B298" t="s">
        <v>295</v>
      </c>
      <c r="C298" t="s">
        <v>32</v>
      </c>
      <c r="D298" s="35">
        <v>180607.46</v>
      </c>
      <c r="E298">
        <v>1246267940</v>
      </c>
      <c r="F298" s="324">
        <v>46127</v>
      </c>
      <c r="H298" t="s">
        <v>28</v>
      </c>
      <c r="I298" t="s">
        <v>29</v>
      </c>
      <c r="J298">
        <v>10898</v>
      </c>
      <c r="K298" s="324">
        <v>46097</v>
      </c>
      <c r="L298">
        <v>1010200</v>
      </c>
      <c r="M298" t="s">
        <v>125</v>
      </c>
      <c r="N298">
        <v>-15</v>
      </c>
      <c r="O298" s="32">
        <v>0</v>
      </c>
      <c r="P298" s="32">
        <v>0</v>
      </c>
      <c r="Q298" s="32">
        <v>180607.46</v>
      </c>
      <c r="R298" s="32">
        <v>0</v>
      </c>
      <c r="S298" s="32">
        <v>0</v>
      </c>
      <c r="T298" s="32">
        <v>0</v>
      </c>
      <c r="U298" s="32">
        <v>0</v>
      </c>
      <c r="V298" s="32">
        <v>0</v>
      </c>
      <c r="W298" s="32">
        <v>0</v>
      </c>
      <c r="X298" s="32">
        <v>0</v>
      </c>
      <c r="Y298" s="32">
        <v>0</v>
      </c>
      <c r="Z298" s="32">
        <v>0</v>
      </c>
      <c r="AA298" s="32">
        <v>0</v>
      </c>
      <c r="AB298" s="32">
        <v>0</v>
      </c>
      <c r="AC298" s="32" t="s">
        <v>475</v>
      </c>
      <c r="AD298" s="32"/>
      <c r="AE298" s="32">
        <v>0</v>
      </c>
    </row>
    <row r="299" spans="1:31" x14ac:dyDescent="0.25">
      <c r="A299">
        <v>6370</v>
      </c>
      <c r="B299" t="s">
        <v>295</v>
      </c>
      <c r="C299" t="s">
        <v>32</v>
      </c>
      <c r="D299" s="35">
        <v>149433.42000000001</v>
      </c>
      <c r="E299">
        <v>1246265943</v>
      </c>
      <c r="F299" s="324">
        <v>46113</v>
      </c>
      <c r="H299" t="s">
        <v>28</v>
      </c>
      <c r="I299" t="s">
        <v>29</v>
      </c>
      <c r="J299">
        <v>10796</v>
      </c>
      <c r="K299" s="324">
        <v>46083</v>
      </c>
      <c r="L299">
        <v>1010200</v>
      </c>
      <c r="M299" t="s">
        <v>125</v>
      </c>
      <c r="N299">
        <v>-1</v>
      </c>
      <c r="O299" s="32">
        <v>0</v>
      </c>
      <c r="P299" s="32">
        <v>0</v>
      </c>
      <c r="Q299" s="32">
        <v>149433.42000000001</v>
      </c>
      <c r="R299" s="32">
        <v>0</v>
      </c>
      <c r="S299" s="32">
        <v>0</v>
      </c>
      <c r="T299" s="32">
        <v>0</v>
      </c>
      <c r="U299" s="32">
        <v>0</v>
      </c>
      <c r="V299" s="32">
        <v>0</v>
      </c>
      <c r="W299" s="32">
        <v>0</v>
      </c>
      <c r="X299" s="32">
        <v>0</v>
      </c>
      <c r="Y299" s="32">
        <v>0</v>
      </c>
      <c r="Z299" s="32">
        <v>0</v>
      </c>
      <c r="AA299" s="32">
        <v>0</v>
      </c>
      <c r="AB299" s="32">
        <v>0</v>
      </c>
      <c r="AC299" s="32" t="s">
        <v>475</v>
      </c>
      <c r="AD299" s="32"/>
      <c r="AE299" s="32">
        <v>0</v>
      </c>
    </row>
    <row r="300" spans="1:31" x14ac:dyDescent="0.25">
      <c r="A300">
        <v>6370</v>
      </c>
      <c r="B300" t="s">
        <v>295</v>
      </c>
      <c r="C300" t="s">
        <v>32</v>
      </c>
      <c r="D300" s="35">
        <v>180350.34</v>
      </c>
      <c r="E300">
        <v>1246268448</v>
      </c>
      <c r="F300" s="324">
        <v>46130</v>
      </c>
      <c r="H300" t="s">
        <v>28</v>
      </c>
      <c r="I300" t="s">
        <v>29</v>
      </c>
      <c r="J300">
        <v>10933</v>
      </c>
      <c r="K300" s="324">
        <v>46100</v>
      </c>
      <c r="L300">
        <v>1010200</v>
      </c>
      <c r="M300" t="s">
        <v>125</v>
      </c>
      <c r="N300">
        <v>-18</v>
      </c>
      <c r="O300" s="32">
        <v>0</v>
      </c>
      <c r="P300" s="32">
        <v>0</v>
      </c>
      <c r="Q300" s="32">
        <v>180350.34</v>
      </c>
      <c r="R300" s="32">
        <v>0</v>
      </c>
      <c r="S300" s="32">
        <v>0</v>
      </c>
      <c r="T300" s="32">
        <v>0</v>
      </c>
      <c r="U300" s="32">
        <v>0</v>
      </c>
      <c r="V300" s="32">
        <v>0</v>
      </c>
      <c r="W300" s="32">
        <v>0</v>
      </c>
      <c r="X300" s="32">
        <v>0</v>
      </c>
      <c r="Y300" s="32">
        <v>0</v>
      </c>
      <c r="Z300" s="32">
        <v>0</v>
      </c>
      <c r="AA300" s="32">
        <v>0</v>
      </c>
      <c r="AB300" s="32">
        <v>0</v>
      </c>
      <c r="AC300" s="32" t="s">
        <v>475</v>
      </c>
      <c r="AD300" s="32"/>
      <c r="AE300" s="32">
        <v>0</v>
      </c>
    </row>
    <row r="301" spans="1:31" x14ac:dyDescent="0.25">
      <c r="A301">
        <v>9295</v>
      </c>
      <c r="B301" t="s">
        <v>382</v>
      </c>
      <c r="C301" t="s">
        <v>127</v>
      </c>
      <c r="D301" s="35">
        <v>132178.28</v>
      </c>
      <c r="E301">
        <v>1246267425</v>
      </c>
      <c r="F301" s="324">
        <v>46122</v>
      </c>
      <c r="H301" t="s">
        <v>28</v>
      </c>
      <c r="I301" t="s">
        <v>29</v>
      </c>
      <c r="J301">
        <v>10864</v>
      </c>
      <c r="K301" s="324">
        <v>46092</v>
      </c>
      <c r="L301">
        <v>1010200</v>
      </c>
      <c r="M301" t="s">
        <v>125</v>
      </c>
      <c r="N301">
        <v>-10</v>
      </c>
      <c r="O301" s="32">
        <v>0</v>
      </c>
      <c r="P301" s="32">
        <v>0</v>
      </c>
      <c r="Q301" s="32">
        <v>132178.28</v>
      </c>
      <c r="R301" s="32">
        <v>0</v>
      </c>
      <c r="S301" s="32">
        <v>0</v>
      </c>
      <c r="T301" s="32">
        <v>0</v>
      </c>
      <c r="U301" s="32">
        <v>0</v>
      </c>
      <c r="V301" s="32">
        <v>0</v>
      </c>
      <c r="W301" s="32">
        <v>0</v>
      </c>
      <c r="X301" s="32">
        <v>0</v>
      </c>
      <c r="Y301" s="32">
        <v>0</v>
      </c>
      <c r="Z301" s="32">
        <v>0</v>
      </c>
      <c r="AA301" s="32">
        <v>0</v>
      </c>
      <c r="AB301" s="32">
        <v>0</v>
      </c>
      <c r="AC301" s="32" t="s">
        <v>475</v>
      </c>
      <c r="AD301" s="32"/>
      <c r="AE301" s="32">
        <v>0</v>
      </c>
    </row>
    <row r="302" spans="1:31" x14ac:dyDescent="0.25">
      <c r="A302">
        <v>9355</v>
      </c>
      <c r="B302" t="s">
        <v>337</v>
      </c>
      <c r="C302" t="s">
        <v>31</v>
      </c>
      <c r="D302" s="35">
        <v>604265.81999999983</v>
      </c>
      <c r="E302">
        <v>1246264749</v>
      </c>
      <c r="F302" s="324">
        <v>46177</v>
      </c>
      <c r="H302" t="s">
        <v>28</v>
      </c>
      <c r="I302" t="s">
        <v>29</v>
      </c>
      <c r="J302">
        <v>2768</v>
      </c>
      <c r="K302" s="324">
        <v>46077</v>
      </c>
      <c r="L302">
        <v>1010200</v>
      </c>
      <c r="M302" t="s">
        <v>125</v>
      </c>
      <c r="N302">
        <v>-65</v>
      </c>
      <c r="O302" s="32">
        <v>0</v>
      </c>
      <c r="P302" s="32">
        <v>0</v>
      </c>
      <c r="Q302" s="32">
        <v>604265.81999999983</v>
      </c>
      <c r="R302" s="32">
        <v>0</v>
      </c>
      <c r="S302" s="32">
        <v>0</v>
      </c>
      <c r="T302" s="32">
        <v>0</v>
      </c>
      <c r="U302" s="32">
        <v>0</v>
      </c>
      <c r="V302" s="32">
        <v>0</v>
      </c>
      <c r="W302" s="32">
        <v>0</v>
      </c>
      <c r="X302" s="32">
        <v>0</v>
      </c>
      <c r="Y302" s="32">
        <v>0</v>
      </c>
      <c r="Z302" s="32">
        <v>0</v>
      </c>
      <c r="AA302" s="32">
        <v>0</v>
      </c>
      <c r="AB302" s="32">
        <v>0</v>
      </c>
      <c r="AC302" s="32" t="s">
        <v>475</v>
      </c>
      <c r="AD302" s="32"/>
      <c r="AE302" s="32">
        <v>0</v>
      </c>
    </row>
    <row r="303" spans="1:31" x14ac:dyDescent="0.25">
      <c r="A303">
        <v>9355</v>
      </c>
      <c r="B303" t="s">
        <v>337</v>
      </c>
      <c r="C303" t="s">
        <v>31</v>
      </c>
      <c r="D303" s="35">
        <v>1191855.2599999998</v>
      </c>
      <c r="E303">
        <v>1246265046</v>
      </c>
      <c r="F303" s="324">
        <v>46180</v>
      </c>
      <c r="H303" t="s">
        <v>28</v>
      </c>
      <c r="I303" t="s">
        <v>29</v>
      </c>
      <c r="J303">
        <v>10762</v>
      </c>
      <c r="K303" s="324">
        <v>46078</v>
      </c>
      <c r="L303">
        <v>1010200</v>
      </c>
      <c r="M303" t="s">
        <v>125</v>
      </c>
      <c r="N303">
        <v>-68</v>
      </c>
      <c r="O303" s="32">
        <v>0</v>
      </c>
      <c r="P303" s="32">
        <v>0</v>
      </c>
      <c r="Q303" s="32">
        <v>1191855.2599999998</v>
      </c>
      <c r="R303" s="32">
        <v>0</v>
      </c>
      <c r="S303" s="32">
        <v>0</v>
      </c>
      <c r="T303" s="32">
        <v>0</v>
      </c>
      <c r="U303" s="32">
        <v>0</v>
      </c>
      <c r="V303" s="32">
        <v>0</v>
      </c>
      <c r="W303" s="32">
        <v>0</v>
      </c>
      <c r="X303" s="32">
        <v>0</v>
      </c>
      <c r="Y303" s="32">
        <v>0</v>
      </c>
      <c r="Z303" s="32">
        <v>0</v>
      </c>
      <c r="AA303" s="32">
        <v>0</v>
      </c>
      <c r="AB303" s="32">
        <v>0</v>
      </c>
      <c r="AC303" s="32" t="s">
        <v>475</v>
      </c>
      <c r="AD303" s="32"/>
      <c r="AE303" s="32">
        <v>0</v>
      </c>
    </row>
    <row r="304" spans="1:31" x14ac:dyDescent="0.25">
      <c r="A304">
        <v>9355</v>
      </c>
      <c r="B304" t="s">
        <v>337</v>
      </c>
      <c r="C304" t="s">
        <v>31</v>
      </c>
      <c r="D304" s="35">
        <v>292178.84000000003</v>
      </c>
      <c r="E304">
        <v>1246264769</v>
      </c>
      <c r="F304" s="324">
        <v>46180</v>
      </c>
      <c r="H304" t="s">
        <v>28</v>
      </c>
      <c r="I304" t="s">
        <v>29</v>
      </c>
      <c r="J304">
        <v>10753</v>
      </c>
      <c r="K304" s="324">
        <v>46077</v>
      </c>
      <c r="L304">
        <v>1010200</v>
      </c>
      <c r="M304" t="s">
        <v>125</v>
      </c>
      <c r="N304">
        <v>-68</v>
      </c>
      <c r="O304" s="32">
        <v>0</v>
      </c>
      <c r="P304" s="32">
        <v>0</v>
      </c>
      <c r="Q304" s="32">
        <v>292178.84000000003</v>
      </c>
      <c r="R304" s="32">
        <v>0</v>
      </c>
      <c r="S304" s="32">
        <v>0</v>
      </c>
      <c r="T304" s="32">
        <v>0</v>
      </c>
      <c r="U304" s="32">
        <v>0</v>
      </c>
      <c r="V304" s="32">
        <v>0</v>
      </c>
      <c r="W304" s="32">
        <v>0</v>
      </c>
      <c r="X304" s="32">
        <v>0</v>
      </c>
      <c r="Y304" s="32">
        <v>0</v>
      </c>
      <c r="Z304" s="32">
        <v>0</v>
      </c>
      <c r="AA304" s="32">
        <v>0</v>
      </c>
      <c r="AB304" s="32">
        <v>0</v>
      </c>
      <c r="AC304" s="32" t="s">
        <v>475</v>
      </c>
      <c r="AD304" s="32"/>
      <c r="AE304" s="32">
        <v>0</v>
      </c>
    </row>
    <row r="305" spans="1:31" x14ac:dyDescent="0.25">
      <c r="A305">
        <v>9355</v>
      </c>
      <c r="B305" t="s">
        <v>337</v>
      </c>
      <c r="C305" t="s">
        <v>31</v>
      </c>
      <c r="D305" s="35">
        <v>1191855.2599999998</v>
      </c>
      <c r="E305">
        <v>1246265200</v>
      </c>
      <c r="F305" s="324">
        <v>46177</v>
      </c>
      <c r="H305" t="s">
        <v>28</v>
      </c>
      <c r="I305" t="s">
        <v>29</v>
      </c>
      <c r="J305">
        <v>2778</v>
      </c>
      <c r="K305" s="324">
        <v>46078</v>
      </c>
      <c r="L305">
        <v>1010200</v>
      </c>
      <c r="M305" t="s">
        <v>125</v>
      </c>
      <c r="N305">
        <v>-65</v>
      </c>
      <c r="O305" s="32">
        <v>0</v>
      </c>
      <c r="P305" s="32">
        <v>0</v>
      </c>
      <c r="Q305" s="32">
        <v>1191855.2599999998</v>
      </c>
      <c r="R305" s="32">
        <v>0</v>
      </c>
      <c r="S305" s="32">
        <v>0</v>
      </c>
      <c r="T305" s="32">
        <v>0</v>
      </c>
      <c r="U305" s="32">
        <v>0</v>
      </c>
      <c r="V305" s="32">
        <v>0</v>
      </c>
      <c r="W305" s="32">
        <v>0</v>
      </c>
      <c r="X305" s="32">
        <v>0</v>
      </c>
      <c r="Y305" s="32">
        <v>0</v>
      </c>
      <c r="Z305" s="32">
        <v>0</v>
      </c>
      <c r="AA305" s="32">
        <v>0</v>
      </c>
      <c r="AB305" s="32">
        <v>0</v>
      </c>
      <c r="AC305" s="32" t="s">
        <v>475</v>
      </c>
      <c r="AD305" s="32"/>
      <c r="AE305" s="32">
        <v>0</v>
      </c>
    </row>
    <row r="306" spans="1:31" x14ac:dyDescent="0.25">
      <c r="A306">
        <v>11768</v>
      </c>
      <c r="B306" t="s">
        <v>305</v>
      </c>
      <c r="C306" t="s">
        <v>31</v>
      </c>
      <c r="D306" s="35">
        <v>86689.1</v>
      </c>
      <c r="E306">
        <v>1246264534</v>
      </c>
      <c r="F306" s="324">
        <v>46136</v>
      </c>
      <c r="H306" t="s">
        <v>28</v>
      </c>
      <c r="I306" t="s">
        <v>29</v>
      </c>
      <c r="J306">
        <v>10744</v>
      </c>
      <c r="K306" s="324">
        <v>46076</v>
      </c>
      <c r="L306">
        <v>1010200</v>
      </c>
      <c r="M306" t="s">
        <v>125</v>
      </c>
      <c r="N306">
        <v>-24</v>
      </c>
      <c r="O306" s="32">
        <v>0</v>
      </c>
      <c r="P306" s="32">
        <v>0</v>
      </c>
      <c r="Q306" s="32">
        <v>86689.1</v>
      </c>
      <c r="R306" s="32">
        <v>0</v>
      </c>
      <c r="S306" s="32">
        <v>0</v>
      </c>
      <c r="T306" s="32">
        <v>0</v>
      </c>
      <c r="U306" s="32">
        <v>0</v>
      </c>
      <c r="V306" s="32">
        <v>0</v>
      </c>
      <c r="W306" s="32">
        <v>0</v>
      </c>
      <c r="X306" s="32">
        <v>0</v>
      </c>
      <c r="Y306" s="32">
        <v>0</v>
      </c>
      <c r="Z306" s="32">
        <v>0</v>
      </c>
      <c r="AA306" s="32">
        <v>0</v>
      </c>
      <c r="AB306" s="32">
        <v>0</v>
      </c>
      <c r="AC306" s="32" t="s">
        <v>475</v>
      </c>
      <c r="AD306" s="32"/>
      <c r="AE306" s="32">
        <v>0</v>
      </c>
    </row>
    <row r="307" spans="1:31" x14ac:dyDescent="0.25">
      <c r="A307">
        <v>11770</v>
      </c>
      <c r="B307" t="s">
        <v>438</v>
      </c>
      <c r="C307" t="s">
        <v>31</v>
      </c>
      <c r="D307" s="35">
        <v>14548.35</v>
      </c>
      <c r="E307">
        <v>1246263524</v>
      </c>
      <c r="F307" s="324">
        <v>46039</v>
      </c>
      <c r="H307" t="s">
        <v>28</v>
      </c>
      <c r="I307" t="s">
        <v>29</v>
      </c>
      <c r="J307">
        <v>9853</v>
      </c>
      <c r="K307" s="324">
        <v>45959</v>
      </c>
      <c r="L307">
        <v>1010200</v>
      </c>
      <c r="M307" t="s">
        <v>125</v>
      </c>
      <c r="N307">
        <v>73</v>
      </c>
      <c r="O307" s="32">
        <v>0</v>
      </c>
      <c r="P307" s="32">
        <v>0</v>
      </c>
      <c r="Q307" s="32">
        <v>0</v>
      </c>
      <c r="R307" s="32">
        <v>14548.35</v>
      </c>
      <c r="S307" s="32">
        <v>0</v>
      </c>
      <c r="T307" s="32">
        <v>0</v>
      </c>
      <c r="U307" s="32">
        <v>0</v>
      </c>
      <c r="V307" s="32">
        <v>0</v>
      </c>
      <c r="W307" s="32">
        <v>0</v>
      </c>
      <c r="X307" s="32">
        <v>0</v>
      </c>
      <c r="Y307" s="32">
        <v>0</v>
      </c>
      <c r="Z307" s="32">
        <v>0</v>
      </c>
      <c r="AA307" s="32">
        <v>0</v>
      </c>
      <c r="AB307" s="32">
        <v>0</v>
      </c>
      <c r="AC307" s="32" t="s">
        <v>475</v>
      </c>
      <c r="AD307" s="32"/>
      <c r="AE307" s="32">
        <v>0</v>
      </c>
    </row>
    <row r="308" spans="1:31" x14ac:dyDescent="0.25">
      <c r="A308">
        <v>11580</v>
      </c>
      <c r="B308" t="s">
        <v>492</v>
      </c>
      <c r="C308" t="s">
        <v>31</v>
      </c>
      <c r="D308" s="35">
        <v>76480.23</v>
      </c>
      <c r="E308">
        <v>1246268734</v>
      </c>
      <c r="F308" s="324">
        <v>46440</v>
      </c>
      <c r="H308" t="s">
        <v>28</v>
      </c>
      <c r="I308" t="s">
        <v>29</v>
      </c>
      <c r="J308">
        <v>2837</v>
      </c>
      <c r="K308" s="324">
        <v>46105</v>
      </c>
      <c r="L308">
        <v>1010200</v>
      </c>
      <c r="M308" t="s">
        <v>125</v>
      </c>
      <c r="N308">
        <v>-328</v>
      </c>
      <c r="O308" s="32">
        <v>0</v>
      </c>
      <c r="P308" s="32">
        <v>0</v>
      </c>
      <c r="Q308" s="32">
        <v>76480.23</v>
      </c>
      <c r="R308" s="32">
        <v>0</v>
      </c>
      <c r="S308" s="32">
        <v>0</v>
      </c>
      <c r="T308" s="32">
        <v>0</v>
      </c>
      <c r="U308" s="32">
        <v>0</v>
      </c>
      <c r="V308" s="32">
        <v>0</v>
      </c>
      <c r="W308" s="32">
        <v>0</v>
      </c>
      <c r="X308" s="32">
        <v>0</v>
      </c>
      <c r="Y308" s="32">
        <v>0</v>
      </c>
      <c r="Z308" s="32">
        <v>0</v>
      </c>
      <c r="AA308" s="32">
        <v>0</v>
      </c>
      <c r="AB308" s="32">
        <v>0</v>
      </c>
      <c r="AC308" s="32" t="s">
        <v>475</v>
      </c>
      <c r="AD308" s="32"/>
      <c r="AE308" s="32">
        <v>0</v>
      </c>
    </row>
    <row r="309" spans="1:31" x14ac:dyDescent="0.25">
      <c r="A309">
        <v>13330</v>
      </c>
      <c r="B309" t="s">
        <v>679</v>
      </c>
      <c r="C309" t="s">
        <v>680</v>
      </c>
      <c r="D309" s="35">
        <v>527.28</v>
      </c>
      <c r="E309">
        <v>1246238356</v>
      </c>
      <c r="F309" s="324">
        <v>45927</v>
      </c>
      <c r="I309" t="s">
        <v>373</v>
      </c>
      <c r="J309">
        <v>9092</v>
      </c>
      <c r="K309" s="324">
        <v>45897</v>
      </c>
      <c r="L309">
        <v>1010200</v>
      </c>
      <c r="M309" t="s">
        <v>125</v>
      </c>
      <c r="N309">
        <v>185</v>
      </c>
      <c r="O309" s="32">
        <v>0</v>
      </c>
      <c r="P309" s="32">
        <v>15.818399999999999</v>
      </c>
      <c r="Q309" s="32">
        <v>0</v>
      </c>
      <c r="R309" s="32">
        <v>0</v>
      </c>
      <c r="S309" s="32">
        <v>0</v>
      </c>
      <c r="T309" s="32">
        <v>527.28</v>
      </c>
      <c r="U309" s="32">
        <v>0</v>
      </c>
      <c r="V309" s="32">
        <v>0</v>
      </c>
      <c r="W309" s="32">
        <v>15.818399999999999</v>
      </c>
      <c r="X309" s="32">
        <v>0</v>
      </c>
      <c r="Y309" s="32">
        <v>0</v>
      </c>
      <c r="Z309" s="32">
        <v>527.28</v>
      </c>
      <c r="AA309" s="32">
        <v>0</v>
      </c>
      <c r="AB309" s="32">
        <v>15.818399999999999</v>
      </c>
      <c r="AC309" s="32" t="s">
        <v>475</v>
      </c>
      <c r="AD309" s="32"/>
      <c r="AE309" s="32">
        <v>15.818399999999999</v>
      </c>
    </row>
    <row r="310" spans="1:31" x14ac:dyDescent="0.25">
      <c r="A310">
        <v>15543</v>
      </c>
      <c r="B310" t="s">
        <v>852</v>
      </c>
      <c r="C310" t="s">
        <v>853</v>
      </c>
      <c r="D310" s="35">
        <v>45718.46</v>
      </c>
      <c r="E310">
        <v>1246264533</v>
      </c>
      <c r="F310" s="324">
        <v>46181</v>
      </c>
      <c r="I310" t="s">
        <v>373</v>
      </c>
      <c r="J310">
        <v>10745</v>
      </c>
      <c r="K310" s="324">
        <v>46076</v>
      </c>
      <c r="L310">
        <v>1010200</v>
      </c>
      <c r="M310" t="s">
        <v>125</v>
      </c>
      <c r="N310">
        <v>-69</v>
      </c>
      <c r="O310" s="32">
        <v>0</v>
      </c>
      <c r="P310" s="32">
        <v>0</v>
      </c>
      <c r="Q310" s="32">
        <v>45718.46</v>
      </c>
      <c r="R310" s="32">
        <v>0</v>
      </c>
      <c r="S310" s="32">
        <v>0</v>
      </c>
      <c r="T310" s="32">
        <v>0</v>
      </c>
      <c r="U310" s="32">
        <v>0</v>
      </c>
      <c r="V310" s="32">
        <v>0</v>
      </c>
      <c r="W310" s="32">
        <v>0</v>
      </c>
      <c r="X310" s="32">
        <v>0</v>
      </c>
      <c r="Y310" s="32">
        <v>0</v>
      </c>
      <c r="Z310" s="32">
        <v>0</v>
      </c>
      <c r="AA310" s="32">
        <v>0</v>
      </c>
      <c r="AB310" s="32">
        <v>0</v>
      </c>
      <c r="AC310" s="32" t="s">
        <v>475</v>
      </c>
      <c r="AD310" s="32"/>
      <c r="AE310" s="32">
        <v>0</v>
      </c>
    </row>
    <row r="311" spans="1:31" x14ac:dyDescent="0.25">
      <c r="A311">
        <v>7060</v>
      </c>
      <c r="B311" t="s">
        <v>182</v>
      </c>
      <c r="C311" t="s">
        <v>183</v>
      </c>
      <c r="D311" s="35">
        <v>202489.44</v>
      </c>
      <c r="E311">
        <v>1246233024</v>
      </c>
      <c r="F311" s="324">
        <v>46264</v>
      </c>
      <c r="H311" t="s">
        <v>173</v>
      </c>
      <c r="I311" t="s">
        <v>174</v>
      </c>
      <c r="J311">
        <v>9046</v>
      </c>
      <c r="K311" s="324">
        <v>45895</v>
      </c>
      <c r="L311">
        <v>1010100</v>
      </c>
      <c r="M311" t="s">
        <v>35</v>
      </c>
      <c r="N311">
        <v>-152</v>
      </c>
      <c r="O311" s="32">
        <v>0</v>
      </c>
      <c r="P311" s="32">
        <v>0</v>
      </c>
      <c r="Q311" s="32">
        <v>202489.44</v>
      </c>
      <c r="R311" s="32">
        <v>0</v>
      </c>
      <c r="S311" s="32">
        <v>0</v>
      </c>
      <c r="T311" s="32">
        <v>0</v>
      </c>
      <c r="U311" s="32">
        <v>0</v>
      </c>
      <c r="V311" s="32">
        <v>0</v>
      </c>
      <c r="W311" s="32">
        <v>0</v>
      </c>
      <c r="X311" s="32">
        <v>0</v>
      </c>
      <c r="Y311" s="32">
        <v>0</v>
      </c>
      <c r="Z311" s="32">
        <v>0</v>
      </c>
      <c r="AA311" s="32">
        <v>0</v>
      </c>
      <c r="AB311" s="32">
        <v>0</v>
      </c>
      <c r="AC311" s="32" t="s">
        <v>475</v>
      </c>
      <c r="AD311" s="32"/>
      <c r="AE311" s="32">
        <v>0</v>
      </c>
    </row>
    <row r="312" spans="1:31" x14ac:dyDescent="0.25">
      <c r="A312">
        <v>7060</v>
      </c>
      <c r="B312" t="s">
        <v>182</v>
      </c>
      <c r="C312" t="s">
        <v>183</v>
      </c>
      <c r="D312" s="35">
        <v>210926.49999999997</v>
      </c>
      <c r="E312">
        <v>1246232491</v>
      </c>
      <c r="F312" s="324">
        <v>46264</v>
      </c>
      <c r="H312" t="s">
        <v>173</v>
      </c>
      <c r="I312" t="s">
        <v>174</v>
      </c>
      <c r="J312">
        <v>9006</v>
      </c>
      <c r="K312" s="324">
        <v>45891</v>
      </c>
      <c r="L312">
        <v>1010100</v>
      </c>
      <c r="M312" t="s">
        <v>35</v>
      </c>
      <c r="N312">
        <v>-152</v>
      </c>
      <c r="O312" s="32">
        <v>0</v>
      </c>
      <c r="P312" s="32">
        <v>0</v>
      </c>
      <c r="Q312" s="32">
        <v>210926.49999999997</v>
      </c>
      <c r="R312" s="32">
        <v>0</v>
      </c>
      <c r="S312" s="32">
        <v>0</v>
      </c>
      <c r="T312" s="32">
        <v>0</v>
      </c>
      <c r="U312" s="32">
        <v>0</v>
      </c>
      <c r="V312" s="32">
        <v>0</v>
      </c>
      <c r="W312" s="32">
        <v>0</v>
      </c>
      <c r="X312" s="32">
        <v>0</v>
      </c>
      <c r="Y312" s="32">
        <v>0</v>
      </c>
      <c r="Z312" s="32">
        <v>0</v>
      </c>
      <c r="AA312" s="32">
        <v>0</v>
      </c>
      <c r="AB312" s="32">
        <v>0</v>
      </c>
      <c r="AC312" s="32" t="s">
        <v>475</v>
      </c>
      <c r="AD312" s="32"/>
      <c r="AE312" s="32">
        <v>0</v>
      </c>
    </row>
    <row r="313" spans="1:31" x14ac:dyDescent="0.25">
      <c r="A313">
        <v>7060</v>
      </c>
      <c r="B313" t="s">
        <v>182</v>
      </c>
      <c r="C313" t="s">
        <v>183</v>
      </c>
      <c r="D313" s="35">
        <v>130331.92</v>
      </c>
      <c r="E313">
        <v>1246232349</v>
      </c>
      <c r="F313" s="324">
        <v>46144</v>
      </c>
      <c r="H313" t="s">
        <v>173</v>
      </c>
      <c r="I313" t="s">
        <v>174</v>
      </c>
      <c r="J313">
        <v>8975</v>
      </c>
      <c r="K313" s="324">
        <v>45890</v>
      </c>
      <c r="L313">
        <v>1010100</v>
      </c>
      <c r="M313" t="s">
        <v>35</v>
      </c>
      <c r="N313">
        <v>-32</v>
      </c>
      <c r="O313" s="32">
        <v>0</v>
      </c>
      <c r="P313" s="32">
        <v>0</v>
      </c>
      <c r="Q313" s="32">
        <v>130331.92</v>
      </c>
      <c r="R313" s="32">
        <v>0</v>
      </c>
      <c r="S313" s="32">
        <v>0</v>
      </c>
      <c r="T313" s="32">
        <v>0</v>
      </c>
      <c r="U313" s="32">
        <v>0</v>
      </c>
      <c r="V313" s="32">
        <v>0</v>
      </c>
      <c r="W313" s="32">
        <v>0</v>
      </c>
      <c r="X313" s="32">
        <v>0</v>
      </c>
      <c r="Y313" s="32">
        <v>0</v>
      </c>
      <c r="Z313" s="32">
        <v>0</v>
      </c>
      <c r="AA313" s="32">
        <v>0</v>
      </c>
      <c r="AB313" s="32">
        <v>0</v>
      </c>
      <c r="AC313" s="32" t="s">
        <v>475</v>
      </c>
      <c r="AD313" s="32"/>
      <c r="AE313" s="32">
        <v>0</v>
      </c>
    </row>
    <row r="314" spans="1:31" x14ac:dyDescent="0.25">
      <c r="A314">
        <v>7060</v>
      </c>
      <c r="B314" t="s">
        <v>182</v>
      </c>
      <c r="C314" t="s">
        <v>183</v>
      </c>
      <c r="D314" s="35">
        <v>6817.24</v>
      </c>
      <c r="E314">
        <v>1246232336</v>
      </c>
      <c r="F314" s="324">
        <v>46144</v>
      </c>
      <c r="H314" t="s">
        <v>173</v>
      </c>
      <c r="I314" t="s">
        <v>174</v>
      </c>
      <c r="J314">
        <v>8973</v>
      </c>
      <c r="K314" s="324">
        <v>45890</v>
      </c>
      <c r="L314">
        <v>1010100</v>
      </c>
      <c r="M314" t="s">
        <v>35</v>
      </c>
      <c r="N314">
        <v>-32</v>
      </c>
      <c r="O314" s="32">
        <v>0</v>
      </c>
      <c r="P314" s="32">
        <v>0</v>
      </c>
      <c r="Q314" s="32">
        <v>6817.24</v>
      </c>
      <c r="R314" s="32">
        <v>0</v>
      </c>
      <c r="S314" s="32">
        <v>0</v>
      </c>
      <c r="T314" s="32">
        <v>0</v>
      </c>
      <c r="U314" s="32">
        <v>0</v>
      </c>
      <c r="V314" s="32">
        <v>0</v>
      </c>
      <c r="W314" s="32">
        <v>0</v>
      </c>
      <c r="X314" s="32">
        <v>0</v>
      </c>
      <c r="Y314" s="32">
        <v>0</v>
      </c>
      <c r="Z314" s="32">
        <v>0</v>
      </c>
      <c r="AA314" s="32">
        <v>0</v>
      </c>
      <c r="AB314" s="32">
        <v>0</v>
      </c>
      <c r="AC314" s="32" t="s">
        <v>475</v>
      </c>
      <c r="AD314" s="32"/>
      <c r="AE314" s="32">
        <v>0</v>
      </c>
    </row>
    <row r="315" spans="1:31" x14ac:dyDescent="0.25">
      <c r="A315">
        <v>7060</v>
      </c>
      <c r="B315" t="s">
        <v>182</v>
      </c>
      <c r="C315" t="s">
        <v>183</v>
      </c>
      <c r="D315" s="35">
        <v>135891.48000000001</v>
      </c>
      <c r="E315">
        <v>1246233319</v>
      </c>
      <c r="F315" s="324">
        <v>46266</v>
      </c>
      <c r="H315" t="s">
        <v>173</v>
      </c>
      <c r="I315" t="s">
        <v>174</v>
      </c>
      <c r="J315">
        <v>9076</v>
      </c>
      <c r="K315" s="324">
        <v>45896</v>
      </c>
      <c r="L315">
        <v>1010100</v>
      </c>
      <c r="M315" t="s">
        <v>35</v>
      </c>
      <c r="N315">
        <v>-154</v>
      </c>
      <c r="O315" s="32">
        <v>0</v>
      </c>
      <c r="P315" s="32">
        <v>0</v>
      </c>
      <c r="Q315" s="32">
        <v>135891.48000000001</v>
      </c>
      <c r="R315" s="32">
        <v>0</v>
      </c>
      <c r="S315" s="32">
        <v>0</v>
      </c>
      <c r="T315" s="32">
        <v>0</v>
      </c>
      <c r="U315" s="32">
        <v>0</v>
      </c>
      <c r="V315" s="32">
        <v>0</v>
      </c>
      <c r="W315" s="32">
        <v>0</v>
      </c>
      <c r="X315" s="32">
        <v>0</v>
      </c>
      <c r="Y315" s="32">
        <v>0</v>
      </c>
      <c r="Z315" s="32">
        <v>0</v>
      </c>
      <c r="AA315" s="32">
        <v>0</v>
      </c>
      <c r="AB315" s="32">
        <v>0</v>
      </c>
      <c r="AC315" s="32" t="s">
        <v>475</v>
      </c>
      <c r="AD315" s="32"/>
      <c r="AE315" s="32">
        <v>0</v>
      </c>
    </row>
    <row r="316" spans="1:31" x14ac:dyDescent="0.25">
      <c r="A316">
        <v>7060</v>
      </c>
      <c r="B316" t="s">
        <v>182</v>
      </c>
      <c r="C316" t="s">
        <v>183</v>
      </c>
      <c r="D316" s="35">
        <v>137584.20000000001</v>
      </c>
      <c r="E316">
        <v>1246232316</v>
      </c>
      <c r="F316" s="324">
        <v>46144</v>
      </c>
      <c r="H316" t="s">
        <v>173</v>
      </c>
      <c r="I316" t="s">
        <v>174</v>
      </c>
      <c r="J316">
        <v>8971</v>
      </c>
      <c r="K316" s="324">
        <v>45890</v>
      </c>
      <c r="L316">
        <v>1010100</v>
      </c>
      <c r="M316" t="s">
        <v>35</v>
      </c>
      <c r="N316">
        <v>-32</v>
      </c>
      <c r="O316" s="32">
        <v>0</v>
      </c>
      <c r="P316" s="32">
        <v>0</v>
      </c>
      <c r="Q316" s="32">
        <v>137584.20000000001</v>
      </c>
      <c r="R316" s="32">
        <v>0</v>
      </c>
      <c r="S316" s="32">
        <v>0</v>
      </c>
      <c r="T316" s="32">
        <v>0</v>
      </c>
      <c r="U316" s="32">
        <v>0</v>
      </c>
      <c r="V316" s="32">
        <v>0</v>
      </c>
      <c r="W316" s="32">
        <v>0</v>
      </c>
      <c r="X316" s="32">
        <v>0</v>
      </c>
      <c r="Y316" s="32">
        <v>0</v>
      </c>
      <c r="Z316" s="32">
        <v>0</v>
      </c>
      <c r="AA316" s="32">
        <v>0</v>
      </c>
      <c r="AB316" s="32">
        <v>0</v>
      </c>
      <c r="AC316" s="32" t="s">
        <v>475</v>
      </c>
      <c r="AD316" s="32"/>
      <c r="AE316" s="32">
        <v>0</v>
      </c>
    </row>
    <row r="317" spans="1:31" x14ac:dyDescent="0.25">
      <c r="A317">
        <v>7060</v>
      </c>
      <c r="B317" t="s">
        <v>182</v>
      </c>
      <c r="C317" t="s">
        <v>183</v>
      </c>
      <c r="D317" s="35">
        <v>160304.14000000001</v>
      </c>
      <c r="E317">
        <v>1246232724</v>
      </c>
      <c r="F317" s="324">
        <v>46264</v>
      </c>
      <c r="H317" t="s">
        <v>173</v>
      </c>
      <c r="I317" t="s">
        <v>174</v>
      </c>
      <c r="J317">
        <v>9023</v>
      </c>
      <c r="K317" s="324">
        <v>45894</v>
      </c>
      <c r="L317">
        <v>1010100</v>
      </c>
      <c r="M317" t="s">
        <v>35</v>
      </c>
      <c r="N317">
        <v>-152</v>
      </c>
      <c r="O317" s="32">
        <v>0</v>
      </c>
      <c r="P317" s="32">
        <v>0</v>
      </c>
      <c r="Q317" s="32">
        <v>160304.14000000001</v>
      </c>
      <c r="R317" s="32">
        <v>0</v>
      </c>
      <c r="S317" s="32">
        <v>0</v>
      </c>
      <c r="T317" s="32">
        <v>0</v>
      </c>
      <c r="U317" s="32">
        <v>0</v>
      </c>
      <c r="V317" s="32">
        <v>0</v>
      </c>
      <c r="W317" s="32">
        <v>0</v>
      </c>
      <c r="X317" s="32">
        <v>0</v>
      </c>
      <c r="Y317" s="32">
        <v>0</v>
      </c>
      <c r="Z317" s="32">
        <v>0</v>
      </c>
      <c r="AA317" s="32">
        <v>0</v>
      </c>
      <c r="AB317" s="32">
        <v>0</v>
      </c>
      <c r="AC317" s="32" t="s">
        <v>475</v>
      </c>
      <c r="AD317" s="32"/>
      <c r="AE317" s="32">
        <v>0</v>
      </c>
    </row>
    <row r="318" spans="1:31" x14ac:dyDescent="0.25">
      <c r="A318">
        <v>7060</v>
      </c>
      <c r="B318" t="s">
        <v>182</v>
      </c>
      <c r="C318" t="s">
        <v>183</v>
      </c>
      <c r="D318" s="35">
        <v>134992.95999999999</v>
      </c>
      <c r="E318">
        <v>1246233318</v>
      </c>
      <c r="F318" s="324">
        <v>46265</v>
      </c>
      <c r="H318" t="s">
        <v>173</v>
      </c>
      <c r="I318" t="s">
        <v>174</v>
      </c>
      <c r="J318">
        <v>9075</v>
      </c>
      <c r="K318" s="324">
        <v>45896</v>
      </c>
      <c r="L318">
        <v>1010100</v>
      </c>
      <c r="M318" t="s">
        <v>35</v>
      </c>
      <c r="N318">
        <v>-153</v>
      </c>
      <c r="O318" s="32">
        <v>0</v>
      </c>
      <c r="P318" s="32">
        <v>0</v>
      </c>
      <c r="Q318" s="32">
        <v>134992.95999999999</v>
      </c>
      <c r="R318" s="32">
        <v>0</v>
      </c>
      <c r="S318" s="32">
        <v>0</v>
      </c>
      <c r="T318" s="32">
        <v>0</v>
      </c>
      <c r="U318" s="32">
        <v>0</v>
      </c>
      <c r="V318" s="32">
        <v>0</v>
      </c>
      <c r="W318" s="32">
        <v>0</v>
      </c>
      <c r="X318" s="32">
        <v>0</v>
      </c>
      <c r="Y318" s="32">
        <v>0</v>
      </c>
      <c r="Z318" s="32">
        <v>0</v>
      </c>
      <c r="AA318" s="32">
        <v>0</v>
      </c>
      <c r="AB318" s="32">
        <v>0</v>
      </c>
      <c r="AC318" s="32" t="s">
        <v>475</v>
      </c>
      <c r="AD318" s="32"/>
      <c r="AE318" s="32">
        <v>0</v>
      </c>
    </row>
    <row r="319" spans="1:31" x14ac:dyDescent="0.25">
      <c r="A319">
        <v>10413</v>
      </c>
      <c r="B319" t="s">
        <v>296</v>
      </c>
      <c r="C319" t="s">
        <v>847</v>
      </c>
      <c r="D319" s="35">
        <v>74021.399999999994</v>
      </c>
      <c r="E319">
        <v>1246268581</v>
      </c>
      <c r="F319" s="324">
        <v>46127</v>
      </c>
      <c r="H319" t="s">
        <v>28</v>
      </c>
      <c r="I319" t="s">
        <v>29</v>
      </c>
      <c r="J319">
        <v>10950</v>
      </c>
      <c r="K319" s="324">
        <v>46101</v>
      </c>
      <c r="L319">
        <v>1010100</v>
      </c>
      <c r="M319" t="s">
        <v>35</v>
      </c>
      <c r="N319">
        <v>-15</v>
      </c>
      <c r="O319" s="32">
        <v>0</v>
      </c>
      <c r="P319" s="32">
        <v>0</v>
      </c>
      <c r="Q319" s="32">
        <v>74021.399999999994</v>
      </c>
      <c r="R319" s="32">
        <v>0</v>
      </c>
      <c r="S319" s="32">
        <v>0</v>
      </c>
      <c r="T319" s="32">
        <v>0</v>
      </c>
      <c r="U319" s="32">
        <v>0</v>
      </c>
      <c r="V319" s="32">
        <v>0</v>
      </c>
      <c r="W319" s="32">
        <v>0</v>
      </c>
      <c r="X319" s="32">
        <v>0</v>
      </c>
      <c r="Y319" s="32">
        <v>0</v>
      </c>
      <c r="Z319" s="32">
        <v>0</v>
      </c>
      <c r="AA319" s="32">
        <v>0</v>
      </c>
      <c r="AB319" s="32">
        <v>0</v>
      </c>
      <c r="AC319" s="32" t="s">
        <v>475</v>
      </c>
      <c r="AD319" s="32"/>
      <c r="AE319" s="32">
        <v>0</v>
      </c>
    </row>
    <row r="320" spans="1:31" x14ac:dyDescent="0.25">
      <c r="A320">
        <v>13567</v>
      </c>
      <c r="B320" t="s">
        <v>378</v>
      </c>
      <c r="C320" t="s">
        <v>379</v>
      </c>
      <c r="D320" s="35">
        <v>108547.57</v>
      </c>
      <c r="E320">
        <v>1246235061</v>
      </c>
      <c r="F320" s="324">
        <v>46143</v>
      </c>
      <c r="H320" t="s">
        <v>173</v>
      </c>
      <c r="I320" t="s">
        <v>174</v>
      </c>
      <c r="J320">
        <v>9184</v>
      </c>
      <c r="K320" s="324">
        <v>45904</v>
      </c>
      <c r="L320">
        <v>1010100</v>
      </c>
      <c r="M320" t="s">
        <v>35</v>
      </c>
      <c r="N320">
        <v>-31</v>
      </c>
      <c r="O320" s="32">
        <v>0</v>
      </c>
      <c r="P320" s="32">
        <v>0</v>
      </c>
      <c r="Q320" s="32">
        <v>108547.57</v>
      </c>
      <c r="R320" s="32">
        <v>0</v>
      </c>
      <c r="S320" s="32">
        <v>0</v>
      </c>
      <c r="T320" s="32">
        <v>0</v>
      </c>
      <c r="U320" s="32">
        <v>0</v>
      </c>
      <c r="V320" s="32">
        <v>0</v>
      </c>
      <c r="W320" s="32">
        <v>0</v>
      </c>
      <c r="X320" s="32">
        <v>0</v>
      </c>
      <c r="Y320" s="32">
        <v>0</v>
      </c>
      <c r="Z320" s="32">
        <v>0</v>
      </c>
      <c r="AA320" s="32">
        <v>0</v>
      </c>
      <c r="AB320" s="32">
        <v>0</v>
      </c>
      <c r="AC320" s="32" t="s">
        <v>475</v>
      </c>
      <c r="AD320" s="32"/>
      <c r="AE320" s="32">
        <v>0</v>
      </c>
    </row>
    <row r="321" spans="1:31" x14ac:dyDescent="0.25">
      <c r="A321">
        <v>13567</v>
      </c>
      <c r="B321" t="s">
        <v>378</v>
      </c>
      <c r="C321" t="s">
        <v>379</v>
      </c>
      <c r="D321" s="35">
        <v>114260.6</v>
      </c>
      <c r="E321">
        <v>1246235060</v>
      </c>
      <c r="F321" s="324">
        <v>46143</v>
      </c>
      <c r="H321" t="s">
        <v>173</v>
      </c>
      <c r="I321" t="s">
        <v>174</v>
      </c>
      <c r="J321">
        <v>9183</v>
      </c>
      <c r="K321" s="324">
        <v>45904</v>
      </c>
      <c r="L321">
        <v>1010100</v>
      </c>
      <c r="M321" t="s">
        <v>35</v>
      </c>
      <c r="N321">
        <v>-31</v>
      </c>
      <c r="O321" s="32">
        <v>0</v>
      </c>
      <c r="P321" s="32">
        <v>0</v>
      </c>
      <c r="Q321" s="32">
        <v>114260.6</v>
      </c>
      <c r="R321" s="32">
        <v>0</v>
      </c>
      <c r="S321" s="32">
        <v>0</v>
      </c>
      <c r="T321" s="32">
        <v>0</v>
      </c>
      <c r="U321" s="32">
        <v>0</v>
      </c>
      <c r="V321" s="32">
        <v>0</v>
      </c>
      <c r="W321" s="32">
        <v>0</v>
      </c>
      <c r="X321" s="32">
        <v>0</v>
      </c>
      <c r="Y321" s="32">
        <v>0</v>
      </c>
      <c r="Z321" s="32">
        <v>0</v>
      </c>
      <c r="AA321" s="32">
        <v>0</v>
      </c>
      <c r="AB321" s="32">
        <v>0</v>
      </c>
      <c r="AC321" s="32" t="s">
        <v>475</v>
      </c>
      <c r="AD321" s="32"/>
      <c r="AE321" s="32">
        <v>0</v>
      </c>
    </row>
    <row r="322" spans="1:31" x14ac:dyDescent="0.25">
      <c r="A322">
        <v>14948</v>
      </c>
      <c r="B322" t="s">
        <v>380</v>
      </c>
      <c r="C322" t="s">
        <v>381</v>
      </c>
      <c r="D322" s="35">
        <v>184217.94</v>
      </c>
      <c r="E322">
        <v>1246221983</v>
      </c>
      <c r="F322" s="324">
        <v>46138</v>
      </c>
      <c r="H322" t="s">
        <v>173</v>
      </c>
      <c r="I322" t="s">
        <v>174</v>
      </c>
      <c r="J322">
        <v>8306</v>
      </c>
      <c r="K322" s="324">
        <v>45838</v>
      </c>
      <c r="L322">
        <v>1010100</v>
      </c>
      <c r="M322" t="s">
        <v>35</v>
      </c>
      <c r="N322">
        <v>-26</v>
      </c>
      <c r="O322" s="32">
        <v>0</v>
      </c>
      <c r="P322" s="32">
        <v>0</v>
      </c>
      <c r="Q322" s="32">
        <v>184217.94</v>
      </c>
      <c r="R322" s="32">
        <v>0</v>
      </c>
      <c r="S322" s="32">
        <v>0</v>
      </c>
      <c r="T322" s="32">
        <v>0</v>
      </c>
      <c r="U322" s="32">
        <v>0</v>
      </c>
      <c r="V322" s="32">
        <v>0</v>
      </c>
      <c r="W322" s="32">
        <v>0</v>
      </c>
      <c r="X322" s="32">
        <v>0</v>
      </c>
      <c r="Y322" s="32">
        <v>0</v>
      </c>
      <c r="Z322" s="32">
        <v>0</v>
      </c>
      <c r="AA322" s="32">
        <v>0</v>
      </c>
      <c r="AB322" s="32">
        <v>0</v>
      </c>
      <c r="AC322" s="32" t="s">
        <v>475</v>
      </c>
      <c r="AD322" s="32"/>
      <c r="AE322" s="32">
        <v>0</v>
      </c>
    </row>
    <row r="323" spans="1:31" x14ac:dyDescent="0.25">
      <c r="A323">
        <v>14948</v>
      </c>
      <c r="B323" t="s">
        <v>380</v>
      </c>
      <c r="C323" t="s">
        <v>381</v>
      </c>
      <c r="D323" s="35">
        <v>146464.34</v>
      </c>
      <c r="E323">
        <v>1246228211</v>
      </c>
      <c r="F323" s="324">
        <v>46135</v>
      </c>
      <c r="H323" t="s">
        <v>173</v>
      </c>
      <c r="I323" t="s">
        <v>174</v>
      </c>
      <c r="J323">
        <v>8692</v>
      </c>
      <c r="K323" s="324">
        <v>45869</v>
      </c>
      <c r="L323">
        <v>1010100</v>
      </c>
      <c r="M323" t="s">
        <v>35</v>
      </c>
      <c r="N323">
        <v>-23</v>
      </c>
      <c r="O323" s="32">
        <v>0</v>
      </c>
      <c r="P323" s="32">
        <v>0</v>
      </c>
      <c r="Q323" s="32">
        <v>146464.34</v>
      </c>
      <c r="R323" s="32">
        <v>0</v>
      </c>
      <c r="S323" s="32">
        <v>0</v>
      </c>
      <c r="T323" s="32">
        <v>0</v>
      </c>
      <c r="U323" s="32">
        <v>0</v>
      </c>
      <c r="V323" s="32">
        <v>0</v>
      </c>
      <c r="W323" s="32">
        <v>0</v>
      </c>
      <c r="X323" s="32">
        <v>0</v>
      </c>
      <c r="Y323" s="32">
        <v>0</v>
      </c>
      <c r="Z323" s="32">
        <v>0</v>
      </c>
      <c r="AA323" s="32">
        <v>0</v>
      </c>
      <c r="AB323" s="32">
        <v>0</v>
      </c>
      <c r="AC323" s="32" t="s">
        <v>475</v>
      </c>
      <c r="AD323" s="32"/>
      <c r="AE323" s="32">
        <v>0</v>
      </c>
    </row>
    <row r="324" spans="1:31" x14ac:dyDescent="0.25">
      <c r="A324">
        <v>14948</v>
      </c>
      <c r="B324" t="s">
        <v>380</v>
      </c>
      <c r="C324" t="s">
        <v>381</v>
      </c>
      <c r="D324" s="35">
        <v>235730.06</v>
      </c>
      <c r="E324">
        <v>1246228090</v>
      </c>
      <c r="F324" s="324">
        <v>46134</v>
      </c>
      <c r="H324" t="s">
        <v>173</v>
      </c>
      <c r="I324" t="s">
        <v>174</v>
      </c>
      <c r="J324">
        <v>8683</v>
      </c>
      <c r="K324" s="324">
        <v>45868</v>
      </c>
      <c r="L324">
        <v>1010100</v>
      </c>
      <c r="M324" t="s">
        <v>35</v>
      </c>
      <c r="N324">
        <v>-22</v>
      </c>
      <c r="O324" s="32">
        <v>0</v>
      </c>
      <c r="P324" s="32">
        <v>0</v>
      </c>
      <c r="Q324" s="32">
        <v>235730.06</v>
      </c>
      <c r="R324" s="32">
        <v>0</v>
      </c>
      <c r="S324" s="32">
        <v>0</v>
      </c>
      <c r="T324" s="32">
        <v>0</v>
      </c>
      <c r="U324" s="32">
        <v>0</v>
      </c>
      <c r="V324" s="32">
        <v>0</v>
      </c>
      <c r="W324" s="32">
        <v>0</v>
      </c>
      <c r="X324" s="32">
        <v>0</v>
      </c>
      <c r="Y324" s="32">
        <v>0</v>
      </c>
      <c r="Z324" s="32">
        <v>0</v>
      </c>
      <c r="AA324" s="32">
        <v>0</v>
      </c>
      <c r="AB324" s="32">
        <v>0</v>
      </c>
      <c r="AC324" s="32" t="s">
        <v>475</v>
      </c>
      <c r="AD324" s="32"/>
      <c r="AE324" s="32">
        <v>0</v>
      </c>
    </row>
    <row r="325" spans="1:31" x14ac:dyDescent="0.25">
      <c r="A325">
        <v>1891</v>
      </c>
      <c r="B325" t="s">
        <v>739</v>
      </c>
      <c r="C325" t="s">
        <v>740</v>
      </c>
      <c r="D325" s="35">
        <v>303.01</v>
      </c>
      <c r="E325">
        <v>1246250714</v>
      </c>
      <c r="F325" s="324">
        <v>46076</v>
      </c>
      <c r="I325" t="s">
        <v>373</v>
      </c>
      <c r="J325">
        <v>10109</v>
      </c>
      <c r="K325" s="324">
        <v>45986</v>
      </c>
      <c r="L325">
        <v>4011600</v>
      </c>
      <c r="M325" t="s">
        <v>702</v>
      </c>
      <c r="N325">
        <v>36</v>
      </c>
      <c r="O325" s="32">
        <v>0</v>
      </c>
      <c r="P325" s="32">
        <v>0</v>
      </c>
      <c r="Q325" s="32">
        <v>0</v>
      </c>
      <c r="R325" s="32">
        <v>303.01</v>
      </c>
      <c r="S325" s="32">
        <v>0</v>
      </c>
      <c r="T325" s="32">
        <v>0</v>
      </c>
      <c r="U325" s="32">
        <v>0</v>
      </c>
      <c r="V325" s="32">
        <v>0</v>
      </c>
      <c r="W325" s="32">
        <v>0</v>
      </c>
      <c r="X325" s="32">
        <v>0</v>
      </c>
      <c r="Y325" s="32">
        <v>0</v>
      </c>
      <c r="Z325" s="32">
        <v>0</v>
      </c>
      <c r="AA325" s="32">
        <v>0</v>
      </c>
      <c r="AB325" s="32">
        <v>0</v>
      </c>
      <c r="AC325" s="32" t="s">
        <v>475</v>
      </c>
      <c r="AD325" s="32"/>
      <c r="AE325" s="32">
        <v>0</v>
      </c>
    </row>
    <row r="326" spans="1:31" x14ac:dyDescent="0.25">
      <c r="A326">
        <v>9830</v>
      </c>
      <c r="B326" t="s">
        <v>875</v>
      </c>
      <c r="C326" t="s">
        <v>876</v>
      </c>
      <c r="D326" s="35">
        <v>331</v>
      </c>
      <c r="E326">
        <v>1246266366</v>
      </c>
      <c r="F326" s="324">
        <v>46115</v>
      </c>
      <c r="I326" t="s">
        <v>373</v>
      </c>
      <c r="J326">
        <v>10813</v>
      </c>
      <c r="K326" s="324">
        <v>46085</v>
      </c>
      <c r="L326">
        <v>4011600</v>
      </c>
      <c r="M326" t="s">
        <v>702</v>
      </c>
      <c r="N326">
        <v>-3</v>
      </c>
      <c r="O326" s="32">
        <v>0</v>
      </c>
      <c r="P326" s="32">
        <v>0</v>
      </c>
      <c r="Q326" s="32">
        <v>331</v>
      </c>
      <c r="R326" s="32">
        <v>0</v>
      </c>
      <c r="S326" s="32">
        <v>0</v>
      </c>
      <c r="T326" s="32">
        <v>0</v>
      </c>
      <c r="U326" s="32">
        <v>0</v>
      </c>
      <c r="V326" s="32">
        <v>0</v>
      </c>
      <c r="W326" s="32">
        <v>0</v>
      </c>
      <c r="X326" s="32">
        <v>0</v>
      </c>
      <c r="Y326" s="32">
        <v>0</v>
      </c>
      <c r="Z326" s="32">
        <v>0</v>
      </c>
      <c r="AA326" s="32">
        <v>0</v>
      </c>
      <c r="AB326" s="32">
        <v>0</v>
      </c>
      <c r="AC326" s="32" t="s">
        <v>475</v>
      </c>
      <c r="AD326" s="32"/>
      <c r="AE326" s="32">
        <v>0</v>
      </c>
    </row>
    <row r="327" spans="1:31" x14ac:dyDescent="0.25">
      <c r="A327">
        <v>9830</v>
      </c>
      <c r="B327" t="s">
        <v>875</v>
      </c>
      <c r="C327" t="s">
        <v>876</v>
      </c>
      <c r="D327" s="35">
        <v>331</v>
      </c>
      <c r="E327">
        <v>1246266367</v>
      </c>
      <c r="F327" s="324">
        <v>46145</v>
      </c>
      <c r="I327" t="s">
        <v>373</v>
      </c>
      <c r="J327">
        <v>10813</v>
      </c>
      <c r="K327" s="324">
        <v>46085</v>
      </c>
      <c r="L327">
        <v>4011600</v>
      </c>
      <c r="M327" t="s">
        <v>702</v>
      </c>
      <c r="N327">
        <v>-33</v>
      </c>
      <c r="O327" s="32">
        <v>0</v>
      </c>
      <c r="P327" s="32">
        <v>0</v>
      </c>
      <c r="Q327" s="32">
        <v>331</v>
      </c>
      <c r="R327" s="32">
        <v>0</v>
      </c>
      <c r="S327" s="32">
        <v>0</v>
      </c>
      <c r="T327" s="32">
        <v>0</v>
      </c>
      <c r="U327" s="32">
        <v>0</v>
      </c>
      <c r="V327" s="32">
        <v>0</v>
      </c>
      <c r="W327" s="32">
        <v>0</v>
      </c>
      <c r="X327" s="32">
        <v>0</v>
      </c>
      <c r="Y327" s="32">
        <v>0</v>
      </c>
      <c r="Z327" s="32">
        <v>0</v>
      </c>
      <c r="AA327" s="32">
        <v>0</v>
      </c>
      <c r="AB327" s="32">
        <v>0</v>
      </c>
      <c r="AC327" s="32" t="s">
        <v>475</v>
      </c>
      <c r="AD327" s="32"/>
      <c r="AE327" s="32">
        <v>0</v>
      </c>
    </row>
    <row r="328" spans="1:31" x14ac:dyDescent="0.25">
      <c r="A328">
        <v>9830</v>
      </c>
      <c r="B328" t="s">
        <v>875</v>
      </c>
      <c r="C328" t="s">
        <v>876</v>
      </c>
      <c r="D328" s="35">
        <v>331</v>
      </c>
      <c r="E328">
        <v>1246266368</v>
      </c>
      <c r="F328" s="324">
        <v>46175</v>
      </c>
      <c r="I328" t="s">
        <v>373</v>
      </c>
      <c r="J328">
        <v>10813</v>
      </c>
      <c r="K328" s="324">
        <v>46085</v>
      </c>
      <c r="L328">
        <v>4011600</v>
      </c>
      <c r="M328" t="s">
        <v>702</v>
      </c>
      <c r="N328">
        <v>-63</v>
      </c>
      <c r="O328" s="32">
        <v>0</v>
      </c>
      <c r="P328" s="32">
        <v>0</v>
      </c>
      <c r="Q328" s="32">
        <v>331</v>
      </c>
      <c r="R328" s="32">
        <v>0</v>
      </c>
      <c r="S328" s="32">
        <v>0</v>
      </c>
      <c r="T328" s="32">
        <v>0</v>
      </c>
      <c r="U328" s="32">
        <v>0</v>
      </c>
      <c r="V328" s="32">
        <v>0</v>
      </c>
      <c r="W328" s="32">
        <v>0</v>
      </c>
      <c r="X328" s="32">
        <v>0</v>
      </c>
      <c r="Y328" s="32">
        <v>0</v>
      </c>
      <c r="Z328" s="32">
        <v>0</v>
      </c>
      <c r="AA328" s="32">
        <v>0</v>
      </c>
      <c r="AB328" s="32">
        <v>0</v>
      </c>
      <c r="AC328" s="32" t="s">
        <v>475</v>
      </c>
      <c r="AD328" s="32"/>
      <c r="AE328" s="32">
        <v>0</v>
      </c>
    </row>
    <row r="329" spans="1:31" x14ac:dyDescent="0.25">
      <c r="A329">
        <v>11252</v>
      </c>
      <c r="B329" t="s">
        <v>877</v>
      </c>
      <c r="C329" t="s">
        <v>878</v>
      </c>
      <c r="D329" s="35">
        <v>1260</v>
      </c>
      <c r="E329">
        <v>1246266372</v>
      </c>
      <c r="F329" s="324">
        <v>46115</v>
      </c>
      <c r="I329" t="s">
        <v>373</v>
      </c>
      <c r="J329">
        <v>10814</v>
      </c>
      <c r="K329" s="324">
        <v>46085</v>
      </c>
      <c r="L329">
        <v>4011600</v>
      </c>
      <c r="M329" t="s">
        <v>702</v>
      </c>
      <c r="N329">
        <v>-3</v>
      </c>
      <c r="O329" s="32">
        <v>0</v>
      </c>
      <c r="P329" s="32">
        <v>0</v>
      </c>
      <c r="Q329" s="32">
        <v>1260</v>
      </c>
      <c r="R329" s="32">
        <v>0</v>
      </c>
      <c r="S329" s="32">
        <v>0</v>
      </c>
      <c r="T329" s="32">
        <v>0</v>
      </c>
      <c r="U329" s="32">
        <v>0</v>
      </c>
      <c r="V329" s="32">
        <v>0</v>
      </c>
      <c r="W329" s="32">
        <v>0</v>
      </c>
      <c r="X329" s="32">
        <v>0</v>
      </c>
      <c r="Y329" s="32">
        <v>0</v>
      </c>
      <c r="Z329" s="32">
        <v>0</v>
      </c>
      <c r="AA329" s="32">
        <v>0</v>
      </c>
      <c r="AB329" s="32">
        <v>0</v>
      </c>
      <c r="AC329" s="32" t="s">
        <v>475</v>
      </c>
      <c r="AD329" s="32"/>
      <c r="AE329" s="32">
        <v>0</v>
      </c>
    </row>
    <row r="330" spans="1:31" x14ac:dyDescent="0.25">
      <c r="A330">
        <v>13069</v>
      </c>
      <c r="B330" t="s">
        <v>537</v>
      </c>
      <c r="C330" t="s">
        <v>812</v>
      </c>
      <c r="D330" s="35">
        <v>100</v>
      </c>
      <c r="E330">
        <v>1246258365</v>
      </c>
      <c r="F330" s="324">
        <v>46118</v>
      </c>
      <c r="I330" t="s">
        <v>373</v>
      </c>
      <c r="J330">
        <v>10425</v>
      </c>
      <c r="K330" s="324">
        <v>46028</v>
      </c>
      <c r="L330">
        <v>4010300</v>
      </c>
      <c r="M330" t="s">
        <v>142</v>
      </c>
      <c r="N330">
        <v>-6</v>
      </c>
      <c r="O330" s="32">
        <v>0</v>
      </c>
      <c r="P330" s="32">
        <v>0</v>
      </c>
      <c r="Q330" s="32">
        <v>100</v>
      </c>
      <c r="R330" s="32">
        <v>0</v>
      </c>
      <c r="S330" s="32">
        <v>0</v>
      </c>
      <c r="T330" s="32">
        <v>0</v>
      </c>
      <c r="U330" s="32">
        <v>0</v>
      </c>
      <c r="V330" s="32">
        <v>0</v>
      </c>
      <c r="W330" s="32">
        <v>0</v>
      </c>
      <c r="X330" s="32">
        <v>0</v>
      </c>
      <c r="Y330" s="32">
        <v>0</v>
      </c>
      <c r="Z330" s="32">
        <v>0</v>
      </c>
      <c r="AA330" s="32">
        <v>0</v>
      </c>
      <c r="AB330" s="32">
        <v>0</v>
      </c>
      <c r="AC330" s="32" t="s">
        <v>475</v>
      </c>
      <c r="AD330" s="32"/>
      <c r="AE330" s="32">
        <v>0</v>
      </c>
    </row>
    <row r="331" spans="1:31" x14ac:dyDescent="0.25">
      <c r="A331">
        <v>13069</v>
      </c>
      <c r="B331" t="s">
        <v>537</v>
      </c>
      <c r="C331" t="s">
        <v>812</v>
      </c>
      <c r="D331" s="35">
        <v>100</v>
      </c>
      <c r="E331">
        <v>1246258366</v>
      </c>
      <c r="F331" s="324">
        <v>46118</v>
      </c>
      <c r="I331" t="s">
        <v>373</v>
      </c>
      <c r="J331">
        <v>10425</v>
      </c>
      <c r="K331" s="324">
        <v>46028</v>
      </c>
      <c r="L331">
        <v>4010300</v>
      </c>
      <c r="M331" t="s">
        <v>142</v>
      </c>
      <c r="N331">
        <v>-6</v>
      </c>
      <c r="O331" s="32">
        <v>0</v>
      </c>
      <c r="P331" s="32">
        <v>0</v>
      </c>
      <c r="Q331" s="32">
        <v>100</v>
      </c>
      <c r="R331" s="32">
        <v>0</v>
      </c>
      <c r="S331" s="32">
        <v>0</v>
      </c>
      <c r="T331" s="32">
        <v>0</v>
      </c>
      <c r="U331" s="32">
        <v>0</v>
      </c>
      <c r="V331" s="32">
        <v>0</v>
      </c>
      <c r="W331" s="32">
        <v>0</v>
      </c>
      <c r="X331" s="32">
        <v>0</v>
      </c>
      <c r="Y331" s="32">
        <v>0</v>
      </c>
      <c r="Z331" s="32">
        <v>0</v>
      </c>
      <c r="AA331" s="32">
        <v>0</v>
      </c>
      <c r="AB331" s="32">
        <v>0</v>
      </c>
      <c r="AC331" s="32" t="s">
        <v>475</v>
      </c>
      <c r="AD331" s="32"/>
      <c r="AE331" s="32">
        <v>0</v>
      </c>
    </row>
    <row r="332" spans="1:31" x14ac:dyDescent="0.25">
      <c r="A332">
        <v>14094</v>
      </c>
      <c r="B332" t="s">
        <v>265</v>
      </c>
      <c r="C332" t="s">
        <v>266</v>
      </c>
      <c r="D332" s="35">
        <v>100</v>
      </c>
      <c r="E332">
        <v>1246154530</v>
      </c>
      <c r="F332" s="324">
        <v>45474</v>
      </c>
      <c r="I332" t="s">
        <v>373</v>
      </c>
      <c r="J332">
        <v>4088</v>
      </c>
      <c r="K332" s="324">
        <v>45474</v>
      </c>
      <c r="L332">
        <v>4010300</v>
      </c>
      <c r="M332" t="s">
        <v>142</v>
      </c>
      <c r="N332">
        <v>638</v>
      </c>
      <c r="O332" s="32">
        <v>0</v>
      </c>
      <c r="P332" s="32">
        <v>100</v>
      </c>
      <c r="Q332" s="32">
        <v>0</v>
      </c>
      <c r="R332" s="32">
        <v>0</v>
      </c>
      <c r="S332" s="32">
        <v>0</v>
      </c>
      <c r="T332" s="32">
        <v>0</v>
      </c>
      <c r="U332" s="32">
        <v>100</v>
      </c>
      <c r="V332" s="32">
        <v>0</v>
      </c>
      <c r="W332" s="32">
        <v>3</v>
      </c>
      <c r="X332" s="32">
        <v>97</v>
      </c>
      <c r="Y332" s="32">
        <v>97</v>
      </c>
      <c r="Z332" s="32">
        <v>100</v>
      </c>
      <c r="AA332" s="32">
        <v>0</v>
      </c>
      <c r="AB332" s="32">
        <v>100</v>
      </c>
      <c r="AC332" s="32" t="s">
        <v>704</v>
      </c>
      <c r="AD332" s="32"/>
      <c r="AE332" s="32">
        <v>100</v>
      </c>
    </row>
    <row r="333" spans="1:31" x14ac:dyDescent="0.25">
      <c r="A333">
        <v>13873</v>
      </c>
      <c r="B333" t="s">
        <v>309</v>
      </c>
      <c r="C333" t="s">
        <v>310</v>
      </c>
      <c r="D333" s="35">
        <v>50</v>
      </c>
      <c r="E333">
        <v>1246166396</v>
      </c>
      <c r="F333" s="324">
        <v>45525</v>
      </c>
      <c r="I333" t="s">
        <v>373</v>
      </c>
      <c r="J333">
        <v>4854</v>
      </c>
      <c r="K333" s="324">
        <v>45525</v>
      </c>
      <c r="L333">
        <v>4010300</v>
      </c>
      <c r="M333" t="s">
        <v>142</v>
      </c>
      <c r="N333">
        <v>587</v>
      </c>
      <c r="O333" s="32">
        <v>0</v>
      </c>
      <c r="P333" s="32">
        <v>50</v>
      </c>
      <c r="Q333" s="32">
        <v>0</v>
      </c>
      <c r="R333" s="32">
        <v>0</v>
      </c>
      <c r="S333" s="32">
        <v>0</v>
      </c>
      <c r="T333" s="32">
        <v>0</v>
      </c>
      <c r="U333" s="32">
        <v>50</v>
      </c>
      <c r="V333" s="32">
        <v>0</v>
      </c>
      <c r="W333" s="32">
        <v>1.5</v>
      </c>
      <c r="X333" s="32">
        <v>48.5</v>
      </c>
      <c r="Y333" s="32">
        <v>48.5</v>
      </c>
      <c r="Z333" s="32">
        <v>50</v>
      </c>
      <c r="AA333" s="32">
        <v>0</v>
      </c>
      <c r="AB333" s="32">
        <v>50</v>
      </c>
      <c r="AC333" s="32" t="s">
        <v>704</v>
      </c>
      <c r="AD333" s="32"/>
      <c r="AE333" s="32">
        <v>50</v>
      </c>
    </row>
    <row r="334" spans="1:31" x14ac:dyDescent="0.25">
      <c r="A334">
        <v>14179</v>
      </c>
      <c r="B334" t="s">
        <v>814</v>
      </c>
      <c r="C334" t="s">
        <v>815</v>
      </c>
      <c r="D334" s="35">
        <v>385</v>
      </c>
      <c r="E334">
        <v>1246259221</v>
      </c>
      <c r="F334" s="324">
        <v>46125</v>
      </c>
      <c r="I334" t="s">
        <v>373</v>
      </c>
      <c r="J334">
        <v>10469</v>
      </c>
      <c r="K334" s="324">
        <v>46035</v>
      </c>
      <c r="L334">
        <v>4011600</v>
      </c>
      <c r="M334" t="s">
        <v>702</v>
      </c>
      <c r="N334">
        <v>-13</v>
      </c>
      <c r="O334" s="32">
        <v>0</v>
      </c>
      <c r="P334" s="32">
        <v>0</v>
      </c>
      <c r="Q334" s="32">
        <v>385</v>
      </c>
      <c r="R334" s="32">
        <v>0</v>
      </c>
      <c r="S334" s="32">
        <v>0</v>
      </c>
      <c r="T334" s="32">
        <v>0</v>
      </c>
      <c r="U334" s="32">
        <v>0</v>
      </c>
      <c r="V334" s="32">
        <v>0</v>
      </c>
      <c r="W334" s="32">
        <v>0</v>
      </c>
      <c r="X334" s="32">
        <v>0</v>
      </c>
      <c r="Y334" s="32">
        <v>0</v>
      </c>
      <c r="Z334" s="32">
        <v>0</v>
      </c>
      <c r="AA334" s="32">
        <v>0</v>
      </c>
      <c r="AB334" s="32">
        <v>0</v>
      </c>
      <c r="AC334" s="32" t="s">
        <v>475</v>
      </c>
      <c r="AD334" s="32"/>
      <c r="AE334" s="32">
        <v>0</v>
      </c>
    </row>
    <row r="335" spans="1:31" x14ac:dyDescent="0.25">
      <c r="A335">
        <v>14179</v>
      </c>
      <c r="B335" t="s">
        <v>814</v>
      </c>
      <c r="C335" t="s">
        <v>815</v>
      </c>
      <c r="D335" s="35">
        <v>199.16</v>
      </c>
      <c r="E335">
        <v>1246266352</v>
      </c>
      <c r="F335" s="324">
        <v>46112</v>
      </c>
      <c r="I335" t="s">
        <v>373</v>
      </c>
      <c r="J335">
        <v>10469</v>
      </c>
      <c r="K335" s="324">
        <v>46035</v>
      </c>
      <c r="L335">
        <v>4011600</v>
      </c>
      <c r="M335" t="s">
        <v>702</v>
      </c>
      <c r="N335">
        <v>0</v>
      </c>
      <c r="O335" s="32">
        <v>0</v>
      </c>
      <c r="P335" s="32">
        <v>0</v>
      </c>
      <c r="Q335" s="32">
        <v>199.16</v>
      </c>
      <c r="R335" s="32">
        <v>0</v>
      </c>
      <c r="S335" s="32">
        <v>0</v>
      </c>
      <c r="T335" s="32">
        <v>0</v>
      </c>
      <c r="U335" s="32">
        <v>0</v>
      </c>
      <c r="V335" s="32">
        <v>0</v>
      </c>
      <c r="W335" s="32">
        <v>0</v>
      </c>
      <c r="X335" s="32">
        <v>0</v>
      </c>
      <c r="Y335" s="32">
        <v>0</v>
      </c>
      <c r="Z335" s="32">
        <v>0</v>
      </c>
      <c r="AA335" s="32">
        <v>0</v>
      </c>
      <c r="AB335" s="32">
        <v>0</v>
      </c>
      <c r="AC335" s="32" t="s">
        <v>475</v>
      </c>
      <c r="AD335" s="32"/>
      <c r="AE335" s="32">
        <v>0</v>
      </c>
    </row>
    <row r="336" spans="1:31" x14ac:dyDescent="0.25">
      <c r="A336">
        <v>15759</v>
      </c>
      <c r="B336" t="s">
        <v>816</v>
      </c>
      <c r="C336" t="s">
        <v>817</v>
      </c>
      <c r="D336" s="35">
        <v>385</v>
      </c>
      <c r="E336">
        <v>1246259226</v>
      </c>
      <c r="F336" s="324">
        <v>46125</v>
      </c>
      <c r="I336" t="s">
        <v>373</v>
      </c>
      <c r="J336">
        <v>10470</v>
      </c>
      <c r="K336" s="324">
        <v>46035</v>
      </c>
      <c r="L336">
        <v>4011600</v>
      </c>
      <c r="M336" t="s">
        <v>702</v>
      </c>
      <c r="N336">
        <v>-13</v>
      </c>
      <c r="O336" s="32">
        <v>0</v>
      </c>
      <c r="P336" s="32">
        <v>0</v>
      </c>
      <c r="Q336" s="32">
        <v>385</v>
      </c>
      <c r="R336" s="32">
        <v>0</v>
      </c>
      <c r="S336" s="32">
        <v>0</v>
      </c>
      <c r="T336" s="32">
        <v>0</v>
      </c>
      <c r="U336" s="32">
        <v>0</v>
      </c>
      <c r="V336" s="32">
        <v>0</v>
      </c>
      <c r="W336" s="32">
        <v>0</v>
      </c>
      <c r="X336" s="32">
        <v>0</v>
      </c>
      <c r="Y336" s="32">
        <v>0</v>
      </c>
      <c r="Z336" s="32">
        <v>0</v>
      </c>
      <c r="AA336" s="32">
        <v>0</v>
      </c>
      <c r="AB336" s="32">
        <v>0</v>
      </c>
      <c r="AC336" s="32" t="s">
        <v>475</v>
      </c>
      <c r="AD336" s="32"/>
      <c r="AE336" s="32">
        <v>0</v>
      </c>
    </row>
    <row r="337" spans="1:31" x14ac:dyDescent="0.25">
      <c r="A337">
        <v>16032</v>
      </c>
      <c r="B337" t="s">
        <v>854</v>
      </c>
      <c r="C337" t="s">
        <v>855</v>
      </c>
      <c r="D337" s="35">
        <v>583.33000000000004</v>
      </c>
      <c r="E337">
        <v>1246264382</v>
      </c>
      <c r="F337" s="324">
        <v>46133</v>
      </c>
      <c r="I337" t="s">
        <v>373</v>
      </c>
      <c r="J337">
        <v>10732</v>
      </c>
      <c r="K337" s="324">
        <v>46073</v>
      </c>
      <c r="L337">
        <v>4011600</v>
      </c>
      <c r="M337" t="s">
        <v>702</v>
      </c>
      <c r="N337">
        <v>-21</v>
      </c>
      <c r="O337" s="32">
        <v>0</v>
      </c>
      <c r="P337" s="32">
        <v>0</v>
      </c>
      <c r="Q337" s="32">
        <v>583.33000000000004</v>
      </c>
      <c r="R337" s="32">
        <v>0</v>
      </c>
      <c r="S337" s="32">
        <v>0</v>
      </c>
      <c r="T337" s="32">
        <v>0</v>
      </c>
      <c r="U337" s="32">
        <v>0</v>
      </c>
      <c r="V337" s="32">
        <v>0</v>
      </c>
      <c r="W337" s="32">
        <v>0</v>
      </c>
      <c r="X337" s="32">
        <v>0</v>
      </c>
      <c r="Y337" s="32">
        <v>0</v>
      </c>
      <c r="Z337" s="32">
        <v>0</v>
      </c>
      <c r="AA337" s="32">
        <v>0</v>
      </c>
      <c r="AB337" s="32">
        <v>0</v>
      </c>
      <c r="AC337" s="32" t="s">
        <v>475</v>
      </c>
      <c r="AD337" s="32"/>
      <c r="AE337" s="32">
        <v>0</v>
      </c>
    </row>
    <row r="338" spans="1:31" x14ac:dyDescent="0.25">
      <c r="A338">
        <v>16032</v>
      </c>
      <c r="B338" t="s">
        <v>854</v>
      </c>
      <c r="C338" t="s">
        <v>855</v>
      </c>
      <c r="D338" s="35">
        <v>583.34</v>
      </c>
      <c r="E338">
        <v>1246264383</v>
      </c>
      <c r="F338" s="324">
        <v>46163</v>
      </c>
      <c r="I338" t="s">
        <v>373</v>
      </c>
      <c r="J338">
        <v>10732</v>
      </c>
      <c r="K338" s="324">
        <v>46073</v>
      </c>
      <c r="L338">
        <v>4011600</v>
      </c>
      <c r="M338" t="s">
        <v>702</v>
      </c>
      <c r="N338">
        <v>-51</v>
      </c>
      <c r="O338" s="32">
        <v>0</v>
      </c>
      <c r="P338" s="32">
        <v>0</v>
      </c>
      <c r="Q338" s="32">
        <v>583.34</v>
      </c>
      <c r="R338" s="32">
        <v>0</v>
      </c>
      <c r="S338" s="32">
        <v>0</v>
      </c>
      <c r="T338" s="32">
        <v>0</v>
      </c>
      <c r="U338" s="32">
        <v>0</v>
      </c>
      <c r="V338" s="32">
        <v>0</v>
      </c>
      <c r="W338" s="32">
        <v>0</v>
      </c>
      <c r="X338" s="32">
        <v>0</v>
      </c>
      <c r="Y338" s="32">
        <v>0</v>
      </c>
      <c r="Z338" s="32">
        <v>0</v>
      </c>
      <c r="AA338" s="32">
        <v>0</v>
      </c>
      <c r="AB338" s="32">
        <v>0</v>
      </c>
      <c r="AC338" s="32" t="s">
        <v>475</v>
      </c>
      <c r="AD338" s="32"/>
      <c r="AE338" s="32">
        <v>0</v>
      </c>
    </row>
    <row r="339" spans="1:31" x14ac:dyDescent="0.25">
      <c r="A339">
        <v>16802</v>
      </c>
      <c r="B339" t="s">
        <v>794</v>
      </c>
      <c r="C339" t="s">
        <v>795</v>
      </c>
      <c r="D339" s="35">
        <v>1750</v>
      </c>
      <c r="E339">
        <v>1246254799</v>
      </c>
      <c r="F339" s="324">
        <v>46099</v>
      </c>
      <c r="I339" t="s">
        <v>373</v>
      </c>
      <c r="J339">
        <v>10318</v>
      </c>
      <c r="K339" s="324">
        <v>46009</v>
      </c>
      <c r="L339">
        <v>4010300</v>
      </c>
      <c r="M339" t="s">
        <v>142</v>
      </c>
      <c r="N339">
        <v>13</v>
      </c>
      <c r="O339" s="32">
        <v>0</v>
      </c>
      <c r="P339" s="32">
        <v>0</v>
      </c>
      <c r="Q339" s="32">
        <v>0</v>
      </c>
      <c r="R339" s="32">
        <v>1750</v>
      </c>
      <c r="S339" s="32">
        <v>0</v>
      </c>
      <c r="T339" s="32">
        <v>0</v>
      </c>
      <c r="U339" s="32">
        <v>0</v>
      </c>
      <c r="V339" s="32">
        <v>0</v>
      </c>
      <c r="W339" s="32">
        <v>0</v>
      </c>
      <c r="X339" s="32">
        <v>0</v>
      </c>
      <c r="Y339" s="32">
        <v>0</v>
      </c>
      <c r="Z339" s="32">
        <v>0</v>
      </c>
      <c r="AA339" s="32">
        <v>0</v>
      </c>
      <c r="AB339" s="32">
        <v>0</v>
      </c>
      <c r="AC339" s="32" t="s">
        <v>475</v>
      </c>
      <c r="AD339" s="32"/>
      <c r="AE339" s="32">
        <v>0</v>
      </c>
    </row>
    <row r="340" spans="1:31" x14ac:dyDescent="0.25">
      <c r="A340">
        <v>14106</v>
      </c>
      <c r="B340" t="s">
        <v>383</v>
      </c>
      <c r="C340" t="s">
        <v>384</v>
      </c>
      <c r="D340" s="35">
        <v>300</v>
      </c>
      <c r="E340">
        <v>1246182736</v>
      </c>
      <c r="F340" s="324">
        <v>45625</v>
      </c>
      <c r="I340" t="s">
        <v>373</v>
      </c>
      <c r="J340">
        <v>6092</v>
      </c>
      <c r="K340" s="324">
        <v>45610</v>
      </c>
      <c r="L340">
        <v>1020400</v>
      </c>
      <c r="M340" t="s">
        <v>144</v>
      </c>
      <c r="N340">
        <v>487</v>
      </c>
      <c r="O340" s="32">
        <v>0</v>
      </c>
      <c r="P340" s="32">
        <v>300</v>
      </c>
      <c r="Q340" s="32">
        <v>0</v>
      </c>
      <c r="R340" s="32">
        <v>0</v>
      </c>
      <c r="S340" s="32">
        <v>0</v>
      </c>
      <c r="T340" s="32">
        <v>0</v>
      </c>
      <c r="U340" s="32">
        <v>300</v>
      </c>
      <c r="V340" s="32">
        <v>0</v>
      </c>
      <c r="W340" s="32">
        <v>9</v>
      </c>
      <c r="X340" s="32">
        <v>291</v>
      </c>
      <c r="Y340" s="32">
        <v>291</v>
      </c>
      <c r="Z340" s="32">
        <v>300</v>
      </c>
      <c r="AA340" s="32">
        <v>0</v>
      </c>
      <c r="AB340" s="32">
        <v>300</v>
      </c>
      <c r="AC340" s="32" t="s">
        <v>540</v>
      </c>
      <c r="AD340" s="32"/>
      <c r="AE340" s="32">
        <v>300</v>
      </c>
    </row>
    <row r="341" spans="1:31" x14ac:dyDescent="0.25">
      <c r="A341">
        <v>14552</v>
      </c>
      <c r="B341" t="s">
        <v>335</v>
      </c>
      <c r="C341" t="s">
        <v>336</v>
      </c>
      <c r="D341" s="35">
        <v>91336</v>
      </c>
      <c r="E341">
        <v>1246259067</v>
      </c>
      <c r="F341" s="324">
        <v>46141</v>
      </c>
      <c r="H341" t="s">
        <v>173</v>
      </c>
      <c r="I341" t="s">
        <v>174</v>
      </c>
      <c r="J341">
        <v>8636</v>
      </c>
      <c r="K341" s="324">
        <v>45866</v>
      </c>
      <c r="L341">
        <v>1010100</v>
      </c>
      <c r="M341" t="s">
        <v>35</v>
      </c>
      <c r="N341">
        <v>-29</v>
      </c>
      <c r="O341" s="32">
        <v>0</v>
      </c>
      <c r="P341" s="32">
        <v>0</v>
      </c>
      <c r="Q341" s="32">
        <v>91336</v>
      </c>
      <c r="R341" s="32">
        <v>0</v>
      </c>
      <c r="S341" s="32">
        <v>0</v>
      </c>
      <c r="T341" s="32">
        <v>0</v>
      </c>
      <c r="U341" s="32">
        <v>0</v>
      </c>
      <c r="V341" s="32">
        <v>0</v>
      </c>
      <c r="W341" s="32">
        <v>0</v>
      </c>
      <c r="X341" s="32">
        <v>0</v>
      </c>
      <c r="Y341" s="32">
        <v>0</v>
      </c>
      <c r="Z341" s="32">
        <v>0</v>
      </c>
      <c r="AA341" s="32">
        <v>0</v>
      </c>
      <c r="AB341" s="32">
        <v>0</v>
      </c>
      <c r="AC341" s="32" t="s">
        <v>475</v>
      </c>
      <c r="AD341" s="32"/>
      <c r="AE341" s="32">
        <v>0</v>
      </c>
    </row>
    <row r="342" spans="1:31" x14ac:dyDescent="0.25">
      <c r="A342">
        <v>14552</v>
      </c>
      <c r="B342" t="s">
        <v>335</v>
      </c>
      <c r="C342" t="s">
        <v>336</v>
      </c>
      <c r="D342" s="35">
        <v>85316</v>
      </c>
      <c r="E342">
        <v>1246259061</v>
      </c>
      <c r="F342" s="324">
        <v>46142</v>
      </c>
      <c r="H342" t="s">
        <v>173</v>
      </c>
      <c r="I342" t="s">
        <v>174</v>
      </c>
      <c r="J342">
        <v>8620</v>
      </c>
      <c r="K342" s="324">
        <v>45863</v>
      </c>
      <c r="L342">
        <v>1010100</v>
      </c>
      <c r="M342" t="s">
        <v>35</v>
      </c>
      <c r="N342">
        <v>-30</v>
      </c>
      <c r="O342" s="32">
        <v>0</v>
      </c>
      <c r="P342" s="32">
        <v>0</v>
      </c>
      <c r="Q342" s="32">
        <v>85316</v>
      </c>
      <c r="R342" s="32">
        <v>0</v>
      </c>
      <c r="S342" s="32">
        <v>0</v>
      </c>
      <c r="T342" s="32">
        <v>0</v>
      </c>
      <c r="U342" s="32">
        <v>0</v>
      </c>
      <c r="V342" s="32">
        <v>0</v>
      </c>
      <c r="W342" s="32">
        <v>0</v>
      </c>
      <c r="X342" s="32">
        <v>0</v>
      </c>
      <c r="Y342" s="32">
        <v>0</v>
      </c>
      <c r="Z342" s="32">
        <v>0</v>
      </c>
      <c r="AA342" s="32">
        <v>0</v>
      </c>
      <c r="AB342" s="32">
        <v>0</v>
      </c>
      <c r="AC342" s="32" t="s">
        <v>475</v>
      </c>
      <c r="AD342" s="32"/>
      <c r="AE342" s="32">
        <v>0</v>
      </c>
    </row>
    <row r="343" spans="1:31" x14ac:dyDescent="0.25">
      <c r="A343">
        <v>707</v>
      </c>
      <c r="B343" t="s">
        <v>53</v>
      </c>
      <c r="C343" t="s">
        <v>54</v>
      </c>
      <c r="D343" s="35">
        <v>40320</v>
      </c>
      <c r="E343">
        <v>1246146706</v>
      </c>
      <c r="F343" s="324">
        <v>45461</v>
      </c>
      <c r="H343" t="s">
        <v>28</v>
      </c>
      <c r="I343" t="s">
        <v>29</v>
      </c>
      <c r="J343">
        <v>3619</v>
      </c>
      <c r="K343" s="324">
        <v>45433</v>
      </c>
      <c r="L343">
        <v>1010100</v>
      </c>
      <c r="M343" t="s">
        <v>35</v>
      </c>
      <c r="N343">
        <v>651</v>
      </c>
      <c r="O343" s="32">
        <v>0</v>
      </c>
      <c r="P343" s="32">
        <v>40320</v>
      </c>
      <c r="Q343" s="32">
        <v>0</v>
      </c>
      <c r="R343" s="32">
        <v>0</v>
      </c>
      <c r="S343" s="32">
        <v>0</v>
      </c>
      <c r="T343" s="32">
        <v>0</v>
      </c>
      <c r="U343" s="32">
        <v>40320</v>
      </c>
      <c r="V343" s="32">
        <v>0</v>
      </c>
      <c r="W343" s="32">
        <v>1209.5999999999999</v>
      </c>
      <c r="X343" s="32">
        <v>39110.400000000001</v>
      </c>
      <c r="Y343" s="32">
        <v>39110.400000000001</v>
      </c>
      <c r="Z343" s="32">
        <v>40320</v>
      </c>
      <c r="AA343" s="32">
        <v>0</v>
      </c>
      <c r="AB343" s="32">
        <v>40320</v>
      </c>
      <c r="AC343" s="32" t="s">
        <v>541</v>
      </c>
      <c r="AD343" s="32"/>
      <c r="AE343" s="32">
        <v>40320</v>
      </c>
    </row>
    <row r="344" spans="1:31" x14ac:dyDescent="0.25">
      <c r="A344">
        <v>707</v>
      </c>
      <c r="B344" t="s">
        <v>53</v>
      </c>
      <c r="C344" t="s">
        <v>54</v>
      </c>
      <c r="D344" s="35">
        <v>14640</v>
      </c>
      <c r="E344">
        <v>1246145696</v>
      </c>
      <c r="F344" s="324">
        <v>45454</v>
      </c>
      <c r="H344" t="s">
        <v>28</v>
      </c>
      <c r="I344" t="s">
        <v>29</v>
      </c>
      <c r="J344">
        <v>3538</v>
      </c>
      <c r="K344" s="324">
        <v>45426</v>
      </c>
      <c r="L344">
        <v>1010100</v>
      </c>
      <c r="M344" t="s">
        <v>35</v>
      </c>
      <c r="N344">
        <v>658</v>
      </c>
      <c r="O344" s="32">
        <v>0</v>
      </c>
      <c r="P344" s="32">
        <v>14640</v>
      </c>
      <c r="Q344" s="32">
        <v>0</v>
      </c>
      <c r="R344" s="32">
        <v>0</v>
      </c>
      <c r="S344" s="32">
        <v>0</v>
      </c>
      <c r="T344" s="32">
        <v>0</v>
      </c>
      <c r="U344" s="32">
        <v>14640</v>
      </c>
      <c r="V344" s="32">
        <v>0</v>
      </c>
      <c r="W344" s="32">
        <v>439.2</v>
      </c>
      <c r="X344" s="32">
        <v>14200.8</v>
      </c>
      <c r="Y344" s="32">
        <v>14200.8</v>
      </c>
      <c r="Z344" s="32">
        <v>14640</v>
      </c>
      <c r="AA344" s="32">
        <v>0</v>
      </c>
      <c r="AB344" s="32">
        <v>14640</v>
      </c>
      <c r="AC344" s="32" t="s">
        <v>541</v>
      </c>
      <c r="AD344" s="32"/>
      <c r="AE344" s="32">
        <v>14640</v>
      </c>
    </row>
    <row r="345" spans="1:31" x14ac:dyDescent="0.25">
      <c r="A345">
        <v>707</v>
      </c>
      <c r="B345" t="s">
        <v>53</v>
      </c>
      <c r="C345" t="s">
        <v>54</v>
      </c>
      <c r="D345" s="35">
        <v>43920</v>
      </c>
      <c r="E345">
        <v>1246148035</v>
      </c>
      <c r="F345" s="324">
        <v>45469</v>
      </c>
      <c r="H345" t="s">
        <v>28</v>
      </c>
      <c r="I345" t="s">
        <v>29</v>
      </c>
      <c r="J345">
        <v>3722</v>
      </c>
      <c r="K345" s="324">
        <v>45441</v>
      </c>
      <c r="L345">
        <v>1010100</v>
      </c>
      <c r="M345" t="s">
        <v>35</v>
      </c>
      <c r="N345">
        <v>643</v>
      </c>
      <c r="O345" s="32">
        <v>0</v>
      </c>
      <c r="P345" s="32">
        <v>43920</v>
      </c>
      <c r="Q345" s="32">
        <v>0</v>
      </c>
      <c r="R345" s="32">
        <v>0</v>
      </c>
      <c r="S345" s="32">
        <v>0</v>
      </c>
      <c r="T345" s="32">
        <v>0</v>
      </c>
      <c r="U345" s="32">
        <v>43920</v>
      </c>
      <c r="V345" s="32">
        <v>0</v>
      </c>
      <c r="W345" s="32">
        <v>1317.6</v>
      </c>
      <c r="X345" s="32">
        <v>42602.400000000001</v>
      </c>
      <c r="Y345" s="32">
        <v>42602.400000000001</v>
      </c>
      <c r="Z345" s="32">
        <v>43920</v>
      </c>
      <c r="AA345" s="32">
        <v>0</v>
      </c>
      <c r="AB345" s="32">
        <v>43920</v>
      </c>
      <c r="AC345" s="32" t="s">
        <v>541</v>
      </c>
      <c r="AD345" s="32"/>
      <c r="AE345" s="32">
        <v>43920</v>
      </c>
    </row>
    <row r="346" spans="1:31" x14ac:dyDescent="0.25">
      <c r="A346">
        <v>707</v>
      </c>
      <c r="B346" t="s">
        <v>53</v>
      </c>
      <c r="C346" t="s">
        <v>54</v>
      </c>
      <c r="D346" s="35">
        <v>36600</v>
      </c>
      <c r="E346">
        <v>1246146938</v>
      </c>
      <c r="F346" s="324">
        <v>45462</v>
      </c>
      <c r="H346" t="s">
        <v>28</v>
      </c>
      <c r="I346" t="s">
        <v>29</v>
      </c>
      <c r="J346">
        <v>3637</v>
      </c>
      <c r="K346" s="324">
        <v>45434</v>
      </c>
      <c r="L346">
        <v>1010100</v>
      </c>
      <c r="M346" t="s">
        <v>35</v>
      </c>
      <c r="N346">
        <v>650</v>
      </c>
      <c r="O346" s="32">
        <v>0</v>
      </c>
      <c r="P346" s="32">
        <v>36600</v>
      </c>
      <c r="Q346" s="32">
        <v>0</v>
      </c>
      <c r="R346" s="32">
        <v>0</v>
      </c>
      <c r="S346" s="32">
        <v>0</v>
      </c>
      <c r="T346" s="32">
        <v>0</v>
      </c>
      <c r="U346" s="32">
        <v>36600</v>
      </c>
      <c r="V346" s="32">
        <v>0</v>
      </c>
      <c r="W346" s="32">
        <v>1098</v>
      </c>
      <c r="X346" s="32">
        <v>35502</v>
      </c>
      <c r="Y346" s="32">
        <v>35502</v>
      </c>
      <c r="Z346" s="32">
        <v>36600</v>
      </c>
      <c r="AA346" s="32">
        <v>0</v>
      </c>
      <c r="AB346" s="32">
        <v>36600</v>
      </c>
      <c r="AC346" s="32" t="s">
        <v>541</v>
      </c>
      <c r="AD346" s="32"/>
      <c r="AE346" s="32">
        <v>36600</v>
      </c>
    </row>
    <row r="347" spans="1:31" x14ac:dyDescent="0.25">
      <c r="A347">
        <v>707</v>
      </c>
      <c r="B347" t="s">
        <v>53</v>
      </c>
      <c r="C347" t="s">
        <v>54</v>
      </c>
      <c r="D347" s="35">
        <v>33600</v>
      </c>
      <c r="E347">
        <v>1246148036</v>
      </c>
      <c r="F347" s="324">
        <v>45469</v>
      </c>
      <c r="H347" t="s">
        <v>28</v>
      </c>
      <c r="I347" t="s">
        <v>29</v>
      </c>
      <c r="J347">
        <v>3723</v>
      </c>
      <c r="K347" s="324">
        <v>45441</v>
      </c>
      <c r="L347">
        <v>1010100</v>
      </c>
      <c r="M347" t="s">
        <v>35</v>
      </c>
      <c r="N347">
        <v>643</v>
      </c>
      <c r="O347" s="32">
        <v>0</v>
      </c>
      <c r="P347" s="32">
        <v>33600</v>
      </c>
      <c r="Q347" s="32">
        <v>0</v>
      </c>
      <c r="R347" s="32">
        <v>0</v>
      </c>
      <c r="S347" s="32">
        <v>0</v>
      </c>
      <c r="T347" s="32">
        <v>0</v>
      </c>
      <c r="U347" s="32">
        <v>33600</v>
      </c>
      <c r="V347" s="32">
        <v>0</v>
      </c>
      <c r="W347" s="32">
        <v>1008</v>
      </c>
      <c r="X347" s="32">
        <v>32592</v>
      </c>
      <c r="Y347" s="32">
        <v>32592</v>
      </c>
      <c r="Z347" s="32">
        <v>33600</v>
      </c>
      <c r="AA347" s="32">
        <v>0</v>
      </c>
      <c r="AB347" s="32">
        <v>33600</v>
      </c>
      <c r="AC347" s="32" t="s">
        <v>541</v>
      </c>
      <c r="AD347" s="32"/>
      <c r="AE347" s="32">
        <v>33600</v>
      </c>
    </row>
    <row r="348" spans="1:31" x14ac:dyDescent="0.25">
      <c r="A348">
        <v>707</v>
      </c>
      <c r="B348" t="s">
        <v>53</v>
      </c>
      <c r="C348" t="s">
        <v>54</v>
      </c>
      <c r="D348" s="35">
        <v>16800</v>
      </c>
      <c r="E348">
        <v>1246141445</v>
      </c>
      <c r="F348" s="324">
        <v>45433</v>
      </c>
      <c r="H348" t="s">
        <v>28</v>
      </c>
      <c r="I348" t="s">
        <v>29</v>
      </c>
      <c r="J348">
        <v>3345</v>
      </c>
      <c r="K348" s="324">
        <v>45405</v>
      </c>
      <c r="L348">
        <v>1010100</v>
      </c>
      <c r="M348" t="s">
        <v>35</v>
      </c>
      <c r="N348">
        <v>679</v>
      </c>
      <c r="O348" s="32">
        <v>0</v>
      </c>
      <c r="P348" s="32">
        <v>16800</v>
      </c>
      <c r="Q348" s="32">
        <v>0</v>
      </c>
      <c r="R348" s="32">
        <v>0</v>
      </c>
      <c r="S348" s="32">
        <v>0</v>
      </c>
      <c r="T348" s="32">
        <v>0</v>
      </c>
      <c r="U348" s="32">
        <v>16800</v>
      </c>
      <c r="V348" s="32">
        <v>0</v>
      </c>
      <c r="W348" s="32">
        <v>504</v>
      </c>
      <c r="X348" s="32">
        <v>16296</v>
      </c>
      <c r="Y348" s="32">
        <v>16296</v>
      </c>
      <c r="Z348" s="32">
        <v>16800</v>
      </c>
      <c r="AA348" s="32">
        <v>0</v>
      </c>
      <c r="AB348" s="32">
        <v>16800</v>
      </c>
      <c r="AC348" s="32" t="s">
        <v>541</v>
      </c>
      <c r="AD348" s="32"/>
      <c r="AE348" s="32">
        <v>16800</v>
      </c>
    </row>
    <row r="349" spans="1:31" x14ac:dyDescent="0.25">
      <c r="A349">
        <v>707</v>
      </c>
      <c r="B349" t="s">
        <v>53</v>
      </c>
      <c r="C349" t="s">
        <v>54</v>
      </c>
      <c r="D349" s="35">
        <v>40353.599999999999</v>
      </c>
      <c r="E349">
        <v>1246143397</v>
      </c>
      <c r="F349" s="324">
        <v>45443</v>
      </c>
      <c r="H349" t="s">
        <v>28</v>
      </c>
      <c r="I349" t="s">
        <v>29</v>
      </c>
      <c r="J349">
        <v>3448</v>
      </c>
      <c r="K349" s="324">
        <v>45415</v>
      </c>
      <c r="L349">
        <v>1010100</v>
      </c>
      <c r="M349" t="s">
        <v>35</v>
      </c>
      <c r="N349">
        <v>669</v>
      </c>
      <c r="O349" s="32">
        <v>0</v>
      </c>
      <c r="P349" s="32">
        <v>40353.599999999999</v>
      </c>
      <c r="Q349" s="32">
        <v>0</v>
      </c>
      <c r="R349" s="32">
        <v>0</v>
      </c>
      <c r="S349" s="32">
        <v>0</v>
      </c>
      <c r="T349" s="32">
        <v>0</v>
      </c>
      <c r="U349" s="32">
        <v>40353.599999999999</v>
      </c>
      <c r="V349" s="32">
        <v>0</v>
      </c>
      <c r="W349" s="32">
        <v>1210.6079999999999</v>
      </c>
      <c r="X349" s="32">
        <v>39142.991999999998</v>
      </c>
      <c r="Y349" s="32">
        <v>39142.991999999998</v>
      </c>
      <c r="Z349" s="32">
        <v>40353.599999999999</v>
      </c>
      <c r="AA349" s="32">
        <v>0</v>
      </c>
      <c r="AB349" s="32">
        <v>40353.599999999999</v>
      </c>
      <c r="AC349" s="32" t="s">
        <v>541</v>
      </c>
      <c r="AD349" s="32"/>
      <c r="AE349" s="32">
        <v>40353.599999999999</v>
      </c>
    </row>
    <row r="350" spans="1:31" x14ac:dyDescent="0.25">
      <c r="A350">
        <v>139</v>
      </c>
      <c r="B350" t="s">
        <v>40</v>
      </c>
      <c r="C350" t="s">
        <v>747</v>
      </c>
      <c r="D350" s="35">
        <v>391080</v>
      </c>
      <c r="E350">
        <v>1246268022</v>
      </c>
      <c r="F350" s="324">
        <v>46126</v>
      </c>
      <c r="H350" t="s">
        <v>28</v>
      </c>
      <c r="I350" t="s">
        <v>29</v>
      </c>
      <c r="J350">
        <v>2819</v>
      </c>
      <c r="K350" s="324">
        <v>46098</v>
      </c>
      <c r="L350">
        <v>1010100</v>
      </c>
      <c r="M350" t="s">
        <v>35</v>
      </c>
      <c r="N350">
        <v>-14</v>
      </c>
      <c r="O350" s="32">
        <v>0</v>
      </c>
      <c r="P350" s="32">
        <v>0</v>
      </c>
      <c r="Q350" s="32">
        <v>391080</v>
      </c>
      <c r="R350" s="32">
        <v>0</v>
      </c>
      <c r="S350" s="32">
        <v>0</v>
      </c>
      <c r="T350" s="32">
        <v>0</v>
      </c>
      <c r="U350" s="32">
        <v>0</v>
      </c>
      <c r="V350" s="32">
        <v>0</v>
      </c>
      <c r="W350" s="32">
        <v>0</v>
      </c>
      <c r="X350" s="32">
        <v>0</v>
      </c>
      <c r="Y350" s="32">
        <v>0</v>
      </c>
      <c r="Z350" s="32">
        <v>0</v>
      </c>
      <c r="AA350" s="32">
        <v>0</v>
      </c>
      <c r="AB350" s="32">
        <v>0</v>
      </c>
      <c r="AC350" s="32" t="s">
        <v>475</v>
      </c>
      <c r="AD350" s="32"/>
      <c r="AE350" s="32">
        <v>0</v>
      </c>
    </row>
    <row r="351" spans="1:31" x14ac:dyDescent="0.25">
      <c r="A351">
        <v>1462</v>
      </c>
      <c r="B351" t="s">
        <v>65</v>
      </c>
      <c r="C351" t="s">
        <v>66</v>
      </c>
      <c r="D351" s="35">
        <v>37608.400000000001</v>
      </c>
      <c r="E351">
        <v>1246266894</v>
      </c>
      <c r="F351" s="324">
        <v>46147</v>
      </c>
      <c r="H351" t="s">
        <v>28</v>
      </c>
      <c r="I351" t="s">
        <v>29</v>
      </c>
      <c r="J351">
        <v>10834</v>
      </c>
      <c r="K351" s="324">
        <v>46087</v>
      </c>
      <c r="L351">
        <v>1010100</v>
      </c>
      <c r="M351" t="s">
        <v>35</v>
      </c>
      <c r="N351">
        <v>-35</v>
      </c>
      <c r="O351" s="32">
        <v>0</v>
      </c>
      <c r="P351" s="32">
        <v>0</v>
      </c>
      <c r="Q351" s="32">
        <v>37608.400000000001</v>
      </c>
      <c r="R351" s="32">
        <v>0</v>
      </c>
      <c r="S351" s="32">
        <v>0</v>
      </c>
      <c r="T351" s="32">
        <v>0</v>
      </c>
      <c r="U351" s="32">
        <v>0</v>
      </c>
      <c r="V351" s="32">
        <v>0</v>
      </c>
      <c r="W351" s="32">
        <v>0</v>
      </c>
      <c r="X351" s="32">
        <v>0</v>
      </c>
      <c r="Y351" s="32">
        <v>0</v>
      </c>
      <c r="Z351" s="32">
        <v>0</v>
      </c>
      <c r="AA351" s="32">
        <v>0</v>
      </c>
      <c r="AB351" s="32">
        <v>0</v>
      </c>
      <c r="AC351" s="32" t="s">
        <v>475</v>
      </c>
      <c r="AD351" s="32"/>
      <c r="AE351" s="32">
        <v>0</v>
      </c>
    </row>
    <row r="352" spans="1:31" x14ac:dyDescent="0.25">
      <c r="A352">
        <v>1462</v>
      </c>
      <c r="B352" t="s">
        <v>65</v>
      </c>
      <c r="C352" t="s">
        <v>66</v>
      </c>
      <c r="D352" s="35">
        <v>37608.400000000001</v>
      </c>
      <c r="E352">
        <v>1246266895</v>
      </c>
      <c r="F352" s="324">
        <v>46157</v>
      </c>
      <c r="H352" t="s">
        <v>28</v>
      </c>
      <c r="I352" t="s">
        <v>29</v>
      </c>
      <c r="J352">
        <v>10834</v>
      </c>
      <c r="K352" s="324">
        <v>46087</v>
      </c>
      <c r="L352">
        <v>1010100</v>
      </c>
      <c r="M352" t="s">
        <v>35</v>
      </c>
      <c r="N352">
        <v>-45</v>
      </c>
      <c r="O352" s="32">
        <v>0</v>
      </c>
      <c r="P352" s="32">
        <v>0</v>
      </c>
      <c r="Q352" s="32">
        <v>37608.400000000001</v>
      </c>
      <c r="R352" s="32">
        <v>0</v>
      </c>
      <c r="S352" s="32">
        <v>0</v>
      </c>
      <c r="T352" s="32">
        <v>0</v>
      </c>
      <c r="U352" s="32">
        <v>0</v>
      </c>
      <c r="V352" s="32">
        <v>0</v>
      </c>
      <c r="W352" s="32">
        <v>0</v>
      </c>
      <c r="X352" s="32">
        <v>0</v>
      </c>
      <c r="Y352" s="32">
        <v>0</v>
      </c>
      <c r="Z352" s="32">
        <v>0</v>
      </c>
      <c r="AA352" s="32">
        <v>0</v>
      </c>
      <c r="AB352" s="32">
        <v>0</v>
      </c>
      <c r="AC352" s="32" t="s">
        <v>475</v>
      </c>
      <c r="AD352" s="32"/>
      <c r="AE352" s="32">
        <v>0</v>
      </c>
    </row>
    <row r="353" spans="1:31" x14ac:dyDescent="0.25">
      <c r="A353">
        <v>1462</v>
      </c>
      <c r="B353" t="s">
        <v>65</v>
      </c>
      <c r="C353" t="s">
        <v>66</v>
      </c>
      <c r="D353" s="35">
        <v>37491.5</v>
      </c>
      <c r="E353">
        <v>1246262008</v>
      </c>
      <c r="F353" s="324">
        <v>46115</v>
      </c>
      <c r="H353" t="s">
        <v>28</v>
      </c>
      <c r="I353" t="s">
        <v>29</v>
      </c>
      <c r="J353">
        <v>10624</v>
      </c>
      <c r="K353" s="324">
        <v>46055</v>
      </c>
      <c r="L353">
        <v>1010100</v>
      </c>
      <c r="M353" t="s">
        <v>35</v>
      </c>
      <c r="N353">
        <v>-3</v>
      </c>
      <c r="O353" s="32">
        <v>0</v>
      </c>
      <c r="P353" s="32">
        <v>0</v>
      </c>
      <c r="Q353" s="32">
        <v>37491.5</v>
      </c>
      <c r="R353" s="32">
        <v>0</v>
      </c>
      <c r="S353" s="32">
        <v>0</v>
      </c>
      <c r="T353" s="32">
        <v>0</v>
      </c>
      <c r="U353" s="32">
        <v>0</v>
      </c>
      <c r="V353" s="32">
        <v>0</v>
      </c>
      <c r="W353" s="32">
        <v>0</v>
      </c>
      <c r="X353" s="32">
        <v>0</v>
      </c>
      <c r="Y353" s="32">
        <v>0</v>
      </c>
      <c r="Z353" s="32">
        <v>0</v>
      </c>
      <c r="AA353" s="32">
        <v>0</v>
      </c>
      <c r="AB353" s="32">
        <v>0</v>
      </c>
      <c r="AC353" s="32" t="s">
        <v>475</v>
      </c>
      <c r="AD353" s="32"/>
      <c r="AE353" s="32">
        <v>0</v>
      </c>
    </row>
    <row r="354" spans="1:31" x14ac:dyDescent="0.25">
      <c r="A354">
        <v>1462</v>
      </c>
      <c r="B354" t="s">
        <v>65</v>
      </c>
      <c r="C354" t="s">
        <v>66</v>
      </c>
      <c r="D354" s="35">
        <v>37491.5</v>
      </c>
      <c r="E354">
        <v>1246262009</v>
      </c>
      <c r="F354" s="324">
        <v>46125</v>
      </c>
      <c r="H354" t="s">
        <v>28</v>
      </c>
      <c r="I354" t="s">
        <v>29</v>
      </c>
      <c r="J354">
        <v>10624</v>
      </c>
      <c r="K354" s="324">
        <v>46055</v>
      </c>
      <c r="L354">
        <v>1010100</v>
      </c>
      <c r="M354" t="s">
        <v>35</v>
      </c>
      <c r="N354">
        <v>-13</v>
      </c>
      <c r="O354" s="32">
        <v>0</v>
      </c>
      <c r="P354" s="32">
        <v>0</v>
      </c>
      <c r="Q354" s="32">
        <v>37491.5</v>
      </c>
      <c r="R354" s="32">
        <v>0</v>
      </c>
      <c r="S354" s="32">
        <v>0</v>
      </c>
      <c r="T354" s="32">
        <v>0</v>
      </c>
      <c r="U354" s="32">
        <v>0</v>
      </c>
      <c r="V354" s="32">
        <v>0</v>
      </c>
      <c r="W354" s="32">
        <v>0</v>
      </c>
      <c r="X354" s="32">
        <v>0</v>
      </c>
      <c r="Y354" s="32">
        <v>0</v>
      </c>
      <c r="Z354" s="32">
        <v>0</v>
      </c>
      <c r="AA354" s="32">
        <v>0</v>
      </c>
      <c r="AB354" s="32">
        <v>0</v>
      </c>
      <c r="AC354" s="32" t="s">
        <v>475</v>
      </c>
      <c r="AD354" s="32"/>
      <c r="AE354" s="32">
        <v>0</v>
      </c>
    </row>
    <row r="355" spans="1:31" x14ac:dyDescent="0.25">
      <c r="A355">
        <v>2011</v>
      </c>
      <c r="B355" t="s">
        <v>726</v>
      </c>
      <c r="C355" t="s">
        <v>549</v>
      </c>
      <c r="D355" s="35">
        <v>80919</v>
      </c>
      <c r="E355">
        <v>1246267143</v>
      </c>
      <c r="F355" s="324">
        <v>46119</v>
      </c>
      <c r="H355" t="s">
        <v>28</v>
      </c>
      <c r="I355" t="s">
        <v>29</v>
      </c>
      <c r="J355">
        <v>10852</v>
      </c>
      <c r="K355" s="324">
        <v>46091</v>
      </c>
      <c r="L355">
        <v>1010100</v>
      </c>
      <c r="M355" t="s">
        <v>35</v>
      </c>
      <c r="N355">
        <v>-7</v>
      </c>
      <c r="O355" s="32">
        <v>0</v>
      </c>
      <c r="P355" s="32">
        <v>0</v>
      </c>
      <c r="Q355" s="32">
        <v>80919</v>
      </c>
      <c r="R355" s="32">
        <v>0</v>
      </c>
      <c r="S355" s="32">
        <v>0</v>
      </c>
      <c r="T355" s="32">
        <v>0</v>
      </c>
      <c r="U355" s="32">
        <v>0</v>
      </c>
      <c r="V355" s="32">
        <v>0</v>
      </c>
      <c r="W355" s="32">
        <v>0</v>
      </c>
      <c r="X355" s="32">
        <v>0</v>
      </c>
      <c r="Y355" s="32">
        <v>0</v>
      </c>
      <c r="Z355" s="32">
        <v>0</v>
      </c>
      <c r="AA355" s="32">
        <v>0</v>
      </c>
      <c r="AB355" s="32">
        <v>0</v>
      </c>
      <c r="AC355" s="32" t="s">
        <v>475</v>
      </c>
      <c r="AD355" s="32"/>
      <c r="AE355" s="32">
        <v>0</v>
      </c>
    </row>
    <row r="356" spans="1:31" x14ac:dyDescent="0.25">
      <c r="A356">
        <v>2011</v>
      </c>
      <c r="B356" t="s">
        <v>726</v>
      </c>
      <c r="C356" t="s">
        <v>549</v>
      </c>
      <c r="D356" s="35">
        <v>80460</v>
      </c>
      <c r="E356">
        <v>1246268490</v>
      </c>
      <c r="F356" s="324">
        <v>46129</v>
      </c>
      <c r="H356" t="s">
        <v>28</v>
      </c>
      <c r="I356" t="s">
        <v>29</v>
      </c>
      <c r="J356">
        <v>10940</v>
      </c>
      <c r="K356" s="324">
        <v>46101</v>
      </c>
      <c r="L356">
        <v>1010100</v>
      </c>
      <c r="M356" t="s">
        <v>35</v>
      </c>
      <c r="N356">
        <v>-17</v>
      </c>
      <c r="O356" s="32">
        <v>0</v>
      </c>
      <c r="P356" s="32">
        <v>0</v>
      </c>
      <c r="Q356" s="32">
        <v>80460</v>
      </c>
      <c r="R356" s="32">
        <v>0</v>
      </c>
      <c r="S356" s="32">
        <v>0</v>
      </c>
      <c r="T356" s="32">
        <v>0</v>
      </c>
      <c r="U356" s="32">
        <v>0</v>
      </c>
      <c r="V356" s="32">
        <v>0</v>
      </c>
      <c r="W356" s="32">
        <v>0</v>
      </c>
      <c r="X356" s="32">
        <v>0</v>
      </c>
      <c r="Y356" s="32">
        <v>0</v>
      </c>
      <c r="Z356" s="32">
        <v>0</v>
      </c>
      <c r="AA356" s="32">
        <v>0</v>
      </c>
      <c r="AB356" s="32">
        <v>0</v>
      </c>
      <c r="AC356" s="32" t="s">
        <v>475</v>
      </c>
      <c r="AD356" s="32"/>
      <c r="AE356" s="32">
        <v>0</v>
      </c>
    </row>
    <row r="357" spans="1:31" x14ac:dyDescent="0.25">
      <c r="A357">
        <v>505</v>
      </c>
      <c r="B357" t="s">
        <v>50</v>
      </c>
      <c r="C357" t="s">
        <v>813</v>
      </c>
      <c r="D357" s="35">
        <v>42240</v>
      </c>
      <c r="E357">
        <v>1246268415</v>
      </c>
      <c r="F357" s="324">
        <v>46128</v>
      </c>
      <c r="H357" t="s">
        <v>28</v>
      </c>
      <c r="I357" t="s">
        <v>29</v>
      </c>
      <c r="J357">
        <v>10930</v>
      </c>
      <c r="K357" s="324">
        <v>46100</v>
      </c>
      <c r="L357">
        <v>1010100</v>
      </c>
      <c r="M357" t="s">
        <v>35</v>
      </c>
      <c r="N357">
        <v>-16</v>
      </c>
      <c r="O357" s="32">
        <v>0</v>
      </c>
      <c r="P357" s="32">
        <v>0</v>
      </c>
      <c r="Q357" s="32">
        <v>42240</v>
      </c>
      <c r="R357" s="32">
        <v>0</v>
      </c>
      <c r="S357" s="32">
        <v>0</v>
      </c>
      <c r="T357" s="32">
        <v>0</v>
      </c>
      <c r="U357" s="32">
        <v>0</v>
      </c>
      <c r="V357" s="32">
        <v>0</v>
      </c>
      <c r="W357" s="32">
        <v>0</v>
      </c>
      <c r="X357" s="32">
        <v>0</v>
      </c>
      <c r="Y357" s="32">
        <v>0</v>
      </c>
      <c r="Z357" s="32">
        <v>0</v>
      </c>
      <c r="AA357" s="32">
        <v>0</v>
      </c>
      <c r="AB357" s="32">
        <v>0</v>
      </c>
      <c r="AC357" s="32" t="s">
        <v>475</v>
      </c>
      <c r="AD357" s="32"/>
      <c r="AE357" s="32">
        <v>0</v>
      </c>
    </row>
    <row r="358" spans="1:31" x14ac:dyDescent="0.25">
      <c r="A358">
        <v>3142</v>
      </c>
      <c r="B358" t="s">
        <v>89</v>
      </c>
      <c r="C358" t="s">
        <v>879</v>
      </c>
      <c r="D358" s="35">
        <v>83198.7</v>
      </c>
      <c r="E358">
        <v>1246266915</v>
      </c>
      <c r="F358" s="324">
        <v>46115</v>
      </c>
      <c r="H358" t="s">
        <v>28</v>
      </c>
      <c r="I358" t="s">
        <v>29</v>
      </c>
      <c r="J358">
        <v>10836</v>
      </c>
      <c r="K358" s="324">
        <v>46087</v>
      </c>
      <c r="L358">
        <v>1010100</v>
      </c>
      <c r="M358" t="s">
        <v>35</v>
      </c>
      <c r="N358">
        <v>-3</v>
      </c>
      <c r="O358" s="32">
        <v>0</v>
      </c>
      <c r="P358" s="32">
        <v>0</v>
      </c>
      <c r="Q358" s="32">
        <v>83198.7</v>
      </c>
      <c r="R358" s="32">
        <v>0</v>
      </c>
      <c r="S358" s="32">
        <v>0</v>
      </c>
      <c r="T358" s="32">
        <v>0</v>
      </c>
      <c r="U358" s="32">
        <v>0</v>
      </c>
      <c r="V358" s="32">
        <v>0</v>
      </c>
      <c r="W358" s="32">
        <v>0</v>
      </c>
      <c r="X358" s="32">
        <v>0</v>
      </c>
      <c r="Y358" s="32">
        <v>0</v>
      </c>
      <c r="Z358" s="32">
        <v>0</v>
      </c>
      <c r="AA358" s="32">
        <v>0</v>
      </c>
      <c r="AB358" s="32">
        <v>0</v>
      </c>
      <c r="AC358" s="32" t="s">
        <v>475</v>
      </c>
      <c r="AD358" s="32"/>
      <c r="AE358" s="32">
        <v>0</v>
      </c>
    </row>
    <row r="359" spans="1:31" x14ac:dyDescent="0.25">
      <c r="A359">
        <v>2900</v>
      </c>
      <c r="B359" t="s">
        <v>550</v>
      </c>
      <c r="C359" t="s">
        <v>884</v>
      </c>
      <c r="D359" s="35">
        <v>17017.16</v>
      </c>
      <c r="E359">
        <v>1246267966</v>
      </c>
      <c r="F359" s="324">
        <v>46137</v>
      </c>
      <c r="H359" t="s">
        <v>28</v>
      </c>
      <c r="I359" t="s">
        <v>29</v>
      </c>
      <c r="J359">
        <v>10901</v>
      </c>
      <c r="K359" s="324">
        <v>46097</v>
      </c>
      <c r="L359">
        <v>1010100</v>
      </c>
      <c r="M359" t="s">
        <v>35</v>
      </c>
      <c r="N359">
        <v>-25</v>
      </c>
      <c r="O359" s="32">
        <v>0</v>
      </c>
      <c r="P359" s="32">
        <v>0</v>
      </c>
      <c r="Q359" s="32">
        <v>17017.16</v>
      </c>
      <c r="R359" s="32">
        <v>0</v>
      </c>
      <c r="S359" s="32">
        <v>0</v>
      </c>
      <c r="T359" s="32">
        <v>0</v>
      </c>
      <c r="U359" s="32">
        <v>0</v>
      </c>
      <c r="V359" s="32">
        <v>0</v>
      </c>
      <c r="W359" s="32">
        <v>0</v>
      </c>
      <c r="X359" s="32">
        <v>0</v>
      </c>
      <c r="Y359" s="32">
        <v>0</v>
      </c>
      <c r="Z359" s="32">
        <v>0</v>
      </c>
      <c r="AA359" s="32">
        <v>0</v>
      </c>
      <c r="AB359" s="32">
        <v>0</v>
      </c>
      <c r="AC359" s="32" t="s">
        <v>475</v>
      </c>
      <c r="AD359" s="32"/>
      <c r="AE359" s="32">
        <v>0</v>
      </c>
    </row>
    <row r="360" spans="1:31" x14ac:dyDescent="0.25">
      <c r="A360">
        <v>2900</v>
      </c>
      <c r="B360" t="s">
        <v>550</v>
      </c>
      <c r="C360" t="s">
        <v>884</v>
      </c>
      <c r="D360" s="35">
        <v>17017.16</v>
      </c>
      <c r="E360">
        <v>1246267967</v>
      </c>
      <c r="F360" s="324">
        <v>46157</v>
      </c>
      <c r="H360" t="s">
        <v>28</v>
      </c>
      <c r="I360" t="s">
        <v>29</v>
      </c>
      <c r="J360">
        <v>10901</v>
      </c>
      <c r="K360" s="324">
        <v>46097</v>
      </c>
      <c r="L360">
        <v>1010100</v>
      </c>
      <c r="M360" t="s">
        <v>35</v>
      </c>
      <c r="N360">
        <v>-45</v>
      </c>
      <c r="O360" s="32">
        <v>0</v>
      </c>
      <c r="P360" s="32">
        <v>0</v>
      </c>
      <c r="Q360" s="32">
        <v>17017.16</v>
      </c>
      <c r="R360" s="32">
        <v>0</v>
      </c>
      <c r="S360" s="32">
        <v>0</v>
      </c>
      <c r="T360" s="32">
        <v>0</v>
      </c>
      <c r="U360" s="32">
        <v>0</v>
      </c>
      <c r="V360" s="32">
        <v>0</v>
      </c>
      <c r="W360" s="32">
        <v>0</v>
      </c>
      <c r="X360" s="32">
        <v>0</v>
      </c>
      <c r="Y360" s="32">
        <v>0</v>
      </c>
      <c r="Z360" s="32">
        <v>0</v>
      </c>
      <c r="AA360" s="32">
        <v>0</v>
      </c>
      <c r="AB360" s="32">
        <v>0</v>
      </c>
      <c r="AC360" s="32" t="s">
        <v>475</v>
      </c>
      <c r="AD360" s="32"/>
      <c r="AE360" s="32">
        <v>0</v>
      </c>
    </row>
    <row r="361" spans="1:31" x14ac:dyDescent="0.25">
      <c r="A361">
        <v>2900</v>
      </c>
      <c r="B361" t="s">
        <v>550</v>
      </c>
      <c r="C361" t="s">
        <v>884</v>
      </c>
      <c r="D361" s="35">
        <v>17017.16</v>
      </c>
      <c r="E361">
        <v>1246267968</v>
      </c>
      <c r="F361" s="324">
        <v>46187</v>
      </c>
      <c r="H361" t="s">
        <v>28</v>
      </c>
      <c r="I361" t="s">
        <v>29</v>
      </c>
      <c r="J361">
        <v>10901</v>
      </c>
      <c r="K361" s="324">
        <v>46097</v>
      </c>
      <c r="L361">
        <v>1010100</v>
      </c>
      <c r="M361" t="s">
        <v>35</v>
      </c>
      <c r="N361">
        <v>-75</v>
      </c>
      <c r="O361" s="32">
        <v>0</v>
      </c>
      <c r="P361" s="32">
        <v>0</v>
      </c>
      <c r="Q361" s="32">
        <v>17017.16</v>
      </c>
      <c r="R361" s="32">
        <v>0</v>
      </c>
      <c r="S361" s="32">
        <v>0</v>
      </c>
      <c r="T361" s="32">
        <v>0</v>
      </c>
      <c r="U361" s="32">
        <v>0</v>
      </c>
      <c r="V361" s="32">
        <v>0</v>
      </c>
      <c r="W361" s="32">
        <v>0</v>
      </c>
      <c r="X361" s="32">
        <v>0</v>
      </c>
      <c r="Y361" s="32">
        <v>0</v>
      </c>
      <c r="Z361" s="32">
        <v>0</v>
      </c>
      <c r="AA361" s="32">
        <v>0</v>
      </c>
      <c r="AB361" s="32">
        <v>0</v>
      </c>
      <c r="AC361" s="32" t="s">
        <v>475</v>
      </c>
      <c r="AD361" s="32"/>
      <c r="AE361" s="32">
        <v>0</v>
      </c>
    </row>
    <row r="362" spans="1:31" x14ac:dyDescent="0.25">
      <c r="A362">
        <v>2900</v>
      </c>
      <c r="B362" t="s">
        <v>550</v>
      </c>
      <c r="C362" t="s">
        <v>884</v>
      </c>
      <c r="D362" s="35">
        <v>32495.81</v>
      </c>
      <c r="E362">
        <v>1246267971</v>
      </c>
      <c r="F362" s="324">
        <v>46137</v>
      </c>
      <c r="H362" t="s">
        <v>28</v>
      </c>
      <c r="I362" t="s">
        <v>29</v>
      </c>
      <c r="J362">
        <v>10902</v>
      </c>
      <c r="K362" s="324">
        <v>46097</v>
      </c>
      <c r="L362">
        <v>1010100</v>
      </c>
      <c r="M362" t="s">
        <v>35</v>
      </c>
      <c r="N362">
        <v>-25</v>
      </c>
      <c r="O362" s="32">
        <v>0</v>
      </c>
      <c r="P362" s="32">
        <v>0</v>
      </c>
      <c r="Q362" s="32">
        <v>32495.81</v>
      </c>
      <c r="R362" s="32">
        <v>0</v>
      </c>
      <c r="S362" s="32">
        <v>0</v>
      </c>
      <c r="T362" s="32">
        <v>0</v>
      </c>
      <c r="U362" s="32">
        <v>0</v>
      </c>
      <c r="V362" s="32">
        <v>0</v>
      </c>
      <c r="W362" s="32">
        <v>0</v>
      </c>
      <c r="X362" s="32">
        <v>0</v>
      </c>
      <c r="Y362" s="32">
        <v>0</v>
      </c>
      <c r="Z362" s="32">
        <v>0</v>
      </c>
      <c r="AA362" s="32">
        <v>0</v>
      </c>
      <c r="AB362" s="32">
        <v>0</v>
      </c>
      <c r="AC362" s="32" t="s">
        <v>475</v>
      </c>
      <c r="AD362" s="32"/>
      <c r="AE362" s="32">
        <v>0</v>
      </c>
    </row>
    <row r="363" spans="1:31" x14ac:dyDescent="0.25">
      <c r="A363">
        <v>2900</v>
      </c>
      <c r="B363" t="s">
        <v>550</v>
      </c>
      <c r="C363" t="s">
        <v>884</v>
      </c>
      <c r="D363" s="35">
        <v>32495.81</v>
      </c>
      <c r="E363">
        <v>1246267972</v>
      </c>
      <c r="F363" s="324">
        <v>46157</v>
      </c>
      <c r="H363" t="s">
        <v>28</v>
      </c>
      <c r="I363" t="s">
        <v>29</v>
      </c>
      <c r="J363">
        <v>10902</v>
      </c>
      <c r="K363" s="324">
        <v>46097</v>
      </c>
      <c r="L363">
        <v>1010100</v>
      </c>
      <c r="M363" t="s">
        <v>35</v>
      </c>
      <c r="N363">
        <v>-45</v>
      </c>
      <c r="O363" s="32">
        <v>0</v>
      </c>
      <c r="P363" s="32">
        <v>0</v>
      </c>
      <c r="Q363" s="32">
        <v>32495.81</v>
      </c>
      <c r="R363" s="32">
        <v>0</v>
      </c>
      <c r="S363" s="32">
        <v>0</v>
      </c>
      <c r="T363" s="32">
        <v>0</v>
      </c>
      <c r="U363" s="32">
        <v>0</v>
      </c>
      <c r="V363" s="32">
        <v>0</v>
      </c>
      <c r="W363" s="32">
        <v>0</v>
      </c>
      <c r="X363" s="32">
        <v>0</v>
      </c>
      <c r="Y363" s="32">
        <v>0</v>
      </c>
      <c r="Z363" s="32">
        <v>0</v>
      </c>
      <c r="AA363" s="32">
        <v>0</v>
      </c>
      <c r="AB363" s="32">
        <v>0</v>
      </c>
      <c r="AC363" s="32" t="s">
        <v>475</v>
      </c>
      <c r="AD363" s="32"/>
      <c r="AE363" s="32">
        <v>0</v>
      </c>
    </row>
    <row r="364" spans="1:31" x14ac:dyDescent="0.25">
      <c r="A364">
        <v>2900</v>
      </c>
      <c r="B364" t="s">
        <v>550</v>
      </c>
      <c r="C364" t="s">
        <v>884</v>
      </c>
      <c r="D364" s="35">
        <v>32495.82</v>
      </c>
      <c r="E364">
        <v>1246267973</v>
      </c>
      <c r="F364" s="324">
        <v>46187</v>
      </c>
      <c r="H364" t="s">
        <v>28</v>
      </c>
      <c r="I364" t="s">
        <v>29</v>
      </c>
      <c r="J364">
        <v>10902</v>
      </c>
      <c r="K364" s="324">
        <v>46097</v>
      </c>
      <c r="L364">
        <v>1010100</v>
      </c>
      <c r="M364" t="s">
        <v>35</v>
      </c>
      <c r="N364">
        <v>-75</v>
      </c>
      <c r="O364" s="32">
        <v>0</v>
      </c>
      <c r="P364" s="32">
        <v>0</v>
      </c>
      <c r="Q364" s="32">
        <v>32495.82</v>
      </c>
      <c r="R364" s="32">
        <v>0</v>
      </c>
      <c r="S364" s="32">
        <v>0</v>
      </c>
      <c r="T364" s="32">
        <v>0</v>
      </c>
      <c r="U364" s="32">
        <v>0</v>
      </c>
      <c r="V364" s="32">
        <v>0</v>
      </c>
      <c r="W364" s="32">
        <v>0</v>
      </c>
      <c r="X364" s="32">
        <v>0</v>
      </c>
      <c r="Y364" s="32">
        <v>0</v>
      </c>
      <c r="Z364" s="32">
        <v>0</v>
      </c>
      <c r="AA364" s="32">
        <v>0</v>
      </c>
      <c r="AB364" s="32">
        <v>0</v>
      </c>
      <c r="AC364" s="32" t="s">
        <v>475</v>
      </c>
      <c r="AD364" s="32"/>
      <c r="AE364" s="32">
        <v>0</v>
      </c>
    </row>
    <row r="365" spans="1:31" x14ac:dyDescent="0.25">
      <c r="A365">
        <v>2622</v>
      </c>
      <c r="B365" t="s">
        <v>83</v>
      </c>
      <c r="C365" t="s">
        <v>565</v>
      </c>
      <c r="D365" s="35">
        <v>410856.52</v>
      </c>
      <c r="E365">
        <v>1246268936</v>
      </c>
      <c r="F365" s="324">
        <v>46196</v>
      </c>
      <c r="H365" t="s">
        <v>28</v>
      </c>
      <c r="I365" t="s">
        <v>29</v>
      </c>
      <c r="J365">
        <v>2842</v>
      </c>
      <c r="K365" s="324">
        <v>46106</v>
      </c>
      <c r="L365">
        <v>1010100</v>
      </c>
      <c r="M365" t="s">
        <v>35</v>
      </c>
      <c r="N365">
        <v>-84</v>
      </c>
      <c r="O365" s="32">
        <v>0</v>
      </c>
      <c r="P365" s="32">
        <v>0</v>
      </c>
      <c r="Q365" s="32">
        <v>410856.52</v>
      </c>
      <c r="R365" s="32">
        <v>0</v>
      </c>
      <c r="S365" s="32">
        <v>0</v>
      </c>
      <c r="T365" s="32">
        <v>0</v>
      </c>
      <c r="U365" s="32">
        <v>0</v>
      </c>
      <c r="V365" s="32">
        <v>0</v>
      </c>
      <c r="W365" s="32">
        <v>0</v>
      </c>
      <c r="X365" s="32">
        <v>0</v>
      </c>
      <c r="Y365" s="32">
        <v>0</v>
      </c>
      <c r="Z365" s="32">
        <v>0</v>
      </c>
      <c r="AA365" s="32">
        <v>0</v>
      </c>
      <c r="AB365" s="32">
        <v>0</v>
      </c>
      <c r="AC365" s="32" t="s">
        <v>475</v>
      </c>
      <c r="AD365" s="32"/>
      <c r="AE365" s="32">
        <v>0</v>
      </c>
    </row>
    <row r="366" spans="1:31" x14ac:dyDescent="0.25">
      <c r="A366">
        <v>2622</v>
      </c>
      <c r="B366" t="s">
        <v>83</v>
      </c>
      <c r="C366" t="s">
        <v>565</v>
      </c>
      <c r="D366" s="35">
        <v>420160.61</v>
      </c>
      <c r="E366">
        <v>1246260238</v>
      </c>
      <c r="F366" s="324">
        <v>46133</v>
      </c>
      <c r="H366" t="s">
        <v>28</v>
      </c>
      <c r="I366" t="s">
        <v>29</v>
      </c>
      <c r="J366">
        <v>2688</v>
      </c>
      <c r="K366" s="324">
        <v>46043</v>
      </c>
      <c r="L366">
        <v>1010100</v>
      </c>
      <c r="M366" t="s">
        <v>35</v>
      </c>
      <c r="N366">
        <v>-21</v>
      </c>
      <c r="O366" s="32">
        <v>0</v>
      </c>
      <c r="P366" s="32">
        <v>0</v>
      </c>
      <c r="Q366" s="32">
        <v>420160.61</v>
      </c>
      <c r="R366" s="32">
        <v>0</v>
      </c>
      <c r="S366" s="32">
        <v>0</v>
      </c>
      <c r="T366" s="32">
        <v>0</v>
      </c>
      <c r="U366" s="32">
        <v>0</v>
      </c>
      <c r="V366" s="32">
        <v>0</v>
      </c>
      <c r="W366" s="32">
        <v>0</v>
      </c>
      <c r="X366" s="32">
        <v>0</v>
      </c>
      <c r="Y366" s="32">
        <v>0</v>
      </c>
      <c r="Z366" s="32">
        <v>0</v>
      </c>
      <c r="AA366" s="32">
        <v>0</v>
      </c>
      <c r="AB366" s="32">
        <v>0</v>
      </c>
      <c r="AC366" s="32" t="s">
        <v>475</v>
      </c>
      <c r="AD366" s="32"/>
      <c r="AE366" s="32">
        <v>0</v>
      </c>
    </row>
    <row r="367" spans="1:31" x14ac:dyDescent="0.25">
      <c r="A367">
        <v>2975</v>
      </c>
      <c r="B367" t="s">
        <v>488</v>
      </c>
      <c r="C367" t="s">
        <v>86</v>
      </c>
      <c r="D367" s="35">
        <v>58920</v>
      </c>
      <c r="E367">
        <v>1246269447</v>
      </c>
      <c r="F367" s="324">
        <v>46136</v>
      </c>
      <c r="H367" t="s">
        <v>28</v>
      </c>
      <c r="I367" t="s">
        <v>29</v>
      </c>
      <c r="J367">
        <v>2851</v>
      </c>
      <c r="K367" s="324">
        <v>46108</v>
      </c>
      <c r="L367">
        <v>1010100</v>
      </c>
      <c r="M367" t="s">
        <v>35</v>
      </c>
      <c r="N367">
        <v>-24</v>
      </c>
      <c r="O367" s="32">
        <v>0</v>
      </c>
      <c r="P367" s="32">
        <v>0</v>
      </c>
      <c r="Q367" s="32">
        <v>58920</v>
      </c>
      <c r="R367" s="32">
        <v>0</v>
      </c>
      <c r="S367" s="32">
        <v>0</v>
      </c>
      <c r="T367" s="32">
        <v>0</v>
      </c>
      <c r="U367" s="32">
        <v>0</v>
      </c>
      <c r="V367" s="32">
        <v>0</v>
      </c>
      <c r="W367" s="32">
        <v>0</v>
      </c>
      <c r="X367" s="32">
        <v>0</v>
      </c>
      <c r="Y367" s="32">
        <v>0</v>
      </c>
      <c r="Z367" s="32">
        <v>0</v>
      </c>
      <c r="AA367" s="32">
        <v>0</v>
      </c>
      <c r="AB367" s="32">
        <v>0</v>
      </c>
      <c r="AC367" s="32" t="s">
        <v>475</v>
      </c>
      <c r="AD367" s="32"/>
      <c r="AE367" s="32">
        <v>0</v>
      </c>
    </row>
    <row r="368" spans="1:31" x14ac:dyDescent="0.25">
      <c r="A368">
        <v>2975</v>
      </c>
      <c r="B368" t="s">
        <v>488</v>
      </c>
      <c r="C368" t="s">
        <v>86</v>
      </c>
      <c r="D368" s="35">
        <v>78164.100000000006</v>
      </c>
      <c r="E368">
        <v>1246267719</v>
      </c>
      <c r="F368" s="324">
        <v>46122</v>
      </c>
      <c r="H368" t="s">
        <v>28</v>
      </c>
      <c r="I368" t="s">
        <v>29</v>
      </c>
      <c r="J368">
        <v>10878</v>
      </c>
      <c r="K368" s="324">
        <v>46094</v>
      </c>
      <c r="L368">
        <v>1010100</v>
      </c>
      <c r="M368" t="s">
        <v>35</v>
      </c>
      <c r="N368">
        <v>-10</v>
      </c>
      <c r="O368" s="32">
        <v>0</v>
      </c>
      <c r="P368" s="32">
        <v>0</v>
      </c>
      <c r="Q368" s="32">
        <v>78164.100000000006</v>
      </c>
      <c r="R368" s="32">
        <v>0</v>
      </c>
      <c r="S368" s="32">
        <v>0</v>
      </c>
      <c r="T368" s="32">
        <v>0</v>
      </c>
      <c r="U368" s="32">
        <v>0</v>
      </c>
      <c r="V368" s="32">
        <v>0</v>
      </c>
      <c r="W368" s="32">
        <v>0</v>
      </c>
      <c r="X368" s="32">
        <v>0</v>
      </c>
      <c r="Y368" s="32">
        <v>0</v>
      </c>
      <c r="Z368" s="32">
        <v>0</v>
      </c>
      <c r="AA368" s="32">
        <v>0</v>
      </c>
      <c r="AB368" s="32">
        <v>0</v>
      </c>
      <c r="AC368" s="32" t="s">
        <v>475</v>
      </c>
      <c r="AD368" s="32"/>
      <c r="AE368" s="32">
        <v>0</v>
      </c>
    </row>
    <row r="369" spans="1:31" x14ac:dyDescent="0.25">
      <c r="A369">
        <v>6132</v>
      </c>
      <c r="B369" t="s">
        <v>177</v>
      </c>
      <c r="C369" t="s">
        <v>178</v>
      </c>
      <c r="D369" s="35">
        <v>131993.79999999999</v>
      </c>
      <c r="E369">
        <v>1246090615</v>
      </c>
      <c r="F369" s="324">
        <v>45471</v>
      </c>
      <c r="H369" t="s">
        <v>173</v>
      </c>
      <c r="I369" t="s">
        <v>174</v>
      </c>
      <c r="J369">
        <v>33</v>
      </c>
      <c r="K369" s="324">
        <v>45111</v>
      </c>
      <c r="L369">
        <v>1010100</v>
      </c>
      <c r="M369" t="s">
        <v>35</v>
      </c>
      <c r="N369">
        <v>641</v>
      </c>
      <c r="O369" s="32">
        <v>0</v>
      </c>
      <c r="P369" s="32">
        <v>0</v>
      </c>
      <c r="Q369" s="32">
        <v>0</v>
      </c>
      <c r="R369" s="32">
        <v>0</v>
      </c>
      <c r="S369" s="32">
        <v>0</v>
      </c>
      <c r="T369" s="32">
        <v>0</v>
      </c>
      <c r="U369" s="32">
        <v>131993.79999999999</v>
      </c>
      <c r="V369" s="32">
        <v>0</v>
      </c>
      <c r="W369" s="32">
        <v>3959.8139999999994</v>
      </c>
      <c r="X369" s="32">
        <v>128033.98599999999</v>
      </c>
      <c r="Y369" s="32">
        <v>128033.98599999999</v>
      </c>
      <c r="Z369" s="32">
        <v>131993.79999999999</v>
      </c>
      <c r="AA369" s="32">
        <v>-131993.79999999999</v>
      </c>
      <c r="AB369" s="32">
        <v>0</v>
      </c>
      <c r="AC369" s="32" t="s">
        <v>542</v>
      </c>
      <c r="AD369" s="32"/>
      <c r="AE369" s="32">
        <v>0</v>
      </c>
    </row>
    <row r="370" spans="1:31" x14ac:dyDescent="0.25">
      <c r="A370">
        <v>6132</v>
      </c>
      <c r="B370" t="s">
        <v>177</v>
      </c>
      <c r="C370" t="s">
        <v>178</v>
      </c>
      <c r="D370" s="35">
        <v>178370</v>
      </c>
      <c r="E370">
        <v>1246091907</v>
      </c>
      <c r="F370" s="324">
        <v>45437</v>
      </c>
      <c r="H370" t="s">
        <v>173</v>
      </c>
      <c r="I370" t="s">
        <v>174</v>
      </c>
      <c r="J370">
        <v>129</v>
      </c>
      <c r="K370" s="324">
        <v>45119</v>
      </c>
      <c r="L370">
        <v>1010100</v>
      </c>
      <c r="M370" t="s">
        <v>35</v>
      </c>
      <c r="N370">
        <v>675</v>
      </c>
      <c r="O370" s="32">
        <v>0</v>
      </c>
      <c r="P370" s="32">
        <v>0</v>
      </c>
      <c r="Q370" s="32">
        <v>0</v>
      </c>
      <c r="R370" s="32">
        <v>0</v>
      </c>
      <c r="S370" s="32">
        <v>0</v>
      </c>
      <c r="T370" s="32">
        <v>0</v>
      </c>
      <c r="U370" s="32">
        <v>178370</v>
      </c>
      <c r="V370" s="32">
        <v>0</v>
      </c>
      <c r="W370" s="32">
        <v>5351.0999999999995</v>
      </c>
      <c r="X370" s="32">
        <v>173018.9</v>
      </c>
      <c r="Y370" s="32">
        <v>173018.9</v>
      </c>
      <c r="Z370" s="32">
        <v>178370</v>
      </c>
      <c r="AA370" s="32">
        <v>-178370</v>
      </c>
      <c r="AB370" s="32">
        <v>0</v>
      </c>
      <c r="AC370" s="32" t="s">
        <v>542</v>
      </c>
      <c r="AD370" s="32"/>
      <c r="AE370" s="32">
        <v>0</v>
      </c>
    </row>
    <row r="371" spans="1:31" x14ac:dyDescent="0.25">
      <c r="A371">
        <v>6132</v>
      </c>
      <c r="B371" t="s">
        <v>177</v>
      </c>
      <c r="C371" t="s">
        <v>178</v>
      </c>
      <c r="D371" s="35">
        <v>178370</v>
      </c>
      <c r="E371">
        <v>1246090579</v>
      </c>
      <c r="F371" s="324">
        <v>45470</v>
      </c>
      <c r="H371" t="s">
        <v>173</v>
      </c>
      <c r="I371" t="s">
        <v>174</v>
      </c>
      <c r="J371">
        <v>28</v>
      </c>
      <c r="K371" s="324">
        <v>45110</v>
      </c>
      <c r="L371">
        <v>1010100</v>
      </c>
      <c r="M371" t="s">
        <v>35</v>
      </c>
      <c r="N371">
        <v>642</v>
      </c>
      <c r="O371" s="32">
        <v>0</v>
      </c>
      <c r="P371" s="32">
        <v>0</v>
      </c>
      <c r="Q371" s="32">
        <v>0</v>
      </c>
      <c r="R371" s="32">
        <v>0</v>
      </c>
      <c r="S371" s="32">
        <v>0</v>
      </c>
      <c r="T371" s="32">
        <v>0</v>
      </c>
      <c r="U371" s="32">
        <v>178370</v>
      </c>
      <c r="V371" s="32">
        <v>0</v>
      </c>
      <c r="W371" s="32">
        <v>5351.0999999999995</v>
      </c>
      <c r="X371" s="32">
        <v>173018.9</v>
      </c>
      <c r="Y371" s="32">
        <v>173018.9</v>
      </c>
      <c r="Z371" s="32">
        <v>178370</v>
      </c>
      <c r="AA371" s="32">
        <v>-178370</v>
      </c>
      <c r="AB371" s="32">
        <v>0</v>
      </c>
      <c r="AC371" s="32" t="s">
        <v>542</v>
      </c>
      <c r="AD371" s="32"/>
      <c r="AE371" s="32">
        <v>0</v>
      </c>
    </row>
    <row r="372" spans="1:31" x14ac:dyDescent="0.25">
      <c r="A372">
        <v>6132</v>
      </c>
      <c r="B372" t="s">
        <v>177</v>
      </c>
      <c r="C372" t="s">
        <v>178</v>
      </c>
      <c r="D372" s="35">
        <v>142696</v>
      </c>
      <c r="E372">
        <v>1246091833</v>
      </c>
      <c r="F372" s="324">
        <v>45436</v>
      </c>
      <c r="H372" t="s">
        <v>173</v>
      </c>
      <c r="I372" t="s">
        <v>174</v>
      </c>
      <c r="J372">
        <v>116</v>
      </c>
      <c r="K372" s="324">
        <v>45118</v>
      </c>
      <c r="L372">
        <v>1010100</v>
      </c>
      <c r="M372" t="s">
        <v>35</v>
      </c>
      <c r="N372">
        <v>676</v>
      </c>
      <c r="O372" s="32">
        <v>0</v>
      </c>
      <c r="P372" s="32">
        <v>0</v>
      </c>
      <c r="Q372" s="32">
        <v>0</v>
      </c>
      <c r="R372" s="32">
        <v>0</v>
      </c>
      <c r="S372" s="32">
        <v>0</v>
      </c>
      <c r="T372" s="32">
        <v>0</v>
      </c>
      <c r="U372" s="32">
        <v>142696</v>
      </c>
      <c r="V372" s="32">
        <v>0</v>
      </c>
      <c r="W372" s="32">
        <v>4280.88</v>
      </c>
      <c r="X372" s="32">
        <v>138415.12</v>
      </c>
      <c r="Y372" s="32">
        <v>138415.12</v>
      </c>
      <c r="Z372" s="32">
        <v>142696</v>
      </c>
      <c r="AA372" s="32">
        <v>-142696</v>
      </c>
      <c r="AB372" s="32">
        <v>0</v>
      </c>
      <c r="AC372" s="32" t="s">
        <v>542</v>
      </c>
      <c r="AD372" s="32"/>
      <c r="AE372" s="32">
        <v>0</v>
      </c>
    </row>
    <row r="373" spans="1:31" x14ac:dyDescent="0.25">
      <c r="A373">
        <v>6132</v>
      </c>
      <c r="B373" t="s">
        <v>177</v>
      </c>
      <c r="C373" t="s">
        <v>178</v>
      </c>
      <c r="D373" s="35">
        <v>60766.2</v>
      </c>
      <c r="E373">
        <v>1246095119</v>
      </c>
      <c r="F373" s="324">
        <v>45447</v>
      </c>
      <c r="H373" t="s">
        <v>173</v>
      </c>
      <c r="I373" t="s">
        <v>174</v>
      </c>
      <c r="J373">
        <v>93</v>
      </c>
      <c r="K373" s="324">
        <v>45138</v>
      </c>
      <c r="L373">
        <v>1010100</v>
      </c>
      <c r="M373" t="s">
        <v>35</v>
      </c>
      <c r="N373">
        <v>665</v>
      </c>
      <c r="O373" s="32">
        <v>0</v>
      </c>
      <c r="P373" s="32">
        <v>0</v>
      </c>
      <c r="Q373" s="32">
        <v>0</v>
      </c>
      <c r="R373" s="32">
        <v>0</v>
      </c>
      <c r="S373" s="32">
        <v>0</v>
      </c>
      <c r="T373" s="32">
        <v>0</v>
      </c>
      <c r="U373" s="32">
        <v>60766.2</v>
      </c>
      <c r="V373" s="32">
        <v>0</v>
      </c>
      <c r="W373" s="32">
        <v>1822.9859999999999</v>
      </c>
      <c r="X373" s="32">
        <v>58943.213999999993</v>
      </c>
      <c r="Y373" s="32">
        <v>58943.213999999993</v>
      </c>
      <c r="Z373" s="32">
        <v>60766.2</v>
      </c>
      <c r="AA373" s="32">
        <v>-60766.2</v>
      </c>
      <c r="AB373" s="32">
        <v>0</v>
      </c>
      <c r="AC373" s="32" t="s">
        <v>542</v>
      </c>
      <c r="AD373" s="32"/>
      <c r="AE373" s="32">
        <v>0</v>
      </c>
    </row>
    <row r="374" spans="1:31" x14ac:dyDescent="0.25">
      <c r="A374">
        <v>6132</v>
      </c>
      <c r="B374" t="s">
        <v>177</v>
      </c>
      <c r="C374" t="s">
        <v>178</v>
      </c>
      <c r="D374" s="35">
        <v>178260</v>
      </c>
      <c r="E374">
        <v>1246091832</v>
      </c>
      <c r="F374" s="324">
        <v>45436</v>
      </c>
      <c r="H374" t="s">
        <v>173</v>
      </c>
      <c r="I374" t="s">
        <v>174</v>
      </c>
      <c r="J374">
        <v>115</v>
      </c>
      <c r="K374" s="324">
        <v>45118</v>
      </c>
      <c r="L374">
        <v>1010100</v>
      </c>
      <c r="M374" t="s">
        <v>35</v>
      </c>
      <c r="N374">
        <v>676</v>
      </c>
      <c r="O374" s="32">
        <v>0</v>
      </c>
      <c r="P374" s="32">
        <v>0</v>
      </c>
      <c r="Q374" s="32">
        <v>0</v>
      </c>
      <c r="R374" s="32">
        <v>0</v>
      </c>
      <c r="S374" s="32">
        <v>0</v>
      </c>
      <c r="T374" s="32">
        <v>0</v>
      </c>
      <c r="U374" s="32">
        <v>178260</v>
      </c>
      <c r="V374" s="32">
        <v>0</v>
      </c>
      <c r="W374" s="32">
        <v>5347.8</v>
      </c>
      <c r="X374" s="32">
        <v>172912.19999999998</v>
      </c>
      <c r="Y374" s="32">
        <v>172912.19999999998</v>
      </c>
      <c r="Z374" s="32">
        <v>178260</v>
      </c>
      <c r="AA374" s="32">
        <v>-178260</v>
      </c>
      <c r="AB374" s="32">
        <v>0</v>
      </c>
      <c r="AC374" s="32" t="s">
        <v>542</v>
      </c>
      <c r="AD374" s="32"/>
      <c r="AE374" s="32">
        <v>0</v>
      </c>
    </row>
    <row r="375" spans="1:31" x14ac:dyDescent="0.25">
      <c r="A375">
        <v>6132</v>
      </c>
      <c r="B375" t="s">
        <v>177</v>
      </c>
      <c r="C375" t="s">
        <v>178</v>
      </c>
      <c r="D375" s="35">
        <v>151915.50000000003</v>
      </c>
      <c r="E375">
        <v>1246095049</v>
      </c>
      <c r="F375" s="324">
        <v>45447</v>
      </c>
      <c r="H375" t="s">
        <v>173</v>
      </c>
      <c r="I375" t="s">
        <v>174</v>
      </c>
      <c r="J375">
        <v>92</v>
      </c>
      <c r="K375" s="324">
        <v>45138</v>
      </c>
      <c r="L375">
        <v>1010100</v>
      </c>
      <c r="M375" t="s">
        <v>35</v>
      </c>
      <c r="N375">
        <v>665</v>
      </c>
      <c r="O375" s="32">
        <v>0</v>
      </c>
      <c r="P375" s="32">
        <v>0</v>
      </c>
      <c r="Q375" s="32">
        <v>0</v>
      </c>
      <c r="R375" s="32">
        <v>0</v>
      </c>
      <c r="S375" s="32">
        <v>0</v>
      </c>
      <c r="T375" s="32">
        <v>0</v>
      </c>
      <c r="U375" s="32">
        <v>151915.50000000003</v>
      </c>
      <c r="V375" s="32">
        <v>0</v>
      </c>
      <c r="W375" s="32">
        <v>4557.4650000000011</v>
      </c>
      <c r="X375" s="32">
        <v>147358.03500000003</v>
      </c>
      <c r="Y375" s="32">
        <v>147358.03500000003</v>
      </c>
      <c r="Z375" s="32">
        <v>151915.50000000003</v>
      </c>
      <c r="AA375" s="32">
        <v>-151915.50000000003</v>
      </c>
      <c r="AB375" s="32">
        <v>0</v>
      </c>
      <c r="AC375" s="32" t="s">
        <v>542</v>
      </c>
      <c r="AD375" s="32"/>
      <c r="AE375" s="32">
        <v>0</v>
      </c>
    </row>
    <row r="376" spans="1:31" x14ac:dyDescent="0.25">
      <c r="A376">
        <v>6132</v>
      </c>
      <c r="B376" t="s">
        <v>177</v>
      </c>
      <c r="C376" t="s">
        <v>178</v>
      </c>
      <c r="D376" s="35">
        <v>91149.3</v>
      </c>
      <c r="E376">
        <v>1246095124</v>
      </c>
      <c r="F376" s="324">
        <v>45447</v>
      </c>
      <c r="H376" t="s">
        <v>173</v>
      </c>
      <c r="I376" t="s">
        <v>174</v>
      </c>
      <c r="J376">
        <v>94</v>
      </c>
      <c r="K376" s="324">
        <v>45138</v>
      </c>
      <c r="L376">
        <v>1010100</v>
      </c>
      <c r="M376" t="s">
        <v>35</v>
      </c>
      <c r="N376">
        <v>665</v>
      </c>
      <c r="O376" s="32">
        <v>0</v>
      </c>
      <c r="P376" s="32">
        <v>0</v>
      </c>
      <c r="Q376" s="32">
        <v>0</v>
      </c>
      <c r="R376" s="32">
        <v>0</v>
      </c>
      <c r="S376" s="32">
        <v>0</v>
      </c>
      <c r="T376" s="32">
        <v>0</v>
      </c>
      <c r="U376" s="32">
        <v>91149.3</v>
      </c>
      <c r="V376" s="32">
        <v>0</v>
      </c>
      <c r="W376" s="32">
        <v>2734.4789999999998</v>
      </c>
      <c r="X376" s="32">
        <v>88414.820999999996</v>
      </c>
      <c r="Y376" s="32">
        <v>88414.820999999996</v>
      </c>
      <c r="Z376" s="32">
        <v>91149.3</v>
      </c>
      <c r="AA376" s="32">
        <v>-91149.3</v>
      </c>
      <c r="AB376" s="32">
        <v>0</v>
      </c>
      <c r="AC376" s="32" t="s">
        <v>542</v>
      </c>
      <c r="AD376" s="32"/>
      <c r="AE376" s="32">
        <v>0</v>
      </c>
    </row>
    <row r="377" spans="1:31" x14ac:dyDescent="0.25">
      <c r="A377">
        <v>6132</v>
      </c>
      <c r="B377" t="s">
        <v>177</v>
      </c>
      <c r="C377" t="s">
        <v>178</v>
      </c>
      <c r="D377" s="35">
        <v>85223.34</v>
      </c>
      <c r="E377">
        <v>1246097799</v>
      </c>
      <c r="F377" s="324">
        <v>45442</v>
      </c>
      <c r="H377" t="s">
        <v>173</v>
      </c>
      <c r="I377" t="s">
        <v>174</v>
      </c>
      <c r="J377">
        <v>678</v>
      </c>
      <c r="K377" s="324">
        <v>45152</v>
      </c>
      <c r="L377">
        <v>1010100</v>
      </c>
      <c r="M377" t="s">
        <v>35</v>
      </c>
      <c r="N377">
        <v>670</v>
      </c>
      <c r="O377" s="32">
        <v>0</v>
      </c>
      <c r="P377" s="32">
        <v>0</v>
      </c>
      <c r="Q377" s="32">
        <v>0</v>
      </c>
      <c r="R377" s="32">
        <v>0</v>
      </c>
      <c r="S377" s="32">
        <v>0</v>
      </c>
      <c r="T377" s="32">
        <v>0</v>
      </c>
      <c r="U377" s="32">
        <v>85223.34</v>
      </c>
      <c r="V377" s="32">
        <v>0</v>
      </c>
      <c r="W377" s="32">
        <v>2556.7001999999998</v>
      </c>
      <c r="X377" s="32">
        <v>82666.63979999999</v>
      </c>
      <c r="Y377" s="32">
        <v>82666.63979999999</v>
      </c>
      <c r="Z377" s="32">
        <v>85223.34</v>
      </c>
      <c r="AA377" s="32">
        <v>-85223.34</v>
      </c>
      <c r="AB377" s="32">
        <v>0</v>
      </c>
      <c r="AC377" s="32" t="s">
        <v>542</v>
      </c>
      <c r="AD377" s="32"/>
      <c r="AE377" s="32">
        <v>0</v>
      </c>
    </row>
    <row r="378" spans="1:31" x14ac:dyDescent="0.25">
      <c r="A378">
        <v>6132</v>
      </c>
      <c r="B378" t="s">
        <v>177</v>
      </c>
      <c r="C378" t="s">
        <v>178</v>
      </c>
      <c r="D378" s="35">
        <v>84323.41</v>
      </c>
      <c r="E378">
        <v>1246121990</v>
      </c>
      <c r="F378" s="324">
        <v>45557</v>
      </c>
      <c r="H378" t="s">
        <v>173</v>
      </c>
      <c r="I378" t="s">
        <v>174</v>
      </c>
      <c r="J378">
        <v>2361</v>
      </c>
      <c r="K378" s="324">
        <v>45289</v>
      </c>
      <c r="L378">
        <v>1010100</v>
      </c>
      <c r="M378" t="s">
        <v>35</v>
      </c>
      <c r="N378">
        <v>555</v>
      </c>
      <c r="O378" s="32">
        <v>0</v>
      </c>
      <c r="P378" s="32">
        <v>0</v>
      </c>
      <c r="Q378" s="32">
        <v>0</v>
      </c>
      <c r="R378" s="32">
        <v>0</v>
      </c>
      <c r="S378" s="32">
        <v>0</v>
      </c>
      <c r="T378" s="32">
        <v>0</v>
      </c>
      <c r="U378" s="32">
        <v>84323.41</v>
      </c>
      <c r="V378" s="32">
        <v>0</v>
      </c>
      <c r="W378" s="32">
        <v>2529.7022999999999</v>
      </c>
      <c r="X378" s="32">
        <v>81793.707699999999</v>
      </c>
      <c r="Y378" s="32">
        <v>81793.707699999999</v>
      </c>
      <c r="Z378" s="32">
        <v>84323.41</v>
      </c>
      <c r="AA378" s="32">
        <v>-84323.41</v>
      </c>
      <c r="AB378" s="32">
        <v>0</v>
      </c>
      <c r="AC378" s="32" t="s">
        <v>542</v>
      </c>
      <c r="AD378" s="32"/>
      <c r="AE378" s="32">
        <v>0</v>
      </c>
    </row>
    <row r="379" spans="1:31" x14ac:dyDescent="0.25">
      <c r="A379">
        <v>6132</v>
      </c>
      <c r="B379" t="s">
        <v>177</v>
      </c>
      <c r="C379" t="s">
        <v>178</v>
      </c>
      <c r="D379" s="35">
        <v>63251.12</v>
      </c>
      <c r="E379">
        <v>1246128996</v>
      </c>
      <c r="F379" s="324">
        <v>45571</v>
      </c>
      <c r="H379" t="s">
        <v>173</v>
      </c>
      <c r="I379" t="s">
        <v>174</v>
      </c>
      <c r="J379">
        <v>2766</v>
      </c>
      <c r="K379" s="324">
        <v>45331</v>
      </c>
      <c r="L379">
        <v>1010100</v>
      </c>
      <c r="M379" t="s">
        <v>35</v>
      </c>
      <c r="N379">
        <v>541</v>
      </c>
      <c r="O379" s="32">
        <v>0</v>
      </c>
      <c r="P379" s="32">
        <v>0</v>
      </c>
      <c r="Q379" s="32">
        <v>0</v>
      </c>
      <c r="R379" s="32">
        <v>0</v>
      </c>
      <c r="S379" s="32">
        <v>0</v>
      </c>
      <c r="T379" s="32">
        <v>0</v>
      </c>
      <c r="U379" s="32">
        <v>63251.12</v>
      </c>
      <c r="V379" s="32">
        <v>0</v>
      </c>
      <c r="W379" s="32">
        <v>1897.5336</v>
      </c>
      <c r="X379" s="32">
        <v>61353.5864</v>
      </c>
      <c r="Y379" s="32">
        <v>61353.5864</v>
      </c>
      <c r="Z379" s="32">
        <v>63251.12</v>
      </c>
      <c r="AA379" s="32">
        <v>-63251.12</v>
      </c>
      <c r="AB379" s="32">
        <v>0</v>
      </c>
      <c r="AC379" s="32" t="s">
        <v>542</v>
      </c>
      <c r="AD379" s="32"/>
      <c r="AE379" s="32">
        <v>0</v>
      </c>
    </row>
    <row r="380" spans="1:31" x14ac:dyDescent="0.25">
      <c r="A380">
        <v>6132</v>
      </c>
      <c r="B380" t="s">
        <v>177</v>
      </c>
      <c r="C380" t="s">
        <v>178</v>
      </c>
      <c r="D380" s="35">
        <v>52062</v>
      </c>
      <c r="E380">
        <v>1246115169</v>
      </c>
      <c r="F380" s="324">
        <v>45466</v>
      </c>
      <c r="H380" t="s">
        <v>173</v>
      </c>
      <c r="I380" t="s">
        <v>174</v>
      </c>
      <c r="J380">
        <v>1974</v>
      </c>
      <c r="K380" s="324">
        <v>45244</v>
      </c>
      <c r="L380">
        <v>1010100</v>
      </c>
      <c r="M380" t="s">
        <v>35</v>
      </c>
      <c r="N380">
        <v>646</v>
      </c>
      <c r="O380" s="32">
        <v>0</v>
      </c>
      <c r="P380" s="32">
        <v>0</v>
      </c>
      <c r="Q380" s="32">
        <v>0</v>
      </c>
      <c r="R380" s="32">
        <v>0</v>
      </c>
      <c r="S380" s="32">
        <v>0</v>
      </c>
      <c r="T380" s="32">
        <v>0</v>
      </c>
      <c r="U380" s="32">
        <v>52062</v>
      </c>
      <c r="V380" s="32">
        <v>0</v>
      </c>
      <c r="W380" s="32">
        <v>1561.86</v>
      </c>
      <c r="X380" s="32">
        <v>50500.14</v>
      </c>
      <c r="Y380" s="32">
        <v>50500.14</v>
      </c>
      <c r="Z380" s="32">
        <v>52062</v>
      </c>
      <c r="AA380" s="32">
        <v>-52062</v>
      </c>
      <c r="AB380" s="32">
        <v>0</v>
      </c>
      <c r="AC380" s="32" t="s">
        <v>542</v>
      </c>
      <c r="AD380" s="32"/>
      <c r="AE380" s="32">
        <v>0</v>
      </c>
    </row>
    <row r="381" spans="1:31" x14ac:dyDescent="0.25">
      <c r="A381">
        <v>6132</v>
      </c>
      <c r="B381" t="s">
        <v>177</v>
      </c>
      <c r="C381" t="s">
        <v>178</v>
      </c>
      <c r="D381" s="35">
        <v>32002.66</v>
      </c>
      <c r="E381">
        <v>1246120211</v>
      </c>
      <c r="F381" s="324">
        <v>45518</v>
      </c>
      <c r="H381" t="s">
        <v>173</v>
      </c>
      <c r="I381" t="s">
        <v>174</v>
      </c>
      <c r="J381">
        <v>2284</v>
      </c>
      <c r="K381" s="324">
        <v>45278</v>
      </c>
      <c r="L381">
        <v>1010100</v>
      </c>
      <c r="M381" t="s">
        <v>35</v>
      </c>
      <c r="N381">
        <v>594</v>
      </c>
      <c r="O381" s="32">
        <v>0</v>
      </c>
      <c r="P381" s="32">
        <v>0</v>
      </c>
      <c r="Q381" s="32">
        <v>0</v>
      </c>
      <c r="R381" s="32">
        <v>0</v>
      </c>
      <c r="S381" s="32">
        <v>0</v>
      </c>
      <c r="T381" s="32">
        <v>0</v>
      </c>
      <c r="U381" s="32">
        <v>32002.66</v>
      </c>
      <c r="V381" s="32">
        <v>0</v>
      </c>
      <c r="W381" s="32">
        <v>960.07979999999998</v>
      </c>
      <c r="X381" s="32">
        <v>31042.5802</v>
      </c>
      <c r="Y381" s="32">
        <v>31042.5802</v>
      </c>
      <c r="Z381" s="32">
        <v>32002.66</v>
      </c>
      <c r="AA381" s="32">
        <v>-32002.66</v>
      </c>
      <c r="AB381" s="32">
        <v>0</v>
      </c>
      <c r="AC381" s="32" t="s">
        <v>542</v>
      </c>
      <c r="AD381" s="32"/>
      <c r="AE381" s="32">
        <v>0</v>
      </c>
    </row>
    <row r="382" spans="1:31" x14ac:dyDescent="0.25">
      <c r="A382">
        <v>6132</v>
      </c>
      <c r="B382" t="s">
        <v>177</v>
      </c>
      <c r="C382" t="s">
        <v>178</v>
      </c>
      <c r="D382" s="35">
        <v>112435.2</v>
      </c>
      <c r="E382">
        <v>1246116054</v>
      </c>
      <c r="F382" s="324">
        <v>45491</v>
      </c>
      <c r="H382" t="s">
        <v>173</v>
      </c>
      <c r="I382" t="s">
        <v>174</v>
      </c>
      <c r="J382">
        <v>2046</v>
      </c>
      <c r="K382" s="324">
        <v>45251</v>
      </c>
      <c r="L382">
        <v>1010100</v>
      </c>
      <c r="M382" t="s">
        <v>35</v>
      </c>
      <c r="N382">
        <v>621</v>
      </c>
      <c r="O382" s="32">
        <v>0</v>
      </c>
      <c r="P382" s="32">
        <v>0</v>
      </c>
      <c r="Q382" s="32">
        <v>0</v>
      </c>
      <c r="R382" s="32">
        <v>0</v>
      </c>
      <c r="S382" s="32">
        <v>0</v>
      </c>
      <c r="T382" s="32">
        <v>0</v>
      </c>
      <c r="U382" s="32">
        <v>112435.2</v>
      </c>
      <c r="V382" s="32">
        <v>0</v>
      </c>
      <c r="W382" s="32">
        <v>3373.0559999999996</v>
      </c>
      <c r="X382" s="32">
        <v>109062.144</v>
      </c>
      <c r="Y382" s="32">
        <v>109062.144</v>
      </c>
      <c r="Z382" s="32">
        <v>112435.2</v>
      </c>
      <c r="AA382" s="32">
        <v>-112435.2</v>
      </c>
      <c r="AB382" s="32">
        <v>0</v>
      </c>
      <c r="AC382" s="32" t="s">
        <v>542</v>
      </c>
      <c r="AD382" s="32"/>
      <c r="AE382" s="32">
        <v>0</v>
      </c>
    </row>
    <row r="383" spans="1:31" x14ac:dyDescent="0.25">
      <c r="A383">
        <v>6132</v>
      </c>
      <c r="B383" t="s">
        <v>177</v>
      </c>
      <c r="C383" t="s">
        <v>178</v>
      </c>
      <c r="D383" s="35">
        <v>29450.6</v>
      </c>
      <c r="E383">
        <v>1246128801</v>
      </c>
      <c r="F383" s="324">
        <v>45605</v>
      </c>
      <c r="H383" t="s">
        <v>173</v>
      </c>
      <c r="I383" t="s">
        <v>174</v>
      </c>
      <c r="J383">
        <v>2746</v>
      </c>
      <c r="K383" s="324">
        <v>45330</v>
      </c>
      <c r="L383">
        <v>1010100</v>
      </c>
      <c r="M383" t="s">
        <v>35</v>
      </c>
      <c r="N383">
        <v>507</v>
      </c>
      <c r="O383" s="32">
        <v>0</v>
      </c>
      <c r="P383" s="32">
        <v>0</v>
      </c>
      <c r="Q383" s="32">
        <v>0</v>
      </c>
      <c r="R383" s="32">
        <v>0</v>
      </c>
      <c r="S383" s="32">
        <v>0</v>
      </c>
      <c r="T383" s="32">
        <v>0</v>
      </c>
      <c r="U383" s="32">
        <v>29450.6</v>
      </c>
      <c r="V383" s="32">
        <v>0</v>
      </c>
      <c r="W383" s="32">
        <v>883.51799999999992</v>
      </c>
      <c r="X383" s="32">
        <v>28567.081999999999</v>
      </c>
      <c r="Y383" s="32">
        <v>28567.081999999999</v>
      </c>
      <c r="Z383" s="32">
        <v>29450.6</v>
      </c>
      <c r="AA383" s="32">
        <v>-29450.6</v>
      </c>
      <c r="AB383" s="32">
        <v>0</v>
      </c>
      <c r="AC383" s="32" t="s">
        <v>542</v>
      </c>
      <c r="AD383" s="32"/>
      <c r="AE383" s="32">
        <v>0</v>
      </c>
    </row>
    <row r="384" spans="1:31" x14ac:dyDescent="0.25">
      <c r="A384">
        <v>6132</v>
      </c>
      <c r="B384" t="s">
        <v>177</v>
      </c>
      <c r="C384" t="s">
        <v>178</v>
      </c>
      <c r="D384" s="35">
        <v>87840</v>
      </c>
      <c r="E384">
        <v>1246113431</v>
      </c>
      <c r="F384" s="324">
        <v>45476</v>
      </c>
      <c r="H384" t="s">
        <v>173</v>
      </c>
      <c r="I384" t="s">
        <v>174</v>
      </c>
      <c r="J384">
        <v>1852</v>
      </c>
      <c r="K384" s="324">
        <v>45236</v>
      </c>
      <c r="L384">
        <v>1010100</v>
      </c>
      <c r="M384" t="s">
        <v>35</v>
      </c>
      <c r="N384">
        <v>636</v>
      </c>
      <c r="O384" s="32">
        <v>0</v>
      </c>
      <c r="P384" s="32">
        <v>0</v>
      </c>
      <c r="Q384" s="32">
        <v>0</v>
      </c>
      <c r="R384" s="32">
        <v>0</v>
      </c>
      <c r="S384" s="32">
        <v>0</v>
      </c>
      <c r="T384" s="32">
        <v>0</v>
      </c>
      <c r="U384" s="32">
        <v>87840</v>
      </c>
      <c r="V384" s="32">
        <v>0</v>
      </c>
      <c r="W384" s="32">
        <v>2635.2</v>
      </c>
      <c r="X384" s="32">
        <v>85204.800000000003</v>
      </c>
      <c r="Y384" s="32">
        <v>85204.800000000003</v>
      </c>
      <c r="Z384" s="32">
        <v>87840</v>
      </c>
      <c r="AA384" s="32">
        <v>-87840</v>
      </c>
      <c r="AB384" s="32">
        <v>0</v>
      </c>
      <c r="AC384" s="32" t="s">
        <v>542</v>
      </c>
      <c r="AD384" s="32"/>
      <c r="AE384" s="32">
        <v>0</v>
      </c>
    </row>
    <row r="385" spans="1:31" x14ac:dyDescent="0.25">
      <c r="A385">
        <v>6132</v>
      </c>
      <c r="B385" t="s">
        <v>177</v>
      </c>
      <c r="C385" t="s">
        <v>178</v>
      </c>
      <c r="D385" s="35">
        <v>27201.1</v>
      </c>
      <c r="E385">
        <v>1246124199</v>
      </c>
      <c r="F385" s="324">
        <v>45557</v>
      </c>
      <c r="H385" t="s">
        <v>173</v>
      </c>
      <c r="I385" t="s">
        <v>174</v>
      </c>
      <c r="J385">
        <v>2454</v>
      </c>
      <c r="K385" s="324">
        <v>45301</v>
      </c>
      <c r="L385">
        <v>1010100</v>
      </c>
      <c r="M385" t="s">
        <v>35</v>
      </c>
      <c r="N385">
        <v>555</v>
      </c>
      <c r="O385" s="32">
        <v>0</v>
      </c>
      <c r="P385" s="32">
        <v>0</v>
      </c>
      <c r="Q385" s="32">
        <v>0</v>
      </c>
      <c r="R385" s="32">
        <v>0</v>
      </c>
      <c r="S385" s="32">
        <v>0</v>
      </c>
      <c r="T385" s="32">
        <v>0</v>
      </c>
      <c r="U385" s="32">
        <v>27201.1</v>
      </c>
      <c r="V385" s="32">
        <v>0</v>
      </c>
      <c r="W385" s="32">
        <v>816.0329999999999</v>
      </c>
      <c r="X385" s="32">
        <v>26385.066999999999</v>
      </c>
      <c r="Y385" s="32">
        <v>26385.066999999999</v>
      </c>
      <c r="Z385" s="32">
        <v>27201.1</v>
      </c>
      <c r="AA385" s="32">
        <v>-27201.1</v>
      </c>
      <c r="AB385" s="32">
        <v>0</v>
      </c>
      <c r="AC385" s="32" t="s">
        <v>542</v>
      </c>
      <c r="AD385" s="32"/>
      <c r="AE385" s="32">
        <v>0</v>
      </c>
    </row>
    <row r="386" spans="1:31" x14ac:dyDescent="0.25">
      <c r="A386">
        <v>6132</v>
      </c>
      <c r="B386" t="s">
        <v>177</v>
      </c>
      <c r="C386" t="s">
        <v>178</v>
      </c>
      <c r="D386" s="35">
        <v>86529.600000000006</v>
      </c>
      <c r="E386">
        <v>1246116354</v>
      </c>
      <c r="F386" s="324">
        <v>45475</v>
      </c>
      <c r="H386" t="s">
        <v>173</v>
      </c>
      <c r="I386" t="s">
        <v>174</v>
      </c>
      <c r="J386">
        <v>2068</v>
      </c>
      <c r="K386" s="324">
        <v>45253</v>
      </c>
      <c r="L386">
        <v>1010100</v>
      </c>
      <c r="M386" t="s">
        <v>35</v>
      </c>
      <c r="N386">
        <v>637</v>
      </c>
      <c r="O386" s="32">
        <v>0</v>
      </c>
      <c r="P386" s="32">
        <v>0</v>
      </c>
      <c r="Q386" s="32">
        <v>0</v>
      </c>
      <c r="R386" s="32">
        <v>0</v>
      </c>
      <c r="S386" s="32">
        <v>0</v>
      </c>
      <c r="T386" s="32">
        <v>0</v>
      </c>
      <c r="U386" s="32">
        <v>86529.600000000006</v>
      </c>
      <c r="V386" s="32">
        <v>0</v>
      </c>
      <c r="W386" s="32">
        <v>2595.8879999999999</v>
      </c>
      <c r="X386" s="32">
        <v>83933.712</v>
      </c>
      <c r="Y386" s="32">
        <v>83933.712</v>
      </c>
      <c r="Z386" s="32">
        <v>86529.600000000006</v>
      </c>
      <c r="AA386" s="32">
        <v>-86529.600000000006</v>
      </c>
      <c r="AB386" s="32">
        <v>0</v>
      </c>
      <c r="AC386" s="32" t="s">
        <v>542</v>
      </c>
      <c r="AD386" s="32"/>
      <c r="AE386" s="32">
        <v>0</v>
      </c>
    </row>
    <row r="387" spans="1:31" x14ac:dyDescent="0.25">
      <c r="A387">
        <v>6132</v>
      </c>
      <c r="B387" t="s">
        <v>177</v>
      </c>
      <c r="C387" t="s">
        <v>178</v>
      </c>
      <c r="D387" s="35">
        <v>171010</v>
      </c>
      <c r="E387">
        <v>1246117256</v>
      </c>
      <c r="F387" s="324">
        <v>45474</v>
      </c>
      <c r="H387" t="s">
        <v>173</v>
      </c>
      <c r="I387" t="s">
        <v>174</v>
      </c>
      <c r="J387">
        <v>2130</v>
      </c>
      <c r="K387" s="324">
        <v>45260</v>
      </c>
      <c r="L387">
        <v>1010100</v>
      </c>
      <c r="M387" t="s">
        <v>35</v>
      </c>
      <c r="N387">
        <v>638</v>
      </c>
      <c r="O387" s="32">
        <v>0</v>
      </c>
      <c r="P387" s="32">
        <v>0</v>
      </c>
      <c r="Q387" s="32">
        <v>0</v>
      </c>
      <c r="R387" s="32">
        <v>0</v>
      </c>
      <c r="S387" s="32">
        <v>0</v>
      </c>
      <c r="T387" s="32">
        <v>0</v>
      </c>
      <c r="U387" s="32">
        <v>171010</v>
      </c>
      <c r="V387" s="32">
        <v>0</v>
      </c>
      <c r="W387" s="32">
        <v>5130.3</v>
      </c>
      <c r="X387" s="32">
        <v>165879.69999999998</v>
      </c>
      <c r="Y387" s="32">
        <v>165879.69999999998</v>
      </c>
      <c r="Z387" s="32">
        <v>171010</v>
      </c>
      <c r="AA387" s="32">
        <v>-171010</v>
      </c>
      <c r="AB387" s="32">
        <v>0</v>
      </c>
      <c r="AC387" s="32" t="s">
        <v>542</v>
      </c>
      <c r="AD387" s="32"/>
      <c r="AE387" s="32">
        <v>0</v>
      </c>
    </row>
    <row r="388" spans="1:31" x14ac:dyDescent="0.25">
      <c r="A388">
        <v>6132</v>
      </c>
      <c r="B388" t="s">
        <v>177</v>
      </c>
      <c r="C388" t="s">
        <v>178</v>
      </c>
      <c r="D388" s="35">
        <v>94461</v>
      </c>
      <c r="E388">
        <v>1246125716</v>
      </c>
      <c r="F388" s="324">
        <v>45578</v>
      </c>
      <c r="H388" t="s">
        <v>173</v>
      </c>
      <c r="I388" t="s">
        <v>174</v>
      </c>
      <c r="J388">
        <v>2541</v>
      </c>
      <c r="K388" s="324">
        <v>45310</v>
      </c>
      <c r="L388">
        <v>1010100</v>
      </c>
      <c r="M388" t="s">
        <v>35</v>
      </c>
      <c r="N388">
        <v>534</v>
      </c>
      <c r="O388" s="32">
        <v>0</v>
      </c>
      <c r="P388" s="32">
        <v>0</v>
      </c>
      <c r="Q388" s="32">
        <v>0</v>
      </c>
      <c r="R388" s="32">
        <v>0</v>
      </c>
      <c r="S388" s="32">
        <v>0</v>
      </c>
      <c r="T388" s="32">
        <v>0</v>
      </c>
      <c r="U388" s="32">
        <v>94461</v>
      </c>
      <c r="V388" s="32">
        <v>0</v>
      </c>
      <c r="W388" s="32">
        <v>2833.83</v>
      </c>
      <c r="X388" s="32">
        <v>91627.17</v>
      </c>
      <c r="Y388" s="32">
        <v>91627.17</v>
      </c>
      <c r="Z388" s="32">
        <v>94461</v>
      </c>
      <c r="AA388" s="32">
        <v>-94461</v>
      </c>
      <c r="AB388" s="32">
        <v>0</v>
      </c>
      <c r="AC388" s="32" t="s">
        <v>542</v>
      </c>
      <c r="AD388" s="32"/>
      <c r="AE388" s="32">
        <v>0</v>
      </c>
    </row>
    <row r="389" spans="1:31" x14ac:dyDescent="0.25">
      <c r="A389">
        <v>6132</v>
      </c>
      <c r="B389" t="s">
        <v>177</v>
      </c>
      <c r="C389" t="s">
        <v>178</v>
      </c>
      <c r="D389" s="35">
        <v>67967</v>
      </c>
      <c r="E389">
        <v>1246128327</v>
      </c>
      <c r="F389" s="324">
        <v>45567</v>
      </c>
      <c r="H389" t="s">
        <v>173</v>
      </c>
      <c r="I389" t="s">
        <v>174</v>
      </c>
      <c r="J389">
        <v>2712</v>
      </c>
      <c r="K389" s="324">
        <v>45327</v>
      </c>
      <c r="L389">
        <v>1010100</v>
      </c>
      <c r="M389" t="s">
        <v>35</v>
      </c>
      <c r="N389">
        <v>545</v>
      </c>
      <c r="O389" s="32">
        <v>0</v>
      </c>
      <c r="P389" s="32">
        <v>0</v>
      </c>
      <c r="Q389" s="32">
        <v>0</v>
      </c>
      <c r="R389" s="32">
        <v>0</v>
      </c>
      <c r="S389" s="32">
        <v>0</v>
      </c>
      <c r="T389" s="32">
        <v>0</v>
      </c>
      <c r="U389" s="32">
        <v>67967</v>
      </c>
      <c r="V389" s="32">
        <v>0</v>
      </c>
      <c r="W389" s="32">
        <v>2039.01</v>
      </c>
      <c r="X389" s="32">
        <v>65927.990000000005</v>
      </c>
      <c r="Y389" s="32">
        <v>65927.990000000005</v>
      </c>
      <c r="Z389" s="32">
        <v>67967</v>
      </c>
      <c r="AA389" s="32">
        <v>-67967</v>
      </c>
      <c r="AB389" s="32">
        <v>0</v>
      </c>
      <c r="AC389" s="32" t="s">
        <v>542</v>
      </c>
      <c r="AD389" s="32"/>
      <c r="AE389" s="32">
        <v>0</v>
      </c>
    </row>
    <row r="390" spans="1:31" x14ac:dyDescent="0.25">
      <c r="A390">
        <v>6132</v>
      </c>
      <c r="B390" t="s">
        <v>177</v>
      </c>
      <c r="C390" t="s">
        <v>178</v>
      </c>
      <c r="D390" s="35">
        <v>77852.5</v>
      </c>
      <c r="E390">
        <v>1246128328</v>
      </c>
      <c r="F390" s="324">
        <v>45567</v>
      </c>
      <c r="H390" t="s">
        <v>173</v>
      </c>
      <c r="I390" t="s">
        <v>174</v>
      </c>
      <c r="J390">
        <v>2713</v>
      </c>
      <c r="K390" s="324">
        <v>45327</v>
      </c>
      <c r="L390">
        <v>1010100</v>
      </c>
      <c r="M390" t="s">
        <v>35</v>
      </c>
      <c r="N390">
        <v>545</v>
      </c>
      <c r="O390" s="32">
        <v>0</v>
      </c>
      <c r="P390" s="32">
        <v>0</v>
      </c>
      <c r="Q390" s="32">
        <v>0</v>
      </c>
      <c r="R390" s="32">
        <v>0</v>
      </c>
      <c r="S390" s="32">
        <v>0</v>
      </c>
      <c r="T390" s="32">
        <v>0</v>
      </c>
      <c r="U390" s="32">
        <v>77852.5</v>
      </c>
      <c r="V390" s="32">
        <v>0</v>
      </c>
      <c r="W390" s="32">
        <v>2335.5749999999998</v>
      </c>
      <c r="X390" s="32">
        <v>75516.925000000003</v>
      </c>
      <c r="Y390" s="32">
        <v>75516.925000000003</v>
      </c>
      <c r="Z390" s="32">
        <v>77852.5</v>
      </c>
      <c r="AA390" s="32">
        <v>-77852.5</v>
      </c>
      <c r="AB390" s="32">
        <v>0</v>
      </c>
      <c r="AC390" s="32" t="s">
        <v>542</v>
      </c>
      <c r="AD390" s="32"/>
      <c r="AE390" s="32">
        <v>0</v>
      </c>
    </row>
    <row r="391" spans="1:31" x14ac:dyDescent="0.25">
      <c r="A391">
        <v>6132</v>
      </c>
      <c r="B391" t="s">
        <v>177</v>
      </c>
      <c r="C391" t="s">
        <v>178</v>
      </c>
      <c r="D391" s="35">
        <v>41610.269999999997</v>
      </c>
      <c r="E391">
        <v>1246128682</v>
      </c>
      <c r="F391" s="324">
        <v>45604</v>
      </c>
      <c r="H391" t="s">
        <v>173</v>
      </c>
      <c r="I391" t="s">
        <v>174</v>
      </c>
      <c r="J391">
        <v>2737</v>
      </c>
      <c r="K391" s="324">
        <v>45329</v>
      </c>
      <c r="L391">
        <v>1010100</v>
      </c>
      <c r="M391" t="s">
        <v>35</v>
      </c>
      <c r="N391">
        <v>508</v>
      </c>
      <c r="O391" s="32">
        <v>0</v>
      </c>
      <c r="P391" s="32">
        <v>0</v>
      </c>
      <c r="Q391" s="32">
        <v>0</v>
      </c>
      <c r="R391" s="32">
        <v>0</v>
      </c>
      <c r="S391" s="32">
        <v>0</v>
      </c>
      <c r="T391" s="32">
        <v>0</v>
      </c>
      <c r="U391" s="32">
        <v>41610.269999999997</v>
      </c>
      <c r="V391" s="32">
        <v>0</v>
      </c>
      <c r="W391" s="32">
        <v>1248.3081</v>
      </c>
      <c r="X391" s="32">
        <v>40361.961899999995</v>
      </c>
      <c r="Y391" s="32">
        <v>40361.961899999995</v>
      </c>
      <c r="Z391" s="32">
        <v>41610.269999999997</v>
      </c>
      <c r="AA391" s="32">
        <v>-41610.269999999997</v>
      </c>
      <c r="AB391" s="32">
        <v>0</v>
      </c>
      <c r="AC391" s="32" t="s">
        <v>542</v>
      </c>
      <c r="AD391" s="32"/>
      <c r="AE391" s="32">
        <v>0</v>
      </c>
    </row>
    <row r="392" spans="1:31" x14ac:dyDescent="0.25">
      <c r="A392">
        <v>6132</v>
      </c>
      <c r="B392" t="s">
        <v>177</v>
      </c>
      <c r="C392" t="s">
        <v>178</v>
      </c>
      <c r="D392" s="35">
        <v>107254.39999999999</v>
      </c>
      <c r="E392">
        <v>1246126442</v>
      </c>
      <c r="F392" s="324">
        <v>45565</v>
      </c>
      <c r="H392" t="s">
        <v>173</v>
      </c>
      <c r="I392" t="s">
        <v>174</v>
      </c>
      <c r="J392">
        <v>2587</v>
      </c>
      <c r="K392" s="324">
        <v>45315</v>
      </c>
      <c r="L392">
        <v>1010100</v>
      </c>
      <c r="M392" t="s">
        <v>35</v>
      </c>
      <c r="N392">
        <v>547</v>
      </c>
      <c r="O392" s="32">
        <v>0</v>
      </c>
      <c r="P392" s="32">
        <v>0</v>
      </c>
      <c r="Q392" s="32">
        <v>0</v>
      </c>
      <c r="R392" s="32">
        <v>0</v>
      </c>
      <c r="S392" s="32">
        <v>0</v>
      </c>
      <c r="T392" s="32">
        <v>0</v>
      </c>
      <c r="U392" s="32">
        <v>107254.39999999999</v>
      </c>
      <c r="V392" s="32">
        <v>0</v>
      </c>
      <c r="W392" s="32">
        <v>3217.6319999999996</v>
      </c>
      <c r="X392" s="32">
        <v>104036.768</v>
      </c>
      <c r="Y392" s="32">
        <v>104036.768</v>
      </c>
      <c r="Z392" s="32">
        <v>107254.39999999999</v>
      </c>
      <c r="AA392" s="32">
        <v>-107254.39999999999</v>
      </c>
      <c r="AB392" s="32">
        <v>0</v>
      </c>
      <c r="AC392" s="32" t="s">
        <v>542</v>
      </c>
      <c r="AD392" s="32"/>
      <c r="AE392" s="32">
        <v>0</v>
      </c>
    </row>
    <row r="393" spans="1:31" x14ac:dyDescent="0.25">
      <c r="A393">
        <v>6132</v>
      </c>
      <c r="B393" t="s">
        <v>177</v>
      </c>
      <c r="C393" t="s">
        <v>178</v>
      </c>
      <c r="D393" s="35">
        <v>56218.2</v>
      </c>
      <c r="E393">
        <v>1246128800</v>
      </c>
      <c r="F393" s="324">
        <v>45605</v>
      </c>
      <c r="H393" t="s">
        <v>173</v>
      </c>
      <c r="I393" t="s">
        <v>174</v>
      </c>
      <c r="J393">
        <v>2745</v>
      </c>
      <c r="K393" s="324">
        <v>45330</v>
      </c>
      <c r="L393">
        <v>1010100</v>
      </c>
      <c r="M393" t="s">
        <v>35</v>
      </c>
      <c r="N393">
        <v>507</v>
      </c>
      <c r="O393" s="32">
        <v>0</v>
      </c>
      <c r="P393" s="32">
        <v>0</v>
      </c>
      <c r="Q393" s="32">
        <v>0</v>
      </c>
      <c r="R393" s="32">
        <v>0</v>
      </c>
      <c r="S393" s="32">
        <v>0</v>
      </c>
      <c r="T393" s="32">
        <v>0</v>
      </c>
      <c r="U393" s="32">
        <v>56218.2</v>
      </c>
      <c r="V393" s="32">
        <v>0</v>
      </c>
      <c r="W393" s="32">
        <v>1686.5459999999998</v>
      </c>
      <c r="X393" s="32">
        <v>54531.653999999995</v>
      </c>
      <c r="Y393" s="32">
        <v>54531.653999999995</v>
      </c>
      <c r="Z393" s="32">
        <v>56218.2</v>
      </c>
      <c r="AA393" s="32">
        <v>-56218.2</v>
      </c>
      <c r="AB393" s="32">
        <v>0</v>
      </c>
      <c r="AC393" s="32" t="s">
        <v>542</v>
      </c>
      <c r="AD393" s="32"/>
      <c r="AE393" s="32">
        <v>0</v>
      </c>
    </row>
    <row r="394" spans="1:31" x14ac:dyDescent="0.25">
      <c r="A394">
        <v>6132</v>
      </c>
      <c r="B394" t="s">
        <v>177</v>
      </c>
      <c r="C394" t="s">
        <v>178</v>
      </c>
      <c r="D394" s="35">
        <v>24480.99</v>
      </c>
      <c r="E394">
        <v>1246127802</v>
      </c>
      <c r="F394" s="324">
        <v>45603</v>
      </c>
      <c r="H394" t="s">
        <v>173</v>
      </c>
      <c r="I394" t="s">
        <v>174</v>
      </c>
      <c r="J394">
        <v>2674</v>
      </c>
      <c r="K394" s="324">
        <v>45323</v>
      </c>
      <c r="L394">
        <v>1010100</v>
      </c>
      <c r="M394" t="s">
        <v>35</v>
      </c>
      <c r="N394">
        <v>509</v>
      </c>
      <c r="O394" s="32">
        <v>0</v>
      </c>
      <c r="P394" s="32">
        <v>0</v>
      </c>
      <c r="Q394" s="32">
        <v>0</v>
      </c>
      <c r="R394" s="32">
        <v>0</v>
      </c>
      <c r="S394" s="32">
        <v>0</v>
      </c>
      <c r="T394" s="32">
        <v>0</v>
      </c>
      <c r="U394" s="32">
        <v>24480.99</v>
      </c>
      <c r="V394" s="32">
        <v>0</v>
      </c>
      <c r="W394" s="32">
        <v>734.42970000000003</v>
      </c>
      <c r="X394" s="32">
        <v>23746.560300000001</v>
      </c>
      <c r="Y394" s="32">
        <v>23746.560300000001</v>
      </c>
      <c r="Z394" s="32">
        <v>24480.99</v>
      </c>
      <c r="AA394" s="32">
        <v>-24480.99</v>
      </c>
      <c r="AB394" s="32">
        <v>0</v>
      </c>
      <c r="AC394" s="32" t="s">
        <v>542</v>
      </c>
      <c r="AD394" s="32"/>
      <c r="AE394" s="32">
        <v>0</v>
      </c>
    </row>
    <row r="395" spans="1:31" x14ac:dyDescent="0.25">
      <c r="A395">
        <v>6132</v>
      </c>
      <c r="B395" t="s">
        <v>177</v>
      </c>
      <c r="C395" t="s">
        <v>178</v>
      </c>
      <c r="D395" s="35">
        <v>87043.520000000004</v>
      </c>
      <c r="E395">
        <v>1246120531</v>
      </c>
      <c r="F395" s="324">
        <v>45559</v>
      </c>
      <c r="H395" t="s">
        <v>173</v>
      </c>
      <c r="I395" t="s">
        <v>174</v>
      </c>
      <c r="J395">
        <v>2295</v>
      </c>
      <c r="K395" s="324">
        <v>45279</v>
      </c>
      <c r="L395">
        <v>1010100</v>
      </c>
      <c r="M395" t="s">
        <v>35</v>
      </c>
      <c r="N395">
        <v>553</v>
      </c>
      <c r="O395" s="32">
        <v>0</v>
      </c>
      <c r="P395" s="32">
        <v>0</v>
      </c>
      <c r="Q395" s="32">
        <v>0</v>
      </c>
      <c r="R395" s="32">
        <v>0</v>
      </c>
      <c r="S395" s="32">
        <v>0</v>
      </c>
      <c r="T395" s="32">
        <v>0</v>
      </c>
      <c r="U395" s="32">
        <v>87043.520000000004</v>
      </c>
      <c r="V395" s="32">
        <v>0</v>
      </c>
      <c r="W395" s="32">
        <v>2611.3056000000001</v>
      </c>
      <c r="X395" s="32">
        <v>84432.214399999997</v>
      </c>
      <c r="Y395" s="32">
        <v>84432.214399999997</v>
      </c>
      <c r="Z395" s="32">
        <v>87043.520000000004</v>
      </c>
      <c r="AA395" s="32">
        <v>-87043.520000000004</v>
      </c>
      <c r="AB395" s="32">
        <v>0</v>
      </c>
      <c r="AC395" s="32" t="s">
        <v>542</v>
      </c>
      <c r="AD395" s="32"/>
      <c r="AE395" s="32">
        <v>0</v>
      </c>
    </row>
    <row r="396" spans="1:31" x14ac:dyDescent="0.25">
      <c r="A396">
        <v>6132</v>
      </c>
      <c r="B396" t="s">
        <v>177</v>
      </c>
      <c r="C396" t="s">
        <v>178</v>
      </c>
      <c r="D396" s="35">
        <v>87504.97</v>
      </c>
      <c r="E396">
        <v>1246119910</v>
      </c>
      <c r="F396" s="324">
        <v>45555</v>
      </c>
      <c r="H396" t="s">
        <v>173</v>
      </c>
      <c r="I396" t="s">
        <v>174</v>
      </c>
      <c r="J396">
        <v>2248</v>
      </c>
      <c r="K396" s="324">
        <v>45275</v>
      </c>
      <c r="L396">
        <v>1010100</v>
      </c>
      <c r="M396" t="s">
        <v>35</v>
      </c>
      <c r="N396">
        <v>557</v>
      </c>
      <c r="O396" s="32">
        <v>0</v>
      </c>
      <c r="P396" s="32">
        <v>0</v>
      </c>
      <c r="Q396" s="32">
        <v>0</v>
      </c>
      <c r="R396" s="32">
        <v>0</v>
      </c>
      <c r="S396" s="32">
        <v>0</v>
      </c>
      <c r="T396" s="32">
        <v>0</v>
      </c>
      <c r="U396" s="32">
        <v>87504.97</v>
      </c>
      <c r="V396" s="32">
        <v>0</v>
      </c>
      <c r="W396" s="32">
        <v>2625.1491000000001</v>
      </c>
      <c r="X396" s="32">
        <v>84879.820899999992</v>
      </c>
      <c r="Y396" s="32">
        <v>84879.820899999992</v>
      </c>
      <c r="Z396" s="32">
        <v>87504.97</v>
      </c>
      <c r="AA396" s="32">
        <v>-87504.97</v>
      </c>
      <c r="AB396" s="32">
        <v>0</v>
      </c>
      <c r="AC396" s="32" t="s">
        <v>542</v>
      </c>
      <c r="AD396" s="32"/>
      <c r="AE396" s="32">
        <v>0</v>
      </c>
    </row>
    <row r="397" spans="1:31" x14ac:dyDescent="0.25">
      <c r="A397">
        <v>6132</v>
      </c>
      <c r="B397" t="s">
        <v>177</v>
      </c>
      <c r="C397" t="s">
        <v>178</v>
      </c>
      <c r="D397" s="35">
        <v>22997.32</v>
      </c>
      <c r="E397">
        <v>1246119982</v>
      </c>
      <c r="F397" s="324">
        <v>45515</v>
      </c>
      <c r="H397" t="s">
        <v>173</v>
      </c>
      <c r="I397" t="s">
        <v>174</v>
      </c>
      <c r="J397">
        <v>2263</v>
      </c>
      <c r="K397" s="324">
        <v>45275</v>
      </c>
      <c r="L397">
        <v>1010100</v>
      </c>
      <c r="M397" t="s">
        <v>35</v>
      </c>
      <c r="N397">
        <v>597</v>
      </c>
      <c r="O397" s="32">
        <v>0</v>
      </c>
      <c r="P397" s="32">
        <v>0</v>
      </c>
      <c r="Q397" s="32">
        <v>0</v>
      </c>
      <c r="R397" s="32">
        <v>0</v>
      </c>
      <c r="S397" s="32">
        <v>0</v>
      </c>
      <c r="T397" s="32">
        <v>0</v>
      </c>
      <c r="U397" s="32">
        <v>22997.32</v>
      </c>
      <c r="V397" s="32">
        <v>0</v>
      </c>
      <c r="W397" s="32">
        <v>689.91959999999995</v>
      </c>
      <c r="X397" s="32">
        <v>22307.400399999999</v>
      </c>
      <c r="Y397" s="32">
        <v>22307.400399999999</v>
      </c>
      <c r="Z397" s="32">
        <v>22997.32</v>
      </c>
      <c r="AA397" s="32">
        <v>-22997.32</v>
      </c>
      <c r="AB397" s="32">
        <v>0</v>
      </c>
      <c r="AC397" s="32" t="s">
        <v>542</v>
      </c>
      <c r="AD397" s="32"/>
      <c r="AE397" s="32">
        <v>0</v>
      </c>
    </row>
    <row r="398" spans="1:31" x14ac:dyDescent="0.25">
      <c r="A398">
        <v>6132</v>
      </c>
      <c r="B398" t="s">
        <v>177</v>
      </c>
      <c r="C398" t="s">
        <v>178</v>
      </c>
      <c r="D398" s="35">
        <v>10860</v>
      </c>
      <c r="E398">
        <v>1246122169</v>
      </c>
      <c r="F398" s="324">
        <v>45469</v>
      </c>
      <c r="H398" t="s">
        <v>173</v>
      </c>
      <c r="I398" t="s">
        <v>174</v>
      </c>
      <c r="J398">
        <v>2373</v>
      </c>
      <c r="K398" s="324">
        <v>45289</v>
      </c>
      <c r="L398">
        <v>1010100</v>
      </c>
      <c r="M398" t="s">
        <v>35</v>
      </c>
      <c r="N398">
        <v>643</v>
      </c>
      <c r="O398" s="32">
        <v>0</v>
      </c>
      <c r="P398" s="32">
        <v>0</v>
      </c>
      <c r="Q398" s="32">
        <v>0</v>
      </c>
      <c r="R398" s="32">
        <v>0</v>
      </c>
      <c r="S398" s="32">
        <v>0</v>
      </c>
      <c r="T398" s="32">
        <v>0</v>
      </c>
      <c r="U398" s="32">
        <v>10860</v>
      </c>
      <c r="V398" s="32">
        <v>0</v>
      </c>
      <c r="W398" s="32">
        <v>325.8</v>
      </c>
      <c r="X398" s="32">
        <v>10534.199999999999</v>
      </c>
      <c r="Y398" s="32">
        <v>10534.199999999999</v>
      </c>
      <c r="Z398" s="32">
        <v>10860</v>
      </c>
      <c r="AA398" s="32">
        <v>-10860</v>
      </c>
      <c r="AB398" s="32">
        <v>0</v>
      </c>
      <c r="AC398" s="32" t="s">
        <v>542</v>
      </c>
      <c r="AD398" s="32"/>
      <c r="AE398" s="32">
        <v>0</v>
      </c>
    </row>
    <row r="399" spans="1:31" x14ac:dyDescent="0.25">
      <c r="A399">
        <v>6132</v>
      </c>
      <c r="B399" t="s">
        <v>177</v>
      </c>
      <c r="C399" t="s">
        <v>178</v>
      </c>
      <c r="D399" s="35">
        <v>57205.5</v>
      </c>
      <c r="E399">
        <v>1246122168</v>
      </c>
      <c r="F399" s="324">
        <v>45557</v>
      </c>
      <c r="H399" t="s">
        <v>173</v>
      </c>
      <c r="I399" t="s">
        <v>174</v>
      </c>
      <c r="J399">
        <v>2372</v>
      </c>
      <c r="K399" s="324">
        <v>45289</v>
      </c>
      <c r="L399">
        <v>1010100</v>
      </c>
      <c r="M399" t="s">
        <v>35</v>
      </c>
      <c r="N399">
        <v>555</v>
      </c>
      <c r="O399" s="32">
        <v>0</v>
      </c>
      <c r="P399" s="32">
        <v>0</v>
      </c>
      <c r="Q399" s="32">
        <v>0</v>
      </c>
      <c r="R399" s="32">
        <v>0</v>
      </c>
      <c r="S399" s="32">
        <v>0</v>
      </c>
      <c r="T399" s="32">
        <v>0</v>
      </c>
      <c r="U399" s="32">
        <v>57205.5</v>
      </c>
      <c r="V399" s="32">
        <v>0</v>
      </c>
      <c r="W399" s="32">
        <v>1716.165</v>
      </c>
      <c r="X399" s="32">
        <v>55489.334999999999</v>
      </c>
      <c r="Y399" s="32">
        <v>55489.334999999999</v>
      </c>
      <c r="Z399" s="32">
        <v>57205.5</v>
      </c>
      <c r="AA399" s="32">
        <v>-57205.5</v>
      </c>
      <c r="AB399" s="32">
        <v>0</v>
      </c>
      <c r="AC399" s="32" t="s">
        <v>542</v>
      </c>
      <c r="AD399" s="32"/>
      <c r="AE399" s="32">
        <v>0</v>
      </c>
    </row>
    <row r="400" spans="1:31" x14ac:dyDescent="0.25">
      <c r="A400">
        <v>6132</v>
      </c>
      <c r="B400" t="s">
        <v>177</v>
      </c>
      <c r="C400" t="s">
        <v>178</v>
      </c>
      <c r="D400" s="35">
        <v>109750.39999999999</v>
      </c>
      <c r="E400">
        <v>1246117165</v>
      </c>
      <c r="F400" s="324">
        <v>45473</v>
      </c>
      <c r="H400" t="s">
        <v>173</v>
      </c>
      <c r="I400" t="s">
        <v>174</v>
      </c>
      <c r="J400">
        <v>2128</v>
      </c>
      <c r="K400" s="324">
        <v>45259</v>
      </c>
      <c r="L400">
        <v>1010100</v>
      </c>
      <c r="M400" t="s">
        <v>35</v>
      </c>
      <c r="N400">
        <v>639</v>
      </c>
      <c r="O400" s="32">
        <v>0</v>
      </c>
      <c r="P400" s="32">
        <v>0</v>
      </c>
      <c r="Q400" s="32">
        <v>0</v>
      </c>
      <c r="R400" s="32">
        <v>0</v>
      </c>
      <c r="S400" s="32">
        <v>0</v>
      </c>
      <c r="T400" s="32">
        <v>0</v>
      </c>
      <c r="U400" s="32">
        <v>109750.39999999999</v>
      </c>
      <c r="V400" s="32">
        <v>0</v>
      </c>
      <c r="W400" s="32">
        <v>3292.5119999999997</v>
      </c>
      <c r="X400" s="32">
        <v>106457.88799999999</v>
      </c>
      <c r="Y400" s="32">
        <v>106457.88799999999</v>
      </c>
      <c r="Z400" s="32">
        <v>109750.39999999999</v>
      </c>
      <c r="AA400" s="32">
        <v>-109750.39999999999</v>
      </c>
      <c r="AB400" s="32">
        <v>0</v>
      </c>
      <c r="AC400" s="32" t="s">
        <v>542</v>
      </c>
      <c r="AD400" s="32"/>
      <c r="AE400" s="32">
        <v>0</v>
      </c>
    </row>
    <row r="401" spans="1:31" x14ac:dyDescent="0.25">
      <c r="A401">
        <v>6132</v>
      </c>
      <c r="B401" t="s">
        <v>177</v>
      </c>
      <c r="C401" t="s">
        <v>178</v>
      </c>
      <c r="D401" s="35">
        <v>111644.8</v>
      </c>
      <c r="E401">
        <v>1246117516</v>
      </c>
      <c r="F401" s="324">
        <v>45536</v>
      </c>
      <c r="H401" t="s">
        <v>173</v>
      </c>
      <c r="I401" t="s">
        <v>174</v>
      </c>
      <c r="J401">
        <v>2140</v>
      </c>
      <c r="K401" s="324">
        <v>45261</v>
      </c>
      <c r="L401">
        <v>1010100</v>
      </c>
      <c r="M401" t="s">
        <v>35</v>
      </c>
      <c r="N401">
        <v>576</v>
      </c>
      <c r="O401" s="32">
        <v>0</v>
      </c>
      <c r="P401" s="32">
        <v>0</v>
      </c>
      <c r="Q401" s="32">
        <v>0</v>
      </c>
      <c r="R401" s="32">
        <v>0</v>
      </c>
      <c r="S401" s="32">
        <v>0</v>
      </c>
      <c r="T401" s="32">
        <v>0</v>
      </c>
      <c r="U401" s="32">
        <v>111644.8</v>
      </c>
      <c r="V401" s="32">
        <v>0</v>
      </c>
      <c r="W401" s="32">
        <v>3349.3440000000001</v>
      </c>
      <c r="X401" s="32">
        <v>108295.45600000001</v>
      </c>
      <c r="Y401" s="32">
        <v>108295.45600000001</v>
      </c>
      <c r="Z401" s="32">
        <v>111644.8</v>
      </c>
      <c r="AA401" s="32">
        <v>-111644.8</v>
      </c>
      <c r="AB401" s="32">
        <v>0</v>
      </c>
      <c r="AC401" s="32" t="s">
        <v>542</v>
      </c>
      <c r="AD401" s="32"/>
      <c r="AE401" s="32">
        <v>0</v>
      </c>
    </row>
    <row r="402" spans="1:31" x14ac:dyDescent="0.25">
      <c r="A402">
        <v>6132</v>
      </c>
      <c r="B402" t="s">
        <v>177</v>
      </c>
      <c r="C402" t="s">
        <v>178</v>
      </c>
      <c r="D402" s="35">
        <v>136005.5</v>
      </c>
      <c r="E402">
        <v>1246120768</v>
      </c>
      <c r="F402" s="324">
        <v>45560</v>
      </c>
      <c r="H402" t="s">
        <v>173</v>
      </c>
      <c r="I402" t="s">
        <v>174</v>
      </c>
      <c r="J402">
        <v>2299</v>
      </c>
      <c r="K402" s="324">
        <v>45280</v>
      </c>
      <c r="L402">
        <v>1010100</v>
      </c>
      <c r="M402" t="s">
        <v>35</v>
      </c>
      <c r="N402">
        <v>552</v>
      </c>
      <c r="O402" s="32">
        <v>0</v>
      </c>
      <c r="P402" s="32">
        <v>0</v>
      </c>
      <c r="Q402" s="32">
        <v>0</v>
      </c>
      <c r="R402" s="32">
        <v>0</v>
      </c>
      <c r="S402" s="32">
        <v>0</v>
      </c>
      <c r="T402" s="32">
        <v>0</v>
      </c>
      <c r="U402" s="32">
        <v>136005.5</v>
      </c>
      <c r="V402" s="32">
        <v>0</v>
      </c>
      <c r="W402" s="32">
        <v>4080.165</v>
      </c>
      <c r="X402" s="32">
        <v>131925.33499999999</v>
      </c>
      <c r="Y402" s="32">
        <v>131925.33499999999</v>
      </c>
      <c r="Z402" s="32">
        <v>136005.5</v>
      </c>
      <c r="AA402" s="32">
        <v>-136005.5</v>
      </c>
      <c r="AB402" s="32">
        <v>0</v>
      </c>
      <c r="AC402" s="32" t="s">
        <v>542</v>
      </c>
      <c r="AD402" s="32"/>
      <c r="AE402" s="32">
        <v>0</v>
      </c>
    </row>
    <row r="403" spans="1:31" x14ac:dyDescent="0.25">
      <c r="A403">
        <v>6132</v>
      </c>
      <c r="B403" t="s">
        <v>177</v>
      </c>
      <c r="C403" t="s">
        <v>178</v>
      </c>
      <c r="D403" s="35">
        <v>136005.5</v>
      </c>
      <c r="E403">
        <v>1246124946</v>
      </c>
      <c r="F403" s="324">
        <v>45566</v>
      </c>
      <c r="H403" t="s">
        <v>173</v>
      </c>
      <c r="I403" t="s">
        <v>174</v>
      </c>
      <c r="J403">
        <v>2498</v>
      </c>
      <c r="K403" s="324">
        <v>45306</v>
      </c>
      <c r="L403">
        <v>1010100</v>
      </c>
      <c r="M403" t="s">
        <v>35</v>
      </c>
      <c r="N403">
        <v>546</v>
      </c>
      <c r="O403" s="32">
        <v>0</v>
      </c>
      <c r="P403" s="32">
        <v>0</v>
      </c>
      <c r="Q403" s="32">
        <v>0</v>
      </c>
      <c r="R403" s="32">
        <v>0</v>
      </c>
      <c r="S403" s="32">
        <v>0</v>
      </c>
      <c r="T403" s="32">
        <v>0</v>
      </c>
      <c r="U403" s="32">
        <v>136005.5</v>
      </c>
      <c r="V403" s="32">
        <v>0</v>
      </c>
      <c r="W403" s="32">
        <v>4080.165</v>
      </c>
      <c r="X403" s="32">
        <v>131925.33499999999</v>
      </c>
      <c r="Y403" s="32">
        <v>131925.33499999999</v>
      </c>
      <c r="Z403" s="32">
        <v>136005.5</v>
      </c>
      <c r="AA403" s="32">
        <v>-136005.5</v>
      </c>
      <c r="AB403" s="32">
        <v>0</v>
      </c>
      <c r="AC403" s="32" t="s">
        <v>542</v>
      </c>
      <c r="AD403" s="32"/>
      <c r="AE403" s="32">
        <v>0</v>
      </c>
    </row>
    <row r="404" spans="1:31" x14ac:dyDescent="0.25">
      <c r="A404">
        <v>6132</v>
      </c>
      <c r="B404" t="s">
        <v>177</v>
      </c>
      <c r="C404" t="s">
        <v>178</v>
      </c>
      <c r="D404" s="35">
        <v>87043.520000000004</v>
      </c>
      <c r="E404">
        <v>1246120099</v>
      </c>
      <c r="F404" s="324">
        <v>45558</v>
      </c>
      <c r="H404" t="s">
        <v>173</v>
      </c>
      <c r="I404" t="s">
        <v>174</v>
      </c>
      <c r="J404">
        <v>2279</v>
      </c>
      <c r="K404" s="324">
        <v>45278</v>
      </c>
      <c r="L404">
        <v>1010100</v>
      </c>
      <c r="M404" t="s">
        <v>35</v>
      </c>
      <c r="N404">
        <v>554</v>
      </c>
      <c r="O404" s="32">
        <v>0</v>
      </c>
      <c r="P404" s="32">
        <v>0</v>
      </c>
      <c r="Q404" s="32">
        <v>0</v>
      </c>
      <c r="R404" s="32">
        <v>0</v>
      </c>
      <c r="S404" s="32">
        <v>0</v>
      </c>
      <c r="T404" s="32">
        <v>0</v>
      </c>
      <c r="U404" s="32">
        <v>87043.520000000004</v>
      </c>
      <c r="V404" s="32">
        <v>0</v>
      </c>
      <c r="W404" s="32">
        <v>2611.3056000000001</v>
      </c>
      <c r="X404" s="32">
        <v>84432.214399999997</v>
      </c>
      <c r="Y404" s="32">
        <v>84432.214399999997</v>
      </c>
      <c r="Z404" s="32">
        <v>87043.520000000004</v>
      </c>
      <c r="AA404" s="32">
        <v>-87043.520000000004</v>
      </c>
      <c r="AB404" s="32">
        <v>0</v>
      </c>
      <c r="AC404" s="32" t="s">
        <v>542</v>
      </c>
      <c r="AD404" s="32"/>
      <c r="AE404" s="32">
        <v>0</v>
      </c>
    </row>
    <row r="405" spans="1:31" x14ac:dyDescent="0.25">
      <c r="A405">
        <v>6132</v>
      </c>
      <c r="B405" t="s">
        <v>177</v>
      </c>
      <c r="C405" t="s">
        <v>178</v>
      </c>
      <c r="D405" s="35">
        <v>111465.88</v>
      </c>
      <c r="E405">
        <v>1246127801</v>
      </c>
      <c r="F405" s="324">
        <v>45603</v>
      </c>
      <c r="H405" t="s">
        <v>173</v>
      </c>
      <c r="I405" t="s">
        <v>174</v>
      </c>
      <c r="J405">
        <v>2673</v>
      </c>
      <c r="K405" s="324">
        <v>45323</v>
      </c>
      <c r="L405">
        <v>1010100</v>
      </c>
      <c r="M405" t="s">
        <v>35</v>
      </c>
      <c r="N405">
        <v>509</v>
      </c>
      <c r="O405" s="32">
        <v>0</v>
      </c>
      <c r="P405" s="32">
        <v>0</v>
      </c>
      <c r="Q405" s="32">
        <v>0</v>
      </c>
      <c r="R405" s="32">
        <v>0</v>
      </c>
      <c r="S405" s="32">
        <v>0</v>
      </c>
      <c r="T405" s="32">
        <v>0</v>
      </c>
      <c r="U405" s="32">
        <v>111465.88</v>
      </c>
      <c r="V405" s="32">
        <v>0</v>
      </c>
      <c r="W405" s="32">
        <v>3343.9764</v>
      </c>
      <c r="X405" s="32">
        <v>108121.90360000001</v>
      </c>
      <c r="Y405" s="32">
        <v>108121.90360000001</v>
      </c>
      <c r="Z405" s="32">
        <v>111465.88</v>
      </c>
      <c r="AA405" s="32">
        <v>-111465.88</v>
      </c>
      <c r="AB405" s="32">
        <v>0</v>
      </c>
      <c r="AC405" s="32" t="s">
        <v>542</v>
      </c>
      <c r="AD405" s="32"/>
      <c r="AE405" s="32">
        <v>0</v>
      </c>
    </row>
    <row r="406" spans="1:31" x14ac:dyDescent="0.25">
      <c r="A406">
        <v>6132</v>
      </c>
      <c r="B406" t="s">
        <v>177</v>
      </c>
      <c r="C406" t="s">
        <v>178</v>
      </c>
      <c r="D406" s="35">
        <v>47937.4</v>
      </c>
      <c r="E406">
        <v>1246118354</v>
      </c>
      <c r="F406" s="324">
        <v>45541</v>
      </c>
      <c r="H406" t="s">
        <v>173</v>
      </c>
      <c r="I406" t="s">
        <v>174</v>
      </c>
      <c r="J406">
        <v>2184</v>
      </c>
      <c r="K406" s="324">
        <v>45266</v>
      </c>
      <c r="L406">
        <v>1010100</v>
      </c>
      <c r="M406" t="s">
        <v>35</v>
      </c>
      <c r="N406">
        <v>571</v>
      </c>
      <c r="O406" s="32">
        <v>0</v>
      </c>
      <c r="P406" s="32">
        <v>0</v>
      </c>
      <c r="Q406" s="32">
        <v>0</v>
      </c>
      <c r="R406" s="32">
        <v>0</v>
      </c>
      <c r="S406" s="32">
        <v>0</v>
      </c>
      <c r="T406" s="32">
        <v>0</v>
      </c>
      <c r="U406" s="32">
        <v>47937.4</v>
      </c>
      <c r="V406" s="32">
        <v>0</v>
      </c>
      <c r="W406" s="32">
        <v>1438.1220000000001</v>
      </c>
      <c r="X406" s="32">
        <v>46499.277999999998</v>
      </c>
      <c r="Y406" s="32">
        <v>46499.277999999998</v>
      </c>
      <c r="Z406" s="32">
        <v>47937.4</v>
      </c>
      <c r="AA406" s="32">
        <v>-47937.4</v>
      </c>
      <c r="AB406" s="32">
        <v>0</v>
      </c>
      <c r="AC406" s="32" t="s">
        <v>542</v>
      </c>
      <c r="AD406" s="32"/>
      <c r="AE406" s="32">
        <v>0</v>
      </c>
    </row>
    <row r="407" spans="1:31" x14ac:dyDescent="0.25">
      <c r="A407">
        <v>6132</v>
      </c>
      <c r="B407" t="s">
        <v>177</v>
      </c>
      <c r="C407" t="s">
        <v>178</v>
      </c>
      <c r="D407" s="35">
        <v>155705</v>
      </c>
      <c r="E407">
        <v>1246129974</v>
      </c>
      <c r="F407" s="324">
        <v>45568</v>
      </c>
      <c r="H407" t="s">
        <v>173</v>
      </c>
      <c r="I407" t="s">
        <v>174</v>
      </c>
      <c r="J407">
        <v>2839</v>
      </c>
      <c r="K407" s="324">
        <v>45341</v>
      </c>
      <c r="L407">
        <v>1010100</v>
      </c>
      <c r="M407" t="s">
        <v>35</v>
      </c>
      <c r="N407">
        <v>544</v>
      </c>
      <c r="O407" s="32">
        <v>0</v>
      </c>
      <c r="P407" s="32">
        <v>0</v>
      </c>
      <c r="Q407" s="32">
        <v>0</v>
      </c>
      <c r="R407" s="32">
        <v>0</v>
      </c>
      <c r="S407" s="32">
        <v>0</v>
      </c>
      <c r="T407" s="32">
        <v>0</v>
      </c>
      <c r="U407" s="32">
        <v>155705</v>
      </c>
      <c r="V407" s="32">
        <v>0</v>
      </c>
      <c r="W407" s="32">
        <v>4671.1499999999996</v>
      </c>
      <c r="X407" s="32">
        <v>151033.85</v>
      </c>
      <c r="Y407" s="32">
        <v>151033.85</v>
      </c>
      <c r="Z407" s="32">
        <v>155705</v>
      </c>
      <c r="AA407" s="32">
        <v>-155705</v>
      </c>
      <c r="AB407" s="32">
        <v>0</v>
      </c>
      <c r="AC407" s="32" t="s">
        <v>542</v>
      </c>
      <c r="AD407" s="32"/>
      <c r="AE407" s="32">
        <v>0</v>
      </c>
    </row>
    <row r="408" spans="1:31" x14ac:dyDescent="0.25">
      <c r="A408">
        <v>6132</v>
      </c>
      <c r="B408" t="s">
        <v>177</v>
      </c>
      <c r="C408" t="s">
        <v>178</v>
      </c>
      <c r="D408" s="35">
        <v>42163.65</v>
      </c>
      <c r="E408">
        <v>1246124200</v>
      </c>
      <c r="F408" s="324">
        <v>45569</v>
      </c>
      <c r="G408" s="325"/>
      <c r="H408" t="s">
        <v>173</v>
      </c>
      <c r="I408" t="s">
        <v>174</v>
      </c>
      <c r="J408">
        <v>2455</v>
      </c>
      <c r="K408" s="324">
        <v>45301</v>
      </c>
      <c r="L408">
        <v>1010100</v>
      </c>
      <c r="M408" t="s">
        <v>35</v>
      </c>
      <c r="N408">
        <v>543</v>
      </c>
      <c r="O408" s="32">
        <v>0</v>
      </c>
      <c r="P408" s="32">
        <v>0</v>
      </c>
      <c r="Q408" s="32">
        <v>0</v>
      </c>
      <c r="R408" s="32">
        <v>0</v>
      </c>
      <c r="S408" s="32">
        <v>0</v>
      </c>
      <c r="T408" s="32">
        <v>0</v>
      </c>
      <c r="U408" s="32">
        <v>42163.65</v>
      </c>
      <c r="V408" s="32">
        <v>0</v>
      </c>
      <c r="W408" s="32">
        <v>1264.9095</v>
      </c>
      <c r="X408" s="32">
        <v>40898.7405</v>
      </c>
      <c r="Y408" s="32">
        <v>40898.7405</v>
      </c>
      <c r="Z408" s="32">
        <v>42163.65</v>
      </c>
      <c r="AA408" s="32">
        <v>-42163.65</v>
      </c>
      <c r="AB408" s="32">
        <v>0</v>
      </c>
      <c r="AC408" s="32" t="s">
        <v>542</v>
      </c>
      <c r="AD408" s="32"/>
      <c r="AE408" s="32">
        <v>0</v>
      </c>
    </row>
    <row r="409" spans="1:31" x14ac:dyDescent="0.25">
      <c r="A409">
        <v>6132</v>
      </c>
      <c r="B409" t="s">
        <v>177</v>
      </c>
      <c r="C409" t="s">
        <v>178</v>
      </c>
      <c r="D409" s="35">
        <v>111065.60000000001</v>
      </c>
      <c r="E409">
        <v>1246114703</v>
      </c>
      <c r="F409" s="324">
        <v>45463</v>
      </c>
      <c r="H409" t="s">
        <v>173</v>
      </c>
      <c r="I409" t="s">
        <v>174</v>
      </c>
      <c r="J409">
        <v>1937</v>
      </c>
      <c r="K409" s="324">
        <v>45241</v>
      </c>
      <c r="L409">
        <v>1010100</v>
      </c>
      <c r="M409" t="s">
        <v>35</v>
      </c>
      <c r="N409">
        <v>649</v>
      </c>
      <c r="O409" s="32">
        <v>0</v>
      </c>
      <c r="P409" s="32">
        <v>0</v>
      </c>
      <c r="Q409" s="32">
        <v>0</v>
      </c>
      <c r="R409" s="32">
        <v>0</v>
      </c>
      <c r="S409" s="32">
        <v>0</v>
      </c>
      <c r="T409" s="32">
        <v>0</v>
      </c>
      <c r="U409" s="32">
        <v>111065.60000000001</v>
      </c>
      <c r="V409" s="32">
        <v>0</v>
      </c>
      <c r="W409" s="32">
        <v>3331.9679999999998</v>
      </c>
      <c r="X409" s="32">
        <v>107733.632</v>
      </c>
      <c r="Y409" s="32">
        <v>107733.632</v>
      </c>
      <c r="Z409" s="32">
        <v>111065.60000000001</v>
      </c>
      <c r="AA409" s="32">
        <v>-111065.60000000001</v>
      </c>
      <c r="AB409" s="32">
        <v>0</v>
      </c>
      <c r="AC409" s="32" t="s">
        <v>542</v>
      </c>
      <c r="AD409" s="32"/>
      <c r="AE409" s="32">
        <v>0</v>
      </c>
    </row>
    <row r="410" spans="1:31" x14ac:dyDescent="0.25">
      <c r="A410">
        <v>6132</v>
      </c>
      <c r="B410" t="s">
        <v>177</v>
      </c>
      <c r="C410" t="s">
        <v>178</v>
      </c>
      <c r="D410" s="35">
        <v>27201.1</v>
      </c>
      <c r="E410">
        <v>1246125717</v>
      </c>
      <c r="F410" s="324">
        <v>45566</v>
      </c>
      <c r="H410" t="s">
        <v>173</v>
      </c>
      <c r="I410" t="s">
        <v>174</v>
      </c>
      <c r="J410">
        <v>2542</v>
      </c>
      <c r="K410" s="324">
        <v>45310</v>
      </c>
      <c r="L410">
        <v>1010100</v>
      </c>
      <c r="M410" t="s">
        <v>35</v>
      </c>
      <c r="N410">
        <v>546</v>
      </c>
      <c r="O410" s="32">
        <v>0</v>
      </c>
      <c r="P410" s="32">
        <v>0</v>
      </c>
      <c r="Q410" s="32">
        <v>0</v>
      </c>
      <c r="R410" s="32">
        <v>0</v>
      </c>
      <c r="S410" s="32">
        <v>0</v>
      </c>
      <c r="T410" s="32">
        <v>0</v>
      </c>
      <c r="U410" s="32">
        <v>27201.1</v>
      </c>
      <c r="V410" s="32">
        <v>0</v>
      </c>
      <c r="W410" s="32">
        <v>816.0329999999999</v>
      </c>
      <c r="X410" s="32">
        <v>26385.066999999999</v>
      </c>
      <c r="Y410" s="32">
        <v>26385.066999999999</v>
      </c>
      <c r="Z410" s="32">
        <v>27201.1</v>
      </c>
      <c r="AA410" s="32">
        <v>-27201.1</v>
      </c>
      <c r="AB410" s="32">
        <v>0</v>
      </c>
      <c r="AC410" s="32" t="s">
        <v>542</v>
      </c>
      <c r="AD410" s="32"/>
      <c r="AE410" s="32">
        <v>0</v>
      </c>
    </row>
    <row r="411" spans="1:31" x14ac:dyDescent="0.25">
      <c r="A411">
        <v>6132</v>
      </c>
      <c r="B411" t="s">
        <v>177</v>
      </c>
      <c r="C411" t="s">
        <v>178</v>
      </c>
      <c r="D411" s="35">
        <v>136005.5</v>
      </c>
      <c r="E411">
        <v>1246124718</v>
      </c>
      <c r="F411" s="324">
        <v>45563</v>
      </c>
      <c r="H411" t="s">
        <v>173</v>
      </c>
      <c r="I411" t="s">
        <v>174</v>
      </c>
      <c r="J411">
        <v>2489</v>
      </c>
      <c r="K411" s="324">
        <v>45303</v>
      </c>
      <c r="L411">
        <v>1010100</v>
      </c>
      <c r="M411" t="s">
        <v>35</v>
      </c>
      <c r="N411">
        <v>549</v>
      </c>
      <c r="O411" s="32">
        <v>0</v>
      </c>
      <c r="P411" s="32">
        <v>0</v>
      </c>
      <c r="Q411" s="32">
        <v>0</v>
      </c>
      <c r="R411" s="32">
        <v>0</v>
      </c>
      <c r="S411" s="32">
        <v>0</v>
      </c>
      <c r="T411" s="32">
        <v>0</v>
      </c>
      <c r="U411" s="32">
        <v>136005.5</v>
      </c>
      <c r="V411" s="32">
        <v>0</v>
      </c>
      <c r="W411" s="32">
        <v>4080.165</v>
      </c>
      <c r="X411" s="32">
        <v>131925.33499999999</v>
      </c>
      <c r="Y411" s="32">
        <v>131925.33499999999</v>
      </c>
      <c r="Z411" s="32">
        <v>136005.5</v>
      </c>
      <c r="AA411" s="32">
        <v>-136005.5</v>
      </c>
      <c r="AB411" s="32">
        <v>0</v>
      </c>
      <c r="AC411" s="32" t="s">
        <v>542</v>
      </c>
      <c r="AD411" s="32"/>
      <c r="AE411" s="32">
        <v>0</v>
      </c>
    </row>
    <row r="412" spans="1:31" x14ac:dyDescent="0.25">
      <c r="A412">
        <v>6132</v>
      </c>
      <c r="B412" t="s">
        <v>177</v>
      </c>
      <c r="C412" t="s">
        <v>178</v>
      </c>
      <c r="D412" s="35">
        <v>45093</v>
      </c>
      <c r="E412">
        <v>1246128683</v>
      </c>
      <c r="F412" s="324">
        <v>45604</v>
      </c>
      <c r="H412" t="s">
        <v>173</v>
      </c>
      <c r="I412" t="s">
        <v>174</v>
      </c>
      <c r="J412">
        <v>2738</v>
      </c>
      <c r="K412" s="324">
        <v>45329</v>
      </c>
      <c r="L412">
        <v>1010100</v>
      </c>
      <c r="M412" t="s">
        <v>35</v>
      </c>
      <c r="N412">
        <v>508</v>
      </c>
      <c r="O412" s="32">
        <v>0</v>
      </c>
      <c r="P412" s="32">
        <v>0</v>
      </c>
      <c r="Q412" s="32">
        <v>0</v>
      </c>
      <c r="R412" s="32">
        <v>0</v>
      </c>
      <c r="S412" s="32">
        <v>0</v>
      </c>
      <c r="T412" s="32">
        <v>0</v>
      </c>
      <c r="U412" s="32">
        <v>45093</v>
      </c>
      <c r="V412" s="32">
        <v>0</v>
      </c>
      <c r="W412" s="32">
        <v>1352.79</v>
      </c>
      <c r="X412" s="32">
        <v>43740.21</v>
      </c>
      <c r="Y412" s="32">
        <v>43740.21</v>
      </c>
      <c r="Z412" s="32">
        <v>45093</v>
      </c>
      <c r="AA412" s="32">
        <v>-45093</v>
      </c>
      <c r="AB412" s="32">
        <v>0</v>
      </c>
      <c r="AC412" s="32" t="s">
        <v>542</v>
      </c>
      <c r="AD412" s="32"/>
      <c r="AE412" s="32">
        <v>0</v>
      </c>
    </row>
    <row r="413" spans="1:31" x14ac:dyDescent="0.25">
      <c r="A413">
        <v>6132</v>
      </c>
      <c r="B413" t="s">
        <v>177</v>
      </c>
      <c r="C413" t="s">
        <v>178</v>
      </c>
      <c r="D413" s="35">
        <v>82986.649999999994</v>
      </c>
      <c r="E413">
        <v>1246113430</v>
      </c>
      <c r="F413" s="324">
        <v>45476</v>
      </c>
      <c r="H413" t="s">
        <v>173</v>
      </c>
      <c r="I413" t="s">
        <v>174</v>
      </c>
      <c r="J413">
        <v>1851</v>
      </c>
      <c r="K413" s="324">
        <v>45236</v>
      </c>
      <c r="L413">
        <v>1010100</v>
      </c>
      <c r="M413" t="s">
        <v>35</v>
      </c>
      <c r="N413">
        <v>636</v>
      </c>
      <c r="O413" s="32">
        <v>0</v>
      </c>
      <c r="P413" s="32">
        <v>0</v>
      </c>
      <c r="Q413" s="32">
        <v>0</v>
      </c>
      <c r="R413" s="32">
        <v>0</v>
      </c>
      <c r="S413" s="32">
        <v>0</v>
      </c>
      <c r="T413" s="32">
        <v>0</v>
      </c>
      <c r="U413" s="32">
        <v>82986.649999999994</v>
      </c>
      <c r="V413" s="32">
        <v>0</v>
      </c>
      <c r="W413" s="32">
        <v>2489.5994999999998</v>
      </c>
      <c r="X413" s="32">
        <v>80497.050499999998</v>
      </c>
      <c r="Y413" s="32">
        <v>80497.050499999998</v>
      </c>
      <c r="Z413" s="32">
        <v>82986.649999999994</v>
      </c>
      <c r="AA413" s="32">
        <v>-82986.649999999994</v>
      </c>
      <c r="AB413" s="32">
        <v>0</v>
      </c>
      <c r="AC413" s="32" t="s">
        <v>542</v>
      </c>
      <c r="AD413" s="32"/>
      <c r="AE413" s="32">
        <v>0</v>
      </c>
    </row>
    <row r="414" spans="1:31" x14ac:dyDescent="0.25">
      <c r="A414">
        <v>6132</v>
      </c>
      <c r="B414" t="s">
        <v>177</v>
      </c>
      <c r="C414" t="s">
        <v>178</v>
      </c>
      <c r="D414" s="35">
        <v>174445</v>
      </c>
      <c r="E414">
        <v>1246116577</v>
      </c>
      <c r="F414" s="324">
        <v>45468</v>
      </c>
      <c r="H414" t="s">
        <v>173</v>
      </c>
      <c r="I414" t="s">
        <v>174</v>
      </c>
      <c r="J414">
        <v>2091</v>
      </c>
      <c r="K414" s="324">
        <v>45254</v>
      </c>
      <c r="L414">
        <v>1010100</v>
      </c>
      <c r="M414" t="s">
        <v>35</v>
      </c>
      <c r="N414">
        <v>644</v>
      </c>
      <c r="O414" s="32">
        <v>0</v>
      </c>
      <c r="P414" s="32">
        <v>0</v>
      </c>
      <c r="Q414" s="32">
        <v>0</v>
      </c>
      <c r="R414" s="32">
        <v>0</v>
      </c>
      <c r="S414" s="32">
        <v>0</v>
      </c>
      <c r="T414" s="32">
        <v>0</v>
      </c>
      <c r="U414" s="32">
        <v>174445</v>
      </c>
      <c r="V414" s="32">
        <v>0</v>
      </c>
      <c r="W414" s="32">
        <v>5233.3499999999995</v>
      </c>
      <c r="X414" s="32">
        <v>169211.65</v>
      </c>
      <c r="Y414" s="32">
        <v>169211.65</v>
      </c>
      <c r="Z414" s="32">
        <v>174445</v>
      </c>
      <c r="AA414" s="32">
        <v>-174445</v>
      </c>
      <c r="AB414" s="32">
        <v>0</v>
      </c>
      <c r="AC414" s="32" t="s">
        <v>542</v>
      </c>
      <c r="AD414" s="32"/>
      <c r="AE414" s="32">
        <v>0</v>
      </c>
    </row>
    <row r="415" spans="1:31" x14ac:dyDescent="0.25">
      <c r="A415">
        <v>6132</v>
      </c>
      <c r="B415" t="s">
        <v>177</v>
      </c>
      <c r="C415" t="s">
        <v>178</v>
      </c>
      <c r="D415" s="35">
        <v>158956.25</v>
      </c>
      <c r="E415">
        <v>1246104181</v>
      </c>
      <c r="F415" s="324">
        <v>45444</v>
      </c>
      <c r="H415" t="s">
        <v>173</v>
      </c>
      <c r="I415" t="s">
        <v>174</v>
      </c>
      <c r="J415">
        <v>1180</v>
      </c>
      <c r="K415" s="324">
        <v>45184</v>
      </c>
      <c r="L415">
        <v>1010100</v>
      </c>
      <c r="M415" t="s">
        <v>35</v>
      </c>
      <c r="N415">
        <v>668</v>
      </c>
      <c r="O415" s="32">
        <v>0</v>
      </c>
      <c r="P415" s="32">
        <v>0</v>
      </c>
      <c r="Q415" s="32">
        <v>0</v>
      </c>
      <c r="R415" s="32">
        <v>0</v>
      </c>
      <c r="S415" s="32">
        <v>0</v>
      </c>
      <c r="T415" s="32">
        <v>0</v>
      </c>
      <c r="U415" s="32">
        <v>158956.25</v>
      </c>
      <c r="V415" s="32">
        <v>0</v>
      </c>
      <c r="W415" s="32">
        <v>4768.6875</v>
      </c>
      <c r="X415" s="32">
        <v>154187.5625</v>
      </c>
      <c r="Y415" s="32">
        <v>154187.5625</v>
      </c>
      <c r="Z415" s="32">
        <v>158956.25</v>
      </c>
      <c r="AA415" s="32">
        <v>-158956.25</v>
      </c>
      <c r="AB415" s="32">
        <v>0</v>
      </c>
      <c r="AC415" s="32" t="s">
        <v>542</v>
      </c>
      <c r="AD415" s="32"/>
      <c r="AE415" s="32">
        <v>0</v>
      </c>
    </row>
    <row r="416" spans="1:31" x14ac:dyDescent="0.25">
      <c r="A416">
        <v>6132</v>
      </c>
      <c r="B416" t="s">
        <v>177</v>
      </c>
      <c r="C416" t="s">
        <v>178</v>
      </c>
      <c r="D416" s="35">
        <v>171662.49999999997</v>
      </c>
      <c r="E416">
        <v>1246112815</v>
      </c>
      <c r="F416" s="324">
        <v>45471</v>
      </c>
      <c r="H416" t="s">
        <v>173</v>
      </c>
      <c r="I416" t="s">
        <v>174</v>
      </c>
      <c r="J416">
        <v>1799</v>
      </c>
      <c r="K416" s="324">
        <v>45231</v>
      </c>
      <c r="L416">
        <v>1010100</v>
      </c>
      <c r="M416" t="s">
        <v>35</v>
      </c>
      <c r="N416">
        <v>641</v>
      </c>
      <c r="O416" s="32">
        <v>0</v>
      </c>
      <c r="P416" s="32">
        <v>0</v>
      </c>
      <c r="Q416" s="32">
        <v>0</v>
      </c>
      <c r="R416" s="32">
        <v>0</v>
      </c>
      <c r="S416" s="32">
        <v>0</v>
      </c>
      <c r="T416" s="32">
        <v>0</v>
      </c>
      <c r="U416" s="32">
        <v>171662.49999999997</v>
      </c>
      <c r="V416" s="32">
        <v>0</v>
      </c>
      <c r="W416" s="32">
        <v>5149.8749999999991</v>
      </c>
      <c r="X416" s="32">
        <v>166512.62499999997</v>
      </c>
      <c r="Y416" s="32">
        <v>166512.62499999997</v>
      </c>
      <c r="Z416" s="32">
        <v>171662.49999999997</v>
      </c>
      <c r="AA416" s="32">
        <v>-171662.49999999997</v>
      </c>
      <c r="AB416" s="32">
        <v>0</v>
      </c>
      <c r="AC416" s="32" t="s">
        <v>542</v>
      </c>
      <c r="AD416" s="32"/>
      <c r="AE416" s="32">
        <v>0</v>
      </c>
    </row>
    <row r="417" spans="1:31" x14ac:dyDescent="0.25">
      <c r="A417">
        <v>6132</v>
      </c>
      <c r="B417" t="s">
        <v>177</v>
      </c>
      <c r="C417" t="s">
        <v>178</v>
      </c>
      <c r="D417" s="35">
        <v>174610</v>
      </c>
      <c r="E417">
        <v>1246113736</v>
      </c>
      <c r="F417" s="324">
        <v>45478</v>
      </c>
      <c r="H417" t="s">
        <v>173</v>
      </c>
      <c r="I417" t="s">
        <v>174</v>
      </c>
      <c r="J417">
        <v>1878</v>
      </c>
      <c r="K417" s="324">
        <v>45238</v>
      </c>
      <c r="L417">
        <v>1010100</v>
      </c>
      <c r="M417" t="s">
        <v>35</v>
      </c>
      <c r="N417">
        <v>634</v>
      </c>
      <c r="O417" s="32">
        <v>0</v>
      </c>
      <c r="P417" s="32">
        <v>0</v>
      </c>
      <c r="Q417" s="32">
        <v>0</v>
      </c>
      <c r="R417" s="32">
        <v>0</v>
      </c>
      <c r="S417" s="32">
        <v>0</v>
      </c>
      <c r="T417" s="32">
        <v>0</v>
      </c>
      <c r="U417" s="32">
        <v>174610</v>
      </c>
      <c r="V417" s="32">
        <v>0</v>
      </c>
      <c r="W417" s="32">
        <v>5238.3</v>
      </c>
      <c r="X417" s="32">
        <v>169371.69999999998</v>
      </c>
      <c r="Y417" s="32">
        <v>169371.69999999998</v>
      </c>
      <c r="Z417" s="32">
        <v>174610</v>
      </c>
      <c r="AA417" s="32">
        <v>-174610</v>
      </c>
      <c r="AB417" s="32">
        <v>0</v>
      </c>
      <c r="AC417" s="32" t="s">
        <v>542</v>
      </c>
      <c r="AD417" s="32"/>
      <c r="AE417" s="32">
        <v>0</v>
      </c>
    </row>
    <row r="418" spans="1:31" x14ac:dyDescent="0.25">
      <c r="A418">
        <v>6132</v>
      </c>
      <c r="B418" t="s">
        <v>177</v>
      </c>
      <c r="C418" t="s">
        <v>178</v>
      </c>
      <c r="D418" s="35">
        <v>87840</v>
      </c>
      <c r="E418">
        <v>1246111212</v>
      </c>
      <c r="F418" s="324">
        <v>45464</v>
      </c>
      <c r="H418" t="s">
        <v>173</v>
      </c>
      <c r="I418" t="s">
        <v>174</v>
      </c>
      <c r="J418">
        <v>1720</v>
      </c>
      <c r="K418" s="324">
        <v>45224</v>
      </c>
      <c r="L418">
        <v>1010100</v>
      </c>
      <c r="M418" t="s">
        <v>35</v>
      </c>
      <c r="N418">
        <v>648</v>
      </c>
      <c r="O418" s="32">
        <v>0</v>
      </c>
      <c r="P418" s="32">
        <v>0</v>
      </c>
      <c r="Q418" s="32">
        <v>0</v>
      </c>
      <c r="R418" s="32">
        <v>0</v>
      </c>
      <c r="S418" s="32">
        <v>0</v>
      </c>
      <c r="T418" s="32">
        <v>0</v>
      </c>
      <c r="U418" s="32">
        <v>87840</v>
      </c>
      <c r="V418" s="32">
        <v>0</v>
      </c>
      <c r="W418" s="32">
        <v>2635.2</v>
      </c>
      <c r="X418" s="32">
        <v>85204.800000000003</v>
      </c>
      <c r="Y418" s="32">
        <v>85204.800000000003</v>
      </c>
      <c r="Z418" s="32">
        <v>87840</v>
      </c>
      <c r="AA418" s="32">
        <v>-87840</v>
      </c>
      <c r="AB418" s="32">
        <v>0</v>
      </c>
      <c r="AC418" s="32" t="s">
        <v>542</v>
      </c>
      <c r="AD418" s="32"/>
      <c r="AE418" s="32">
        <v>0</v>
      </c>
    </row>
    <row r="419" spans="1:31" x14ac:dyDescent="0.25">
      <c r="A419">
        <v>6132</v>
      </c>
      <c r="B419" t="s">
        <v>177</v>
      </c>
      <c r="C419" t="s">
        <v>178</v>
      </c>
      <c r="D419" s="35">
        <v>23787.68</v>
      </c>
      <c r="E419">
        <v>1246115170</v>
      </c>
      <c r="F419" s="324">
        <v>45466</v>
      </c>
      <c r="H419" t="s">
        <v>173</v>
      </c>
      <c r="I419" t="s">
        <v>174</v>
      </c>
      <c r="J419">
        <v>1975</v>
      </c>
      <c r="K419" s="324">
        <v>45244</v>
      </c>
      <c r="L419">
        <v>1010100</v>
      </c>
      <c r="M419" t="s">
        <v>35</v>
      </c>
      <c r="N419">
        <v>646</v>
      </c>
      <c r="O419" s="32">
        <v>0</v>
      </c>
      <c r="P419" s="32">
        <v>0</v>
      </c>
      <c r="Q419" s="32">
        <v>0</v>
      </c>
      <c r="R419" s="32">
        <v>0</v>
      </c>
      <c r="S419" s="32">
        <v>0</v>
      </c>
      <c r="T419" s="32">
        <v>0</v>
      </c>
      <c r="U419" s="32">
        <v>23787.68</v>
      </c>
      <c r="V419" s="32">
        <v>0</v>
      </c>
      <c r="W419" s="32">
        <v>713.63040000000001</v>
      </c>
      <c r="X419" s="32">
        <v>23074.049599999998</v>
      </c>
      <c r="Y419" s="32">
        <v>23074.049599999998</v>
      </c>
      <c r="Z419" s="32">
        <v>23787.68</v>
      </c>
      <c r="AA419" s="32">
        <v>-23787.68</v>
      </c>
      <c r="AB419" s="32">
        <v>0</v>
      </c>
      <c r="AC419" s="32" t="s">
        <v>542</v>
      </c>
      <c r="AD419" s="32"/>
      <c r="AE419" s="32">
        <v>0</v>
      </c>
    </row>
    <row r="420" spans="1:31" x14ac:dyDescent="0.25">
      <c r="A420">
        <v>6132</v>
      </c>
      <c r="B420" t="s">
        <v>177</v>
      </c>
      <c r="C420" t="s">
        <v>178</v>
      </c>
      <c r="D420" s="35">
        <v>30381.599999999999</v>
      </c>
      <c r="E420">
        <v>1246115171</v>
      </c>
      <c r="F420" s="324">
        <v>45466</v>
      </c>
      <c r="H420" t="s">
        <v>173</v>
      </c>
      <c r="I420" t="s">
        <v>174</v>
      </c>
      <c r="J420">
        <v>1976</v>
      </c>
      <c r="K420" s="324">
        <v>45244</v>
      </c>
      <c r="L420">
        <v>1010100</v>
      </c>
      <c r="M420" t="s">
        <v>35</v>
      </c>
      <c r="N420">
        <v>646</v>
      </c>
      <c r="O420" s="32">
        <v>0</v>
      </c>
      <c r="P420" s="32">
        <v>0</v>
      </c>
      <c r="Q420" s="32">
        <v>0</v>
      </c>
      <c r="R420" s="32">
        <v>0</v>
      </c>
      <c r="S420" s="32">
        <v>0</v>
      </c>
      <c r="T420" s="32">
        <v>0</v>
      </c>
      <c r="U420" s="32">
        <v>30381.599999999999</v>
      </c>
      <c r="V420" s="32">
        <v>0</v>
      </c>
      <c r="W420" s="32">
        <v>911.44799999999998</v>
      </c>
      <c r="X420" s="32">
        <v>29470.151999999998</v>
      </c>
      <c r="Y420" s="32">
        <v>29470.151999999998</v>
      </c>
      <c r="Z420" s="32">
        <v>30381.599999999999</v>
      </c>
      <c r="AA420" s="32">
        <v>-30381.599999999999</v>
      </c>
      <c r="AB420" s="32">
        <v>0</v>
      </c>
      <c r="AC420" s="32" t="s">
        <v>542</v>
      </c>
      <c r="AD420" s="32"/>
      <c r="AE420" s="32">
        <v>0</v>
      </c>
    </row>
    <row r="421" spans="1:31" x14ac:dyDescent="0.25">
      <c r="A421">
        <v>6132</v>
      </c>
      <c r="B421" t="s">
        <v>177</v>
      </c>
      <c r="C421" t="s">
        <v>178</v>
      </c>
      <c r="D421" s="35">
        <v>107022</v>
      </c>
      <c r="E421">
        <v>1246110109</v>
      </c>
      <c r="F421" s="324">
        <v>45439</v>
      </c>
      <c r="H421" t="s">
        <v>173</v>
      </c>
      <c r="I421" t="s">
        <v>174</v>
      </c>
      <c r="J421">
        <v>347</v>
      </c>
      <c r="K421" s="324">
        <v>45217</v>
      </c>
      <c r="L421">
        <v>1010100</v>
      </c>
      <c r="M421" t="s">
        <v>35</v>
      </c>
      <c r="N421">
        <v>673</v>
      </c>
      <c r="O421" s="32">
        <v>0</v>
      </c>
      <c r="P421" s="32">
        <v>0</v>
      </c>
      <c r="Q421" s="32">
        <v>0</v>
      </c>
      <c r="R421" s="32">
        <v>0</v>
      </c>
      <c r="S421" s="32">
        <v>0</v>
      </c>
      <c r="T421" s="32">
        <v>0</v>
      </c>
      <c r="U421" s="32">
        <v>107022</v>
      </c>
      <c r="V421" s="32">
        <v>0</v>
      </c>
      <c r="W421" s="32">
        <v>3210.66</v>
      </c>
      <c r="X421" s="32">
        <v>103811.34</v>
      </c>
      <c r="Y421" s="32">
        <v>103811.34</v>
      </c>
      <c r="Z421" s="32">
        <v>107022</v>
      </c>
      <c r="AA421" s="32">
        <v>-107022</v>
      </c>
      <c r="AB421" s="32">
        <v>0</v>
      </c>
      <c r="AC421" s="32" t="s">
        <v>542</v>
      </c>
      <c r="AD421" s="32"/>
      <c r="AE421" s="32">
        <v>0</v>
      </c>
    </row>
    <row r="422" spans="1:31" x14ac:dyDescent="0.25">
      <c r="A422">
        <v>6132</v>
      </c>
      <c r="B422" t="s">
        <v>177</v>
      </c>
      <c r="C422" t="s">
        <v>178</v>
      </c>
      <c r="D422" s="35">
        <v>83822.5</v>
      </c>
      <c r="E422">
        <v>1246111211</v>
      </c>
      <c r="F422" s="324">
        <v>45464</v>
      </c>
      <c r="H422" t="s">
        <v>173</v>
      </c>
      <c r="I422" t="s">
        <v>174</v>
      </c>
      <c r="J422">
        <v>1719</v>
      </c>
      <c r="K422" s="324">
        <v>45224</v>
      </c>
      <c r="L422">
        <v>1010100</v>
      </c>
      <c r="M422" t="s">
        <v>35</v>
      </c>
      <c r="N422">
        <v>648</v>
      </c>
      <c r="O422" s="32">
        <v>0</v>
      </c>
      <c r="P422" s="32">
        <v>0</v>
      </c>
      <c r="Q422" s="32">
        <v>0</v>
      </c>
      <c r="R422" s="32">
        <v>0</v>
      </c>
      <c r="S422" s="32">
        <v>0</v>
      </c>
      <c r="T422" s="32">
        <v>0</v>
      </c>
      <c r="U422" s="32">
        <v>83822.5</v>
      </c>
      <c r="V422" s="32">
        <v>0</v>
      </c>
      <c r="W422" s="32">
        <v>2514.6749999999997</v>
      </c>
      <c r="X422" s="32">
        <v>81307.824999999997</v>
      </c>
      <c r="Y422" s="32">
        <v>81307.824999999997</v>
      </c>
      <c r="Z422" s="32">
        <v>83822.5</v>
      </c>
      <c r="AA422" s="32">
        <v>-83822.5</v>
      </c>
      <c r="AB422" s="32">
        <v>0</v>
      </c>
      <c r="AC422" s="32" t="s">
        <v>542</v>
      </c>
      <c r="AD422" s="32"/>
      <c r="AE422" s="32">
        <v>0</v>
      </c>
    </row>
    <row r="423" spans="1:31" x14ac:dyDescent="0.25">
      <c r="A423">
        <v>6132</v>
      </c>
      <c r="B423" t="s">
        <v>177</v>
      </c>
      <c r="C423" t="s">
        <v>178</v>
      </c>
      <c r="D423" s="35">
        <v>169458.49999999997</v>
      </c>
      <c r="E423">
        <v>1246110264</v>
      </c>
      <c r="F423" s="324">
        <v>45440</v>
      </c>
      <c r="H423" t="s">
        <v>173</v>
      </c>
      <c r="I423" t="s">
        <v>174</v>
      </c>
      <c r="J423">
        <v>1662</v>
      </c>
      <c r="K423" s="324">
        <v>45218</v>
      </c>
      <c r="L423">
        <v>1010100</v>
      </c>
      <c r="M423" t="s">
        <v>35</v>
      </c>
      <c r="N423">
        <v>672</v>
      </c>
      <c r="O423" s="32">
        <v>0</v>
      </c>
      <c r="P423" s="32">
        <v>0</v>
      </c>
      <c r="Q423" s="32">
        <v>0</v>
      </c>
      <c r="R423" s="32">
        <v>0</v>
      </c>
      <c r="S423" s="32">
        <v>0</v>
      </c>
      <c r="T423" s="32">
        <v>0</v>
      </c>
      <c r="U423" s="32">
        <v>169458.49999999997</v>
      </c>
      <c r="V423" s="32">
        <v>0</v>
      </c>
      <c r="W423" s="32">
        <v>5083.7549999999992</v>
      </c>
      <c r="X423" s="32">
        <v>164374.74499999997</v>
      </c>
      <c r="Y423" s="32">
        <v>164374.74499999997</v>
      </c>
      <c r="Z423" s="32">
        <v>169458.49999999997</v>
      </c>
      <c r="AA423" s="32">
        <v>-169458.49999999997</v>
      </c>
      <c r="AB423" s="32">
        <v>0</v>
      </c>
      <c r="AC423" s="32" t="s">
        <v>542</v>
      </c>
      <c r="AD423" s="32"/>
      <c r="AE423" s="32">
        <v>0</v>
      </c>
    </row>
    <row r="424" spans="1:31" x14ac:dyDescent="0.25">
      <c r="A424">
        <v>6132</v>
      </c>
      <c r="B424" t="s">
        <v>177</v>
      </c>
      <c r="C424" t="s">
        <v>178</v>
      </c>
      <c r="D424" s="35">
        <v>135934</v>
      </c>
      <c r="E424">
        <v>1246131961</v>
      </c>
      <c r="F424" s="324">
        <v>45566</v>
      </c>
      <c r="H424" t="s">
        <v>173</v>
      </c>
      <c r="I424" t="s">
        <v>174</v>
      </c>
      <c r="J424">
        <v>2969</v>
      </c>
      <c r="K424" s="324">
        <v>45352</v>
      </c>
      <c r="L424">
        <v>1010100</v>
      </c>
      <c r="M424" t="s">
        <v>35</v>
      </c>
      <c r="N424">
        <v>546</v>
      </c>
      <c r="O424" s="32">
        <v>0</v>
      </c>
      <c r="P424" s="32">
        <v>0</v>
      </c>
      <c r="Q424" s="32">
        <v>0</v>
      </c>
      <c r="R424" s="32">
        <v>0</v>
      </c>
      <c r="S424" s="32">
        <v>0</v>
      </c>
      <c r="T424" s="32">
        <v>0</v>
      </c>
      <c r="U424" s="32">
        <v>135934</v>
      </c>
      <c r="V424" s="32">
        <v>0</v>
      </c>
      <c r="W424" s="32">
        <v>4078.02</v>
      </c>
      <c r="X424" s="32">
        <v>131855.98000000001</v>
      </c>
      <c r="Y424" s="32">
        <v>131855.98000000001</v>
      </c>
      <c r="Z424" s="32">
        <v>135934</v>
      </c>
      <c r="AA424" s="32">
        <v>-135934</v>
      </c>
      <c r="AB424" s="32">
        <v>0</v>
      </c>
      <c r="AC424" s="32" t="s">
        <v>542</v>
      </c>
      <c r="AD424" s="32"/>
      <c r="AE424" s="32">
        <v>0</v>
      </c>
    </row>
    <row r="425" spans="1:31" x14ac:dyDescent="0.25">
      <c r="A425">
        <v>6132</v>
      </c>
      <c r="B425" t="s">
        <v>177</v>
      </c>
      <c r="C425" t="s">
        <v>178</v>
      </c>
      <c r="D425" s="35">
        <v>108747.2</v>
      </c>
      <c r="E425">
        <v>1246132951</v>
      </c>
      <c r="F425" s="324">
        <v>45572</v>
      </c>
      <c r="H425" t="s">
        <v>173</v>
      </c>
      <c r="I425" t="s">
        <v>174</v>
      </c>
      <c r="J425">
        <v>3007</v>
      </c>
      <c r="K425" s="324">
        <v>45358</v>
      </c>
      <c r="L425">
        <v>1010100</v>
      </c>
      <c r="M425" t="s">
        <v>35</v>
      </c>
      <c r="N425">
        <v>540</v>
      </c>
      <c r="O425" s="32">
        <v>0</v>
      </c>
      <c r="P425" s="32">
        <v>0</v>
      </c>
      <c r="Q425" s="32">
        <v>0</v>
      </c>
      <c r="R425" s="32">
        <v>0</v>
      </c>
      <c r="S425" s="32">
        <v>0</v>
      </c>
      <c r="T425" s="32">
        <v>0</v>
      </c>
      <c r="U425" s="32">
        <v>108747.2</v>
      </c>
      <c r="V425" s="32">
        <v>0</v>
      </c>
      <c r="W425" s="32">
        <v>3262.4159999999997</v>
      </c>
      <c r="X425" s="32">
        <v>105484.784</v>
      </c>
      <c r="Y425" s="32">
        <v>105484.784</v>
      </c>
      <c r="Z425" s="32">
        <v>108747.2</v>
      </c>
      <c r="AA425" s="32">
        <v>-108747.2</v>
      </c>
      <c r="AB425" s="32">
        <v>0</v>
      </c>
      <c r="AC425" s="32" t="s">
        <v>542</v>
      </c>
      <c r="AD425" s="32"/>
      <c r="AE425" s="32">
        <v>0</v>
      </c>
    </row>
    <row r="426" spans="1:31" x14ac:dyDescent="0.25">
      <c r="A426">
        <v>6132</v>
      </c>
      <c r="B426" t="s">
        <v>177</v>
      </c>
      <c r="C426" t="s">
        <v>178</v>
      </c>
      <c r="D426" s="35">
        <v>86997.759999999995</v>
      </c>
      <c r="E426">
        <v>1246131102</v>
      </c>
      <c r="F426" s="324">
        <v>45570</v>
      </c>
      <c r="H426" t="s">
        <v>173</v>
      </c>
      <c r="I426" t="s">
        <v>174</v>
      </c>
      <c r="J426">
        <v>2917</v>
      </c>
      <c r="K426" s="324">
        <v>45348</v>
      </c>
      <c r="L426">
        <v>1010100</v>
      </c>
      <c r="M426" t="s">
        <v>35</v>
      </c>
      <c r="N426">
        <v>542</v>
      </c>
      <c r="O426" s="32">
        <v>0</v>
      </c>
      <c r="P426" s="32">
        <v>0</v>
      </c>
      <c r="Q426" s="32">
        <v>0</v>
      </c>
      <c r="R426" s="32">
        <v>0</v>
      </c>
      <c r="S426" s="32">
        <v>0</v>
      </c>
      <c r="T426" s="32">
        <v>0</v>
      </c>
      <c r="U426" s="32">
        <v>86997.759999999995</v>
      </c>
      <c r="V426" s="32">
        <v>0</v>
      </c>
      <c r="W426" s="32">
        <v>2609.9327999999996</v>
      </c>
      <c r="X426" s="32">
        <v>84387.8272</v>
      </c>
      <c r="Y426" s="32">
        <v>84387.8272</v>
      </c>
      <c r="Z426" s="32">
        <v>86997.759999999995</v>
      </c>
      <c r="AA426" s="32">
        <v>-86997.759999999995</v>
      </c>
      <c r="AB426" s="32">
        <v>0</v>
      </c>
      <c r="AC426" s="32" t="s">
        <v>542</v>
      </c>
      <c r="AD426" s="32"/>
      <c r="AE426" s="32">
        <v>0</v>
      </c>
    </row>
    <row r="427" spans="1:31" x14ac:dyDescent="0.25">
      <c r="A427">
        <v>6132</v>
      </c>
      <c r="B427" t="s">
        <v>177</v>
      </c>
      <c r="C427" t="s">
        <v>178</v>
      </c>
      <c r="D427" s="35">
        <v>29450.6</v>
      </c>
      <c r="E427">
        <v>1246146931</v>
      </c>
      <c r="F427" s="324">
        <v>45584</v>
      </c>
      <c r="H427" t="s">
        <v>173</v>
      </c>
      <c r="I427" t="s">
        <v>174</v>
      </c>
      <c r="J427">
        <v>3632</v>
      </c>
      <c r="K427" s="324">
        <v>45434</v>
      </c>
      <c r="L427">
        <v>1010100</v>
      </c>
      <c r="M427" t="s">
        <v>35</v>
      </c>
      <c r="N427">
        <v>528</v>
      </c>
      <c r="O427" s="32">
        <v>0</v>
      </c>
      <c r="P427" s="32">
        <v>0</v>
      </c>
      <c r="Q427" s="32">
        <v>0</v>
      </c>
      <c r="R427" s="32">
        <v>0</v>
      </c>
      <c r="S427" s="32">
        <v>0</v>
      </c>
      <c r="T427" s="32">
        <v>0</v>
      </c>
      <c r="U427" s="32">
        <v>29450.6</v>
      </c>
      <c r="V427" s="32">
        <v>0</v>
      </c>
      <c r="W427" s="32">
        <v>883.51799999999992</v>
      </c>
      <c r="X427" s="32">
        <v>28567.081999999999</v>
      </c>
      <c r="Y427" s="32">
        <v>28567.081999999999</v>
      </c>
      <c r="Z427" s="32">
        <v>29450.6</v>
      </c>
      <c r="AA427" s="32">
        <v>-29450.6</v>
      </c>
      <c r="AB427" s="32">
        <v>0</v>
      </c>
      <c r="AC427" s="32" t="s">
        <v>542</v>
      </c>
      <c r="AD427" s="32"/>
      <c r="AE427" s="32">
        <v>0</v>
      </c>
    </row>
    <row r="428" spans="1:31" x14ac:dyDescent="0.25">
      <c r="A428">
        <v>6132</v>
      </c>
      <c r="B428" t="s">
        <v>177</v>
      </c>
      <c r="C428" t="s">
        <v>178</v>
      </c>
      <c r="D428" s="35">
        <v>38061.519999999997</v>
      </c>
      <c r="E428">
        <v>1246146932</v>
      </c>
      <c r="F428" s="324">
        <v>45569</v>
      </c>
      <c r="H428" t="s">
        <v>173</v>
      </c>
      <c r="I428" t="s">
        <v>174</v>
      </c>
      <c r="J428">
        <v>3633</v>
      </c>
      <c r="K428" s="324">
        <v>45434</v>
      </c>
      <c r="L428">
        <v>1010100</v>
      </c>
      <c r="M428" t="s">
        <v>35</v>
      </c>
      <c r="N428">
        <v>543</v>
      </c>
      <c r="O428" s="32">
        <v>0</v>
      </c>
      <c r="P428" s="32">
        <v>0</v>
      </c>
      <c r="Q428" s="32">
        <v>0</v>
      </c>
      <c r="R428" s="32">
        <v>0</v>
      </c>
      <c r="S428" s="32">
        <v>0</v>
      </c>
      <c r="T428" s="32">
        <v>0</v>
      </c>
      <c r="U428" s="32">
        <v>38061.519999999997</v>
      </c>
      <c r="V428" s="32">
        <v>0</v>
      </c>
      <c r="W428" s="32">
        <v>1141.8455999999999</v>
      </c>
      <c r="X428" s="32">
        <v>36919.674399999996</v>
      </c>
      <c r="Y428" s="32">
        <v>36919.674399999996</v>
      </c>
      <c r="Z428" s="32">
        <v>38061.519999999997</v>
      </c>
      <c r="AA428" s="32">
        <v>-38061.519999999997</v>
      </c>
      <c r="AB428" s="32">
        <v>0</v>
      </c>
      <c r="AC428" s="32" t="s">
        <v>542</v>
      </c>
      <c r="AD428" s="32"/>
      <c r="AE428" s="32">
        <v>0</v>
      </c>
    </row>
    <row r="429" spans="1:31" x14ac:dyDescent="0.25">
      <c r="A429">
        <v>6132</v>
      </c>
      <c r="B429" t="s">
        <v>177</v>
      </c>
      <c r="C429" t="s">
        <v>178</v>
      </c>
      <c r="D429" s="35">
        <v>8760</v>
      </c>
      <c r="E429">
        <v>1246146933</v>
      </c>
      <c r="F429" s="324">
        <v>45462</v>
      </c>
      <c r="H429" t="s">
        <v>173</v>
      </c>
      <c r="I429" t="s">
        <v>174</v>
      </c>
      <c r="J429">
        <v>3634</v>
      </c>
      <c r="K429" s="324">
        <v>45434</v>
      </c>
      <c r="L429">
        <v>1010100</v>
      </c>
      <c r="M429" t="s">
        <v>35</v>
      </c>
      <c r="N429">
        <v>650</v>
      </c>
      <c r="O429" s="32">
        <v>0</v>
      </c>
      <c r="P429" s="32">
        <v>0</v>
      </c>
      <c r="Q429" s="32">
        <v>0</v>
      </c>
      <c r="R429" s="32">
        <v>0</v>
      </c>
      <c r="S429" s="32">
        <v>0</v>
      </c>
      <c r="T429" s="32">
        <v>0</v>
      </c>
      <c r="U429" s="32">
        <v>8760</v>
      </c>
      <c r="V429" s="32">
        <v>0</v>
      </c>
      <c r="W429" s="32">
        <v>262.8</v>
      </c>
      <c r="X429" s="32">
        <v>8497.1999999999989</v>
      </c>
      <c r="Y429" s="32">
        <v>8497.1999999999989</v>
      </c>
      <c r="Z429" s="32">
        <v>8760</v>
      </c>
      <c r="AA429" s="32">
        <v>-8760</v>
      </c>
      <c r="AB429" s="32">
        <v>0</v>
      </c>
      <c r="AC429" s="32" t="s">
        <v>542</v>
      </c>
      <c r="AD429" s="32"/>
      <c r="AE429" s="32">
        <v>0</v>
      </c>
    </row>
    <row r="430" spans="1:31" x14ac:dyDescent="0.25">
      <c r="A430">
        <v>6132</v>
      </c>
      <c r="B430" t="s">
        <v>177</v>
      </c>
      <c r="C430" t="s">
        <v>178</v>
      </c>
      <c r="D430" s="35">
        <v>14851.85</v>
      </c>
      <c r="E430">
        <v>1246132474</v>
      </c>
      <c r="F430" s="324">
        <v>45570</v>
      </c>
      <c r="H430" t="s">
        <v>173</v>
      </c>
      <c r="I430" t="s">
        <v>174</v>
      </c>
      <c r="J430">
        <v>2989</v>
      </c>
      <c r="K430" s="324">
        <v>45356</v>
      </c>
      <c r="L430">
        <v>1010100</v>
      </c>
      <c r="M430" t="s">
        <v>35</v>
      </c>
      <c r="N430">
        <v>542</v>
      </c>
      <c r="O430" s="32">
        <v>0</v>
      </c>
      <c r="P430" s="32">
        <v>0</v>
      </c>
      <c r="Q430" s="32">
        <v>0</v>
      </c>
      <c r="R430" s="32">
        <v>0</v>
      </c>
      <c r="S430" s="32">
        <v>0</v>
      </c>
      <c r="T430" s="32">
        <v>0</v>
      </c>
      <c r="U430" s="32">
        <v>14851.85</v>
      </c>
      <c r="V430" s="32">
        <v>0</v>
      </c>
      <c r="W430" s="32">
        <v>445.55549999999999</v>
      </c>
      <c r="X430" s="32">
        <v>14406.2945</v>
      </c>
      <c r="Y430" s="32">
        <v>14406.2945</v>
      </c>
      <c r="Z430" s="32">
        <v>14851.85</v>
      </c>
      <c r="AA430" s="32">
        <v>-14851.85</v>
      </c>
      <c r="AB430" s="32">
        <v>0</v>
      </c>
      <c r="AC430" s="32" t="s">
        <v>542</v>
      </c>
      <c r="AD430" s="32"/>
      <c r="AE430" s="32">
        <v>0</v>
      </c>
    </row>
    <row r="431" spans="1:31" x14ac:dyDescent="0.25">
      <c r="A431">
        <v>6132</v>
      </c>
      <c r="B431" t="s">
        <v>177</v>
      </c>
      <c r="C431" t="s">
        <v>178</v>
      </c>
      <c r="D431" s="35">
        <v>99200.52</v>
      </c>
      <c r="E431">
        <v>1246147269</v>
      </c>
      <c r="F431" s="324">
        <v>45571</v>
      </c>
      <c r="H431" t="s">
        <v>173</v>
      </c>
      <c r="I431" t="s">
        <v>174</v>
      </c>
      <c r="J431">
        <v>3665</v>
      </c>
      <c r="K431" s="324">
        <v>45436</v>
      </c>
      <c r="L431">
        <v>1010100</v>
      </c>
      <c r="M431" t="s">
        <v>35</v>
      </c>
      <c r="N431">
        <v>541</v>
      </c>
      <c r="O431" s="32">
        <v>0</v>
      </c>
      <c r="P431" s="32">
        <v>0</v>
      </c>
      <c r="Q431" s="32">
        <v>0</v>
      </c>
      <c r="R431" s="32">
        <v>0</v>
      </c>
      <c r="S431" s="32">
        <v>0</v>
      </c>
      <c r="T431" s="32">
        <v>0</v>
      </c>
      <c r="U431" s="32">
        <v>99200.52</v>
      </c>
      <c r="V431" s="32">
        <v>0</v>
      </c>
      <c r="W431" s="32">
        <v>2976.0156000000002</v>
      </c>
      <c r="X431" s="32">
        <v>96224.504400000005</v>
      </c>
      <c r="Y431" s="32">
        <v>96224.504400000005</v>
      </c>
      <c r="Z431" s="32">
        <v>99200.52</v>
      </c>
      <c r="AA431" s="32">
        <v>-99200.52</v>
      </c>
      <c r="AB431" s="32">
        <v>0</v>
      </c>
      <c r="AC431" s="32" t="s">
        <v>542</v>
      </c>
      <c r="AD431" s="32"/>
      <c r="AE431" s="32">
        <v>0</v>
      </c>
    </row>
    <row r="432" spans="1:31" x14ac:dyDescent="0.25">
      <c r="A432">
        <v>6132</v>
      </c>
      <c r="B432" t="s">
        <v>177</v>
      </c>
      <c r="C432" t="s">
        <v>178</v>
      </c>
      <c r="D432" s="35">
        <v>33509.519999999997</v>
      </c>
      <c r="E432">
        <v>1246148020</v>
      </c>
      <c r="F432" s="324">
        <v>45576</v>
      </c>
      <c r="H432" t="s">
        <v>173</v>
      </c>
      <c r="I432" t="s">
        <v>174</v>
      </c>
      <c r="J432">
        <v>3714</v>
      </c>
      <c r="K432" s="324">
        <v>45441</v>
      </c>
      <c r="L432">
        <v>1010100</v>
      </c>
      <c r="M432" t="s">
        <v>35</v>
      </c>
      <c r="N432">
        <v>536</v>
      </c>
      <c r="O432" s="32">
        <v>0</v>
      </c>
      <c r="P432" s="32">
        <v>0</v>
      </c>
      <c r="Q432" s="32">
        <v>0</v>
      </c>
      <c r="R432" s="32">
        <v>0</v>
      </c>
      <c r="S432" s="32">
        <v>0</v>
      </c>
      <c r="T432" s="32">
        <v>0</v>
      </c>
      <c r="U432" s="32">
        <v>33509.519999999997</v>
      </c>
      <c r="V432" s="32">
        <v>0</v>
      </c>
      <c r="W432" s="32">
        <v>1005.2855999999998</v>
      </c>
      <c r="X432" s="32">
        <v>32504.234399999998</v>
      </c>
      <c r="Y432" s="32">
        <v>32504.234399999998</v>
      </c>
      <c r="Z432" s="32">
        <v>33509.519999999997</v>
      </c>
      <c r="AA432" s="32">
        <v>-33509.519999999997</v>
      </c>
      <c r="AB432" s="32">
        <v>0</v>
      </c>
      <c r="AC432" s="32" t="s">
        <v>542</v>
      </c>
      <c r="AD432" s="32"/>
      <c r="AE432" s="32">
        <v>0</v>
      </c>
    </row>
    <row r="433" spans="1:31" x14ac:dyDescent="0.25">
      <c r="A433">
        <v>6132</v>
      </c>
      <c r="B433" t="s">
        <v>177</v>
      </c>
      <c r="C433" t="s">
        <v>178</v>
      </c>
      <c r="D433" s="35">
        <v>56218.2</v>
      </c>
      <c r="E433">
        <v>1246148019</v>
      </c>
      <c r="F433" s="324">
        <v>45576</v>
      </c>
      <c r="H433" t="s">
        <v>173</v>
      </c>
      <c r="I433" t="s">
        <v>174</v>
      </c>
      <c r="J433">
        <v>3713</v>
      </c>
      <c r="K433" s="324">
        <v>45441</v>
      </c>
      <c r="L433">
        <v>1010100</v>
      </c>
      <c r="M433" t="s">
        <v>35</v>
      </c>
      <c r="N433">
        <v>536</v>
      </c>
      <c r="O433" s="32">
        <v>0</v>
      </c>
      <c r="P433" s="32">
        <v>0</v>
      </c>
      <c r="Q433" s="32">
        <v>0</v>
      </c>
      <c r="R433" s="32">
        <v>0</v>
      </c>
      <c r="S433" s="32">
        <v>0</v>
      </c>
      <c r="T433" s="32">
        <v>0</v>
      </c>
      <c r="U433" s="32">
        <v>56218.2</v>
      </c>
      <c r="V433" s="32">
        <v>0</v>
      </c>
      <c r="W433" s="32">
        <v>1686.5459999999998</v>
      </c>
      <c r="X433" s="32">
        <v>54531.653999999995</v>
      </c>
      <c r="Y433" s="32">
        <v>54531.653999999995</v>
      </c>
      <c r="Z433" s="32">
        <v>56218.2</v>
      </c>
      <c r="AA433" s="32">
        <v>-56218.2</v>
      </c>
      <c r="AB433" s="32">
        <v>0</v>
      </c>
      <c r="AC433" s="32" t="s">
        <v>542</v>
      </c>
      <c r="AD433" s="32"/>
      <c r="AE433" s="32">
        <v>0</v>
      </c>
    </row>
    <row r="434" spans="1:31" x14ac:dyDescent="0.25">
      <c r="A434">
        <v>6132</v>
      </c>
      <c r="B434" t="s">
        <v>177</v>
      </c>
      <c r="C434" t="s">
        <v>178</v>
      </c>
      <c r="D434" s="35">
        <v>95220.3</v>
      </c>
      <c r="E434">
        <v>1246135170</v>
      </c>
      <c r="F434" s="324">
        <v>45566</v>
      </c>
      <c r="H434" t="s">
        <v>173</v>
      </c>
      <c r="I434" t="s">
        <v>174</v>
      </c>
      <c r="J434">
        <v>3136</v>
      </c>
      <c r="K434" s="324">
        <v>45372</v>
      </c>
      <c r="L434">
        <v>1010100</v>
      </c>
      <c r="M434" t="s">
        <v>35</v>
      </c>
      <c r="N434">
        <v>546</v>
      </c>
      <c r="O434" s="32">
        <v>0</v>
      </c>
      <c r="P434" s="32">
        <v>0</v>
      </c>
      <c r="Q434" s="32">
        <v>0</v>
      </c>
      <c r="R434" s="32">
        <v>0</v>
      </c>
      <c r="S434" s="32">
        <v>0</v>
      </c>
      <c r="T434" s="32">
        <v>0</v>
      </c>
      <c r="U434" s="32">
        <v>95220.3</v>
      </c>
      <c r="V434" s="32">
        <v>0</v>
      </c>
      <c r="W434" s="32">
        <v>2856.6089999999999</v>
      </c>
      <c r="X434" s="32">
        <v>92363.691000000006</v>
      </c>
      <c r="Y434" s="32">
        <v>92363.691000000006</v>
      </c>
      <c r="Z434" s="32">
        <v>95220.3</v>
      </c>
      <c r="AA434" s="32">
        <v>-95220.3</v>
      </c>
      <c r="AB434" s="32">
        <v>0</v>
      </c>
      <c r="AC434" s="32" t="s">
        <v>542</v>
      </c>
      <c r="AD434" s="32"/>
      <c r="AE434" s="32">
        <v>0</v>
      </c>
    </row>
    <row r="435" spans="1:31" x14ac:dyDescent="0.25">
      <c r="A435">
        <v>6132</v>
      </c>
      <c r="B435" t="s">
        <v>177</v>
      </c>
      <c r="C435" t="s">
        <v>178</v>
      </c>
      <c r="D435" s="35">
        <v>29542.9</v>
      </c>
      <c r="E435">
        <v>1246135172</v>
      </c>
      <c r="F435" s="324">
        <v>45566</v>
      </c>
      <c r="H435" t="s">
        <v>173</v>
      </c>
      <c r="I435" t="s">
        <v>174</v>
      </c>
      <c r="J435">
        <v>3137</v>
      </c>
      <c r="K435" s="324">
        <v>45372</v>
      </c>
      <c r="L435">
        <v>1010100</v>
      </c>
      <c r="M435" t="s">
        <v>35</v>
      </c>
      <c r="N435">
        <v>546</v>
      </c>
      <c r="O435" s="32">
        <v>0</v>
      </c>
      <c r="P435" s="32">
        <v>0</v>
      </c>
      <c r="Q435" s="32">
        <v>0</v>
      </c>
      <c r="R435" s="32">
        <v>0</v>
      </c>
      <c r="S435" s="32">
        <v>0</v>
      </c>
      <c r="T435" s="32">
        <v>0</v>
      </c>
      <c r="U435" s="32">
        <v>29542.9</v>
      </c>
      <c r="V435" s="32">
        <v>0</v>
      </c>
      <c r="W435" s="32">
        <v>886.28700000000003</v>
      </c>
      <c r="X435" s="32">
        <v>28656.613000000001</v>
      </c>
      <c r="Y435" s="32">
        <v>28656.613000000001</v>
      </c>
      <c r="Z435" s="32">
        <v>29542.9</v>
      </c>
      <c r="AA435" s="32">
        <v>-29542.9</v>
      </c>
      <c r="AB435" s="32">
        <v>0</v>
      </c>
      <c r="AC435" s="32" t="s">
        <v>542</v>
      </c>
      <c r="AD435" s="32"/>
      <c r="AE435" s="32">
        <v>0</v>
      </c>
    </row>
    <row r="436" spans="1:31" x14ac:dyDescent="0.25">
      <c r="A436">
        <v>6132</v>
      </c>
      <c r="B436" t="s">
        <v>177</v>
      </c>
      <c r="C436" t="s">
        <v>178</v>
      </c>
      <c r="D436" s="35">
        <v>92588.02</v>
      </c>
      <c r="E436">
        <v>1246138275</v>
      </c>
      <c r="F436" s="324">
        <v>45570</v>
      </c>
      <c r="H436" t="s">
        <v>173</v>
      </c>
      <c r="I436" t="s">
        <v>174</v>
      </c>
      <c r="J436">
        <v>3249</v>
      </c>
      <c r="K436" s="324">
        <v>45390</v>
      </c>
      <c r="L436">
        <v>1010100</v>
      </c>
      <c r="M436" t="s">
        <v>35</v>
      </c>
      <c r="N436">
        <v>542</v>
      </c>
      <c r="O436" s="32">
        <v>0</v>
      </c>
      <c r="P436" s="32">
        <v>0</v>
      </c>
      <c r="Q436" s="32">
        <v>0</v>
      </c>
      <c r="R436" s="32">
        <v>0</v>
      </c>
      <c r="S436" s="32">
        <v>0</v>
      </c>
      <c r="T436" s="32">
        <v>0</v>
      </c>
      <c r="U436" s="32">
        <v>92588.02</v>
      </c>
      <c r="V436" s="32">
        <v>0</v>
      </c>
      <c r="W436" s="32">
        <v>2777.6406000000002</v>
      </c>
      <c r="X436" s="32">
        <v>89810.379400000005</v>
      </c>
      <c r="Y436" s="32">
        <v>89810.379400000005</v>
      </c>
      <c r="Z436" s="32">
        <v>92588.02</v>
      </c>
      <c r="AA436" s="32">
        <v>-92588.02</v>
      </c>
      <c r="AB436" s="32">
        <v>0</v>
      </c>
      <c r="AC436" s="32" t="s">
        <v>542</v>
      </c>
      <c r="AD436" s="32"/>
      <c r="AE436" s="32">
        <v>0</v>
      </c>
    </row>
    <row r="437" spans="1:31" x14ac:dyDescent="0.25">
      <c r="A437">
        <v>6132</v>
      </c>
      <c r="B437" t="s">
        <v>177</v>
      </c>
      <c r="C437" t="s">
        <v>178</v>
      </c>
      <c r="D437" s="35">
        <v>97872.48</v>
      </c>
      <c r="E437">
        <v>1246135813</v>
      </c>
      <c r="F437" s="324">
        <v>45570</v>
      </c>
      <c r="H437" t="s">
        <v>173</v>
      </c>
      <c r="I437" t="s">
        <v>174</v>
      </c>
      <c r="J437">
        <v>3160</v>
      </c>
      <c r="K437" s="324">
        <v>45376</v>
      </c>
      <c r="L437">
        <v>1010100</v>
      </c>
      <c r="M437" t="s">
        <v>35</v>
      </c>
      <c r="N437">
        <v>542</v>
      </c>
      <c r="O437" s="32">
        <v>0</v>
      </c>
      <c r="P437" s="32">
        <v>0</v>
      </c>
      <c r="Q437" s="32">
        <v>0</v>
      </c>
      <c r="R437" s="32">
        <v>0</v>
      </c>
      <c r="S437" s="32">
        <v>0</v>
      </c>
      <c r="T437" s="32">
        <v>0</v>
      </c>
      <c r="U437" s="32">
        <v>97872.48</v>
      </c>
      <c r="V437" s="32">
        <v>0</v>
      </c>
      <c r="W437" s="32">
        <v>2936.1743999999999</v>
      </c>
      <c r="X437" s="32">
        <v>94936.305599999992</v>
      </c>
      <c r="Y437" s="32">
        <v>94936.305599999992</v>
      </c>
      <c r="Z437" s="32">
        <v>97872.48</v>
      </c>
      <c r="AA437" s="32">
        <v>-97872.48</v>
      </c>
      <c r="AB437" s="32">
        <v>0</v>
      </c>
      <c r="AC437" s="32" t="s">
        <v>542</v>
      </c>
      <c r="AD437" s="32"/>
      <c r="AE437" s="32">
        <v>0</v>
      </c>
    </row>
    <row r="438" spans="1:31" x14ac:dyDescent="0.25">
      <c r="A438">
        <v>6132</v>
      </c>
      <c r="B438" t="s">
        <v>177</v>
      </c>
      <c r="C438" t="s">
        <v>178</v>
      </c>
      <c r="D438" s="35">
        <v>155705</v>
      </c>
      <c r="E438">
        <v>1246130904</v>
      </c>
      <c r="F438" s="324">
        <v>45567</v>
      </c>
      <c r="H438" t="s">
        <v>173</v>
      </c>
      <c r="I438" t="s">
        <v>174</v>
      </c>
      <c r="J438">
        <v>2906</v>
      </c>
      <c r="K438" s="324">
        <v>45345</v>
      </c>
      <c r="L438">
        <v>1010100</v>
      </c>
      <c r="M438" t="s">
        <v>35</v>
      </c>
      <c r="N438">
        <v>545</v>
      </c>
      <c r="O438" s="32">
        <v>0</v>
      </c>
      <c r="P438" s="32">
        <v>0</v>
      </c>
      <c r="Q438" s="32">
        <v>0</v>
      </c>
      <c r="R438" s="32">
        <v>0</v>
      </c>
      <c r="S438" s="32">
        <v>0</v>
      </c>
      <c r="T438" s="32">
        <v>0</v>
      </c>
      <c r="U438" s="32">
        <v>155705</v>
      </c>
      <c r="V438" s="32">
        <v>0</v>
      </c>
      <c r="W438" s="32">
        <v>4671.1499999999996</v>
      </c>
      <c r="X438" s="32">
        <v>151033.85</v>
      </c>
      <c r="Y438" s="32">
        <v>151033.85</v>
      </c>
      <c r="Z438" s="32">
        <v>155705</v>
      </c>
      <c r="AA438" s="32">
        <v>-155705</v>
      </c>
      <c r="AB438" s="32">
        <v>0</v>
      </c>
      <c r="AC438" s="32" t="s">
        <v>542</v>
      </c>
      <c r="AD438" s="32"/>
      <c r="AE438" s="32">
        <v>0</v>
      </c>
    </row>
    <row r="439" spans="1:31" x14ac:dyDescent="0.25">
      <c r="A439">
        <v>6132</v>
      </c>
      <c r="B439" t="s">
        <v>177</v>
      </c>
      <c r="C439" t="s">
        <v>178</v>
      </c>
      <c r="D439" s="35">
        <v>86997.759999999995</v>
      </c>
      <c r="E439">
        <v>1246137598</v>
      </c>
      <c r="F439" s="324">
        <v>45566</v>
      </c>
      <c r="H439" t="s">
        <v>173</v>
      </c>
      <c r="I439" t="s">
        <v>174</v>
      </c>
      <c r="J439">
        <v>3223</v>
      </c>
      <c r="K439" s="324">
        <v>45386</v>
      </c>
      <c r="L439">
        <v>1010100</v>
      </c>
      <c r="M439" t="s">
        <v>35</v>
      </c>
      <c r="N439">
        <v>546</v>
      </c>
      <c r="O439" s="32">
        <v>0</v>
      </c>
      <c r="P439" s="32">
        <v>0</v>
      </c>
      <c r="Q439" s="32">
        <v>0</v>
      </c>
      <c r="R439" s="32">
        <v>0</v>
      </c>
      <c r="S439" s="32">
        <v>0</v>
      </c>
      <c r="T439" s="32">
        <v>0</v>
      </c>
      <c r="U439" s="32">
        <v>86997.759999999995</v>
      </c>
      <c r="V439" s="32">
        <v>0</v>
      </c>
      <c r="W439" s="32">
        <v>2609.9327999999996</v>
      </c>
      <c r="X439" s="32">
        <v>84387.8272</v>
      </c>
      <c r="Y439" s="32">
        <v>84387.8272</v>
      </c>
      <c r="Z439" s="32">
        <v>86997.759999999995</v>
      </c>
      <c r="AA439" s="32">
        <v>-86997.759999999995</v>
      </c>
      <c r="AB439" s="32">
        <v>0</v>
      </c>
      <c r="AC439" s="32" t="s">
        <v>542</v>
      </c>
      <c r="AD439" s="32"/>
      <c r="AE439" s="32">
        <v>0</v>
      </c>
    </row>
    <row r="440" spans="1:31" x14ac:dyDescent="0.25">
      <c r="A440">
        <v>6132</v>
      </c>
      <c r="B440" t="s">
        <v>177</v>
      </c>
      <c r="C440" t="s">
        <v>178</v>
      </c>
      <c r="D440" s="35">
        <v>55849.2</v>
      </c>
      <c r="E440">
        <v>1246147270</v>
      </c>
      <c r="F440" s="324">
        <v>45571</v>
      </c>
      <c r="H440" t="s">
        <v>173</v>
      </c>
      <c r="I440" t="s">
        <v>174</v>
      </c>
      <c r="J440">
        <v>3666</v>
      </c>
      <c r="K440" s="324">
        <v>45436</v>
      </c>
      <c r="L440">
        <v>1010100</v>
      </c>
      <c r="M440" t="s">
        <v>35</v>
      </c>
      <c r="N440">
        <v>541</v>
      </c>
      <c r="O440" s="32">
        <v>0</v>
      </c>
      <c r="P440" s="32">
        <v>0</v>
      </c>
      <c r="Q440" s="32">
        <v>0</v>
      </c>
      <c r="R440" s="32">
        <v>0</v>
      </c>
      <c r="S440" s="32">
        <v>0</v>
      </c>
      <c r="T440" s="32">
        <v>0</v>
      </c>
      <c r="U440" s="32">
        <v>55849.2</v>
      </c>
      <c r="V440" s="32">
        <v>0</v>
      </c>
      <c r="W440" s="32">
        <v>1675.4759999999999</v>
      </c>
      <c r="X440" s="32">
        <v>54173.723999999995</v>
      </c>
      <c r="Y440" s="32">
        <v>54173.723999999995</v>
      </c>
      <c r="Z440" s="32">
        <v>55849.2</v>
      </c>
      <c r="AA440" s="32">
        <v>-55849.2</v>
      </c>
      <c r="AB440" s="32">
        <v>0</v>
      </c>
      <c r="AC440" s="32" t="s">
        <v>542</v>
      </c>
      <c r="AD440" s="32"/>
      <c r="AE440" s="32">
        <v>0</v>
      </c>
    </row>
    <row r="441" spans="1:31" x14ac:dyDescent="0.25">
      <c r="A441">
        <v>6132</v>
      </c>
      <c r="B441" t="s">
        <v>177</v>
      </c>
      <c r="C441" t="s">
        <v>178</v>
      </c>
      <c r="D441" s="35">
        <v>97872.48</v>
      </c>
      <c r="E441">
        <v>1246131241</v>
      </c>
      <c r="F441" s="324">
        <v>45571</v>
      </c>
      <c r="H441" t="s">
        <v>173</v>
      </c>
      <c r="I441" t="s">
        <v>174</v>
      </c>
      <c r="J441">
        <v>2928</v>
      </c>
      <c r="K441" s="324">
        <v>45349</v>
      </c>
      <c r="L441">
        <v>1010100</v>
      </c>
      <c r="M441" t="s">
        <v>35</v>
      </c>
      <c r="N441">
        <v>541</v>
      </c>
      <c r="O441" s="32">
        <v>0</v>
      </c>
      <c r="P441" s="32">
        <v>0</v>
      </c>
      <c r="Q441" s="32">
        <v>0</v>
      </c>
      <c r="R441" s="32">
        <v>0</v>
      </c>
      <c r="S441" s="32">
        <v>0</v>
      </c>
      <c r="T441" s="32">
        <v>0</v>
      </c>
      <c r="U441" s="32">
        <v>97872.48</v>
      </c>
      <c r="V441" s="32">
        <v>0</v>
      </c>
      <c r="W441" s="32">
        <v>2936.1743999999999</v>
      </c>
      <c r="X441" s="32">
        <v>94936.305599999992</v>
      </c>
      <c r="Y441" s="32">
        <v>94936.305599999992</v>
      </c>
      <c r="Z441" s="32">
        <v>97872.48</v>
      </c>
      <c r="AA441" s="32">
        <v>-97872.48</v>
      </c>
      <c r="AB441" s="32">
        <v>0</v>
      </c>
      <c r="AC441" s="32" t="s">
        <v>542</v>
      </c>
      <c r="AD441" s="32"/>
      <c r="AE441" s="32">
        <v>0</v>
      </c>
    </row>
    <row r="442" spans="1:31" x14ac:dyDescent="0.25">
      <c r="A442">
        <v>6132</v>
      </c>
      <c r="B442" t="s">
        <v>177</v>
      </c>
      <c r="C442" t="s">
        <v>178</v>
      </c>
      <c r="D442" s="35">
        <v>57092.28</v>
      </c>
      <c r="E442">
        <v>1246133070</v>
      </c>
      <c r="F442" s="324">
        <v>45573</v>
      </c>
      <c r="H442" t="s">
        <v>173</v>
      </c>
      <c r="I442" t="s">
        <v>174</v>
      </c>
      <c r="J442">
        <v>3012</v>
      </c>
      <c r="K442" s="324">
        <v>45359</v>
      </c>
      <c r="L442">
        <v>1010100</v>
      </c>
      <c r="M442" t="s">
        <v>35</v>
      </c>
      <c r="N442">
        <v>539</v>
      </c>
      <c r="O442" s="32">
        <v>0</v>
      </c>
      <c r="P442" s="32">
        <v>0</v>
      </c>
      <c r="Q442" s="32">
        <v>0</v>
      </c>
      <c r="R442" s="32">
        <v>0</v>
      </c>
      <c r="S442" s="32">
        <v>0</v>
      </c>
      <c r="T442" s="32">
        <v>0</v>
      </c>
      <c r="U442" s="32">
        <v>57092.28</v>
      </c>
      <c r="V442" s="32">
        <v>0</v>
      </c>
      <c r="W442" s="32">
        <v>1712.7683999999999</v>
      </c>
      <c r="X442" s="32">
        <v>55379.511599999998</v>
      </c>
      <c r="Y442" s="32">
        <v>55379.511599999998</v>
      </c>
      <c r="Z442" s="32">
        <v>57092.28</v>
      </c>
      <c r="AA442" s="32">
        <v>-57092.28</v>
      </c>
      <c r="AB442" s="32">
        <v>0</v>
      </c>
      <c r="AC442" s="32" t="s">
        <v>542</v>
      </c>
      <c r="AD442" s="32"/>
      <c r="AE442" s="32">
        <v>0</v>
      </c>
    </row>
    <row r="443" spans="1:31" x14ac:dyDescent="0.25">
      <c r="A443">
        <v>6132</v>
      </c>
      <c r="B443" t="s">
        <v>177</v>
      </c>
      <c r="C443" t="s">
        <v>178</v>
      </c>
      <c r="D443" s="35">
        <v>86997.759999999995</v>
      </c>
      <c r="E443">
        <v>1246131594</v>
      </c>
      <c r="F443" s="324">
        <v>45573</v>
      </c>
      <c r="H443" t="s">
        <v>173</v>
      </c>
      <c r="I443" t="s">
        <v>174</v>
      </c>
      <c r="J443">
        <v>2956</v>
      </c>
      <c r="K443" s="324">
        <v>45351</v>
      </c>
      <c r="L443">
        <v>1010100</v>
      </c>
      <c r="M443" t="s">
        <v>35</v>
      </c>
      <c r="N443">
        <v>539</v>
      </c>
      <c r="O443" s="32">
        <v>0</v>
      </c>
      <c r="P443" s="32">
        <v>0</v>
      </c>
      <c r="Q443" s="32">
        <v>0</v>
      </c>
      <c r="R443" s="32">
        <v>0</v>
      </c>
      <c r="S443" s="32">
        <v>0</v>
      </c>
      <c r="T443" s="32">
        <v>0</v>
      </c>
      <c r="U443" s="32">
        <v>86997.759999999995</v>
      </c>
      <c r="V443" s="32">
        <v>0</v>
      </c>
      <c r="W443" s="32">
        <v>2609.9327999999996</v>
      </c>
      <c r="X443" s="32">
        <v>84387.8272</v>
      </c>
      <c r="Y443" s="32">
        <v>84387.8272</v>
      </c>
      <c r="Z443" s="32">
        <v>86997.759999999995</v>
      </c>
      <c r="AA443" s="32">
        <v>-86997.759999999995</v>
      </c>
      <c r="AB443" s="32">
        <v>0</v>
      </c>
      <c r="AC443" s="32" t="s">
        <v>542</v>
      </c>
      <c r="AD443" s="32"/>
      <c r="AE443" s="32">
        <v>0</v>
      </c>
    </row>
    <row r="444" spans="1:31" x14ac:dyDescent="0.25">
      <c r="A444">
        <v>6132</v>
      </c>
      <c r="B444" t="s">
        <v>177</v>
      </c>
      <c r="C444" t="s">
        <v>178</v>
      </c>
      <c r="D444" s="35">
        <v>86997.759999999995</v>
      </c>
      <c r="E444">
        <v>1246133332</v>
      </c>
      <c r="F444" s="324">
        <v>45576</v>
      </c>
      <c r="H444" t="s">
        <v>173</v>
      </c>
      <c r="I444" t="s">
        <v>174</v>
      </c>
      <c r="J444">
        <v>3028</v>
      </c>
      <c r="K444" s="324">
        <v>45362</v>
      </c>
      <c r="L444">
        <v>1010100</v>
      </c>
      <c r="M444" t="s">
        <v>35</v>
      </c>
      <c r="N444">
        <v>536</v>
      </c>
      <c r="O444" s="32">
        <v>0</v>
      </c>
      <c r="P444" s="32">
        <v>0</v>
      </c>
      <c r="Q444" s="32">
        <v>0</v>
      </c>
      <c r="R444" s="32">
        <v>0</v>
      </c>
      <c r="S444" s="32">
        <v>0</v>
      </c>
      <c r="T444" s="32">
        <v>0</v>
      </c>
      <c r="U444" s="32">
        <v>86997.759999999995</v>
      </c>
      <c r="V444" s="32">
        <v>0</v>
      </c>
      <c r="W444" s="32">
        <v>2609.9327999999996</v>
      </c>
      <c r="X444" s="32">
        <v>84387.8272</v>
      </c>
      <c r="Y444" s="32">
        <v>84387.8272</v>
      </c>
      <c r="Z444" s="32">
        <v>86997.759999999995</v>
      </c>
      <c r="AA444" s="32">
        <v>-86997.759999999995</v>
      </c>
      <c r="AB444" s="32">
        <v>0</v>
      </c>
      <c r="AC444" s="32" t="s">
        <v>542</v>
      </c>
      <c r="AD444" s="32"/>
      <c r="AE444" s="32">
        <v>0</v>
      </c>
    </row>
    <row r="445" spans="1:31" x14ac:dyDescent="0.25">
      <c r="A445">
        <v>6132</v>
      </c>
      <c r="B445" t="s">
        <v>177</v>
      </c>
      <c r="C445" t="s">
        <v>178</v>
      </c>
      <c r="D445" s="35">
        <v>95153.8</v>
      </c>
      <c r="E445">
        <v>1246133718</v>
      </c>
      <c r="F445" s="324">
        <v>45578</v>
      </c>
      <c r="H445" t="s">
        <v>173</v>
      </c>
      <c r="I445" t="s">
        <v>174</v>
      </c>
      <c r="J445">
        <v>3051</v>
      </c>
      <c r="K445" s="324">
        <v>45364</v>
      </c>
      <c r="L445">
        <v>1010100</v>
      </c>
      <c r="M445" t="s">
        <v>35</v>
      </c>
      <c r="N445">
        <v>534</v>
      </c>
      <c r="O445" s="32">
        <v>0</v>
      </c>
      <c r="P445" s="32">
        <v>0</v>
      </c>
      <c r="Q445" s="32">
        <v>0</v>
      </c>
      <c r="R445" s="32">
        <v>0</v>
      </c>
      <c r="S445" s="32">
        <v>0</v>
      </c>
      <c r="T445" s="32">
        <v>0</v>
      </c>
      <c r="U445" s="32">
        <v>95153.8</v>
      </c>
      <c r="V445" s="32">
        <v>0</v>
      </c>
      <c r="W445" s="32">
        <v>2854.614</v>
      </c>
      <c r="X445" s="32">
        <v>92299.186000000002</v>
      </c>
      <c r="Y445" s="32">
        <v>92299.186000000002</v>
      </c>
      <c r="Z445" s="32">
        <v>95153.8</v>
      </c>
      <c r="AA445" s="32">
        <v>-95153.8</v>
      </c>
      <c r="AB445" s="32">
        <v>0</v>
      </c>
      <c r="AC445" s="32" t="s">
        <v>542</v>
      </c>
      <c r="AD445" s="32"/>
      <c r="AE445" s="32">
        <v>0</v>
      </c>
    </row>
    <row r="446" spans="1:31" x14ac:dyDescent="0.25">
      <c r="A446">
        <v>6132</v>
      </c>
      <c r="B446" t="s">
        <v>177</v>
      </c>
      <c r="C446" t="s">
        <v>178</v>
      </c>
      <c r="D446" s="35">
        <v>116501.9</v>
      </c>
      <c r="E446">
        <v>1246138114</v>
      </c>
      <c r="F446" s="324">
        <v>45570</v>
      </c>
      <c r="H446" t="s">
        <v>173</v>
      </c>
      <c r="I446" t="s">
        <v>174</v>
      </c>
      <c r="J446">
        <v>3243</v>
      </c>
      <c r="K446" s="324">
        <v>45390</v>
      </c>
      <c r="L446">
        <v>1010100</v>
      </c>
      <c r="M446" t="s">
        <v>35</v>
      </c>
      <c r="N446">
        <v>542</v>
      </c>
      <c r="O446" s="32">
        <v>0</v>
      </c>
      <c r="P446" s="32">
        <v>0</v>
      </c>
      <c r="Q446" s="32">
        <v>0</v>
      </c>
      <c r="R446" s="32">
        <v>0</v>
      </c>
      <c r="S446" s="32">
        <v>0</v>
      </c>
      <c r="T446" s="32">
        <v>0</v>
      </c>
      <c r="U446" s="32">
        <v>116501.9</v>
      </c>
      <c r="V446" s="32">
        <v>0</v>
      </c>
      <c r="W446" s="32">
        <v>3495.0569999999998</v>
      </c>
      <c r="X446" s="32">
        <v>113006.84299999999</v>
      </c>
      <c r="Y446" s="32">
        <v>113006.84299999999</v>
      </c>
      <c r="Z446" s="32">
        <v>116501.9</v>
      </c>
      <c r="AA446" s="32">
        <v>-116501.9</v>
      </c>
      <c r="AB446" s="32">
        <v>0</v>
      </c>
      <c r="AC446" s="32" t="s">
        <v>542</v>
      </c>
      <c r="AD446" s="32"/>
      <c r="AE446" s="32">
        <v>0</v>
      </c>
    </row>
    <row r="447" spans="1:31" x14ac:dyDescent="0.25">
      <c r="A447">
        <v>6132</v>
      </c>
      <c r="B447" t="s">
        <v>177</v>
      </c>
      <c r="C447" t="s">
        <v>178</v>
      </c>
      <c r="D447" s="35">
        <v>134954</v>
      </c>
      <c r="E447">
        <v>1246130651</v>
      </c>
      <c r="F447" s="324">
        <v>45566</v>
      </c>
      <c r="H447" t="s">
        <v>173</v>
      </c>
      <c r="I447" t="s">
        <v>174</v>
      </c>
      <c r="J447">
        <v>2889</v>
      </c>
      <c r="K447" s="324">
        <v>45344</v>
      </c>
      <c r="L447">
        <v>1010100</v>
      </c>
      <c r="M447" t="s">
        <v>35</v>
      </c>
      <c r="N447">
        <v>546</v>
      </c>
      <c r="O447" s="32">
        <v>0</v>
      </c>
      <c r="P447" s="32">
        <v>0</v>
      </c>
      <c r="Q447" s="32">
        <v>0</v>
      </c>
      <c r="R447" s="32">
        <v>0</v>
      </c>
      <c r="S447" s="32">
        <v>0</v>
      </c>
      <c r="T447" s="32">
        <v>0</v>
      </c>
      <c r="U447" s="32">
        <v>134954</v>
      </c>
      <c r="V447" s="32">
        <v>0</v>
      </c>
      <c r="W447" s="32">
        <v>4048.62</v>
      </c>
      <c r="X447" s="32">
        <v>130905.37999999999</v>
      </c>
      <c r="Y447" s="32">
        <v>130905.37999999999</v>
      </c>
      <c r="Z447" s="32">
        <v>134954</v>
      </c>
      <c r="AA447" s="32">
        <v>-134954</v>
      </c>
      <c r="AB447" s="32">
        <v>0</v>
      </c>
      <c r="AC447" s="32" t="s">
        <v>542</v>
      </c>
      <c r="AD447" s="32"/>
      <c r="AE447" s="32">
        <v>0</v>
      </c>
    </row>
    <row r="448" spans="1:31" x14ac:dyDescent="0.25">
      <c r="A448">
        <v>6132</v>
      </c>
      <c r="B448" t="s">
        <v>177</v>
      </c>
      <c r="C448" t="s">
        <v>178</v>
      </c>
      <c r="D448" s="35">
        <v>86997.759999999995</v>
      </c>
      <c r="E448">
        <v>1246131630</v>
      </c>
      <c r="F448" s="324">
        <v>45573</v>
      </c>
      <c r="H448" t="s">
        <v>173</v>
      </c>
      <c r="I448" t="s">
        <v>174</v>
      </c>
      <c r="J448">
        <v>2958</v>
      </c>
      <c r="K448" s="324">
        <v>45351</v>
      </c>
      <c r="L448">
        <v>1010100</v>
      </c>
      <c r="M448" t="s">
        <v>35</v>
      </c>
      <c r="N448">
        <v>539</v>
      </c>
      <c r="O448" s="32">
        <v>0</v>
      </c>
      <c r="P448" s="32">
        <v>0</v>
      </c>
      <c r="Q448" s="32">
        <v>0</v>
      </c>
      <c r="R448" s="32">
        <v>0</v>
      </c>
      <c r="S448" s="32">
        <v>0</v>
      </c>
      <c r="T448" s="32">
        <v>0</v>
      </c>
      <c r="U448" s="32">
        <v>86997.759999999995</v>
      </c>
      <c r="V448" s="32">
        <v>0</v>
      </c>
      <c r="W448" s="32">
        <v>2609.9327999999996</v>
      </c>
      <c r="X448" s="32">
        <v>84387.8272</v>
      </c>
      <c r="Y448" s="32">
        <v>84387.8272</v>
      </c>
      <c r="Z448" s="32">
        <v>86997.759999999995</v>
      </c>
      <c r="AA448" s="32">
        <v>-86997.759999999995</v>
      </c>
      <c r="AB448" s="32">
        <v>0</v>
      </c>
      <c r="AC448" s="32" t="s">
        <v>542</v>
      </c>
      <c r="AD448" s="32"/>
      <c r="AE448" s="32">
        <v>0</v>
      </c>
    </row>
    <row r="449" spans="1:31" x14ac:dyDescent="0.25">
      <c r="A449">
        <v>6132</v>
      </c>
      <c r="B449" t="s">
        <v>177</v>
      </c>
      <c r="C449" t="s">
        <v>178</v>
      </c>
      <c r="D449" s="35">
        <v>29949.599999999999</v>
      </c>
      <c r="E449">
        <v>1246133071</v>
      </c>
      <c r="F449" s="324">
        <v>45573</v>
      </c>
      <c r="H449" t="s">
        <v>173</v>
      </c>
      <c r="I449" t="s">
        <v>174</v>
      </c>
      <c r="J449">
        <v>3013</v>
      </c>
      <c r="K449" s="324">
        <v>45359</v>
      </c>
      <c r="L449">
        <v>1010100</v>
      </c>
      <c r="M449" t="s">
        <v>35</v>
      </c>
      <c r="N449">
        <v>539</v>
      </c>
      <c r="O449" s="32">
        <v>0</v>
      </c>
      <c r="P449" s="32">
        <v>0</v>
      </c>
      <c r="Q449" s="32">
        <v>0</v>
      </c>
      <c r="R449" s="32">
        <v>0</v>
      </c>
      <c r="S449" s="32">
        <v>0</v>
      </c>
      <c r="T449" s="32">
        <v>0</v>
      </c>
      <c r="U449" s="32">
        <v>29949.599999999999</v>
      </c>
      <c r="V449" s="32">
        <v>0</v>
      </c>
      <c r="W449" s="32">
        <v>898.48799999999994</v>
      </c>
      <c r="X449" s="32">
        <v>29051.111999999997</v>
      </c>
      <c r="Y449" s="32">
        <v>29051.111999999997</v>
      </c>
      <c r="Z449" s="32">
        <v>29949.599999999999</v>
      </c>
      <c r="AA449" s="32">
        <v>-29949.599999999999</v>
      </c>
      <c r="AB449" s="32">
        <v>0</v>
      </c>
      <c r="AC449" s="32" t="s">
        <v>542</v>
      </c>
      <c r="AD449" s="32"/>
      <c r="AE449" s="32">
        <v>0</v>
      </c>
    </row>
    <row r="450" spans="1:31" x14ac:dyDescent="0.25">
      <c r="A450">
        <v>6132</v>
      </c>
      <c r="B450" t="s">
        <v>177</v>
      </c>
      <c r="C450" t="s">
        <v>178</v>
      </c>
      <c r="D450" s="35">
        <v>54275.6</v>
      </c>
      <c r="E450">
        <v>1246132475</v>
      </c>
      <c r="F450" s="324">
        <v>45570</v>
      </c>
      <c r="H450" t="s">
        <v>173</v>
      </c>
      <c r="I450" t="s">
        <v>174</v>
      </c>
      <c r="J450">
        <v>2990</v>
      </c>
      <c r="K450" s="324">
        <v>45356</v>
      </c>
      <c r="L450">
        <v>1010100</v>
      </c>
      <c r="M450" t="s">
        <v>35</v>
      </c>
      <c r="N450">
        <v>542</v>
      </c>
      <c r="O450" s="32">
        <v>0</v>
      </c>
      <c r="P450" s="32">
        <v>0</v>
      </c>
      <c r="Q450" s="32">
        <v>0</v>
      </c>
      <c r="R450" s="32">
        <v>0</v>
      </c>
      <c r="S450" s="32">
        <v>0</v>
      </c>
      <c r="T450" s="32">
        <v>0</v>
      </c>
      <c r="U450" s="32">
        <v>54275.6</v>
      </c>
      <c r="V450" s="32">
        <v>0</v>
      </c>
      <c r="W450" s="32">
        <v>1628.2679999999998</v>
      </c>
      <c r="X450" s="32">
        <v>52647.331999999995</v>
      </c>
      <c r="Y450" s="32">
        <v>52647.331999999995</v>
      </c>
      <c r="Z450" s="32">
        <v>54275.6</v>
      </c>
      <c r="AA450" s="32">
        <v>-54275.6</v>
      </c>
      <c r="AB450" s="32">
        <v>0</v>
      </c>
      <c r="AC450" s="32" t="s">
        <v>542</v>
      </c>
      <c r="AD450" s="32"/>
      <c r="AE450" s="32">
        <v>0</v>
      </c>
    </row>
    <row r="451" spans="1:31" x14ac:dyDescent="0.25">
      <c r="A451">
        <v>6132</v>
      </c>
      <c r="B451" t="s">
        <v>177</v>
      </c>
      <c r="C451" t="s">
        <v>178</v>
      </c>
      <c r="D451" s="35">
        <v>97872.48</v>
      </c>
      <c r="E451">
        <v>1246132869</v>
      </c>
      <c r="F451" s="324">
        <v>45572</v>
      </c>
      <c r="H451" t="s">
        <v>173</v>
      </c>
      <c r="I451" t="s">
        <v>174</v>
      </c>
      <c r="J451">
        <v>3001</v>
      </c>
      <c r="K451" s="324">
        <v>45358</v>
      </c>
      <c r="L451">
        <v>1010100</v>
      </c>
      <c r="M451" t="s">
        <v>35</v>
      </c>
      <c r="N451">
        <v>540</v>
      </c>
      <c r="O451" s="32">
        <v>0</v>
      </c>
      <c r="P451" s="32">
        <v>0</v>
      </c>
      <c r="Q451" s="32">
        <v>0</v>
      </c>
      <c r="R451" s="32">
        <v>0</v>
      </c>
      <c r="S451" s="32">
        <v>0</v>
      </c>
      <c r="T451" s="32">
        <v>0</v>
      </c>
      <c r="U451" s="32">
        <v>97872.48</v>
      </c>
      <c r="V451" s="32">
        <v>0</v>
      </c>
      <c r="W451" s="32">
        <v>2936.1743999999999</v>
      </c>
      <c r="X451" s="32">
        <v>94936.305599999992</v>
      </c>
      <c r="Y451" s="32">
        <v>94936.305599999992</v>
      </c>
      <c r="Z451" s="32">
        <v>97872.48</v>
      </c>
      <c r="AA451" s="32">
        <v>-97872.48</v>
      </c>
      <c r="AB451" s="32">
        <v>0</v>
      </c>
      <c r="AC451" s="32" t="s">
        <v>542</v>
      </c>
      <c r="AD451" s="32"/>
      <c r="AE451" s="32">
        <v>0</v>
      </c>
    </row>
    <row r="452" spans="1:31" x14ac:dyDescent="0.25">
      <c r="A452">
        <v>6132</v>
      </c>
      <c r="B452" t="s">
        <v>177</v>
      </c>
      <c r="C452" t="s">
        <v>178</v>
      </c>
      <c r="D452" s="35">
        <v>86997.759999999995</v>
      </c>
      <c r="E452">
        <v>1246147192</v>
      </c>
      <c r="F452" s="324">
        <v>45571</v>
      </c>
      <c r="H452" t="s">
        <v>173</v>
      </c>
      <c r="I452" t="s">
        <v>174</v>
      </c>
      <c r="J452">
        <v>3654</v>
      </c>
      <c r="K452" s="324">
        <v>45436</v>
      </c>
      <c r="L452">
        <v>1010100</v>
      </c>
      <c r="M452" t="s">
        <v>35</v>
      </c>
      <c r="N452">
        <v>541</v>
      </c>
      <c r="O452" s="32">
        <v>0</v>
      </c>
      <c r="P452" s="32">
        <v>0</v>
      </c>
      <c r="Q452" s="32">
        <v>0</v>
      </c>
      <c r="R452" s="32">
        <v>0</v>
      </c>
      <c r="S452" s="32">
        <v>0</v>
      </c>
      <c r="T452" s="32">
        <v>0</v>
      </c>
      <c r="U452" s="32">
        <v>86997.759999999995</v>
      </c>
      <c r="V452" s="32">
        <v>0</v>
      </c>
      <c r="W452" s="32">
        <v>2609.9327999999996</v>
      </c>
      <c r="X452" s="32">
        <v>84387.8272</v>
      </c>
      <c r="Y452" s="32">
        <v>84387.8272</v>
      </c>
      <c r="Z452" s="32">
        <v>86997.759999999995</v>
      </c>
      <c r="AA452" s="32">
        <v>-86997.759999999995</v>
      </c>
      <c r="AB452" s="32">
        <v>0</v>
      </c>
      <c r="AC452" s="32" t="s">
        <v>542</v>
      </c>
      <c r="AD452" s="32"/>
      <c r="AE452" s="32">
        <v>0</v>
      </c>
    </row>
    <row r="453" spans="1:31" x14ac:dyDescent="0.25">
      <c r="A453">
        <v>6132</v>
      </c>
      <c r="B453" t="s">
        <v>177</v>
      </c>
      <c r="C453" t="s">
        <v>178</v>
      </c>
      <c r="D453" s="35">
        <v>101192.76</v>
      </c>
      <c r="E453">
        <v>1246148270</v>
      </c>
      <c r="F453" s="324">
        <v>45578</v>
      </c>
      <c r="H453" t="s">
        <v>173</v>
      </c>
      <c r="I453" t="s">
        <v>174</v>
      </c>
      <c r="J453">
        <v>3731</v>
      </c>
      <c r="K453" s="324">
        <v>45443</v>
      </c>
      <c r="L453">
        <v>1010100</v>
      </c>
      <c r="M453" t="s">
        <v>35</v>
      </c>
      <c r="N453">
        <v>534</v>
      </c>
      <c r="O453" s="32">
        <v>0</v>
      </c>
      <c r="P453" s="32">
        <v>0</v>
      </c>
      <c r="Q453" s="32">
        <v>0</v>
      </c>
      <c r="R453" s="32">
        <v>0</v>
      </c>
      <c r="S453" s="32">
        <v>0</v>
      </c>
      <c r="T453" s="32">
        <v>0</v>
      </c>
      <c r="U453" s="32">
        <v>101192.76</v>
      </c>
      <c r="V453" s="32">
        <v>0</v>
      </c>
      <c r="W453" s="32">
        <v>3035.7828</v>
      </c>
      <c r="X453" s="32">
        <v>98156.977199999994</v>
      </c>
      <c r="Y453" s="32">
        <v>98156.977199999994</v>
      </c>
      <c r="Z453" s="32">
        <v>101192.76</v>
      </c>
      <c r="AA453" s="32">
        <v>-101192.76</v>
      </c>
      <c r="AB453" s="32">
        <v>0</v>
      </c>
      <c r="AC453" s="32" t="s">
        <v>542</v>
      </c>
      <c r="AD453" s="32"/>
      <c r="AE453" s="32">
        <v>0</v>
      </c>
    </row>
    <row r="454" spans="1:31" x14ac:dyDescent="0.25">
      <c r="A454">
        <v>5519</v>
      </c>
      <c r="B454" t="s">
        <v>303</v>
      </c>
      <c r="C454" t="s">
        <v>909</v>
      </c>
      <c r="D454" s="35">
        <v>43569.75</v>
      </c>
      <c r="E454">
        <v>1246269682</v>
      </c>
      <c r="F454" s="324">
        <v>46142</v>
      </c>
      <c r="H454" t="s">
        <v>28</v>
      </c>
      <c r="I454" t="s">
        <v>29</v>
      </c>
      <c r="J454">
        <v>11012</v>
      </c>
      <c r="K454" s="324">
        <v>46112</v>
      </c>
      <c r="L454">
        <v>1010100</v>
      </c>
      <c r="M454" t="s">
        <v>35</v>
      </c>
      <c r="N454">
        <v>-30</v>
      </c>
      <c r="O454" s="32">
        <v>0</v>
      </c>
      <c r="P454" s="32">
        <v>0</v>
      </c>
      <c r="Q454" s="32">
        <v>43569.75</v>
      </c>
      <c r="R454" s="32">
        <v>0</v>
      </c>
      <c r="S454" s="32">
        <v>0</v>
      </c>
      <c r="T454" s="32">
        <v>0</v>
      </c>
      <c r="U454" s="32">
        <v>0</v>
      </c>
      <c r="V454" s="32">
        <v>0</v>
      </c>
      <c r="W454" s="32">
        <v>0</v>
      </c>
      <c r="X454" s="32">
        <v>0</v>
      </c>
      <c r="Y454" s="32">
        <v>0</v>
      </c>
      <c r="Z454" s="32">
        <v>0</v>
      </c>
      <c r="AA454" s="32">
        <v>0</v>
      </c>
      <c r="AB454" s="32">
        <v>0</v>
      </c>
      <c r="AC454" s="32" t="s">
        <v>475</v>
      </c>
      <c r="AD454" s="32"/>
      <c r="AE454" s="32">
        <v>0</v>
      </c>
    </row>
    <row r="455" spans="1:31" x14ac:dyDescent="0.25">
      <c r="A455">
        <v>5519</v>
      </c>
      <c r="B455" t="s">
        <v>303</v>
      </c>
      <c r="C455" t="s">
        <v>909</v>
      </c>
      <c r="D455" s="35">
        <v>43569.75</v>
      </c>
      <c r="E455">
        <v>1246269683</v>
      </c>
      <c r="F455" s="324">
        <v>46172</v>
      </c>
      <c r="H455" t="s">
        <v>28</v>
      </c>
      <c r="I455" t="s">
        <v>29</v>
      </c>
      <c r="J455">
        <v>11012</v>
      </c>
      <c r="K455" s="324">
        <v>46112</v>
      </c>
      <c r="L455">
        <v>1010100</v>
      </c>
      <c r="M455" t="s">
        <v>35</v>
      </c>
      <c r="N455">
        <v>-60</v>
      </c>
      <c r="O455" s="32">
        <v>0</v>
      </c>
      <c r="P455" s="32">
        <v>0</v>
      </c>
      <c r="Q455" s="32">
        <v>43569.75</v>
      </c>
      <c r="R455" s="32">
        <v>0</v>
      </c>
      <c r="S455" s="32">
        <v>0</v>
      </c>
      <c r="T455" s="32">
        <v>0</v>
      </c>
      <c r="U455" s="32">
        <v>0</v>
      </c>
      <c r="V455" s="32">
        <v>0</v>
      </c>
      <c r="W455" s="32">
        <v>0</v>
      </c>
      <c r="X455" s="32">
        <v>0</v>
      </c>
      <c r="Y455" s="32">
        <v>0</v>
      </c>
      <c r="Z455" s="32">
        <v>0</v>
      </c>
      <c r="AA455" s="32">
        <v>0</v>
      </c>
      <c r="AB455" s="32">
        <v>0</v>
      </c>
      <c r="AC455" s="32" t="s">
        <v>475</v>
      </c>
      <c r="AD455" s="32"/>
      <c r="AE455" s="32">
        <v>0</v>
      </c>
    </row>
    <row r="456" spans="1:31" x14ac:dyDescent="0.25">
      <c r="A456">
        <v>5209</v>
      </c>
      <c r="B456" t="s">
        <v>94</v>
      </c>
      <c r="C456" t="s">
        <v>845</v>
      </c>
      <c r="D456" s="35">
        <v>28444.5</v>
      </c>
      <c r="E456">
        <v>1246266668</v>
      </c>
      <c r="F456" s="324">
        <v>46114</v>
      </c>
      <c r="H456" t="s">
        <v>28</v>
      </c>
      <c r="I456" t="s">
        <v>29</v>
      </c>
      <c r="J456">
        <v>10821</v>
      </c>
      <c r="K456" s="324">
        <v>46086</v>
      </c>
      <c r="L456">
        <v>1010100</v>
      </c>
      <c r="M456" t="s">
        <v>35</v>
      </c>
      <c r="N456">
        <v>-2</v>
      </c>
      <c r="O456" s="32">
        <v>0</v>
      </c>
      <c r="P456" s="32">
        <v>0</v>
      </c>
      <c r="Q456" s="32">
        <v>28444.5</v>
      </c>
      <c r="R456" s="32">
        <v>0</v>
      </c>
      <c r="S456" s="32">
        <v>0</v>
      </c>
      <c r="T456" s="32">
        <v>0</v>
      </c>
      <c r="U456" s="32">
        <v>0</v>
      </c>
      <c r="V456" s="32">
        <v>0</v>
      </c>
      <c r="W456" s="32">
        <v>0</v>
      </c>
      <c r="X456" s="32">
        <v>0</v>
      </c>
      <c r="Y456" s="32">
        <v>0</v>
      </c>
      <c r="Z456" s="32">
        <v>0</v>
      </c>
      <c r="AA456" s="32">
        <v>0</v>
      </c>
      <c r="AB456" s="32">
        <v>0</v>
      </c>
      <c r="AC456" s="32" t="s">
        <v>475</v>
      </c>
      <c r="AD456" s="32"/>
      <c r="AE456" s="32">
        <v>0</v>
      </c>
    </row>
    <row r="457" spans="1:31" x14ac:dyDescent="0.25">
      <c r="A457">
        <v>6177</v>
      </c>
      <c r="B457" t="s">
        <v>744</v>
      </c>
      <c r="C457" t="s">
        <v>821</v>
      </c>
      <c r="D457" s="35">
        <v>122918</v>
      </c>
      <c r="E457">
        <v>1246264685</v>
      </c>
      <c r="F457" s="324">
        <v>46136</v>
      </c>
      <c r="H457" t="s">
        <v>28</v>
      </c>
      <c r="I457" t="s">
        <v>29</v>
      </c>
      <c r="J457">
        <v>10751</v>
      </c>
      <c r="K457" s="324">
        <v>46076</v>
      </c>
      <c r="L457">
        <v>1010100</v>
      </c>
      <c r="M457" t="s">
        <v>35</v>
      </c>
      <c r="N457">
        <v>-24</v>
      </c>
      <c r="O457" s="32">
        <v>0</v>
      </c>
      <c r="P457" s="32">
        <v>0</v>
      </c>
      <c r="Q457" s="32">
        <v>122918</v>
      </c>
      <c r="R457" s="32">
        <v>0</v>
      </c>
      <c r="S457" s="32">
        <v>0</v>
      </c>
      <c r="T457" s="32">
        <v>0</v>
      </c>
      <c r="U457" s="32">
        <v>0</v>
      </c>
      <c r="V457" s="32">
        <v>0</v>
      </c>
      <c r="W457" s="32">
        <v>0</v>
      </c>
      <c r="X457" s="32">
        <v>0</v>
      </c>
      <c r="Y457" s="32">
        <v>0</v>
      </c>
      <c r="Z457" s="32">
        <v>0</v>
      </c>
      <c r="AA457" s="32">
        <v>0</v>
      </c>
      <c r="AB457" s="32">
        <v>0</v>
      </c>
      <c r="AC457" s="32" t="s">
        <v>475</v>
      </c>
      <c r="AD457" s="32"/>
      <c r="AE457" s="32">
        <v>0</v>
      </c>
    </row>
    <row r="458" spans="1:31" x14ac:dyDescent="0.25">
      <c r="A458">
        <v>6177</v>
      </c>
      <c r="B458" t="s">
        <v>744</v>
      </c>
      <c r="C458" t="s">
        <v>821</v>
      </c>
      <c r="D458" s="35">
        <v>121852</v>
      </c>
      <c r="E458">
        <v>1246269467</v>
      </c>
      <c r="F458" s="324">
        <v>46168</v>
      </c>
      <c r="H458" t="s">
        <v>28</v>
      </c>
      <c r="I458" t="s">
        <v>29</v>
      </c>
      <c r="J458">
        <v>10994</v>
      </c>
      <c r="K458" s="324">
        <v>46108</v>
      </c>
      <c r="L458">
        <v>1010100</v>
      </c>
      <c r="M458" t="s">
        <v>35</v>
      </c>
      <c r="N458">
        <v>-56</v>
      </c>
      <c r="O458" s="32">
        <v>0</v>
      </c>
      <c r="P458" s="32">
        <v>0</v>
      </c>
      <c r="Q458" s="32">
        <v>121852</v>
      </c>
      <c r="R458" s="32">
        <v>0</v>
      </c>
      <c r="S458" s="32">
        <v>0</v>
      </c>
      <c r="T458" s="32">
        <v>0</v>
      </c>
      <c r="U458" s="32">
        <v>0</v>
      </c>
      <c r="V458" s="32">
        <v>0</v>
      </c>
      <c r="W458" s="32">
        <v>0</v>
      </c>
      <c r="X458" s="32">
        <v>0</v>
      </c>
      <c r="Y458" s="32">
        <v>0</v>
      </c>
      <c r="Z458" s="32">
        <v>0</v>
      </c>
      <c r="AA458" s="32">
        <v>0</v>
      </c>
      <c r="AB458" s="32">
        <v>0</v>
      </c>
      <c r="AC458" s="32" t="s">
        <v>475</v>
      </c>
      <c r="AD458" s="32"/>
      <c r="AE458" s="32">
        <v>0</v>
      </c>
    </row>
    <row r="459" spans="1:31" x14ac:dyDescent="0.25">
      <c r="A459">
        <v>5300</v>
      </c>
      <c r="B459" t="s">
        <v>30</v>
      </c>
      <c r="C459" t="s">
        <v>551</v>
      </c>
      <c r="D459" s="35">
        <v>175523.4</v>
      </c>
      <c r="E459">
        <v>1246267243</v>
      </c>
      <c r="F459" s="324">
        <v>46119</v>
      </c>
      <c r="H459" t="s">
        <v>28</v>
      </c>
      <c r="I459" t="s">
        <v>29</v>
      </c>
      <c r="J459">
        <v>10859</v>
      </c>
      <c r="K459" s="324">
        <v>46091</v>
      </c>
      <c r="L459">
        <v>1010100</v>
      </c>
      <c r="M459" t="s">
        <v>35</v>
      </c>
      <c r="N459">
        <v>-7</v>
      </c>
      <c r="O459" s="32">
        <v>0</v>
      </c>
      <c r="P459" s="32">
        <v>0</v>
      </c>
      <c r="Q459" s="32">
        <v>175523.4</v>
      </c>
      <c r="R459" s="32">
        <v>0</v>
      </c>
      <c r="S459" s="32">
        <v>0</v>
      </c>
      <c r="T459" s="32">
        <v>0</v>
      </c>
      <c r="U459" s="32">
        <v>0</v>
      </c>
      <c r="V459" s="32">
        <v>0</v>
      </c>
      <c r="W459" s="32">
        <v>0</v>
      </c>
      <c r="X459" s="32">
        <v>0</v>
      </c>
      <c r="Y459" s="32">
        <v>0</v>
      </c>
      <c r="Z459" s="32">
        <v>0</v>
      </c>
      <c r="AA459" s="32">
        <v>0</v>
      </c>
      <c r="AB459" s="32">
        <v>0</v>
      </c>
      <c r="AC459" s="32" t="s">
        <v>475</v>
      </c>
      <c r="AD459" s="32"/>
      <c r="AE459" s="32">
        <v>0</v>
      </c>
    </row>
    <row r="460" spans="1:31" x14ac:dyDescent="0.25">
      <c r="A460">
        <v>5300</v>
      </c>
      <c r="B460" t="s">
        <v>30</v>
      </c>
      <c r="C460" t="s">
        <v>551</v>
      </c>
      <c r="D460" s="35">
        <v>175465.7</v>
      </c>
      <c r="E460">
        <v>1246269610</v>
      </c>
      <c r="F460" s="324">
        <v>46139</v>
      </c>
      <c r="H460" t="s">
        <v>28</v>
      </c>
      <c r="I460" t="s">
        <v>29</v>
      </c>
      <c r="J460">
        <v>11007</v>
      </c>
      <c r="K460" s="324">
        <v>46111</v>
      </c>
      <c r="L460">
        <v>1010100</v>
      </c>
      <c r="M460" t="s">
        <v>35</v>
      </c>
      <c r="N460">
        <v>-27</v>
      </c>
      <c r="O460" s="32">
        <v>0</v>
      </c>
      <c r="P460" s="32">
        <v>0</v>
      </c>
      <c r="Q460" s="32">
        <v>175465.7</v>
      </c>
      <c r="R460" s="32">
        <v>0</v>
      </c>
      <c r="S460" s="32">
        <v>0</v>
      </c>
      <c r="T460" s="32">
        <v>0</v>
      </c>
      <c r="U460" s="32">
        <v>0</v>
      </c>
      <c r="V460" s="32">
        <v>0</v>
      </c>
      <c r="W460" s="32">
        <v>0</v>
      </c>
      <c r="X460" s="32">
        <v>0</v>
      </c>
      <c r="Y460" s="32">
        <v>0</v>
      </c>
      <c r="Z460" s="32">
        <v>0</v>
      </c>
      <c r="AA460" s="32">
        <v>0</v>
      </c>
      <c r="AB460" s="32">
        <v>0</v>
      </c>
      <c r="AC460" s="32" t="s">
        <v>475</v>
      </c>
      <c r="AD460" s="32"/>
      <c r="AE460" s="32">
        <v>0</v>
      </c>
    </row>
    <row r="461" spans="1:31" x14ac:dyDescent="0.25">
      <c r="A461">
        <v>4575</v>
      </c>
      <c r="B461" t="s">
        <v>91</v>
      </c>
      <c r="C461" t="s">
        <v>92</v>
      </c>
      <c r="D461" s="35">
        <v>20940</v>
      </c>
      <c r="E461">
        <v>1246113043</v>
      </c>
      <c r="F461" s="324">
        <v>45311</v>
      </c>
      <c r="H461" t="s">
        <v>28</v>
      </c>
      <c r="I461" t="s">
        <v>29</v>
      </c>
      <c r="J461">
        <v>1821</v>
      </c>
      <c r="K461" s="324">
        <v>45233</v>
      </c>
      <c r="L461">
        <v>1010100</v>
      </c>
      <c r="M461" t="s">
        <v>35</v>
      </c>
      <c r="N461">
        <v>801</v>
      </c>
      <c r="O461" s="32">
        <v>0</v>
      </c>
      <c r="P461" s="32">
        <v>20940</v>
      </c>
      <c r="Q461" s="32">
        <v>0</v>
      </c>
      <c r="R461" s="32">
        <v>0</v>
      </c>
      <c r="S461" s="32">
        <v>0</v>
      </c>
      <c r="T461" s="32">
        <v>0</v>
      </c>
      <c r="U461" s="32">
        <v>20940</v>
      </c>
      <c r="V461" s="32">
        <v>0</v>
      </c>
      <c r="W461" s="32">
        <v>628.19999999999993</v>
      </c>
      <c r="X461" s="32">
        <v>20311.8</v>
      </c>
      <c r="Y461" s="32">
        <v>20311.8</v>
      </c>
      <c r="Z461" s="32">
        <v>20940</v>
      </c>
      <c r="AA461" s="32">
        <v>0</v>
      </c>
      <c r="AB461" s="32">
        <v>20940</v>
      </c>
      <c r="AC461" s="32" t="s">
        <v>542</v>
      </c>
      <c r="AD461" s="32"/>
      <c r="AE461" s="32">
        <v>20940</v>
      </c>
    </row>
    <row r="462" spans="1:31" x14ac:dyDescent="0.25">
      <c r="A462">
        <v>4577</v>
      </c>
      <c r="B462" t="s">
        <v>252</v>
      </c>
      <c r="C462" t="s">
        <v>880</v>
      </c>
      <c r="D462" s="35">
        <v>66308</v>
      </c>
      <c r="E462">
        <v>1246267216</v>
      </c>
      <c r="F462" s="324">
        <v>46119</v>
      </c>
      <c r="H462" t="s">
        <v>28</v>
      </c>
      <c r="I462" t="s">
        <v>29</v>
      </c>
      <c r="J462">
        <v>10857</v>
      </c>
      <c r="K462" s="324">
        <v>46091</v>
      </c>
      <c r="L462">
        <v>1010100</v>
      </c>
      <c r="M462" t="s">
        <v>35</v>
      </c>
      <c r="N462">
        <v>-7</v>
      </c>
      <c r="O462" s="32">
        <v>0</v>
      </c>
      <c r="P462" s="32">
        <v>0</v>
      </c>
      <c r="Q462" s="32">
        <v>66308</v>
      </c>
      <c r="R462" s="32">
        <v>0</v>
      </c>
      <c r="S462" s="32">
        <v>0</v>
      </c>
      <c r="T462" s="32">
        <v>0</v>
      </c>
      <c r="U462" s="32">
        <v>0</v>
      </c>
      <c r="V462" s="32">
        <v>0</v>
      </c>
      <c r="W462" s="32">
        <v>0</v>
      </c>
      <c r="X462" s="32">
        <v>0</v>
      </c>
      <c r="Y462" s="32">
        <v>0</v>
      </c>
      <c r="Z462" s="32">
        <v>0</v>
      </c>
      <c r="AA462" s="32">
        <v>0</v>
      </c>
      <c r="AB462" s="32">
        <v>0</v>
      </c>
      <c r="AC462" s="32" t="s">
        <v>475</v>
      </c>
      <c r="AD462" s="32"/>
      <c r="AE462" s="32">
        <v>0</v>
      </c>
    </row>
    <row r="463" spans="1:31" x14ac:dyDescent="0.25">
      <c r="A463">
        <v>5657</v>
      </c>
      <c r="B463" t="s">
        <v>95</v>
      </c>
      <c r="C463" t="s">
        <v>910</v>
      </c>
      <c r="D463" s="35">
        <v>20520</v>
      </c>
      <c r="E463">
        <v>1246269700</v>
      </c>
      <c r="F463" s="324">
        <v>46140</v>
      </c>
      <c r="H463" t="s">
        <v>28</v>
      </c>
      <c r="I463" t="s">
        <v>29</v>
      </c>
      <c r="J463">
        <v>11013</v>
      </c>
      <c r="K463" s="324">
        <v>46112</v>
      </c>
      <c r="L463">
        <v>1010100</v>
      </c>
      <c r="M463" t="s">
        <v>35</v>
      </c>
      <c r="N463">
        <v>-28</v>
      </c>
      <c r="O463" s="32">
        <v>0</v>
      </c>
      <c r="P463" s="32">
        <v>0</v>
      </c>
      <c r="Q463" s="32">
        <v>20520</v>
      </c>
      <c r="R463" s="32">
        <v>0</v>
      </c>
      <c r="S463" s="32">
        <v>0</v>
      </c>
      <c r="T463" s="32">
        <v>0</v>
      </c>
      <c r="U463" s="32">
        <v>0</v>
      </c>
      <c r="V463" s="32">
        <v>0</v>
      </c>
      <c r="W463" s="32">
        <v>0</v>
      </c>
      <c r="X463" s="32">
        <v>0</v>
      </c>
      <c r="Y463" s="32">
        <v>0</v>
      </c>
      <c r="Z463" s="32">
        <v>0</v>
      </c>
      <c r="AA463" s="32">
        <v>0</v>
      </c>
      <c r="AB463" s="32">
        <v>0</v>
      </c>
      <c r="AC463" s="32" t="s">
        <v>475</v>
      </c>
      <c r="AD463" s="32"/>
      <c r="AE463" s="32">
        <v>0</v>
      </c>
    </row>
    <row r="464" spans="1:31" x14ac:dyDescent="0.25">
      <c r="A464">
        <v>5657</v>
      </c>
      <c r="B464" t="s">
        <v>95</v>
      </c>
      <c r="C464" t="s">
        <v>910</v>
      </c>
      <c r="D464" s="35">
        <v>32320</v>
      </c>
      <c r="E464">
        <v>1246269757</v>
      </c>
      <c r="F464" s="324">
        <v>46140</v>
      </c>
      <c r="H464" t="s">
        <v>28</v>
      </c>
      <c r="I464" t="s">
        <v>29</v>
      </c>
      <c r="J464">
        <v>2857</v>
      </c>
      <c r="K464" s="324">
        <v>46112</v>
      </c>
      <c r="L464">
        <v>1010100</v>
      </c>
      <c r="M464" t="s">
        <v>35</v>
      </c>
      <c r="N464">
        <v>-28</v>
      </c>
      <c r="O464" s="32">
        <v>0</v>
      </c>
      <c r="P464" s="32">
        <v>0</v>
      </c>
      <c r="Q464" s="32">
        <v>32320</v>
      </c>
      <c r="R464" s="32">
        <v>0</v>
      </c>
      <c r="S464" s="32">
        <v>0</v>
      </c>
      <c r="T464" s="32">
        <v>0</v>
      </c>
      <c r="U464" s="32">
        <v>0</v>
      </c>
      <c r="V464" s="32">
        <v>0</v>
      </c>
      <c r="W464" s="32">
        <v>0</v>
      </c>
      <c r="X464" s="32">
        <v>0</v>
      </c>
      <c r="Y464" s="32">
        <v>0</v>
      </c>
      <c r="Z464" s="32">
        <v>0</v>
      </c>
      <c r="AA464" s="32">
        <v>0</v>
      </c>
      <c r="AB464" s="32">
        <v>0</v>
      </c>
      <c r="AC464" s="32" t="s">
        <v>475</v>
      </c>
      <c r="AD464" s="32"/>
      <c r="AE464" s="32">
        <v>0</v>
      </c>
    </row>
    <row r="465" spans="1:31" x14ac:dyDescent="0.25">
      <c r="A465">
        <v>7022</v>
      </c>
      <c r="B465" t="s">
        <v>792</v>
      </c>
      <c r="C465" t="s">
        <v>101</v>
      </c>
      <c r="D465" s="35">
        <v>70894.399999999994</v>
      </c>
      <c r="E465">
        <v>1246266057</v>
      </c>
      <c r="F465" s="324">
        <v>46143</v>
      </c>
      <c r="H465" t="s">
        <v>28</v>
      </c>
      <c r="I465" t="s">
        <v>29</v>
      </c>
      <c r="J465">
        <v>10798</v>
      </c>
      <c r="K465" s="324">
        <v>46083</v>
      </c>
      <c r="L465">
        <v>1010100</v>
      </c>
      <c r="M465" t="s">
        <v>35</v>
      </c>
      <c r="N465">
        <v>-31</v>
      </c>
      <c r="O465" s="32">
        <v>0</v>
      </c>
      <c r="P465" s="32">
        <v>0</v>
      </c>
      <c r="Q465" s="32">
        <v>70894.399999999994</v>
      </c>
      <c r="R465" s="32">
        <v>0</v>
      </c>
      <c r="S465" s="32">
        <v>0</v>
      </c>
      <c r="T465" s="32">
        <v>0</v>
      </c>
      <c r="U465" s="32">
        <v>0</v>
      </c>
      <c r="V465" s="32">
        <v>0</v>
      </c>
      <c r="W465" s="32">
        <v>0</v>
      </c>
      <c r="X465" s="32">
        <v>0</v>
      </c>
      <c r="Y465" s="32">
        <v>0</v>
      </c>
      <c r="Z465" s="32">
        <v>0</v>
      </c>
      <c r="AA465" s="32">
        <v>0</v>
      </c>
      <c r="AB465" s="32">
        <v>0</v>
      </c>
      <c r="AC465" s="32" t="s">
        <v>475</v>
      </c>
      <c r="AD465" s="32"/>
      <c r="AE465" s="32">
        <v>0</v>
      </c>
    </row>
    <row r="466" spans="1:31" x14ac:dyDescent="0.25">
      <c r="A466">
        <v>7022</v>
      </c>
      <c r="B466" t="s">
        <v>792</v>
      </c>
      <c r="C466" t="s">
        <v>101</v>
      </c>
      <c r="D466" s="35">
        <v>70918</v>
      </c>
      <c r="E466">
        <v>1246263794</v>
      </c>
      <c r="F466" s="324">
        <v>46129</v>
      </c>
      <c r="H466" t="s">
        <v>28</v>
      </c>
      <c r="I466" t="s">
        <v>29</v>
      </c>
      <c r="J466">
        <v>10699</v>
      </c>
      <c r="K466" s="324">
        <v>46069</v>
      </c>
      <c r="L466">
        <v>1010100</v>
      </c>
      <c r="M466" t="s">
        <v>35</v>
      </c>
      <c r="N466">
        <v>-17</v>
      </c>
      <c r="O466" s="32">
        <v>0</v>
      </c>
      <c r="P466" s="32">
        <v>0</v>
      </c>
      <c r="Q466" s="32">
        <v>70918</v>
      </c>
      <c r="R466" s="32">
        <v>0</v>
      </c>
      <c r="S466" s="32">
        <v>0</v>
      </c>
      <c r="T466" s="32">
        <v>0</v>
      </c>
      <c r="U466" s="32">
        <v>0</v>
      </c>
      <c r="V466" s="32">
        <v>0</v>
      </c>
      <c r="W466" s="32">
        <v>0</v>
      </c>
      <c r="X466" s="32">
        <v>0</v>
      </c>
      <c r="Y466" s="32">
        <v>0</v>
      </c>
      <c r="Z466" s="32">
        <v>0</v>
      </c>
      <c r="AA466" s="32">
        <v>0</v>
      </c>
      <c r="AB466" s="32">
        <v>0</v>
      </c>
      <c r="AC466" s="32" t="s">
        <v>475</v>
      </c>
      <c r="AD466" s="32"/>
      <c r="AE466" s="32">
        <v>0</v>
      </c>
    </row>
    <row r="467" spans="1:31" x14ac:dyDescent="0.25">
      <c r="A467">
        <v>7022</v>
      </c>
      <c r="B467" t="s">
        <v>792</v>
      </c>
      <c r="C467" t="s">
        <v>101</v>
      </c>
      <c r="D467" s="35">
        <v>70894.399999999994</v>
      </c>
      <c r="E467">
        <v>1246269324</v>
      </c>
      <c r="F467" s="324">
        <v>46197</v>
      </c>
      <c r="H467" t="s">
        <v>28</v>
      </c>
      <c r="I467" t="s">
        <v>29</v>
      </c>
      <c r="J467">
        <v>10982</v>
      </c>
      <c r="K467" s="324">
        <v>46107</v>
      </c>
      <c r="L467">
        <v>1010100</v>
      </c>
      <c r="M467" t="s">
        <v>35</v>
      </c>
      <c r="N467">
        <v>-85</v>
      </c>
      <c r="O467" s="32">
        <v>0</v>
      </c>
      <c r="P467" s="32">
        <v>0</v>
      </c>
      <c r="Q467" s="32">
        <v>70894.399999999994</v>
      </c>
      <c r="R467" s="32">
        <v>0</v>
      </c>
      <c r="S467" s="32">
        <v>0</v>
      </c>
      <c r="T467" s="32">
        <v>0</v>
      </c>
      <c r="U467" s="32">
        <v>0</v>
      </c>
      <c r="V467" s="32">
        <v>0</v>
      </c>
      <c r="W467" s="32">
        <v>0</v>
      </c>
      <c r="X467" s="32">
        <v>0</v>
      </c>
      <c r="Y467" s="32">
        <v>0</v>
      </c>
      <c r="Z467" s="32">
        <v>0</v>
      </c>
      <c r="AA467" s="32">
        <v>0</v>
      </c>
      <c r="AB467" s="32">
        <v>0</v>
      </c>
      <c r="AC467" s="32" t="s">
        <v>475</v>
      </c>
      <c r="AD467" s="32"/>
      <c r="AE467" s="32">
        <v>0</v>
      </c>
    </row>
    <row r="468" spans="1:31" x14ac:dyDescent="0.25">
      <c r="A468">
        <v>7022</v>
      </c>
      <c r="B468" t="s">
        <v>792</v>
      </c>
      <c r="C468" t="s">
        <v>101</v>
      </c>
      <c r="D468" s="35">
        <v>71154</v>
      </c>
      <c r="E468">
        <v>1246265854</v>
      </c>
      <c r="F468" s="324">
        <v>46140</v>
      </c>
      <c r="H468" t="s">
        <v>28</v>
      </c>
      <c r="I468" t="s">
        <v>29</v>
      </c>
      <c r="J468">
        <v>10789</v>
      </c>
      <c r="K468" s="324">
        <v>46080</v>
      </c>
      <c r="L468">
        <v>1010100</v>
      </c>
      <c r="M468" t="s">
        <v>35</v>
      </c>
      <c r="N468">
        <v>-28</v>
      </c>
      <c r="O468" s="32">
        <v>0</v>
      </c>
      <c r="P468" s="32">
        <v>0</v>
      </c>
      <c r="Q468" s="32">
        <v>71154</v>
      </c>
      <c r="R468" s="32">
        <v>0</v>
      </c>
      <c r="S468" s="32">
        <v>0</v>
      </c>
      <c r="T468" s="32">
        <v>0</v>
      </c>
      <c r="U468" s="32">
        <v>0</v>
      </c>
      <c r="V468" s="32">
        <v>0</v>
      </c>
      <c r="W468" s="32">
        <v>0</v>
      </c>
      <c r="X468" s="32">
        <v>0</v>
      </c>
      <c r="Y468" s="32">
        <v>0</v>
      </c>
      <c r="Z468" s="32">
        <v>0</v>
      </c>
      <c r="AA468" s="32">
        <v>0</v>
      </c>
      <c r="AB468" s="32">
        <v>0</v>
      </c>
      <c r="AC468" s="32" t="s">
        <v>475</v>
      </c>
      <c r="AD468" s="32"/>
      <c r="AE468" s="32">
        <v>0</v>
      </c>
    </row>
    <row r="469" spans="1:31" x14ac:dyDescent="0.25">
      <c r="A469">
        <v>7022</v>
      </c>
      <c r="B469" t="s">
        <v>792</v>
      </c>
      <c r="C469" t="s">
        <v>101</v>
      </c>
      <c r="D469" s="35">
        <v>72348.2</v>
      </c>
      <c r="E469">
        <v>1246261819</v>
      </c>
      <c r="F469" s="324">
        <v>46115</v>
      </c>
      <c r="H469" t="s">
        <v>28</v>
      </c>
      <c r="I469" t="s">
        <v>29</v>
      </c>
      <c r="J469">
        <v>10619</v>
      </c>
      <c r="K469" s="324">
        <v>46055</v>
      </c>
      <c r="L469">
        <v>1010100</v>
      </c>
      <c r="M469" t="s">
        <v>35</v>
      </c>
      <c r="N469">
        <v>-3</v>
      </c>
      <c r="O469" s="32">
        <v>0</v>
      </c>
      <c r="P469" s="32">
        <v>0</v>
      </c>
      <c r="Q469" s="32">
        <v>72348.2</v>
      </c>
      <c r="R469" s="32">
        <v>0</v>
      </c>
      <c r="S469" s="32">
        <v>0</v>
      </c>
      <c r="T469" s="32">
        <v>0</v>
      </c>
      <c r="U469" s="32">
        <v>0</v>
      </c>
      <c r="V469" s="32">
        <v>0</v>
      </c>
      <c r="W469" s="32">
        <v>0</v>
      </c>
      <c r="X469" s="32">
        <v>0</v>
      </c>
      <c r="Y469" s="32">
        <v>0</v>
      </c>
      <c r="Z469" s="32">
        <v>0</v>
      </c>
      <c r="AA469" s="32">
        <v>0</v>
      </c>
      <c r="AB469" s="32">
        <v>0</v>
      </c>
      <c r="AC469" s="32" t="s">
        <v>475</v>
      </c>
      <c r="AD469" s="32"/>
      <c r="AE469" s="32">
        <v>0</v>
      </c>
    </row>
    <row r="470" spans="1:31" x14ac:dyDescent="0.25">
      <c r="A470">
        <v>7022</v>
      </c>
      <c r="B470" t="s">
        <v>792</v>
      </c>
      <c r="C470" t="s">
        <v>101</v>
      </c>
      <c r="D470" s="35">
        <v>70705.600000000006</v>
      </c>
      <c r="E470">
        <v>1246268533</v>
      </c>
      <c r="F470" s="324">
        <v>46191</v>
      </c>
      <c r="H470" t="s">
        <v>28</v>
      </c>
      <c r="I470" t="s">
        <v>29</v>
      </c>
      <c r="J470">
        <v>10943</v>
      </c>
      <c r="K470" s="324">
        <v>46101</v>
      </c>
      <c r="L470">
        <v>1010100</v>
      </c>
      <c r="M470" t="s">
        <v>35</v>
      </c>
      <c r="N470">
        <v>-79</v>
      </c>
      <c r="O470" s="32">
        <v>0</v>
      </c>
      <c r="P470" s="32">
        <v>0</v>
      </c>
      <c r="Q470" s="32">
        <v>70705.600000000006</v>
      </c>
      <c r="R470" s="32">
        <v>0</v>
      </c>
      <c r="S470" s="32">
        <v>0</v>
      </c>
      <c r="T470" s="32">
        <v>0</v>
      </c>
      <c r="U470" s="32">
        <v>0</v>
      </c>
      <c r="V470" s="32">
        <v>0</v>
      </c>
      <c r="W470" s="32">
        <v>0</v>
      </c>
      <c r="X470" s="32">
        <v>0</v>
      </c>
      <c r="Y470" s="32">
        <v>0</v>
      </c>
      <c r="Z470" s="32">
        <v>0</v>
      </c>
      <c r="AA470" s="32">
        <v>0</v>
      </c>
      <c r="AB470" s="32">
        <v>0</v>
      </c>
      <c r="AC470" s="32" t="s">
        <v>475</v>
      </c>
      <c r="AD470" s="32"/>
      <c r="AE470" s="32">
        <v>0</v>
      </c>
    </row>
    <row r="471" spans="1:31" x14ac:dyDescent="0.25">
      <c r="A471">
        <v>7022</v>
      </c>
      <c r="B471" t="s">
        <v>792</v>
      </c>
      <c r="C471" t="s">
        <v>101</v>
      </c>
      <c r="D471" s="35">
        <v>70988.800000000003</v>
      </c>
      <c r="E471">
        <v>1246266859</v>
      </c>
      <c r="F471" s="324">
        <v>46147</v>
      </c>
      <c r="H471" t="s">
        <v>28</v>
      </c>
      <c r="I471" t="s">
        <v>29</v>
      </c>
      <c r="J471">
        <v>10829</v>
      </c>
      <c r="K471" s="324">
        <v>46087</v>
      </c>
      <c r="L471">
        <v>1010100</v>
      </c>
      <c r="M471" t="s">
        <v>35</v>
      </c>
      <c r="N471">
        <v>-35</v>
      </c>
      <c r="O471" s="32">
        <v>0</v>
      </c>
      <c r="P471" s="32">
        <v>0</v>
      </c>
      <c r="Q471" s="32">
        <v>70988.800000000003</v>
      </c>
      <c r="R471" s="32">
        <v>0</v>
      </c>
      <c r="S471" s="32">
        <v>0</v>
      </c>
      <c r="T471" s="32">
        <v>0</v>
      </c>
      <c r="U471" s="32">
        <v>0</v>
      </c>
      <c r="V471" s="32">
        <v>0</v>
      </c>
      <c r="W471" s="32">
        <v>0</v>
      </c>
      <c r="X471" s="32">
        <v>0</v>
      </c>
      <c r="Y471" s="32">
        <v>0</v>
      </c>
      <c r="Z471" s="32">
        <v>0</v>
      </c>
      <c r="AA471" s="32">
        <v>0</v>
      </c>
      <c r="AB471" s="32">
        <v>0</v>
      </c>
      <c r="AC471" s="32" t="s">
        <v>475</v>
      </c>
      <c r="AD471" s="32"/>
      <c r="AE471" s="32">
        <v>0</v>
      </c>
    </row>
    <row r="472" spans="1:31" x14ac:dyDescent="0.25">
      <c r="A472">
        <v>7022</v>
      </c>
      <c r="B472" t="s">
        <v>792</v>
      </c>
      <c r="C472" t="s">
        <v>101</v>
      </c>
      <c r="D472" s="35">
        <v>70705.600000000006</v>
      </c>
      <c r="E472">
        <v>1246267824</v>
      </c>
      <c r="F472" s="324">
        <v>46157</v>
      </c>
      <c r="H472" t="s">
        <v>28</v>
      </c>
      <c r="I472" t="s">
        <v>29</v>
      </c>
      <c r="J472">
        <v>10891</v>
      </c>
      <c r="K472" s="324">
        <v>46097</v>
      </c>
      <c r="L472">
        <v>1010100</v>
      </c>
      <c r="M472" t="s">
        <v>35</v>
      </c>
      <c r="N472">
        <v>-45</v>
      </c>
      <c r="O472" s="32">
        <v>0</v>
      </c>
      <c r="P472" s="32">
        <v>0</v>
      </c>
      <c r="Q472" s="32">
        <v>70705.600000000006</v>
      </c>
      <c r="R472" s="32">
        <v>0</v>
      </c>
      <c r="S472" s="32">
        <v>0</v>
      </c>
      <c r="T472" s="32">
        <v>0</v>
      </c>
      <c r="U472" s="32">
        <v>0</v>
      </c>
      <c r="V472" s="32">
        <v>0</v>
      </c>
      <c r="W472" s="32">
        <v>0</v>
      </c>
      <c r="X472" s="32">
        <v>0</v>
      </c>
      <c r="Y472" s="32">
        <v>0</v>
      </c>
      <c r="Z472" s="32">
        <v>0</v>
      </c>
      <c r="AA472" s="32">
        <v>0</v>
      </c>
      <c r="AB472" s="32">
        <v>0</v>
      </c>
      <c r="AC472" s="32" t="s">
        <v>475</v>
      </c>
      <c r="AD472" s="32"/>
      <c r="AE472" s="32">
        <v>0</v>
      </c>
    </row>
    <row r="473" spans="1:31" x14ac:dyDescent="0.25">
      <c r="A473">
        <v>7022</v>
      </c>
      <c r="B473" t="s">
        <v>792</v>
      </c>
      <c r="C473" t="s">
        <v>101</v>
      </c>
      <c r="D473" s="35">
        <v>71508</v>
      </c>
      <c r="E473">
        <v>1246267571</v>
      </c>
      <c r="F473" s="324">
        <v>46153</v>
      </c>
      <c r="H473" t="s">
        <v>28</v>
      </c>
      <c r="I473" t="s">
        <v>29</v>
      </c>
      <c r="J473">
        <v>10871</v>
      </c>
      <c r="K473" s="324">
        <v>46093</v>
      </c>
      <c r="L473">
        <v>1010100</v>
      </c>
      <c r="M473" t="s">
        <v>35</v>
      </c>
      <c r="N473">
        <v>-41</v>
      </c>
      <c r="O473" s="32">
        <v>0</v>
      </c>
      <c r="P473" s="32">
        <v>0</v>
      </c>
      <c r="Q473" s="32">
        <v>71508</v>
      </c>
      <c r="R473" s="32">
        <v>0</v>
      </c>
      <c r="S473" s="32">
        <v>0</v>
      </c>
      <c r="T473" s="32">
        <v>0</v>
      </c>
      <c r="U473" s="32">
        <v>0</v>
      </c>
      <c r="V473" s="32">
        <v>0</v>
      </c>
      <c r="W473" s="32">
        <v>0</v>
      </c>
      <c r="X473" s="32">
        <v>0</v>
      </c>
      <c r="Y473" s="32">
        <v>0</v>
      </c>
      <c r="Z473" s="32">
        <v>0</v>
      </c>
      <c r="AA473" s="32">
        <v>0</v>
      </c>
      <c r="AB473" s="32">
        <v>0</v>
      </c>
      <c r="AC473" s="32" t="s">
        <v>475</v>
      </c>
      <c r="AD473" s="32"/>
      <c r="AE473" s="32">
        <v>0</v>
      </c>
    </row>
    <row r="474" spans="1:31" x14ac:dyDescent="0.25">
      <c r="A474">
        <v>7022</v>
      </c>
      <c r="B474" t="s">
        <v>792</v>
      </c>
      <c r="C474" t="s">
        <v>101</v>
      </c>
      <c r="D474" s="35">
        <v>71980</v>
      </c>
      <c r="E474">
        <v>1246264219</v>
      </c>
      <c r="F474" s="324">
        <v>46133</v>
      </c>
      <c r="H474" t="s">
        <v>28</v>
      </c>
      <c r="I474" t="s">
        <v>29</v>
      </c>
      <c r="J474">
        <v>10730</v>
      </c>
      <c r="K474" s="324">
        <v>46073</v>
      </c>
      <c r="L474">
        <v>1010100</v>
      </c>
      <c r="M474" t="s">
        <v>35</v>
      </c>
      <c r="N474">
        <v>-21</v>
      </c>
      <c r="O474" s="32">
        <v>0</v>
      </c>
      <c r="P474" s="32">
        <v>0</v>
      </c>
      <c r="Q474" s="32">
        <v>71980</v>
      </c>
      <c r="R474" s="32">
        <v>0</v>
      </c>
      <c r="S474" s="32">
        <v>0</v>
      </c>
      <c r="T474" s="32">
        <v>0</v>
      </c>
      <c r="U474" s="32">
        <v>0</v>
      </c>
      <c r="V474" s="32">
        <v>0</v>
      </c>
      <c r="W474" s="32">
        <v>0</v>
      </c>
      <c r="X474" s="32">
        <v>0</v>
      </c>
      <c r="Y474" s="32">
        <v>0</v>
      </c>
      <c r="Z474" s="32">
        <v>0</v>
      </c>
      <c r="AA474" s="32">
        <v>0</v>
      </c>
      <c r="AB474" s="32">
        <v>0</v>
      </c>
      <c r="AC474" s="32" t="s">
        <v>475</v>
      </c>
      <c r="AD474" s="32"/>
      <c r="AE474" s="32">
        <v>0</v>
      </c>
    </row>
    <row r="475" spans="1:31" x14ac:dyDescent="0.25">
      <c r="A475">
        <v>7022</v>
      </c>
      <c r="B475" t="s">
        <v>792</v>
      </c>
      <c r="C475" t="s">
        <v>101</v>
      </c>
      <c r="D475" s="35">
        <v>70752.800000000003</v>
      </c>
      <c r="E475">
        <v>1246265339</v>
      </c>
      <c r="F475" s="324">
        <v>46139</v>
      </c>
      <c r="H475" t="s">
        <v>28</v>
      </c>
      <c r="I475" t="s">
        <v>29</v>
      </c>
      <c r="J475">
        <v>10774</v>
      </c>
      <c r="K475" s="324">
        <v>46079</v>
      </c>
      <c r="L475">
        <v>1010100</v>
      </c>
      <c r="M475" t="s">
        <v>35</v>
      </c>
      <c r="N475">
        <v>-27</v>
      </c>
      <c r="O475" s="32">
        <v>0</v>
      </c>
      <c r="P475" s="32">
        <v>0</v>
      </c>
      <c r="Q475" s="32">
        <v>70752.800000000003</v>
      </c>
      <c r="R475" s="32">
        <v>0</v>
      </c>
      <c r="S475" s="32">
        <v>0</v>
      </c>
      <c r="T475" s="32">
        <v>0</v>
      </c>
      <c r="U475" s="32">
        <v>0</v>
      </c>
      <c r="V475" s="32">
        <v>0</v>
      </c>
      <c r="W475" s="32">
        <v>0</v>
      </c>
      <c r="X475" s="32">
        <v>0</v>
      </c>
      <c r="Y475" s="32">
        <v>0</v>
      </c>
      <c r="Z475" s="32">
        <v>0</v>
      </c>
      <c r="AA475" s="32">
        <v>0</v>
      </c>
      <c r="AB475" s="32">
        <v>0</v>
      </c>
      <c r="AC475" s="32" t="s">
        <v>475</v>
      </c>
      <c r="AD475" s="32"/>
      <c r="AE475" s="32">
        <v>0</v>
      </c>
    </row>
    <row r="476" spans="1:31" x14ac:dyDescent="0.25">
      <c r="A476">
        <v>7060</v>
      </c>
      <c r="B476" t="s">
        <v>182</v>
      </c>
      <c r="C476" t="s">
        <v>183</v>
      </c>
      <c r="D476" s="35">
        <v>5180.3999999999996</v>
      </c>
      <c r="E476">
        <v>1246254161</v>
      </c>
      <c r="F476" s="324">
        <v>46281</v>
      </c>
      <c r="H476" t="s">
        <v>173</v>
      </c>
      <c r="I476" t="s">
        <v>174</v>
      </c>
      <c r="J476">
        <v>10278</v>
      </c>
      <c r="K476" s="324">
        <v>46006</v>
      </c>
      <c r="L476">
        <v>1010100</v>
      </c>
      <c r="M476" t="s">
        <v>35</v>
      </c>
      <c r="N476">
        <v>-169</v>
      </c>
      <c r="O476" s="32">
        <v>0</v>
      </c>
      <c r="P476" s="32">
        <v>0</v>
      </c>
      <c r="Q476" s="32">
        <v>5180.3999999999996</v>
      </c>
      <c r="R476" s="32">
        <v>0</v>
      </c>
      <c r="S476" s="32">
        <v>0</v>
      </c>
      <c r="T476" s="32">
        <v>0</v>
      </c>
      <c r="U476" s="32">
        <v>0</v>
      </c>
      <c r="V476" s="32">
        <v>0</v>
      </c>
      <c r="W476" s="32">
        <v>0</v>
      </c>
      <c r="X476" s="32">
        <v>0</v>
      </c>
      <c r="Y476" s="32">
        <v>0</v>
      </c>
      <c r="Z476" s="32">
        <v>0</v>
      </c>
      <c r="AA476" s="32">
        <v>0</v>
      </c>
      <c r="AB476" s="32">
        <v>0</v>
      </c>
      <c r="AC476" s="32" t="s">
        <v>475</v>
      </c>
      <c r="AD476" s="32"/>
      <c r="AE476" s="32">
        <v>0</v>
      </c>
    </row>
    <row r="477" spans="1:31" x14ac:dyDescent="0.25">
      <c r="A477">
        <v>7060</v>
      </c>
      <c r="B477" t="s">
        <v>182</v>
      </c>
      <c r="C477" t="s">
        <v>183</v>
      </c>
      <c r="D477" s="35">
        <v>8288.64</v>
      </c>
      <c r="E477">
        <v>1246252321</v>
      </c>
      <c r="F477" s="324">
        <v>46269</v>
      </c>
      <c r="H477" t="s">
        <v>173</v>
      </c>
      <c r="I477" t="s">
        <v>174</v>
      </c>
      <c r="J477">
        <v>10183</v>
      </c>
      <c r="K477" s="324">
        <v>45994</v>
      </c>
      <c r="L477">
        <v>1010100</v>
      </c>
      <c r="M477" t="s">
        <v>35</v>
      </c>
      <c r="N477">
        <v>-157</v>
      </c>
      <c r="O477" s="32">
        <v>0</v>
      </c>
      <c r="P477" s="32">
        <v>0</v>
      </c>
      <c r="Q477" s="32">
        <v>8288.64</v>
      </c>
      <c r="R477" s="32">
        <v>0</v>
      </c>
      <c r="S477" s="32">
        <v>0</v>
      </c>
      <c r="T477" s="32">
        <v>0</v>
      </c>
      <c r="U477" s="32">
        <v>0</v>
      </c>
      <c r="V477" s="32">
        <v>0</v>
      </c>
      <c r="W477" s="32">
        <v>0</v>
      </c>
      <c r="X477" s="32">
        <v>0</v>
      </c>
      <c r="Y477" s="32">
        <v>0</v>
      </c>
      <c r="Z477" s="32">
        <v>0</v>
      </c>
      <c r="AA477" s="32">
        <v>0</v>
      </c>
      <c r="AB477" s="32">
        <v>0</v>
      </c>
      <c r="AC477" s="32" t="s">
        <v>475</v>
      </c>
      <c r="AD477" s="32"/>
      <c r="AE477" s="32">
        <v>0</v>
      </c>
    </row>
    <row r="478" spans="1:31" x14ac:dyDescent="0.25">
      <c r="A478">
        <v>7060</v>
      </c>
      <c r="B478" t="s">
        <v>182</v>
      </c>
      <c r="C478" t="s">
        <v>183</v>
      </c>
      <c r="D478" s="35">
        <v>67383.5</v>
      </c>
      <c r="E478">
        <v>1246254471</v>
      </c>
      <c r="F478" s="324">
        <v>46279</v>
      </c>
      <c r="H478" t="s">
        <v>173</v>
      </c>
      <c r="I478" t="s">
        <v>174</v>
      </c>
      <c r="J478">
        <v>10301</v>
      </c>
      <c r="K478" s="324">
        <v>46007</v>
      </c>
      <c r="L478">
        <v>1010100</v>
      </c>
      <c r="M478" t="s">
        <v>35</v>
      </c>
      <c r="N478">
        <v>-167</v>
      </c>
      <c r="O478" s="32">
        <v>0</v>
      </c>
      <c r="P478" s="32">
        <v>0</v>
      </c>
      <c r="Q478" s="32">
        <v>67383.5</v>
      </c>
      <c r="R478" s="32">
        <v>0</v>
      </c>
      <c r="S478" s="32">
        <v>0</v>
      </c>
      <c r="T478" s="32">
        <v>0</v>
      </c>
      <c r="U478" s="32">
        <v>0</v>
      </c>
      <c r="V478" s="32">
        <v>0</v>
      </c>
      <c r="W478" s="32">
        <v>0</v>
      </c>
      <c r="X478" s="32">
        <v>0</v>
      </c>
      <c r="Y478" s="32">
        <v>0</v>
      </c>
      <c r="Z478" s="32">
        <v>0</v>
      </c>
      <c r="AA478" s="32">
        <v>0</v>
      </c>
      <c r="AB478" s="32">
        <v>0</v>
      </c>
      <c r="AC478" s="32" t="s">
        <v>475</v>
      </c>
      <c r="AD478" s="32"/>
      <c r="AE478" s="32">
        <v>0</v>
      </c>
    </row>
    <row r="479" spans="1:31" x14ac:dyDescent="0.25">
      <c r="A479">
        <v>8187</v>
      </c>
      <c r="B479" t="s">
        <v>553</v>
      </c>
      <c r="C479" t="s">
        <v>315</v>
      </c>
      <c r="D479" s="35">
        <v>198973.75</v>
      </c>
      <c r="E479">
        <v>1246234606</v>
      </c>
      <c r="F479" s="324">
        <v>46149</v>
      </c>
      <c r="H479" t="s">
        <v>173</v>
      </c>
      <c r="I479" t="s">
        <v>174</v>
      </c>
      <c r="J479">
        <v>9156</v>
      </c>
      <c r="K479" s="324">
        <v>45902</v>
      </c>
      <c r="L479">
        <v>1010100</v>
      </c>
      <c r="M479" t="s">
        <v>35</v>
      </c>
      <c r="N479">
        <v>-37</v>
      </c>
      <c r="O479" s="32">
        <v>0</v>
      </c>
      <c r="P479" s="32">
        <v>0</v>
      </c>
      <c r="Q479" s="32">
        <v>198973.75</v>
      </c>
      <c r="R479" s="32">
        <v>0</v>
      </c>
      <c r="S479" s="32">
        <v>0</v>
      </c>
      <c r="T479" s="32">
        <v>0</v>
      </c>
      <c r="U479" s="32">
        <v>0</v>
      </c>
      <c r="V479" s="32">
        <v>0</v>
      </c>
      <c r="W479" s="32">
        <v>0</v>
      </c>
      <c r="X479" s="32">
        <v>0</v>
      </c>
      <c r="Y479" s="32">
        <v>0</v>
      </c>
      <c r="Z479" s="32">
        <v>0</v>
      </c>
      <c r="AA479" s="32">
        <v>0</v>
      </c>
      <c r="AB479" s="32">
        <v>0</v>
      </c>
      <c r="AC479" s="32" t="s">
        <v>475</v>
      </c>
      <c r="AD479" s="32"/>
      <c r="AE479" s="32">
        <v>0</v>
      </c>
    </row>
    <row r="480" spans="1:31" x14ac:dyDescent="0.25">
      <c r="A480">
        <v>8187</v>
      </c>
      <c r="B480" t="s">
        <v>553</v>
      </c>
      <c r="C480" t="s">
        <v>315</v>
      </c>
      <c r="D480" s="35">
        <v>185936.97</v>
      </c>
      <c r="E480">
        <v>1246227017</v>
      </c>
      <c r="F480" s="324">
        <v>46142</v>
      </c>
      <c r="H480" t="s">
        <v>173</v>
      </c>
      <c r="I480" t="s">
        <v>174</v>
      </c>
      <c r="J480">
        <v>8605</v>
      </c>
      <c r="K480" s="324">
        <v>45862</v>
      </c>
      <c r="L480">
        <v>1010100</v>
      </c>
      <c r="M480" t="s">
        <v>35</v>
      </c>
      <c r="N480">
        <v>-30</v>
      </c>
      <c r="O480" s="32">
        <v>0</v>
      </c>
      <c r="P480" s="32">
        <v>0</v>
      </c>
      <c r="Q480" s="32">
        <v>185936.97</v>
      </c>
      <c r="R480" s="32">
        <v>0</v>
      </c>
      <c r="S480" s="32">
        <v>0</v>
      </c>
      <c r="T480" s="32">
        <v>0</v>
      </c>
      <c r="U480" s="32">
        <v>0</v>
      </c>
      <c r="V480" s="32">
        <v>0</v>
      </c>
      <c r="W480" s="32">
        <v>0</v>
      </c>
      <c r="X480" s="32">
        <v>0</v>
      </c>
      <c r="Y480" s="32">
        <v>0</v>
      </c>
      <c r="Z480" s="32">
        <v>0</v>
      </c>
      <c r="AA480" s="32">
        <v>0</v>
      </c>
      <c r="AB480" s="32">
        <v>0</v>
      </c>
      <c r="AC480" s="32" t="s">
        <v>475</v>
      </c>
      <c r="AD480" s="32"/>
      <c r="AE480" s="32">
        <v>0</v>
      </c>
    </row>
    <row r="481" spans="1:31" x14ac:dyDescent="0.25">
      <c r="A481">
        <v>8187</v>
      </c>
      <c r="B481" t="s">
        <v>553</v>
      </c>
      <c r="C481" t="s">
        <v>315</v>
      </c>
      <c r="D481" s="35">
        <v>183818.49999999997</v>
      </c>
      <c r="E481">
        <v>1246228356</v>
      </c>
      <c r="F481" s="324">
        <v>46144</v>
      </c>
      <c r="H481" t="s">
        <v>173</v>
      </c>
      <c r="I481" t="s">
        <v>174</v>
      </c>
      <c r="J481">
        <v>8711</v>
      </c>
      <c r="K481" s="324">
        <v>45869</v>
      </c>
      <c r="L481">
        <v>1010100</v>
      </c>
      <c r="M481" t="s">
        <v>35</v>
      </c>
      <c r="N481">
        <v>-32</v>
      </c>
      <c r="O481" s="32">
        <v>0</v>
      </c>
      <c r="P481" s="32">
        <v>0</v>
      </c>
      <c r="Q481" s="32">
        <v>183818.49999999997</v>
      </c>
      <c r="R481" s="32">
        <v>0</v>
      </c>
      <c r="S481" s="32">
        <v>0</v>
      </c>
      <c r="T481" s="32">
        <v>0</v>
      </c>
      <c r="U481" s="32">
        <v>0</v>
      </c>
      <c r="V481" s="32">
        <v>0</v>
      </c>
      <c r="W481" s="32">
        <v>0</v>
      </c>
      <c r="X481" s="32">
        <v>0</v>
      </c>
      <c r="Y481" s="32">
        <v>0</v>
      </c>
      <c r="Z481" s="32">
        <v>0</v>
      </c>
      <c r="AA481" s="32">
        <v>0</v>
      </c>
      <c r="AB481" s="32">
        <v>0</v>
      </c>
      <c r="AC481" s="32" t="s">
        <v>475</v>
      </c>
      <c r="AD481" s="32"/>
      <c r="AE481" s="32">
        <v>0</v>
      </c>
    </row>
    <row r="482" spans="1:31" x14ac:dyDescent="0.25">
      <c r="A482">
        <v>8187</v>
      </c>
      <c r="B482" t="s">
        <v>553</v>
      </c>
      <c r="C482" t="s">
        <v>315</v>
      </c>
      <c r="D482" s="35">
        <v>198973.75</v>
      </c>
      <c r="E482">
        <v>1246233047</v>
      </c>
      <c r="F482" s="324">
        <v>46142</v>
      </c>
      <c r="H482" t="s">
        <v>173</v>
      </c>
      <c r="I482" t="s">
        <v>174</v>
      </c>
      <c r="J482">
        <v>9050</v>
      </c>
      <c r="K482" s="324">
        <v>45895</v>
      </c>
      <c r="L482">
        <v>1010100</v>
      </c>
      <c r="M482" t="s">
        <v>35</v>
      </c>
      <c r="N482">
        <v>-30</v>
      </c>
      <c r="O482" s="32">
        <v>0</v>
      </c>
      <c r="P482" s="32">
        <v>0</v>
      </c>
      <c r="Q482" s="32">
        <v>198973.75</v>
      </c>
      <c r="R482" s="32">
        <v>0</v>
      </c>
      <c r="S482" s="32">
        <v>0</v>
      </c>
      <c r="T482" s="32">
        <v>0</v>
      </c>
      <c r="U482" s="32">
        <v>0</v>
      </c>
      <c r="V482" s="32">
        <v>0</v>
      </c>
      <c r="W482" s="32">
        <v>0</v>
      </c>
      <c r="X482" s="32">
        <v>0</v>
      </c>
      <c r="Y482" s="32">
        <v>0</v>
      </c>
      <c r="Z482" s="32">
        <v>0</v>
      </c>
      <c r="AA482" s="32">
        <v>0</v>
      </c>
      <c r="AB482" s="32">
        <v>0</v>
      </c>
      <c r="AC482" s="32" t="s">
        <v>475</v>
      </c>
      <c r="AD482" s="32"/>
      <c r="AE482" s="32">
        <v>0</v>
      </c>
    </row>
    <row r="483" spans="1:31" x14ac:dyDescent="0.25">
      <c r="A483">
        <v>8187</v>
      </c>
      <c r="B483" t="s">
        <v>553</v>
      </c>
      <c r="C483" t="s">
        <v>315</v>
      </c>
      <c r="D483" s="35">
        <v>185774.02</v>
      </c>
      <c r="E483">
        <v>1246224560</v>
      </c>
      <c r="F483" s="324">
        <v>46139</v>
      </c>
      <c r="H483" t="s">
        <v>173</v>
      </c>
      <c r="I483" t="s">
        <v>174</v>
      </c>
      <c r="J483">
        <v>8462</v>
      </c>
      <c r="K483" s="324">
        <v>45849</v>
      </c>
      <c r="L483">
        <v>1010100</v>
      </c>
      <c r="M483" t="s">
        <v>35</v>
      </c>
      <c r="N483">
        <v>-27</v>
      </c>
      <c r="O483" s="32">
        <v>0</v>
      </c>
      <c r="P483" s="32">
        <v>0</v>
      </c>
      <c r="Q483" s="32">
        <v>185774.02</v>
      </c>
      <c r="R483" s="32">
        <v>0</v>
      </c>
      <c r="S483" s="32">
        <v>0</v>
      </c>
      <c r="T483" s="32">
        <v>0</v>
      </c>
      <c r="U483" s="32">
        <v>0</v>
      </c>
      <c r="V483" s="32">
        <v>0</v>
      </c>
      <c r="W483" s="32">
        <v>0</v>
      </c>
      <c r="X483" s="32">
        <v>0</v>
      </c>
      <c r="Y483" s="32">
        <v>0</v>
      </c>
      <c r="Z483" s="32">
        <v>0</v>
      </c>
      <c r="AA483" s="32">
        <v>0</v>
      </c>
      <c r="AB483" s="32">
        <v>0</v>
      </c>
      <c r="AC483" s="32" t="s">
        <v>475</v>
      </c>
      <c r="AD483" s="32"/>
      <c r="AE483" s="32">
        <v>0</v>
      </c>
    </row>
    <row r="484" spans="1:31" x14ac:dyDescent="0.25">
      <c r="A484">
        <v>8187</v>
      </c>
      <c r="B484" t="s">
        <v>553</v>
      </c>
      <c r="C484" t="s">
        <v>315</v>
      </c>
      <c r="D484" s="35">
        <v>185774.01000000004</v>
      </c>
      <c r="E484">
        <v>1246224750</v>
      </c>
      <c r="F484" s="324">
        <v>46142</v>
      </c>
      <c r="H484" t="s">
        <v>173</v>
      </c>
      <c r="I484" t="s">
        <v>174</v>
      </c>
      <c r="J484">
        <v>8475</v>
      </c>
      <c r="K484" s="324">
        <v>45852</v>
      </c>
      <c r="L484">
        <v>1010100</v>
      </c>
      <c r="M484" t="s">
        <v>35</v>
      </c>
      <c r="N484">
        <v>-30</v>
      </c>
      <c r="O484" s="32">
        <v>0</v>
      </c>
      <c r="P484" s="32">
        <v>0</v>
      </c>
      <c r="Q484" s="32">
        <v>185774.01000000004</v>
      </c>
      <c r="R484" s="32">
        <v>0</v>
      </c>
      <c r="S484" s="32">
        <v>0</v>
      </c>
      <c r="T484" s="32">
        <v>0</v>
      </c>
      <c r="U484" s="32">
        <v>0</v>
      </c>
      <c r="V484" s="32">
        <v>0</v>
      </c>
      <c r="W484" s="32">
        <v>0</v>
      </c>
      <c r="X484" s="32">
        <v>0</v>
      </c>
      <c r="Y484" s="32">
        <v>0</v>
      </c>
      <c r="Z484" s="32">
        <v>0</v>
      </c>
      <c r="AA484" s="32">
        <v>0</v>
      </c>
      <c r="AB484" s="32">
        <v>0</v>
      </c>
      <c r="AC484" s="32" t="s">
        <v>475</v>
      </c>
      <c r="AD484" s="32"/>
      <c r="AE484" s="32">
        <v>0</v>
      </c>
    </row>
    <row r="485" spans="1:31" x14ac:dyDescent="0.25">
      <c r="A485">
        <v>8187</v>
      </c>
      <c r="B485" t="s">
        <v>553</v>
      </c>
      <c r="C485" t="s">
        <v>315</v>
      </c>
      <c r="D485" s="35">
        <v>185774.02</v>
      </c>
      <c r="E485">
        <v>1246224287</v>
      </c>
      <c r="F485" s="324">
        <v>46142</v>
      </c>
      <c r="H485" t="s">
        <v>173</v>
      </c>
      <c r="I485" t="s">
        <v>174</v>
      </c>
      <c r="J485">
        <v>8443</v>
      </c>
      <c r="K485" s="324">
        <v>45848</v>
      </c>
      <c r="L485">
        <v>1010100</v>
      </c>
      <c r="M485" t="s">
        <v>35</v>
      </c>
      <c r="N485">
        <v>-30</v>
      </c>
      <c r="O485" s="32">
        <v>0</v>
      </c>
      <c r="P485" s="32">
        <v>0</v>
      </c>
      <c r="Q485" s="32">
        <v>185774.02</v>
      </c>
      <c r="R485" s="32">
        <v>0</v>
      </c>
      <c r="S485" s="32">
        <v>0</v>
      </c>
      <c r="T485" s="32">
        <v>0</v>
      </c>
      <c r="U485" s="32">
        <v>0</v>
      </c>
      <c r="V485" s="32">
        <v>0</v>
      </c>
      <c r="W485" s="32">
        <v>0</v>
      </c>
      <c r="X485" s="32">
        <v>0</v>
      </c>
      <c r="Y485" s="32">
        <v>0</v>
      </c>
      <c r="Z485" s="32">
        <v>0</v>
      </c>
      <c r="AA485" s="32">
        <v>0</v>
      </c>
      <c r="AB485" s="32">
        <v>0</v>
      </c>
      <c r="AC485" s="32" t="s">
        <v>475</v>
      </c>
      <c r="AD485" s="32"/>
      <c r="AE485" s="32">
        <v>0</v>
      </c>
    </row>
    <row r="486" spans="1:31" x14ac:dyDescent="0.25">
      <c r="A486">
        <v>8187</v>
      </c>
      <c r="B486" t="s">
        <v>553</v>
      </c>
      <c r="C486" t="s">
        <v>315</v>
      </c>
      <c r="D486" s="35">
        <v>185936.97</v>
      </c>
      <c r="E486">
        <v>1246225056</v>
      </c>
      <c r="F486" s="324">
        <v>46143</v>
      </c>
      <c r="H486" t="s">
        <v>173</v>
      </c>
      <c r="I486" t="s">
        <v>174</v>
      </c>
      <c r="J486">
        <v>8486</v>
      </c>
      <c r="K486" s="324">
        <v>45853</v>
      </c>
      <c r="L486">
        <v>1010100</v>
      </c>
      <c r="M486" t="s">
        <v>35</v>
      </c>
      <c r="N486">
        <v>-31</v>
      </c>
      <c r="O486" s="32">
        <v>0</v>
      </c>
      <c r="P486" s="32">
        <v>0</v>
      </c>
      <c r="Q486" s="32">
        <v>185936.97</v>
      </c>
      <c r="R486" s="32">
        <v>0</v>
      </c>
      <c r="S486" s="32">
        <v>0</v>
      </c>
      <c r="T486" s="32">
        <v>0</v>
      </c>
      <c r="U486" s="32">
        <v>0</v>
      </c>
      <c r="V486" s="32">
        <v>0</v>
      </c>
      <c r="W486" s="32">
        <v>0</v>
      </c>
      <c r="X486" s="32">
        <v>0</v>
      </c>
      <c r="Y486" s="32">
        <v>0</v>
      </c>
      <c r="Z486" s="32">
        <v>0</v>
      </c>
      <c r="AA486" s="32">
        <v>0</v>
      </c>
      <c r="AB486" s="32">
        <v>0</v>
      </c>
      <c r="AC486" s="32" t="s">
        <v>475</v>
      </c>
      <c r="AD486" s="32"/>
      <c r="AE486" s="32">
        <v>0</v>
      </c>
    </row>
    <row r="487" spans="1:31" x14ac:dyDescent="0.25">
      <c r="A487">
        <v>8187</v>
      </c>
      <c r="B487" t="s">
        <v>553</v>
      </c>
      <c r="C487" t="s">
        <v>315</v>
      </c>
      <c r="D487" s="35">
        <v>154974.63</v>
      </c>
      <c r="E487">
        <v>1246240535</v>
      </c>
      <c r="F487" s="324">
        <v>46142</v>
      </c>
      <c r="H487" t="s">
        <v>173</v>
      </c>
      <c r="I487" t="s">
        <v>174</v>
      </c>
      <c r="J487">
        <v>9527</v>
      </c>
      <c r="K487" s="324">
        <v>45930</v>
      </c>
      <c r="L487">
        <v>1010100</v>
      </c>
      <c r="M487" t="s">
        <v>35</v>
      </c>
      <c r="N487">
        <v>-30</v>
      </c>
      <c r="O487" s="32">
        <v>0</v>
      </c>
      <c r="P487" s="32">
        <v>0</v>
      </c>
      <c r="Q487" s="32">
        <v>154974.63</v>
      </c>
      <c r="R487" s="32">
        <v>0</v>
      </c>
      <c r="S487" s="32">
        <v>0</v>
      </c>
      <c r="T487" s="32">
        <v>0</v>
      </c>
      <c r="U487" s="32">
        <v>0</v>
      </c>
      <c r="V487" s="32">
        <v>0</v>
      </c>
      <c r="W487" s="32">
        <v>0</v>
      </c>
      <c r="X487" s="32">
        <v>0</v>
      </c>
      <c r="Y487" s="32">
        <v>0</v>
      </c>
      <c r="Z487" s="32">
        <v>0</v>
      </c>
      <c r="AA487" s="32">
        <v>0</v>
      </c>
      <c r="AB487" s="32">
        <v>0</v>
      </c>
      <c r="AC487" s="32" t="s">
        <v>475</v>
      </c>
      <c r="AD487" s="32"/>
      <c r="AE487" s="32">
        <v>0</v>
      </c>
    </row>
    <row r="488" spans="1:31" x14ac:dyDescent="0.25">
      <c r="A488">
        <v>8187</v>
      </c>
      <c r="B488" t="s">
        <v>553</v>
      </c>
      <c r="C488" t="s">
        <v>315</v>
      </c>
      <c r="D488" s="35">
        <v>183818.49999999997</v>
      </c>
      <c r="E488">
        <v>1246228297</v>
      </c>
      <c r="F488" s="324">
        <v>46144</v>
      </c>
      <c r="H488" t="s">
        <v>173</v>
      </c>
      <c r="I488" t="s">
        <v>174</v>
      </c>
      <c r="J488">
        <v>8696</v>
      </c>
      <c r="K488" s="324">
        <v>45869</v>
      </c>
      <c r="L488">
        <v>1010100</v>
      </c>
      <c r="M488" t="s">
        <v>35</v>
      </c>
      <c r="N488">
        <v>-32</v>
      </c>
      <c r="O488" s="32">
        <v>0</v>
      </c>
      <c r="P488" s="32">
        <v>0</v>
      </c>
      <c r="Q488" s="32">
        <v>183818.49999999997</v>
      </c>
      <c r="R488" s="32">
        <v>0</v>
      </c>
      <c r="S488" s="32">
        <v>0</v>
      </c>
      <c r="T488" s="32">
        <v>0</v>
      </c>
      <c r="U488" s="32">
        <v>0</v>
      </c>
      <c r="V488" s="32">
        <v>0</v>
      </c>
      <c r="W488" s="32">
        <v>0</v>
      </c>
      <c r="X488" s="32">
        <v>0</v>
      </c>
      <c r="Y488" s="32">
        <v>0</v>
      </c>
      <c r="Z488" s="32">
        <v>0</v>
      </c>
      <c r="AA488" s="32">
        <v>0</v>
      </c>
      <c r="AB488" s="32">
        <v>0</v>
      </c>
      <c r="AC488" s="32" t="s">
        <v>475</v>
      </c>
      <c r="AD488" s="32"/>
      <c r="AE488" s="32">
        <v>0</v>
      </c>
    </row>
    <row r="489" spans="1:31" x14ac:dyDescent="0.25">
      <c r="A489">
        <v>8187</v>
      </c>
      <c r="B489" t="s">
        <v>553</v>
      </c>
      <c r="C489" t="s">
        <v>315</v>
      </c>
      <c r="D489" s="35">
        <v>183818.49999999997</v>
      </c>
      <c r="E489">
        <v>1246225656</v>
      </c>
      <c r="F489" s="324">
        <v>46145</v>
      </c>
      <c r="H489" t="s">
        <v>173</v>
      </c>
      <c r="I489" t="s">
        <v>174</v>
      </c>
      <c r="J489">
        <v>8524</v>
      </c>
      <c r="K489" s="324">
        <v>45855</v>
      </c>
      <c r="L489">
        <v>1010100</v>
      </c>
      <c r="M489" t="s">
        <v>35</v>
      </c>
      <c r="N489">
        <v>-33</v>
      </c>
      <c r="O489" s="32">
        <v>0</v>
      </c>
      <c r="P489" s="32">
        <v>0</v>
      </c>
      <c r="Q489" s="32">
        <v>183818.49999999997</v>
      </c>
      <c r="R489" s="32">
        <v>0</v>
      </c>
      <c r="S489" s="32">
        <v>0</v>
      </c>
      <c r="T489" s="32">
        <v>0</v>
      </c>
      <c r="U489" s="32">
        <v>0</v>
      </c>
      <c r="V489" s="32">
        <v>0</v>
      </c>
      <c r="W489" s="32">
        <v>0</v>
      </c>
      <c r="X489" s="32">
        <v>0</v>
      </c>
      <c r="Y489" s="32">
        <v>0</v>
      </c>
      <c r="Z489" s="32">
        <v>0</v>
      </c>
      <c r="AA489" s="32">
        <v>0</v>
      </c>
      <c r="AB489" s="32">
        <v>0</v>
      </c>
      <c r="AC489" s="32" t="s">
        <v>475</v>
      </c>
      <c r="AD489" s="32"/>
      <c r="AE489" s="32">
        <v>0</v>
      </c>
    </row>
    <row r="490" spans="1:31" x14ac:dyDescent="0.25">
      <c r="A490">
        <v>9298</v>
      </c>
      <c r="B490" t="s">
        <v>187</v>
      </c>
      <c r="C490" t="s">
        <v>188</v>
      </c>
      <c r="D490" s="35">
        <v>111799</v>
      </c>
      <c r="E490">
        <v>1246070436</v>
      </c>
      <c r="F490" s="324">
        <v>45555</v>
      </c>
      <c r="H490" t="s">
        <v>173</v>
      </c>
      <c r="I490" t="s">
        <v>174</v>
      </c>
      <c r="J490">
        <v>20815</v>
      </c>
      <c r="K490" s="324">
        <v>44991</v>
      </c>
      <c r="L490">
        <v>1010100</v>
      </c>
      <c r="M490" t="s">
        <v>35</v>
      </c>
      <c r="N490">
        <v>557</v>
      </c>
      <c r="O490" s="32">
        <v>0</v>
      </c>
      <c r="P490" s="32">
        <v>0</v>
      </c>
      <c r="Q490" s="32">
        <v>0</v>
      </c>
      <c r="R490" s="32">
        <v>0</v>
      </c>
      <c r="S490" s="32">
        <v>0</v>
      </c>
      <c r="T490" s="32">
        <v>0</v>
      </c>
      <c r="U490" s="32">
        <v>111799</v>
      </c>
      <c r="V490" s="32">
        <v>0</v>
      </c>
      <c r="W490" s="32">
        <v>3353.97</v>
      </c>
      <c r="X490" s="32">
        <v>108445.03</v>
      </c>
      <c r="Y490" s="32">
        <v>108445.03</v>
      </c>
      <c r="Z490" s="32">
        <v>0</v>
      </c>
      <c r="AA490" s="32">
        <v>-111799</v>
      </c>
      <c r="AB490" s="32">
        <v>0</v>
      </c>
      <c r="AC490" s="32" t="s">
        <v>475</v>
      </c>
      <c r="AD490" s="32"/>
      <c r="AE490" s="32">
        <v>0</v>
      </c>
    </row>
    <row r="491" spans="1:31" x14ac:dyDescent="0.25">
      <c r="A491">
        <v>9298</v>
      </c>
      <c r="B491" t="s">
        <v>187</v>
      </c>
      <c r="C491" t="s">
        <v>188</v>
      </c>
      <c r="D491" s="35">
        <v>65548</v>
      </c>
      <c r="E491">
        <v>1246070905</v>
      </c>
      <c r="F491" s="324">
        <v>45555</v>
      </c>
      <c r="H491" t="s">
        <v>173</v>
      </c>
      <c r="I491" t="s">
        <v>174</v>
      </c>
      <c r="J491">
        <v>20839</v>
      </c>
      <c r="K491" s="324">
        <v>44994</v>
      </c>
      <c r="L491">
        <v>1010100</v>
      </c>
      <c r="M491" t="s">
        <v>35</v>
      </c>
      <c r="N491">
        <v>557</v>
      </c>
      <c r="O491" s="32">
        <v>0</v>
      </c>
      <c r="P491" s="32">
        <v>0</v>
      </c>
      <c r="Q491" s="32">
        <v>0</v>
      </c>
      <c r="R491" s="32">
        <v>0</v>
      </c>
      <c r="S491" s="32">
        <v>0</v>
      </c>
      <c r="T491" s="32">
        <v>0</v>
      </c>
      <c r="U491" s="32">
        <v>65548</v>
      </c>
      <c r="V491" s="32">
        <v>0</v>
      </c>
      <c r="W491" s="32">
        <v>1966.4399999999998</v>
      </c>
      <c r="X491" s="32">
        <v>63581.56</v>
      </c>
      <c r="Y491" s="32">
        <v>63581.56</v>
      </c>
      <c r="Z491" s="32">
        <v>0</v>
      </c>
      <c r="AA491" s="32">
        <v>-65548</v>
      </c>
      <c r="AB491" s="32">
        <v>0</v>
      </c>
      <c r="AC491" s="32" t="s">
        <v>475</v>
      </c>
      <c r="AD491" s="32"/>
      <c r="AE491" s="32">
        <v>0</v>
      </c>
    </row>
    <row r="492" spans="1:31" x14ac:dyDescent="0.25">
      <c r="A492">
        <v>9298</v>
      </c>
      <c r="B492" t="s">
        <v>187</v>
      </c>
      <c r="C492" t="s">
        <v>188</v>
      </c>
      <c r="D492" s="35">
        <v>112475</v>
      </c>
      <c r="E492">
        <v>1246068948</v>
      </c>
      <c r="F492" s="324">
        <v>45555</v>
      </c>
      <c r="H492" t="s">
        <v>173</v>
      </c>
      <c r="I492" t="s">
        <v>174</v>
      </c>
      <c r="J492">
        <v>20763</v>
      </c>
      <c r="K492" s="324">
        <v>44984</v>
      </c>
      <c r="L492">
        <v>1010100</v>
      </c>
      <c r="M492" t="s">
        <v>35</v>
      </c>
      <c r="N492">
        <v>557</v>
      </c>
      <c r="O492" s="32">
        <v>0</v>
      </c>
      <c r="P492" s="32">
        <v>0</v>
      </c>
      <c r="Q492" s="32">
        <v>0</v>
      </c>
      <c r="R492" s="32">
        <v>0</v>
      </c>
      <c r="S492" s="32">
        <v>0</v>
      </c>
      <c r="T492" s="32">
        <v>0</v>
      </c>
      <c r="U492" s="32">
        <v>112475</v>
      </c>
      <c r="V492" s="32">
        <v>0</v>
      </c>
      <c r="W492" s="32">
        <v>3374.25</v>
      </c>
      <c r="X492" s="32">
        <v>109100.75</v>
      </c>
      <c r="Y492" s="32">
        <v>109100.75</v>
      </c>
      <c r="Z492" s="32">
        <v>0</v>
      </c>
      <c r="AA492" s="32">
        <v>-112475</v>
      </c>
      <c r="AB492" s="32">
        <v>0</v>
      </c>
      <c r="AC492" s="32" t="s">
        <v>475</v>
      </c>
      <c r="AD492" s="32"/>
      <c r="AE492" s="32">
        <v>0</v>
      </c>
    </row>
    <row r="493" spans="1:31" x14ac:dyDescent="0.25">
      <c r="A493">
        <v>9298</v>
      </c>
      <c r="B493" t="s">
        <v>187</v>
      </c>
      <c r="C493" t="s">
        <v>188</v>
      </c>
      <c r="D493" s="35">
        <v>149824</v>
      </c>
      <c r="E493">
        <v>1246068778</v>
      </c>
      <c r="F493" s="324">
        <v>45555</v>
      </c>
      <c r="H493" t="s">
        <v>173</v>
      </c>
      <c r="I493" t="s">
        <v>174</v>
      </c>
      <c r="J493">
        <v>20750</v>
      </c>
      <c r="K493" s="324">
        <v>44981</v>
      </c>
      <c r="L493">
        <v>1010100</v>
      </c>
      <c r="M493" t="s">
        <v>35</v>
      </c>
      <c r="N493">
        <v>557</v>
      </c>
      <c r="O493" s="32">
        <v>0</v>
      </c>
      <c r="P493" s="32">
        <v>0</v>
      </c>
      <c r="Q493" s="32">
        <v>0</v>
      </c>
      <c r="R493" s="32">
        <v>0</v>
      </c>
      <c r="S493" s="32">
        <v>0</v>
      </c>
      <c r="T493" s="32">
        <v>0</v>
      </c>
      <c r="U493" s="32">
        <v>149824</v>
      </c>
      <c r="V493" s="32">
        <v>0</v>
      </c>
      <c r="W493" s="32">
        <v>4494.72</v>
      </c>
      <c r="X493" s="32">
        <v>145329.28</v>
      </c>
      <c r="Y493" s="32">
        <v>145329.28</v>
      </c>
      <c r="Z493" s="32">
        <v>0</v>
      </c>
      <c r="AA493" s="32">
        <v>-149824</v>
      </c>
      <c r="AB493" s="32">
        <v>0</v>
      </c>
      <c r="AC493" s="32" t="s">
        <v>475</v>
      </c>
      <c r="AD493" s="32"/>
      <c r="AE493" s="32">
        <v>0</v>
      </c>
    </row>
    <row r="494" spans="1:31" x14ac:dyDescent="0.25">
      <c r="A494">
        <v>9298</v>
      </c>
      <c r="B494" t="s">
        <v>187</v>
      </c>
      <c r="C494" t="s">
        <v>188</v>
      </c>
      <c r="D494" s="35">
        <v>131203</v>
      </c>
      <c r="E494">
        <v>1246070820</v>
      </c>
      <c r="F494" s="324">
        <v>45555</v>
      </c>
      <c r="H494" t="s">
        <v>173</v>
      </c>
      <c r="I494" t="s">
        <v>174</v>
      </c>
      <c r="J494">
        <v>20836</v>
      </c>
      <c r="K494" s="324">
        <v>44993</v>
      </c>
      <c r="L494">
        <v>1010100</v>
      </c>
      <c r="M494" t="s">
        <v>35</v>
      </c>
      <c r="N494">
        <v>557</v>
      </c>
      <c r="O494" s="32">
        <v>0</v>
      </c>
      <c r="P494" s="32">
        <v>0</v>
      </c>
      <c r="Q494" s="32">
        <v>0</v>
      </c>
      <c r="R494" s="32">
        <v>0</v>
      </c>
      <c r="S494" s="32">
        <v>0</v>
      </c>
      <c r="T494" s="32">
        <v>0</v>
      </c>
      <c r="U494" s="32">
        <v>131203</v>
      </c>
      <c r="V494" s="32">
        <v>0</v>
      </c>
      <c r="W494" s="32">
        <v>3936.0899999999997</v>
      </c>
      <c r="X494" s="32">
        <v>127266.91</v>
      </c>
      <c r="Y494" s="32">
        <v>127266.91</v>
      </c>
      <c r="Z494" s="32">
        <v>0</v>
      </c>
      <c r="AA494" s="32">
        <v>-131203</v>
      </c>
      <c r="AB494" s="32">
        <v>0</v>
      </c>
      <c r="AC494" s="32" t="s">
        <v>475</v>
      </c>
      <c r="AD494" s="32"/>
      <c r="AE494" s="32">
        <v>0</v>
      </c>
    </row>
    <row r="495" spans="1:31" x14ac:dyDescent="0.25">
      <c r="A495">
        <v>9298</v>
      </c>
      <c r="B495" t="s">
        <v>187</v>
      </c>
      <c r="C495" t="s">
        <v>188</v>
      </c>
      <c r="D495" s="35">
        <v>119356.2</v>
      </c>
      <c r="E495">
        <v>1246068614</v>
      </c>
      <c r="F495" s="324">
        <v>45555</v>
      </c>
      <c r="H495" t="s">
        <v>173</v>
      </c>
      <c r="I495" t="s">
        <v>174</v>
      </c>
      <c r="J495">
        <v>20734</v>
      </c>
      <c r="K495" s="324">
        <v>44980</v>
      </c>
      <c r="L495">
        <v>1010100</v>
      </c>
      <c r="M495" t="s">
        <v>35</v>
      </c>
      <c r="N495">
        <v>557</v>
      </c>
      <c r="O495" s="32">
        <v>0</v>
      </c>
      <c r="P495" s="32">
        <v>0</v>
      </c>
      <c r="Q495" s="32">
        <v>0</v>
      </c>
      <c r="R495" s="32">
        <v>0</v>
      </c>
      <c r="S495" s="32">
        <v>0</v>
      </c>
      <c r="T495" s="32">
        <v>0</v>
      </c>
      <c r="U495" s="32">
        <v>119356.2</v>
      </c>
      <c r="V495" s="32">
        <v>0</v>
      </c>
      <c r="W495" s="32">
        <v>3580.6859999999997</v>
      </c>
      <c r="X495" s="32">
        <v>115775.514</v>
      </c>
      <c r="Y495" s="32">
        <v>115775.514</v>
      </c>
      <c r="Z495" s="32">
        <v>0</v>
      </c>
      <c r="AA495" s="32">
        <v>-119356.2</v>
      </c>
      <c r="AB495" s="32">
        <v>0</v>
      </c>
      <c r="AC495" s="32" t="s">
        <v>475</v>
      </c>
      <c r="AD495" s="32"/>
      <c r="AE495" s="32">
        <v>0</v>
      </c>
    </row>
    <row r="496" spans="1:31" x14ac:dyDescent="0.25">
      <c r="A496">
        <v>9298</v>
      </c>
      <c r="B496" t="s">
        <v>187</v>
      </c>
      <c r="C496" t="s">
        <v>188</v>
      </c>
      <c r="D496" s="35">
        <v>122521</v>
      </c>
      <c r="E496">
        <v>1246068997</v>
      </c>
      <c r="F496" s="324">
        <v>45555</v>
      </c>
      <c r="H496" t="s">
        <v>173</v>
      </c>
      <c r="I496" t="s">
        <v>174</v>
      </c>
      <c r="J496">
        <v>20767</v>
      </c>
      <c r="K496" s="324">
        <v>44984</v>
      </c>
      <c r="L496">
        <v>1010100</v>
      </c>
      <c r="M496" t="s">
        <v>35</v>
      </c>
      <c r="N496">
        <v>557</v>
      </c>
      <c r="O496" s="32">
        <v>0</v>
      </c>
      <c r="P496" s="32">
        <v>0</v>
      </c>
      <c r="Q496" s="32">
        <v>0</v>
      </c>
      <c r="R496" s="32">
        <v>0</v>
      </c>
      <c r="S496" s="32">
        <v>0</v>
      </c>
      <c r="T496" s="32">
        <v>0</v>
      </c>
      <c r="U496" s="32">
        <v>122521</v>
      </c>
      <c r="V496" s="32">
        <v>0</v>
      </c>
      <c r="W496" s="32">
        <v>3675.6299999999997</v>
      </c>
      <c r="X496" s="32">
        <v>118845.37</v>
      </c>
      <c r="Y496" s="32">
        <v>118845.37</v>
      </c>
      <c r="Z496" s="32">
        <v>0</v>
      </c>
      <c r="AA496" s="32">
        <v>-122521</v>
      </c>
      <c r="AB496" s="32">
        <v>0</v>
      </c>
      <c r="AC496" s="32" t="s">
        <v>475</v>
      </c>
      <c r="AD496" s="32"/>
      <c r="AE496" s="32">
        <v>0</v>
      </c>
    </row>
    <row r="497" spans="1:31" x14ac:dyDescent="0.25">
      <c r="A497">
        <v>9298</v>
      </c>
      <c r="B497" t="s">
        <v>187</v>
      </c>
      <c r="C497" t="s">
        <v>188</v>
      </c>
      <c r="D497" s="35">
        <v>118731.49</v>
      </c>
      <c r="E497">
        <v>1246083500</v>
      </c>
      <c r="F497" s="324">
        <v>45555</v>
      </c>
      <c r="H497" t="s">
        <v>173</v>
      </c>
      <c r="I497" t="s">
        <v>174</v>
      </c>
      <c r="J497">
        <v>21456</v>
      </c>
      <c r="K497" s="324">
        <v>45070</v>
      </c>
      <c r="L497">
        <v>1010100</v>
      </c>
      <c r="M497" t="s">
        <v>35</v>
      </c>
      <c r="N497">
        <v>557</v>
      </c>
      <c r="O497" s="32">
        <v>0</v>
      </c>
      <c r="P497" s="32">
        <v>0</v>
      </c>
      <c r="Q497" s="32">
        <v>0</v>
      </c>
      <c r="R497" s="32">
        <v>0</v>
      </c>
      <c r="S497" s="32">
        <v>0</v>
      </c>
      <c r="T497" s="32">
        <v>0</v>
      </c>
      <c r="U497" s="32">
        <v>118731.49</v>
      </c>
      <c r="V497" s="32">
        <v>0</v>
      </c>
      <c r="W497" s="32">
        <v>3561.9447</v>
      </c>
      <c r="X497" s="32">
        <v>115169.5453</v>
      </c>
      <c r="Y497" s="32">
        <v>115169.5453</v>
      </c>
      <c r="Z497" s="32">
        <v>0</v>
      </c>
      <c r="AA497" s="32">
        <v>-118731.49</v>
      </c>
      <c r="AB497" s="32">
        <v>0</v>
      </c>
      <c r="AC497" s="32" t="s">
        <v>475</v>
      </c>
      <c r="AD497" s="32"/>
      <c r="AE497" s="32">
        <v>0</v>
      </c>
    </row>
    <row r="498" spans="1:31" x14ac:dyDescent="0.25">
      <c r="A498">
        <v>9298</v>
      </c>
      <c r="B498" t="s">
        <v>187</v>
      </c>
      <c r="C498" t="s">
        <v>188</v>
      </c>
      <c r="D498" s="35">
        <v>52557.4</v>
      </c>
      <c r="E498">
        <v>1246083593</v>
      </c>
      <c r="F498" s="324">
        <v>45555</v>
      </c>
      <c r="H498" t="s">
        <v>173</v>
      </c>
      <c r="I498" t="s">
        <v>174</v>
      </c>
      <c r="J498">
        <v>21460</v>
      </c>
      <c r="K498" s="324">
        <v>45070</v>
      </c>
      <c r="L498">
        <v>1010100</v>
      </c>
      <c r="M498" t="s">
        <v>35</v>
      </c>
      <c r="N498">
        <v>557</v>
      </c>
      <c r="O498" s="32">
        <v>0</v>
      </c>
      <c r="P498" s="32">
        <v>0</v>
      </c>
      <c r="Q498" s="32">
        <v>0</v>
      </c>
      <c r="R498" s="32">
        <v>0</v>
      </c>
      <c r="S498" s="32">
        <v>0</v>
      </c>
      <c r="T498" s="32">
        <v>0</v>
      </c>
      <c r="U498" s="32">
        <v>52557.4</v>
      </c>
      <c r="V498" s="32">
        <v>0</v>
      </c>
      <c r="W498" s="32">
        <v>1576.722</v>
      </c>
      <c r="X498" s="32">
        <v>50980.678</v>
      </c>
      <c r="Y498" s="32">
        <v>50980.678</v>
      </c>
      <c r="Z498" s="32">
        <v>0</v>
      </c>
      <c r="AA498" s="32">
        <v>-52557.4</v>
      </c>
      <c r="AB498" s="32">
        <v>0</v>
      </c>
      <c r="AC498" s="32" t="s">
        <v>475</v>
      </c>
      <c r="AD498" s="32"/>
      <c r="AE498" s="32">
        <v>0</v>
      </c>
    </row>
    <row r="499" spans="1:31" x14ac:dyDescent="0.25">
      <c r="A499">
        <v>9298</v>
      </c>
      <c r="B499" t="s">
        <v>187</v>
      </c>
      <c r="C499" t="s">
        <v>188</v>
      </c>
      <c r="D499" s="35">
        <v>52557.4</v>
      </c>
      <c r="E499">
        <v>1246083373</v>
      </c>
      <c r="F499" s="324">
        <v>45555</v>
      </c>
      <c r="H499" t="s">
        <v>173</v>
      </c>
      <c r="I499" t="s">
        <v>174</v>
      </c>
      <c r="J499">
        <v>21444</v>
      </c>
      <c r="K499" s="324">
        <v>45069</v>
      </c>
      <c r="L499">
        <v>1010100</v>
      </c>
      <c r="M499" t="s">
        <v>35</v>
      </c>
      <c r="N499">
        <v>557</v>
      </c>
      <c r="O499" s="32">
        <v>0</v>
      </c>
      <c r="P499" s="32">
        <v>0</v>
      </c>
      <c r="Q499" s="32">
        <v>0</v>
      </c>
      <c r="R499" s="32">
        <v>0</v>
      </c>
      <c r="S499" s="32">
        <v>0</v>
      </c>
      <c r="T499" s="32">
        <v>0</v>
      </c>
      <c r="U499" s="32">
        <v>52557.4</v>
      </c>
      <c r="V499" s="32">
        <v>0</v>
      </c>
      <c r="W499" s="32">
        <v>1576.722</v>
      </c>
      <c r="X499" s="32">
        <v>50980.678</v>
      </c>
      <c r="Y499" s="32">
        <v>50980.678</v>
      </c>
      <c r="Z499" s="32">
        <v>0</v>
      </c>
      <c r="AA499" s="32">
        <v>-52557.4</v>
      </c>
      <c r="AB499" s="32">
        <v>0</v>
      </c>
      <c r="AC499" s="32" t="s">
        <v>475</v>
      </c>
      <c r="AD499" s="32"/>
      <c r="AE499" s="32">
        <v>0</v>
      </c>
    </row>
    <row r="500" spans="1:31" x14ac:dyDescent="0.25">
      <c r="A500">
        <v>9298</v>
      </c>
      <c r="B500" t="s">
        <v>187</v>
      </c>
      <c r="C500" t="s">
        <v>188</v>
      </c>
      <c r="D500" s="35">
        <v>13957.5</v>
      </c>
      <c r="E500">
        <v>1246084673</v>
      </c>
      <c r="F500" s="324">
        <v>45555</v>
      </c>
      <c r="H500" t="s">
        <v>173</v>
      </c>
      <c r="I500" t="s">
        <v>174</v>
      </c>
      <c r="J500">
        <v>21538</v>
      </c>
      <c r="K500" s="324">
        <v>45077</v>
      </c>
      <c r="L500">
        <v>1010100</v>
      </c>
      <c r="M500" t="s">
        <v>35</v>
      </c>
      <c r="N500">
        <v>557</v>
      </c>
      <c r="O500" s="32">
        <v>0</v>
      </c>
      <c r="P500" s="32">
        <v>0</v>
      </c>
      <c r="Q500" s="32">
        <v>0</v>
      </c>
      <c r="R500" s="32">
        <v>0</v>
      </c>
      <c r="S500" s="32">
        <v>0</v>
      </c>
      <c r="T500" s="32">
        <v>0</v>
      </c>
      <c r="U500" s="32">
        <v>13957.5</v>
      </c>
      <c r="V500" s="32">
        <v>0</v>
      </c>
      <c r="W500" s="32">
        <v>418.72499999999997</v>
      </c>
      <c r="X500" s="32">
        <v>13538.775</v>
      </c>
      <c r="Y500" s="32">
        <v>13538.775</v>
      </c>
      <c r="Z500" s="32">
        <v>13957.5</v>
      </c>
      <c r="AA500" s="32">
        <v>-13957.5</v>
      </c>
      <c r="AB500" s="32">
        <v>0</v>
      </c>
      <c r="AC500" s="32" t="s">
        <v>475</v>
      </c>
      <c r="AD500" s="32"/>
      <c r="AE500" s="32">
        <v>0</v>
      </c>
    </row>
    <row r="501" spans="1:31" x14ac:dyDescent="0.25">
      <c r="A501">
        <v>9298</v>
      </c>
      <c r="B501" t="s">
        <v>187</v>
      </c>
      <c r="C501" t="s">
        <v>188</v>
      </c>
      <c r="D501" s="35">
        <v>40756.75</v>
      </c>
      <c r="E501">
        <v>1246084671</v>
      </c>
      <c r="F501" s="324">
        <v>45555</v>
      </c>
      <c r="H501" t="s">
        <v>173</v>
      </c>
      <c r="I501" t="s">
        <v>174</v>
      </c>
      <c r="J501">
        <v>21537</v>
      </c>
      <c r="K501" s="324">
        <v>45077</v>
      </c>
      <c r="L501">
        <v>1010100</v>
      </c>
      <c r="M501" t="s">
        <v>35</v>
      </c>
      <c r="N501">
        <v>557</v>
      </c>
      <c r="O501" s="32">
        <v>0</v>
      </c>
      <c r="P501" s="32">
        <v>0</v>
      </c>
      <c r="Q501" s="32">
        <v>0</v>
      </c>
      <c r="R501" s="32">
        <v>0</v>
      </c>
      <c r="S501" s="32">
        <v>0</v>
      </c>
      <c r="T501" s="32">
        <v>0</v>
      </c>
      <c r="U501" s="32">
        <v>40756.75</v>
      </c>
      <c r="V501" s="32">
        <v>0</v>
      </c>
      <c r="W501" s="32">
        <v>1222.7024999999999</v>
      </c>
      <c r="X501" s="32">
        <v>39534.047500000001</v>
      </c>
      <c r="Y501" s="32">
        <v>39534.047500000001</v>
      </c>
      <c r="Z501" s="32">
        <v>0</v>
      </c>
      <c r="AA501" s="32">
        <v>-40756.75</v>
      </c>
      <c r="AB501" s="32">
        <v>0</v>
      </c>
      <c r="AC501" s="32" t="s">
        <v>475</v>
      </c>
      <c r="AD501" s="32"/>
      <c r="AE501" s="32">
        <v>0</v>
      </c>
    </row>
    <row r="502" spans="1:31" x14ac:dyDescent="0.25">
      <c r="A502">
        <v>9298</v>
      </c>
      <c r="B502" t="s">
        <v>187</v>
      </c>
      <c r="C502" t="s">
        <v>188</v>
      </c>
      <c r="D502" s="35">
        <v>13238.05</v>
      </c>
      <c r="E502">
        <v>1246088994</v>
      </c>
      <c r="F502" s="324">
        <v>45555</v>
      </c>
      <c r="H502" t="s">
        <v>173</v>
      </c>
      <c r="I502" t="s">
        <v>174</v>
      </c>
      <c r="J502">
        <v>20723</v>
      </c>
      <c r="K502" s="324">
        <v>44979</v>
      </c>
      <c r="L502">
        <v>1010100</v>
      </c>
      <c r="M502" t="s">
        <v>35</v>
      </c>
      <c r="N502">
        <v>557</v>
      </c>
      <c r="O502" s="32">
        <v>0</v>
      </c>
      <c r="P502" s="32">
        <v>0</v>
      </c>
      <c r="Q502" s="32">
        <v>0</v>
      </c>
      <c r="R502" s="32">
        <v>0</v>
      </c>
      <c r="S502" s="32">
        <v>0</v>
      </c>
      <c r="T502" s="32">
        <v>0</v>
      </c>
      <c r="U502" s="32">
        <v>13238.05</v>
      </c>
      <c r="V502" s="32">
        <v>0</v>
      </c>
      <c r="W502" s="32">
        <v>397.14149999999995</v>
      </c>
      <c r="X502" s="32">
        <v>12840.9085</v>
      </c>
      <c r="Y502" s="32">
        <v>12840.9085</v>
      </c>
      <c r="Z502" s="32">
        <v>13238.05</v>
      </c>
      <c r="AA502" s="32">
        <v>-13238.05</v>
      </c>
      <c r="AB502" s="32">
        <v>0</v>
      </c>
      <c r="AC502" s="32" t="s">
        <v>475</v>
      </c>
      <c r="AD502" s="32"/>
      <c r="AE502" s="32">
        <v>0</v>
      </c>
    </row>
    <row r="503" spans="1:31" x14ac:dyDescent="0.25">
      <c r="A503">
        <v>9298</v>
      </c>
      <c r="B503" t="s">
        <v>187</v>
      </c>
      <c r="C503" t="s">
        <v>188</v>
      </c>
      <c r="D503" s="35">
        <v>118788.8</v>
      </c>
      <c r="E503">
        <v>1246099199</v>
      </c>
      <c r="F503" s="324">
        <v>45562</v>
      </c>
      <c r="H503" t="s">
        <v>173</v>
      </c>
      <c r="I503" t="s">
        <v>174</v>
      </c>
      <c r="J503">
        <v>768</v>
      </c>
      <c r="K503" s="324">
        <v>45159</v>
      </c>
      <c r="L503">
        <v>1010100</v>
      </c>
      <c r="M503" t="s">
        <v>35</v>
      </c>
      <c r="N503">
        <v>550</v>
      </c>
      <c r="O503" s="32">
        <v>0</v>
      </c>
      <c r="P503" s="32">
        <v>0</v>
      </c>
      <c r="Q503" s="32">
        <v>0</v>
      </c>
      <c r="R503" s="32">
        <v>0</v>
      </c>
      <c r="S503" s="32">
        <v>0</v>
      </c>
      <c r="T503" s="32">
        <v>0</v>
      </c>
      <c r="U503" s="32">
        <v>118788.8</v>
      </c>
      <c r="V503" s="32">
        <v>0</v>
      </c>
      <c r="W503" s="32">
        <v>3563.6639999999998</v>
      </c>
      <c r="X503" s="32">
        <v>115225.136</v>
      </c>
      <c r="Y503" s="32">
        <v>115225.136</v>
      </c>
      <c r="Z503" s="32">
        <v>0</v>
      </c>
      <c r="AA503" s="32">
        <v>-118788.8</v>
      </c>
      <c r="AB503" s="32">
        <v>0</v>
      </c>
      <c r="AC503" s="32" t="s">
        <v>475</v>
      </c>
      <c r="AD503" s="32"/>
      <c r="AE503" s="32">
        <v>0</v>
      </c>
    </row>
    <row r="504" spans="1:31" x14ac:dyDescent="0.25">
      <c r="A504">
        <v>9298</v>
      </c>
      <c r="B504" t="s">
        <v>187</v>
      </c>
      <c r="C504" t="s">
        <v>188</v>
      </c>
      <c r="D504" s="35">
        <v>118788.8</v>
      </c>
      <c r="E504">
        <v>1246099294</v>
      </c>
      <c r="F504" s="324">
        <v>45562</v>
      </c>
      <c r="H504" t="s">
        <v>173</v>
      </c>
      <c r="I504" t="s">
        <v>174</v>
      </c>
      <c r="J504">
        <v>777</v>
      </c>
      <c r="K504" s="324">
        <v>45159</v>
      </c>
      <c r="L504">
        <v>1010100</v>
      </c>
      <c r="M504" t="s">
        <v>35</v>
      </c>
      <c r="N504">
        <v>550</v>
      </c>
      <c r="O504" s="32">
        <v>0</v>
      </c>
      <c r="P504" s="32">
        <v>0</v>
      </c>
      <c r="Q504" s="32">
        <v>0</v>
      </c>
      <c r="R504" s="32">
        <v>0</v>
      </c>
      <c r="S504" s="32">
        <v>0</v>
      </c>
      <c r="T504" s="32">
        <v>0</v>
      </c>
      <c r="U504" s="32">
        <v>118788.8</v>
      </c>
      <c r="V504" s="32">
        <v>0</v>
      </c>
      <c r="W504" s="32">
        <v>3563.6639999999998</v>
      </c>
      <c r="X504" s="32">
        <v>115225.136</v>
      </c>
      <c r="Y504" s="32">
        <v>115225.136</v>
      </c>
      <c r="Z504" s="32">
        <v>0</v>
      </c>
      <c r="AA504" s="32">
        <v>-118788.8</v>
      </c>
      <c r="AB504" s="32">
        <v>0</v>
      </c>
      <c r="AC504" s="32" t="s">
        <v>475</v>
      </c>
      <c r="AD504" s="32"/>
      <c r="AE504" s="32">
        <v>0</v>
      </c>
    </row>
    <row r="505" spans="1:31" x14ac:dyDescent="0.25">
      <c r="A505">
        <v>9298</v>
      </c>
      <c r="B505" t="s">
        <v>187</v>
      </c>
      <c r="C505" t="s">
        <v>188</v>
      </c>
      <c r="D505" s="35">
        <v>148492.1</v>
      </c>
      <c r="E505">
        <v>1246105304</v>
      </c>
      <c r="F505" s="324">
        <v>45555</v>
      </c>
      <c r="H505" t="s">
        <v>173</v>
      </c>
      <c r="I505" t="s">
        <v>174</v>
      </c>
      <c r="J505">
        <v>1270</v>
      </c>
      <c r="K505" s="324">
        <v>45190</v>
      </c>
      <c r="L505">
        <v>1010100</v>
      </c>
      <c r="M505" t="s">
        <v>35</v>
      </c>
      <c r="N505">
        <v>557</v>
      </c>
      <c r="O505" s="32">
        <v>0</v>
      </c>
      <c r="P505" s="32">
        <v>0</v>
      </c>
      <c r="Q505" s="32">
        <v>0</v>
      </c>
      <c r="R505" s="32">
        <v>0</v>
      </c>
      <c r="S505" s="32">
        <v>0</v>
      </c>
      <c r="T505" s="32">
        <v>0</v>
      </c>
      <c r="U505" s="32">
        <v>148492.1</v>
      </c>
      <c r="V505" s="32">
        <v>0</v>
      </c>
      <c r="W505" s="32">
        <v>4454.7629999999999</v>
      </c>
      <c r="X505" s="32">
        <v>144037.337</v>
      </c>
      <c r="Y505" s="32">
        <v>144037.337</v>
      </c>
      <c r="Z505" s="32">
        <v>0</v>
      </c>
      <c r="AA505" s="32">
        <v>-148492.1</v>
      </c>
      <c r="AB505" s="32">
        <v>0</v>
      </c>
      <c r="AC505" s="32" t="s">
        <v>475</v>
      </c>
      <c r="AD505" s="32"/>
      <c r="AE505" s="32">
        <v>0</v>
      </c>
    </row>
    <row r="506" spans="1:31" x14ac:dyDescent="0.25">
      <c r="A506">
        <v>9298</v>
      </c>
      <c r="B506" t="s">
        <v>187</v>
      </c>
      <c r="C506" t="s">
        <v>188</v>
      </c>
      <c r="D506" s="35">
        <v>79894</v>
      </c>
      <c r="E506">
        <v>1246114860</v>
      </c>
      <c r="F506" s="324">
        <v>45555</v>
      </c>
      <c r="H506" t="s">
        <v>173</v>
      </c>
      <c r="I506" t="s">
        <v>174</v>
      </c>
      <c r="J506">
        <v>1951</v>
      </c>
      <c r="K506" s="324">
        <v>45243</v>
      </c>
      <c r="L506">
        <v>1010100</v>
      </c>
      <c r="M506" t="s">
        <v>35</v>
      </c>
      <c r="N506">
        <v>557</v>
      </c>
      <c r="O506" s="32">
        <v>0</v>
      </c>
      <c r="P506" s="32">
        <v>0</v>
      </c>
      <c r="Q506" s="32">
        <v>0</v>
      </c>
      <c r="R506" s="32">
        <v>0</v>
      </c>
      <c r="S506" s="32">
        <v>0</v>
      </c>
      <c r="T506" s="32">
        <v>0</v>
      </c>
      <c r="U506" s="32">
        <v>79894</v>
      </c>
      <c r="V506" s="32">
        <v>0</v>
      </c>
      <c r="W506" s="32">
        <v>2396.8199999999997</v>
      </c>
      <c r="X506" s="32">
        <v>77497.179999999993</v>
      </c>
      <c r="Y506" s="32">
        <v>77497.179999999993</v>
      </c>
      <c r="Z506" s="32">
        <v>0</v>
      </c>
      <c r="AA506" s="32">
        <v>-79894</v>
      </c>
      <c r="AB506" s="32">
        <v>0</v>
      </c>
      <c r="AC506" s="32" t="s">
        <v>475</v>
      </c>
      <c r="AD506" s="32"/>
      <c r="AE506" s="32">
        <v>0</v>
      </c>
    </row>
    <row r="507" spans="1:31" x14ac:dyDescent="0.25">
      <c r="A507">
        <v>9298</v>
      </c>
      <c r="B507" t="s">
        <v>187</v>
      </c>
      <c r="C507" t="s">
        <v>188</v>
      </c>
      <c r="D507" s="35">
        <v>123567.8</v>
      </c>
      <c r="E507">
        <v>1246103672</v>
      </c>
      <c r="F507" s="324">
        <v>45567</v>
      </c>
      <c r="H507" t="s">
        <v>173</v>
      </c>
      <c r="I507" t="s">
        <v>174</v>
      </c>
      <c r="J507">
        <v>1150</v>
      </c>
      <c r="K507" s="324">
        <v>45182</v>
      </c>
      <c r="L507">
        <v>1010100</v>
      </c>
      <c r="M507" t="s">
        <v>35</v>
      </c>
      <c r="N507">
        <v>545</v>
      </c>
      <c r="O507" s="32">
        <v>0</v>
      </c>
      <c r="P507" s="32">
        <v>0</v>
      </c>
      <c r="Q507" s="32">
        <v>0</v>
      </c>
      <c r="R507" s="32">
        <v>0</v>
      </c>
      <c r="S507" s="32">
        <v>0</v>
      </c>
      <c r="T507" s="32">
        <v>0</v>
      </c>
      <c r="U507" s="32">
        <v>123567.8</v>
      </c>
      <c r="V507" s="32">
        <v>0</v>
      </c>
      <c r="W507" s="32">
        <v>3707.0340000000001</v>
      </c>
      <c r="X507" s="32">
        <v>119860.766</v>
      </c>
      <c r="Y507" s="32">
        <v>119860.766</v>
      </c>
      <c r="Z507" s="32">
        <v>0</v>
      </c>
      <c r="AA507" s="32">
        <v>-123567.8</v>
      </c>
      <c r="AB507" s="32">
        <v>0</v>
      </c>
      <c r="AC507" s="32" t="s">
        <v>475</v>
      </c>
      <c r="AD507" s="32"/>
      <c r="AE507" s="32">
        <v>0</v>
      </c>
    </row>
    <row r="508" spans="1:31" x14ac:dyDescent="0.25">
      <c r="A508">
        <v>9298</v>
      </c>
      <c r="B508" t="s">
        <v>187</v>
      </c>
      <c r="C508" t="s">
        <v>188</v>
      </c>
      <c r="D508" s="35">
        <v>113355.6</v>
      </c>
      <c r="E508">
        <v>1246116199</v>
      </c>
      <c r="F508" s="324">
        <v>45561</v>
      </c>
      <c r="H508" t="s">
        <v>173</v>
      </c>
      <c r="I508" t="s">
        <v>174</v>
      </c>
      <c r="J508">
        <v>2054</v>
      </c>
      <c r="K508" s="324">
        <v>45252</v>
      </c>
      <c r="L508">
        <v>1010100</v>
      </c>
      <c r="M508" t="s">
        <v>35</v>
      </c>
      <c r="N508">
        <v>551</v>
      </c>
      <c r="O508" s="32">
        <v>0</v>
      </c>
      <c r="P508" s="32">
        <v>0</v>
      </c>
      <c r="Q508" s="32">
        <v>0</v>
      </c>
      <c r="R508" s="32">
        <v>0</v>
      </c>
      <c r="S508" s="32">
        <v>0</v>
      </c>
      <c r="T508" s="32">
        <v>0</v>
      </c>
      <c r="U508" s="32">
        <v>113355.6</v>
      </c>
      <c r="V508" s="32">
        <v>0</v>
      </c>
      <c r="W508" s="32">
        <v>3400.6680000000001</v>
      </c>
      <c r="X508" s="32">
        <v>109954.932</v>
      </c>
      <c r="Y508" s="32">
        <v>109954.932</v>
      </c>
      <c r="Z508" s="32">
        <v>0</v>
      </c>
      <c r="AA508" s="32">
        <v>-113355.6</v>
      </c>
      <c r="AB508" s="32">
        <v>0</v>
      </c>
      <c r="AC508" s="32" t="s">
        <v>475</v>
      </c>
      <c r="AD508" s="32"/>
      <c r="AE508" s="32">
        <v>0</v>
      </c>
    </row>
    <row r="509" spans="1:31" x14ac:dyDescent="0.25">
      <c r="A509">
        <v>9298</v>
      </c>
      <c r="B509" t="s">
        <v>187</v>
      </c>
      <c r="C509" t="s">
        <v>188</v>
      </c>
      <c r="D509" s="35">
        <v>143583.76</v>
      </c>
      <c r="E509">
        <v>1246106222</v>
      </c>
      <c r="F509" s="324">
        <v>45560</v>
      </c>
      <c r="H509" t="s">
        <v>173</v>
      </c>
      <c r="I509" t="s">
        <v>174</v>
      </c>
      <c r="J509">
        <v>1341</v>
      </c>
      <c r="K509" s="324">
        <v>45195</v>
      </c>
      <c r="L509">
        <v>1010100</v>
      </c>
      <c r="M509" t="s">
        <v>35</v>
      </c>
      <c r="N509">
        <v>552</v>
      </c>
      <c r="O509" s="32">
        <v>0</v>
      </c>
      <c r="P509" s="32">
        <v>0</v>
      </c>
      <c r="Q509" s="32">
        <v>0</v>
      </c>
      <c r="R509" s="32">
        <v>0</v>
      </c>
      <c r="S509" s="32">
        <v>0</v>
      </c>
      <c r="T509" s="32">
        <v>0</v>
      </c>
      <c r="U509" s="32">
        <v>143583.76</v>
      </c>
      <c r="V509" s="32">
        <v>0</v>
      </c>
      <c r="W509" s="32">
        <v>4307.5128000000004</v>
      </c>
      <c r="X509" s="32">
        <v>139276.24720000001</v>
      </c>
      <c r="Y509" s="32">
        <v>139276.24720000001</v>
      </c>
      <c r="Z509" s="32">
        <v>0</v>
      </c>
      <c r="AA509" s="32">
        <v>-143583.76</v>
      </c>
      <c r="AB509" s="32">
        <v>0</v>
      </c>
      <c r="AC509" s="32" t="s">
        <v>475</v>
      </c>
      <c r="AD509" s="32"/>
      <c r="AE509" s="32">
        <v>0</v>
      </c>
    </row>
    <row r="510" spans="1:31" x14ac:dyDescent="0.25">
      <c r="A510">
        <v>9298</v>
      </c>
      <c r="B510" t="s">
        <v>187</v>
      </c>
      <c r="C510" t="s">
        <v>188</v>
      </c>
      <c r="D510" s="35">
        <v>55612.2</v>
      </c>
      <c r="E510">
        <v>1246104999</v>
      </c>
      <c r="F510" s="324">
        <v>45555</v>
      </c>
      <c r="H510" t="s">
        <v>173</v>
      </c>
      <c r="I510" t="s">
        <v>174</v>
      </c>
      <c r="J510">
        <v>1249</v>
      </c>
      <c r="K510" s="324">
        <v>45189</v>
      </c>
      <c r="L510">
        <v>1010100</v>
      </c>
      <c r="M510" t="s">
        <v>35</v>
      </c>
      <c r="N510">
        <v>557</v>
      </c>
      <c r="O510" s="32">
        <v>0</v>
      </c>
      <c r="P510" s="32">
        <v>0</v>
      </c>
      <c r="Q510" s="32">
        <v>0</v>
      </c>
      <c r="R510" s="32">
        <v>0</v>
      </c>
      <c r="S510" s="32">
        <v>0</v>
      </c>
      <c r="T510" s="32">
        <v>0</v>
      </c>
      <c r="U510" s="32">
        <v>55612.2</v>
      </c>
      <c r="V510" s="32">
        <v>0</v>
      </c>
      <c r="W510" s="32">
        <v>1668.3659999999998</v>
      </c>
      <c r="X510" s="32">
        <v>53943.833999999995</v>
      </c>
      <c r="Y510" s="32">
        <v>53943.833999999995</v>
      </c>
      <c r="Z510" s="32">
        <v>0</v>
      </c>
      <c r="AA510" s="32">
        <v>-55612.2</v>
      </c>
      <c r="AB510" s="32">
        <v>0</v>
      </c>
      <c r="AC510" s="32" t="s">
        <v>475</v>
      </c>
      <c r="AD510" s="32"/>
      <c r="AE510" s="32">
        <v>0</v>
      </c>
    </row>
    <row r="511" spans="1:31" x14ac:dyDescent="0.25">
      <c r="A511">
        <v>9298</v>
      </c>
      <c r="B511" t="s">
        <v>187</v>
      </c>
      <c r="C511" t="s">
        <v>188</v>
      </c>
      <c r="D511" s="35">
        <v>64234.84</v>
      </c>
      <c r="E511">
        <v>1246115394</v>
      </c>
      <c r="F511" s="324">
        <v>45555</v>
      </c>
      <c r="H511" t="s">
        <v>173</v>
      </c>
      <c r="I511" t="s">
        <v>174</v>
      </c>
      <c r="J511">
        <v>1991</v>
      </c>
      <c r="K511" s="324">
        <v>45246</v>
      </c>
      <c r="L511">
        <v>1010100</v>
      </c>
      <c r="M511" t="s">
        <v>35</v>
      </c>
      <c r="N511">
        <v>557</v>
      </c>
      <c r="O511" s="32">
        <v>0</v>
      </c>
      <c r="P511" s="32">
        <v>0</v>
      </c>
      <c r="Q511" s="32">
        <v>0</v>
      </c>
      <c r="R511" s="32">
        <v>0</v>
      </c>
      <c r="S511" s="32">
        <v>0</v>
      </c>
      <c r="T511" s="32">
        <v>0</v>
      </c>
      <c r="U511" s="32">
        <v>64234.84</v>
      </c>
      <c r="V511" s="32">
        <v>0</v>
      </c>
      <c r="W511" s="32">
        <v>1927.0451999999998</v>
      </c>
      <c r="X511" s="32">
        <v>62307.794799999996</v>
      </c>
      <c r="Y511" s="32">
        <v>62307.794799999996</v>
      </c>
      <c r="Z511" s="32">
        <v>0</v>
      </c>
      <c r="AA511" s="32">
        <v>-64234.84</v>
      </c>
      <c r="AB511" s="32">
        <v>0</v>
      </c>
      <c r="AC511" s="32" t="s">
        <v>475</v>
      </c>
      <c r="AD511" s="32"/>
      <c r="AE511" s="32">
        <v>0</v>
      </c>
    </row>
    <row r="512" spans="1:31" x14ac:dyDescent="0.25">
      <c r="A512">
        <v>9298</v>
      </c>
      <c r="B512" t="s">
        <v>187</v>
      </c>
      <c r="C512" t="s">
        <v>188</v>
      </c>
      <c r="D512" s="35">
        <v>54534.2</v>
      </c>
      <c r="E512">
        <v>1246115392</v>
      </c>
      <c r="F512" s="324">
        <v>45555</v>
      </c>
      <c r="H512" t="s">
        <v>173</v>
      </c>
      <c r="I512" t="s">
        <v>174</v>
      </c>
      <c r="J512">
        <v>1990</v>
      </c>
      <c r="K512" s="324">
        <v>45246</v>
      </c>
      <c r="L512">
        <v>1010100</v>
      </c>
      <c r="M512" t="s">
        <v>35</v>
      </c>
      <c r="N512">
        <v>557</v>
      </c>
      <c r="O512" s="32">
        <v>0</v>
      </c>
      <c r="P512" s="32">
        <v>0</v>
      </c>
      <c r="Q512" s="32">
        <v>0</v>
      </c>
      <c r="R512" s="32">
        <v>0</v>
      </c>
      <c r="S512" s="32">
        <v>0</v>
      </c>
      <c r="T512" s="32">
        <v>0</v>
      </c>
      <c r="U512" s="32">
        <v>54534.2</v>
      </c>
      <c r="V512" s="32">
        <v>0</v>
      </c>
      <c r="W512" s="32">
        <v>1636.0259999999998</v>
      </c>
      <c r="X512" s="32">
        <v>52898.173999999999</v>
      </c>
      <c r="Y512" s="32">
        <v>52898.173999999999</v>
      </c>
      <c r="Z512" s="32">
        <v>0</v>
      </c>
      <c r="AA512" s="32">
        <v>-54534.2</v>
      </c>
      <c r="AB512" s="32">
        <v>0</v>
      </c>
      <c r="AC512" s="32" t="s">
        <v>475</v>
      </c>
      <c r="AD512" s="32"/>
      <c r="AE512" s="32">
        <v>0</v>
      </c>
    </row>
    <row r="513" spans="1:31" x14ac:dyDescent="0.25">
      <c r="A513">
        <v>9298</v>
      </c>
      <c r="B513" t="s">
        <v>187</v>
      </c>
      <c r="C513" t="s">
        <v>188</v>
      </c>
      <c r="D513" s="35">
        <v>139293.64000000001</v>
      </c>
      <c r="E513">
        <v>1246105902</v>
      </c>
      <c r="F513" s="324">
        <v>45559</v>
      </c>
      <c r="H513" t="s">
        <v>173</v>
      </c>
      <c r="I513" t="s">
        <v>174</v>
      </c>
      <c r="J513">
        <v>1319</v>
      </c>
      <c r="K513" s="324">
        <v>45194</v>
      </c>
      <c r="L513">
        <v>1010100</v>
      </c>
      <c r="M513" t="s">
        <v>35</v>
      </c>
      <c r="N513">
        <v>553</v>
      </c>
      <c r="O513" s="32">
        <v>0</v>
      </c>
      <c r="P513" s="32">
        <v>0</v>
      </c>
      <c r="Q513" s="32">
        <v>0</v>
      </c>
      <c r="R513" s="32">
        <v>0</v>
      </c>
      <c r="S513" s="32">
        <v>0</v>
      </c>
      <c r="T513" s="32">
        <v>0</v>
      </c>
      <c r="U513" s="32">
        <v>139293.64000000001</v>
      </c>
      <c r="V513" s="32">
        <v>0</v>
      </c>
      <c r="W513" s="32">
        <v>4178.8092000000006</v>
      </c>
      <c r="X513" s="32">
        <v>135114.8308</v>
      </c>
      <c r="Y513" s="32">
        <v>135114.8308</v>
      </c>
      <c r="Z513" s="32">
        <v>0</v>
      </c>
      <c r="AA513" s="32">
        <v>-139293.64000000001</v>
      </c>
      <c r="AB513" s="32">
        <v>0</v>
      </c>
      <c r="AC513" s="32" t="s">
        <v>475</v>
      </c>
      <c r="AD513" s="32"/>
      <c r="AE513" s="32">
        <v>0</v>
      </c>
    </row>
    <row r="514" spans="1:31" x14ac:dyDescent="0.25">
      <c r="A514">
        <v>9298</v>
      </c>
      <c r="B514" t="s">
        <v>187</v>
      </c>
      <c r="C514" t="s">
        <v>188</v>
      </c>
      <c r="D514" s="35">
        <v>68013.36</v>
      </c>
      <c r="E514">
        <v>1246114866</v>
      </c>
      <c r="F514" s="324">
        <v>45555</v>
      </c>
      <c r="H514" t="s">
        <v>173</v>
      </c>
      <c r="I514" t="s">
        <v>174</v>
      </c>
      <c r="J514">
        <v>1952</v>
      </c>
      <c r="K514" s="324">
        <v>45243</v>
      </c>
      <c r="L514">
        <v>1010100</v>
      </c>
      <c r="M514" t="s">
        <v>35</v>
      </c>
      <c r="N514">
        <v>557</v>
      </c>
      <c r="O514" s="32">
        <v>0</v>
      </c>
      <c r="P514" s="32">
        <v>0</v>
      </c>
      <c r="Q514" s="32">
        <v>0</v>
      </c>
      <c r="R514" s="32">
        <v>0</v>
      </c>
      <c r="S514" s="32">
        <v>0</v>
      </c>
      <c r="T514" s="32">
        <v>0</v>
      </c>
      <c r="U514" s="32">
        <v>68013.36</v>
      </c>
      <c r="V514" s="32">
        <v>0</v>
      </c>
      <c r="W514" s="32">
        <v>2040.4007999999999</v>
      </c>
      <c r="X514" s="32">
        <v>65972.959199999998</v>
      </c>
      <c r="Y514" s="32">
        <v>65972.959199999998</v>
      </c>
      <c r="Z514" s="32">
        <v>0</v>
      </c>
      <c r="AA514" s="32">
        <v>-68013.36</v>
      </c>
      <c r="AB514" s="32">
        <v>0</v>
      </c>
      <c r="AC514" s="32" t="s">
        <v>475</v>
      </c>
      <c r="AD514" s="32"/>
      <c r="AE514" s="32">
        <v>0</v>
      </c>
    </row>
    <row r="515" spans="1:31" x14ac:dyDescent="0.25">
      <c r="A515">
        <v>9298</v>
      </c>
      <c r="B515" t="s">
        <v>187</v>
      </c>
      <c r="C515" t="s">
        <v>188</v>
      </c>
      <c r="D515" s="35">
        <v>55611.199999999997</v>
      </c>
      <c r="E515">
        <v>1246167304</v>
      </c>
      <c r="F515" s="324">
        <v>45555</v>
      </c>
      <c r="H515" t="s">
        <v>173</v>
      </c>
      <c r="I515" t="s">
        <v>174</v>
      </c>
      <c r="J515">
        <v>1244</v>
      </c>
      <c r="K515" s="324">
        <v>45189</v>
      </c>
      <c r="L515">
        <v>1010100</v>
      </c>
      <c r="M515" t="s">
        <v>35</v>
      </c>
      <c r="N515">
        <v>557</v>
      </c>
      <c r="O515" s="32">
        <v>0</v>
      </c>
      <c r="P515" s="32">
        <v>0</v>
      </c>
      <c r="Q515" s="32">
        <v>0</v>
      </c>
      <c r="R515" s="32">
        <v>0</v>
      </c>
      <c r="S515" s="32">
        <v>0</v>
      </c>
      <c r="T515" s="32">
        <v>0</v>
      </c>
      <c r="U515" s="32">
        <v>55611.199999999997</v>
      </c>
      <c r="V515" s="32">
        <v>0</v>
      </c>
      <c r="W515" s="32">
        <v>1668.3359999999998</v>
      </c>
      <c r="X515" s="32">
        <v>53942.863999999994</v>
      </c>
      <c r="Y515" s="32">
        <v>53942.863999999994</v>
      </c>
      <c r="Z515" s="32">
        <v>0</v>
      </c>
      <c r="AA515" s="32">
        <v>-55611.199999999997</v>
      </c>
      <c r="AB515" s="32">
        <v>0</v>
      </c>
      <c r="AC515" s="32" t="s">
        <v>475</v>
      </c>
      <c r="AD515" s="32"/>
      <c r="AE515" s="32">
        <v>0</v>
      </c>
    </row>
    <row r="516" spans="1:31" x14ac:dyDescent="0.25">
      <c r="A516">
        <v>9298</v>
      </c>
      <c r="B516" t="s">
        <v>187</v>
      </c>
      <c r="C516" t="s">
        <v>188</v>
      </c>
      <c r="D516" s="35">
        <v>104546.96</v>
      </c>
      <c r="E516">
        <v>1246244742</v>
      </c>
      <c r="F516" s="324">
        <v>45555</v>
      </c>
      <c r="H516" t="s">
        <v>173</v>
      </c>
      <c r="I516" t="s">
        <v>174</v>
      </c>
      <c r="J516">
        <v>20726</v>
      </c>
      <c r="K516" s="324">
        <v>44979</v>
      </c>
      <c r="L516">
        <v>1010100</v>
      </c>
      <c r="M516" t="s">
        <v>35</v>
      </c>
      <c r="N516">
        <v>557</v>
      </c>
      <c r="O516" s="32">
        <v>0</v>
      </c>
      <c r="P516" s="32">
        <v>0</v>
      </c>
      <c r="Q516" s="32">
        <v>0</v>
      </c>
      <c r="R516" s="32">
        <v>0</v>
      </c>
      <c r="S516" s="32">
        <v>0</v>
      </c>
      <c r="T516" s="32">
        <v>0</v>
      </c>
      <c r="U516" s="32">
        <v>104546.96</v>
      </c>
      <c r="V516" s="32">
        <v>0</v>
      </c>
      <c r="W516" s="32">
        <v>3136.4088000000002</v>
      </c>
      <c r="X516" s="32">
        <v>101410.5512</v>
      </c>
      <c r="Y516" s="32">
        <v>101410.5512</v>
      </c>
      <c r="Z516" s="32">
        <v>0</v>
      </c>
      <c r="AA516" s="32">
        <v>-104546.96</v>
      </c>
      <c r="AB516" s="32">
        <v>0</v>
      </c>
      <c r="AC516" s="32" t="s">
        <v>475</v>
      </c>
      <c r="AD516" s="32"/>
      <c r="AE516" s="32">
        <v>0</v>
      </c>
    </row>
    <row r="517" spans="1:31" x14ac:dyDescent="0.25">
      <c r="A517">
        <v>10454</v>
      </c>
      <c r="B517" t="s">
        <v>195</v>
      </c>
      <c r="C517" t="s">
        <v>196</v>
      </c>
      <c r="D517" s="35">
        <v>144418.20000000001</v>
      </c>
      <c r="E517">
        <v>1246051128</v>
      </c>
      <c r="F517" s="324">
        <v>45229</v>
      </c>
      <c r="H517" t="s">
        <v>173</v>
      </c>
      <c r="I517" t="s">
        <v>174</v>
      </c>
      <c r="J517">
        <v>19700</v>
      </c>
      <c r="K517" s="324">
        <v>44860</v>
      </c>
      <c r="L517">
        <v>1010100</v>
      </c>
      <c r="M517" t="s">
        <v>35</v>
      </c>
      <c r="N517">
        <v>883</v>
      </c>
      <c r="O517" s="32">
        <v>0</v>
      </c>
      <c r="P517" s="32">
        <v>144418.20000000001</v>
      </c>
      <c r="Q517" s="32">
        <v>0</v>
      </c>
      <c r="R517" s="32">
        <v>0</v>
      </c>
      <c r="S517" s="32">
        <v>0</v>
      </c>
      <c r="T517" s="32">
        <v>0</v>
      </c>
      <c r="U517" s="32">
        <v>144418.20000000001</v>
      </c>
      <c r="V517" s="32">
        <v>0</v>
      </c>
      <c r="W517" s="32">
        <v>4332.5460000000003</v>
      </c>
      <c r="X517" s="32">
        <v>140085.65400000001</v>
      </c>
      <c r="Y517" s="32">
        <v>140085.65400000001</v>
      </c>
      <c r="Z517" s="32">
        <v>0</v>
      </c>
      <c r="AA517" s="32">
        <v>0</v>
      </c>
      <c r="AB517" s="32">
        <v>144418.20000000001</v>
      </c>
      <c r="AC517" s="32" t="s">
        <v>475</v>
      </c>
      <c r="AD517" s="32"/>
      <c r="AE517" s="32">
        <v>0</v>
      </c>
    </row>
    <row r="518" spans="1:31" x14ac:dyDescent="0.25">
      <c r="A518">
        <v>10454</v>
      </c>
      <c r="B518" t="s">
        <v>195</v>
      </c>
      <c r="C518" t="s">
        <v>196</v>
      </c>
      <c r="D518" s="35">
        <v>144418.20000000001</v>
      </c>
      <c r="E518">
        <v>1246049220</v>
      </c>
      <c r="F518" s="324">
        <v>45229</v>
      </c>
      <c r="H518" t="s">
        <v>173</v>
      </c>
      <c r="I518" t="s">
        <v>174</v>
      </c>
      <c r="J518">
        <v>19589</v>
      </c>
      <c r="K518" s="324">
        <v>44852</v>
      </c>
      <c r="L518">
        <v>1010100</v>
      </c>
      <c r="M518" t="s">
        <v>35</v>
      </c>
      <c r="N518">
        <v>883</v>
      </c>
      <c r="O518" s="32">
        <v>0</v>
      </c>
      <c r="P518" s="32">
        <v>144418.20000000001</v>
      </c>
      <c r="Q518" s="32">
        <v>0</v>
      </c>
      <c r="R518" s="32">
        <v>0</v>
      </c>
      <c r="S518" s="32">
        <v>0</v>
      </c>
      <c r="T518" s="32">
        <v>0</v>
      </c>
      <c r="U518" s="32">
        <v>144418.20000000001</v>
      </c>
      <c r="V518" s="32">
        <v>0</v>
      </c>
      <c r="W518" s="32">
        <v>4332.5460000000003</v>
      </c>
      <c r="X518" s="32">
        <v>140085.65400000001</v>
      </c>
      <c r="Y518" s="32">
        <v>140085.65400000001</v>
      </c>
      <c r="Z518" s="32">
        <v>0</v>
      </c>
      <c r="AA518" s="32">
        <v>0</v>
      </c>
      <c r="AB518" s="32">
        <v>144418.20000000001</v>
      </c>
      <c r="AC518" s="32" t="s">
        <v>475</v>
      </c>
      <c r="AD518" s="32"/>
      <c r="AE518" s="32">
        <v>0</v>
      </c>
    </row>
    <row r="519" spans="1:31" x14ac:dyDescent="0.25">
      <c r="A519">
        <v>10454</v>
      </c>
      <c r="B519" t="s">
        <v>195</v>
      </c>
      <c r="C519" t="s">
        <v>196</v>
      </c>
      <c r="D519" s="35">
        <v>149099.07999999999</v>
      </c>
      <c r="E519">
        <v>1246058414</v>
      </c>
      <c r="F519" s="324">
        <v>45229</v>
      </c>
      <c r="H519" t="s">
        <v>173</v>
      </c>
      <c r="I519" t="s">
        <v>174</v>
      </c>
      <c r="J519">
        <v>20191</v>
      </c>
      <c r="K519" s="324">
        <v>44909</v>
      </c>
      <c r="L519">
        <v>1010100</v>
      </c>
      <c r="M519" t="s">
        <v>35</v>
      </c>
      <c r="N519">
        <v>883</v>
      </c>
      <c r="O519" s="32">
        <v>0</v>
      </c>
      <c r="P519" s="32">
        <v>149099.07999999999</v>
      </c>
      <c r="Q519" s="32">
        <v>0</v>
      </c>
      <c r="R519" s="32">
        <v>0</v>
      </c>
      <c r="S519" s="32">
        <v>0</v>
      </c>
      <c r="T519" s="32">
        <v>0</v>
      </c>
      <c r="U519" s="32">
        <v>149099.07999999999</v>
      </c>
      <c r="V519" s="32">
        <v>0</v>
      </c>
      <c r="W519" s="32">
        <v>4472.9723999999997</v>
      </c>
      <c r="X519" s="32">
        <v>144626.10759999999</v>
      </c>
      <c r="Y519" s="32">
        <v>144626.10759999999</v>
      </c>
      <c r="Z519" s="32">
        <v>0</v>
      </c>
      <c r="AA519" s="32">
        <v>0</v>
      </c>
      <c r="AB519" s="32">
        <v>149099.07999999999</v>
      </c>
      <c r="AC519" s="32" t="s">
        <v>475</v>
      </c>
      <c r="AD519" s="32"/>
      <c r="AE519" s="32">
        <v>0</v>
      </c>
    </row>
    <row r="520" spans="1:31" x14ac:dyDescent="0.25">
      <c r="A520">
        <v>10454</v>
      </c>
      <c r="B520" t="s">
        <v>195</v>
      </c>
      <c r="C520" t="s">
        <v>196</v>
      </c>
      <c r="D520" s="35">
        <v>151022.07999999999</v>
      </c>
      <c r="E520">
        <v>1246066481</v>
      </c>
      <c r="F520" s="324">
        <v>45229</v>
      </c>
      <c r="H520" t="s">
        <v>173</v>
      </c>
      <c r="I520" t="s">
        <v>174</v>
      </c>
      <c r="J520">
        <v>20644</v>
      </c>
      <c r="K520" s="324">
        <v>44965</v>
      </c>
      <c r="L520">
        <v>1010100</v>
      </c>
      <c r="M520" t="s">
        <v>35</v>
      </c>
      <c r="N520">
        <v>883</v>
      </c>
      <c r="O520" s="32">
        <v>0</v>
      </c>
      <c r="P520" s="32">
        <v>151022.07999999999</v>
      </c>
      <c r="Q520" s="32">
        <v>0</v>
      </c>
      <c r="R520" s="32">
        <v>0</v>
      </c>
      <c r="S520" s="32">
        <v>0</v>
      </c>
      <c r="T520" s="32">
        <v>0</v>
      </c>
      <c r="U520" s="32">
        <v>151022.07999999999</v>
      </c>
      <c r="V520" s="32">
        <v>0</v>
      </c>
      <c r="W520" s="32">
        <v>4530.6623999999993</v>
      </c>
      <c r="X520" s="32">
        <v>146491.41759999999</v>
      </c>
      <c r="Y520" s="32">
        <v>146491.41759999999</v>
      </c>
      <c r="Z520" s="32">
        <v>0</v>
      </c>
      <c r="AA520" s="32">
        <v>0</v>
      </c>
      <c r="AB520" s="32">
        <v>151022.07999999999</v>
      </c>
      <c r="AC520" s="32" t="s">
        <v>475</v>
      </c>
      <c r="AD520" s="32"/>
      <c r="AE520" s="32">
        <v>0</v>
      </c>
    </row>
    <row r="521" spans="1:31" x14ac:dyDescent="0.25">
      <c r="A521">
        <v>10454</v>
      </c>
      <c r="B521" t="s">
        <v>195</v>
      </c>
      <c r="C521" t="s">
        <v>196</v>
      </c>
      <c r="D521" s="35">
        <v>248498.47</v>
      </c>
      <c r="E521">
        <v>1246058556</v>
      </c>
      <c r="F521" s="324">
        <v>45229</v>
      </c>
      <c r="H521" t="s">
        <v>173</v>
      </c>
      <c r="I521" t="s">
        <v>174</v>
      </c>
      <c r="J521">
        <v>20197</v>
      </c>
      <c r="K521" s="324">
        <v>44909</v>
      </c>
      <c r="L521">
        <v>1010100</v>
      </c>
      <c r="M521" t="s">
        <v>35</v>
      </c>
      <c r="N521">
        <v>883</v>
      </c>
      <c r="O521" s="32">
        <v>0</v>
      </c>
      <c r="P521" s="32">
        <v>248498.47</v>
      </c>
      <c r="Q521" s="32">
        <v>0</v>
      </c>
      <c r="R521" s="32">
        <v>0</v>
      </c>
      <c r="S521" s="32">
        <v>0</v>
      </c>
      <c r="T521" s="32">
        <v>0</v>
      </c>
      <c r="U521" s="32">
        <v>248498.47</v>
      </c>
      <c r="V521" s="32">
        <v>0</v>
      </c>
      <c r="W521" s="32">
        <v>7454.9540999999999</v>
      </c>
      <c r="X521" s="32">
        <v>241043.5159</v>
      </c>
      <c r="Y521" s="32">
        <v>241043.5159</v>
      </c>
      <c r="Z521" s="32">
        <v>0</v>
      </c>
      <c r="AA521" s="32">
        <v>0</v>
      </c>
      <c r="AB521" s="32">
        <v>248498.47</v>
      </c>
      <c r="AC521" s="32" t="s">
        <v>475</v>
      </c>
      <c r="AD521" s="32"/>
      <c r="AE521" s="32">
        <v>0</v>
      </c>
    </row>
    <row r="522" spans="1:31" x14ac:dyDescent="0.25">
      <c r="A522">
        <v>10454</v>
      </c>
      <c r="B522" t="s">
        <v>195</v>
      </c>
      <c r="C522" t="s">
        <v>196</v>
      </c>
      <c r="D522" s="35">
        <v>122816.13</v>
      </c>
      <c r="E522">
        <v>1246065495</v>
      </c>
      <c r="F522" s="324">
        <v>45229</v>
      </c>
      <c r="H522" t="s">
        <v>173</v>
      </c>
      <c r="I522" t="s">
        <v>174</v>
      </c>
      <c r="J522">
        <v>20599</v>
      </c>
      <c r="K522" s="324">
        <v>44958</v>
      </c>
      <c r="L522">
        <v>1010100</v>
      </c>
      <c r="M522" t="s">
        <v>35</v>
      </c>
      <c r="N522">
        <v>883</v>
      </c>
      <c r="O522" s="32">
        <v>0</v>
      </c>
      <c r="P522" s="32">
        <v>122816.13</v>
      </c>
      <c r="Q522" s="32">
        <v>0</v>
      </c>
      <c r="R522" s="32">
        <v>0</v>
      </c>
      <c r="S522" s="32">
        <v>0</v>
      </c>
      <c r="T522" s="32">
        <v>0</v>
      </c>
      <c r="U522" s="32">
        <v>122816.13</v>
      </c>
      <c r="V522" s="32">
        <v>0</v>
      </c>
      <c r="W522" s="32">
        <v>3684.4839000000002</v>
      </c>
      <c r="X522" s="32">
        <v>119131.6461</v>
      </c>
      <c r="Y522" s="32">
        <v>119131.6461</v>
      </c>
      <c r="Z522" s="32">
        <v>0</v>
      </c>
      <c r="AA522" s="32">
        <v>0</v>
      </c>
      <c r="AB522" s="32">
        <v>122816.13</v>
      </c>
      <c r="AC522" s="32" t="s">
        <v>475</v>
      </c>
      <c r="AD522" s="32"/>
      <c r="AE522" s="32">
        <v>0</v>
      </c>
    </row>
    <row r="523" spans="1:31" x14ac:dyDescent="0.25">
      <c r="A523">
        <v>10454</v>
      </c>
      <c r="B523" t="s">
        <v>195</v>
      </c>
      <c r="C523" t="s">
        <v>196</v>
      </c>
      <c r="D523" s="35">
        <v>97567.15</v>
      </c>
      <c r="E523">
        <v>1246059110</v>
      </c>
      <c r="F523" s="324">
        <v>45229</v>
      </c>
      <c r="H523" t="s">
        <v>173</v>
      </c>
      <c r="I523" t="s">
        <v>174</v>
      </c>
      <c r="J523">
        <v>20229</v>
      </c>
      <c r="K523" s="324">
        <v>44911</v>
      </c>
      <c r="L523">
        <v>1010100</v>
      </c>
      <c r="M523" t="s">
        <v>35</v>
      </c>
      <c r="N523">
        <v>883</v>
      </c>
      <c r="O523" s="32">
        <v>0</v>
      </c>
      <c r="P523" s="32">
        <v>97567.15</v>
      </c>
      <c r="Q523" s="32">
        <v>0</v>
      </c>
      <c r="R523" s="32">
        <v>0</v>
      </c>
      <c r="S523" s="32">
        <v>0</v>
      </c>
      <c r="T523" s="32">
        <v>0</v>
      </c>
      <c r="U523" s="32">
        <v>97567.15</v>
      </c>
      <c r="V523" s="32">
        <v>0</v>
      </c>
      <c r="W523" s="32">
        <v>2927.0144999999998</v>
      </c>
      <c r="X523" s="32">
        <v>94640.135499999989</v>
      </c>
      <c r="Y523" s="32">
        <v>94640.135499999989</v>
      </c>
      <c r="Z523" s="32">
        <v>0</v>
      </c>
      <c r="AA523" s="32">
        <v>0</v>
      </c>
      <c r="AB523" s="32">
        <v>97567.15</v>
      </c>
      <c r="AC523" s="32" t="s">
        <v>475</v>
      </c>
      <c r="AD523" s="32"/>
      <c r="AE523" s="32">
        <v>0</v>
      </c>
    </row>
    <row r="524" spans="1:31" x14ac:dyDescent="0.25">
      <c r="A524">
        <v>10454</v>
      </c>
      <c r="B524" t="s">
        <v>195</v>
      </c>
      <c r="C524" t="s">
        <v>196</v>
      </c>
      <c r="D524" s="35">
        <v>145199.79999999999</v>
      </c>
      <c r="E524">
        <v>1246057926</v>
      </c>
      <c r="F524" s="324">
        <v>45229</v>
      </c>
      <c r="H524" t="s">
        <v>173</v>
      </c>
      <c r="I524" t="s">
        <v>174</v>
      </c>
      <c r="J524">
        <v>20177</v>
      </c>
      <c r="K524" s="324">
        <v>44907</v>
      </c>
      <c r="L524">
        <v>1010100</v>
      </c>
      <c r="M524" t="s">
        <v>35</v>
      </c>
      <c r="N524">
        <v>883</v>
      </c>
      <c r="O524" s="32">
        <v>0</v>
      </c>
      <c r="P524" s="32">
        <v>145199.79999999999</v>
      </c>
      <c r="Q524" s="32">
        <v>0</v>
      </c>
      <c r="R524" s="32">
        <v>0</v>
      </c>
      <c r="S524" s="32">
        <v>0</v>
      </c>
      <c r="T524" s="32">
        <v>0</v>
      </c>
      <c r="U524" s="32">
        <v>145199.79999999999</v>
      </c>
      <c r="V524" s="32">
        <v>0</v>
      </c>
      <c r="W524" s="32">
        <v>4355.9939999999997</v>
      </c>
      <c r="X524" s="32">
        <v>140843.80599999998</v>
      </c>
      <c r="Y524" s="32">
        <v>140843.80599999998</v>
      </c>
      <c r="Z524" s="32">
        <v>0</v>
      </c>
      <c r="AA524" s="32">
        <v>0</v>
      </c>
      <c r="AB524" s="32">
        <v>145199.79999999999</v>
      </c>
      <c r="AC524" s="32" t="s">
        <v>475</v>
      </c>
      <c r="AD524" s="32"/>
      <c r="AE524" s="32">
        <v>0</v>
      </c>
    </row>
    <row r="525" spans="1:31" x14ac:dyDescent="0.25">
      <c r="A525">
        <v>10454</v>
      </c>
      <c r="B525" t="s">
        <v>195</v>
      </c>
      <c r="C525" t="s">
        <v>196</v>
      </c>
      <c r="D525" s="35">
        <v>85824.21</v>
      </c>
      <c r="E525">
        <v>1246058924</v>
      </c>
      <c r="F525" s="324">
        <v>45229</v>
      </c>
      <c r="H525" t="s">
        <v>173</v>
      </c>
      <c r="I525" t="s">
        <v>174</v>
      </c>
      <c r="J525">
        <v>20209</v>
      </c>
      <c r="K525" s="324">
        <v>44910</v>
      </c>
      <c r="L525">
        <v>1010100</v>
      </c>
      <c r="M525" t="s">
        <v>35</v>
      </c>
      <c r="N525">
        <v>883</v>
      </c>
      <c r="O525" s="32">
        <v>0</v>
      </c>
      <c r="P525" s="32">
        <v>85824.209999999992</v>
      </c>
      <c r="Q525" s="32">
        <v>0</v>
      </c>
      <c r="R525" s="32">
        <v>0</v>
      </c>
      <c r="S525" s="32">
        <v>0</v>
      </c>
      <c r="T525" s="32">
        <v>0</v>
      </c>
      <c r="U525" s="32">
        <v>85824.21</v>
      </c>
      <c r="V525" s="32">
        <v>0</v>
      </c>
      <c r="W525" s="32">
        <v>2574.7263000000003</v>
      </c>
      <c r="X525" s="32">
        <v>83249.483699999997</v>
      </c>
      <c r="Y525" s="32">
        <v>83249.483699999997</v>
      </c>
      <c r="Z525" s="32">
        <v>0</v>
      </c>
      <c r="AA525" s="32">
        <v>0</v>
      </c>
      <c r="AB525" s="32">
        <v>85824.209999999992</v>
      </c>
      <c r="AC525" s="32" t="s">
        <v>475</v>
      </c>
      <c r="AD525" s="32"/>
      <c r="AE525" s="32">
        <v>0</v>
      </c>
    </row>
    <row r="526" spans="1:31" x14ac:dyDescent="0.25">
      <c r="A526">
        <v>10454</v>
      </c>
      <c r="B526" t="s">
        <v>195</v>
      </c>
      <c r="C526" t="s">
        <v>196</v>
      </c>
      <c r="D526" s="35">
        <v>154779.14000000001</v>
      </c>
      <c r="E526">
        <v>1246058289</v>
      </c>
      <c r="F526" s="324">
        <v>45229</v>
      </c>
      <c r="H526" t="s">
        <v>173</v>
      </c>
      <c r="I526" t="s">
        <v>174</v>
      </c>
      <c r="J526">
        <v>20187</v>
      </c>
      <c r="K526" s="324">
        <v>44908</v>
      </c>
      <c r="L526">
        <v>1010100</v>
      </c>
      <c r="M526" t="s">
        <v>35</v>
      </c>
      <c r="N526">
        <v>883</v>
      </c>
      <c r="O526" s="32">
        <v>0</v>
      </c>
      <c r="P526" s="32">
        <v>154779.14000000001</v>
      </c>
      <c r="Q526" s="32">
        <v>0</v>
      </c>
      <c r="R526" s="32">
        <v>0</v>
      </c>
      <c r="S526" s="32">
        <v>0</v>
      </c>
      <c r="T526" s="32">
        <v>0</v>
      </c>
      <c r="U526" s="32">
        <v>154779.14000000001</v>
      </c>
      <c r="V526" s="32">
        <v>0</v>
      </c>
      <c r="W526" s="32">
        <v>4643.3742000000002</v>
      </c>
      <c r="X526" s="32">
        <v>150135.76580000002</v>
      </c>
      <c r="Y526" s="32">
        <v>150135.76580000002</v>
      </c>
      <c r="Z526" s="32">
        <v>0</v>
      </c>
      <c r="AA526" s="32">
        <v>0</v>
      </c>
      <c r="AB526" s="32">
        <v>154779.14000000001</v>
      </c>
      <c r="AC526" s="32" t="s">
        <v>475</v>
      </c>
      <c r="AD526" s="32"/>
      <c r="AE526" s="32">
        <v>0</v>
      </c>
    </row>
    <row r="527" spans="1:31" x14ac:dyDescent="0.25">
      <c r="A527">
        <v>10454</v>
      </c>
      <c r="B527" t="s">
        <v>195</v>
      </c>
      <c r="C527" t="s">
        <v>196</v>
      </c>
      <c r="D527" s="35">
        <v>166124.28999999998</v>
      </c>
      <c r="E527">
        <v>1246066059</v>
      </c>
      <c r="F527" s="324">
        <v>45229</v>
      </c>
      <c r="H527" t="s">
        <v>173</v>
      </c>
      <c r="I527" t="s">
        <v>174</v>
      </c>
      <c r="J527">
        <v>20622</v>
      </c>
      <c r="K527" s="324">
        <v>44963</v>
      </c>
      <c r="L527">
        <v>1010100</v>
      </c>
      <c r="M527" t="s">
        <v>35</v>
      </c>
      <c r="N527">
        <v>883</v>
      </c>
      <c r="O527" s="32">
        <v>0</v>
      </c>
      <c r="P527" s="32">
        <v>166124.28999999998</v>
      </c>
      <c r="Q527" s="32">
        <v>0</v>
      </c>
      <c r="R527" s="32">
        <v>0</v>
      </c>
      <c r="S527" s="32">
        <v>0</v>
      </c>
      <c r="T527" s="32">
        <v>0</v>
      </c>
      <c r="U527" s="32">
        <v>166124.28999999998</v>
      </c>
      <c r="V527" s="32">
        <v>0</v>
      </c>
      <c r="W527" s="32">
        <v>4983.7286999999988</v>
      </c>
      <c r="X527" s="32">
        <v>161140.56129999997</v>
      </c>
      <c r="Y527" s="32">
        <v>161140.56129999997</v>
      </c>
      <c r="Z527" s="32">
        <v>0</v>
      </c>
      <c r="AA527" s="32">
        <v>0</v>
      </c>
      <c r="AB527" s="32">
        <v>166124.28999999998</v>
      </c>
      <c r="AC527" s="32" t="s">
        <v>475</v>
      </c>
      <c r="AD527" s="32"/>
      <c r="AE527" s="32">
        <v>0</v>
      </c>
    </row>
    <row r="528" spans="1:31" x14ac:dyDescent="0.25">
      <c r="A528">
        <v>10454</v>
      </c>
      <c r="B528" t="s">
        <v>195</v>
      </c>
      <c r="C528" t="s">
        <v>196</v>
      </c>
      <c r="D528" s="35">
        <v>151240.47</v>
      </c>
      <c r="E528">
        <v>1246059634</v>
      </c>
      <c r="F528" s="324">
        <v>45229</v>
      </c>
      <c r="H528" t="s">
        <v>173</v>
      </c>
      <c r="I528" t="s">
        <v>174</v>
      </c>
      <c r="J528">
        <v>20268</v>
      </c>
      <c r="K528" s="324">
        <v>44916</v>
      </c>
      <c r="L528">
        <v>1010100</v>
      </c>
      <c r="M528" t="s">
        <v>35</v>
      </c>
      <c r="N528">
        <v>883</v>
      </c>
      <c r="O528" s="32">
        <v>0</v>
      </c>
      <c r="P528" s="32">
        <v>151240.47</v>
      </c>
      <c r="Q528" s="32">
        <v>0</v>
      </c>
      <c r="R528" s="32">
        <v>0</v>
      </c>
      <c r="S528" s="32">
        <v>0</v>
      </c>
      <c r="T528" s="32">
        <v>0</v>
      </c>
      <c r="U528" s="32">
        <v>151240.47</v>
      </c>
      <c r="V528" s="32">
        <v>0</v>
      </c>
      <c r="W528" s="32">
        <v>4537.2141000000001</v>
      </c>
      <c r="X528" s="32">
        <v>146703.25589999999</v>
      </c>
      <c r="Y528" s="32">
        <v>146703.25589999999</v>
      </c>
      <c r="Z528" s="32">
        <v>0</v>
      </c>
      <c r="AA528" s="32">
        <v>0</v>
      </c>
      <c r="AB528" s="32">
        <v>151240.47</v>
      </c>
      <c r="AC528" s="32" t="s">
        <v>475</v>
      </c>
      <c r="AD528" s="32"/>
      <c r="AE528" s="32">
        <v>0</v>
      </c>
    </row>
    <row r="529" spans="1:31" x14ac:dyDescent="0.25">
      <c r="A529">
        <v>10454</v>
      </c>
      <c r="B529" t="s">
        <v>195</v>
      </c>
      <c r="C529" t="s">
        <v>196</v>
      </c>
      <c r="D529" s="35">
        <v>102193.68</v>
      </c>
      <c r="E529">
        <v>1246216830</v>
      </c>
      <c r="F529" s="324">
        <v>45168</v>
      </c>
      <c r="H529" t="s">
        <v>173</v>
      </c>
      <c r="I529" t="s">
        <v>174</v>
      </c>
      <c r="J529">
        <v>19263</v>
      </c>
      <c r="K529" s="324">
        <v>44824</v>
      </c>
      <c r="L529">
        <v>1010100</v>
      </c>
      <c r="M529" t="s">
        <v>35</v>
      </c>
      <c r="N529">
        <v>944</v>
      </c>
      <c r="O529" s="32">
        <v>0</v>
      </c>
      <c r="P529" s="32">
        <v>102193.68</v>
      </c>
      <c r="Q529" s="32">
        <v>0</v>
      </c>
      <c r="R529" s="32">
        <v>0</v>
      </c>
      <c r="S529" s="32">
        <v>0</v>
      </c>
      <c r="T529" s="32">
        <v>0</v>
      </c>
      <c r="U529" s="32">
        <v>102193.68</v>
      </c>
      <c r="V529" s="32">
        <v>0</v>
      </c>
      <c r="W529" s="32">
        <v>3065.8103999999998</v>
      </c>
      <c r="X529" s="32">
        <v>99127.869599999991</v>
      </c>
      <c r="Y529" s="32">
        <v>99127.869599999991</v>
      </c>
      <c r="Z529" s="32">
        <v>0</v>
      </c>
      <c r="AA529" s="32">
        <v>0</v>
      </c>
      <c r="AB529" s="32">
        <v>102193.68</v>
      </c>
      <c r="AC529" s="32" t="s">
        <v>475</v>
      </c>
      <c r="AD529" s="32"/>
      <c r="AE529" s="32">
        <v>0</v>
      </c>
    </row>
    <row r="530" spans="1:31" x14ac:dyDescent="0.25">
      <c r="A530">
        <v>11326</v>
      </c>
      <c r="B530" t="s">
        <v>197</v>
      </c>
      <c r="C530" t="s">
        <v>198</v>
      </c>
      <c r="D530" s="35">
        <v>131680</v>
      </c>
      <c r="E530">
        <v>1246234342</v>
      </c>
      <c r="F530" s="324">
        <v>46264</v>
      </c>
      <c r="H530" t="s">
        <v>173</v>
      </c>
      <c r="I530" t="s">
        <v>174</v>
      </c>
      <c r="J530">
        <v>9141</v>
      </c>
      <c r="K530" s="324">
        <v>45901</v>
      </c>
      <c r="L530">
        <v>1010100</v>
      </c>
      <c r="M530" t="s">
        <v>35</v>
      </c>
      <c r="N530">
        <v>-152</v>
      </c>
      <c r="O530" s="32">
        <v>0</v>
      </c>
      <c r="P530" s="32">
        <v>0</v>
      </c>
      <c r="Q530" s="32">
        <v>131680</v>
      </c>
      <c r="R530" s="32">
        <v>0</v>
      </c>
      <c r="S530" s="32">
        <v>0</v>
      </c>
      <c r="T530" s="32">
        <v>0</v>
      </c>
      <c r="U530" s="32">
        <v>0</v>
      </c>
      <c r="V530" s="32">
        <v>0</v>
      </c>
      <c r="W530" s="32">
        <v>0</v>
      </c>
      <c r="X530" s="32">
        <v>0</v>
      </c>
      <c r="Y530" s="32">
        <v>0</v>
      </c>
      <c r="Z530" s="32">
        <v>0</v>
      </c>
      <c r="AA530" s="32">
        <v>0</v>
      </c>
      <c r="AB530" s="32">
        <v>0</v>
      </c>
      <c r="AC530" s="32" t="s">
        <v>475</v>
      </c>
      <c r="AD530" s="32"/>
      <c r="AE530" s="32">
        <v>0</v>
      </c>
    </row>
    <row r="531" spans="1:31" x14ac:dyDescent="0.25">
      <c r="A531">
        <v>11326</v>
      </c>
      <c r="B531" t="s">
        <v>197</v>
      </c>
      <c r="C531" t="s">
        <v>198</v>
      </c>
      <c r="D531" s="35">
        <v>137376</v>
      </c>
      <c r="E531">
        <v>1246222833</v>
      </c>
      <c r="F531" s="324">
        <v>46143</v>
      </c>
      <c r="H531" t="s">
        <v>173</v>
      </c>
      <c r="I531" t="s">
        <v>174</v>
      </c>
      <c r="J531">
        <v>8351</v>
      </c>
      <c r="K531" s="324">
        <v>45841</v>
      </c>
      <c r="L531">
        <v>1010100</v>
      </c>
      <c r="M531" t="s">
        <v>35</v>
      </c>
      <c r="N531">
        <v>-31</v>
      </c>
      <c r="O531" s="32">
        <v>0</v>
      </c>
      <c r="P531" s="32">
        <v>0</v>
      </c>
      <c r="Q531" s="32">
        <v>137376</v>
      </c>
      <c r="R531" s="32">
        <v>0</v>
      </c>
      <c r="S531" s="32">
        <v>0</v>
      </c>
      <c r="T531" s="32">
        <v>0</v>
      </c>
      <c r="U531" s="32">
        <v>0</v>
      </c>
      <c r="V531" s="32">
        <v>0</v>
      </c>
      <c r="W531" s="32">
        <v>0</v>
      </c>
      <c r="X531" s="32">
        <v>0</v>
      </c>
      <c r="Y531" s="32">
        <v>0</v>
      </c>
      <c r="Z531" s="32">
        <v>0</v>
      </c>
      <c r="AA531" s="32">
        <v>0</v>
      </c>
      <c r="AB531" s="32">
        <v>0</v>
      </c>
      <c r="AC531" s="32" t="s">
        <v>475</v>
      </c>
      <c r="AD531" s="32"/>
      <c r="AE531" s="32">
        <v>0</v>
      </c>
    </row>
    <row r="532" spans="1:31" x14ac:dyDescent="0.25">
      <c r="A532">
        <v>10456</v>
      </c>
      <c r="B532" t="s">
        <v>199</v>
      </c>
      <c r="C532" t="s">
        <v>200</v>
      </c>
      <c r="D532" s="35">
        <v>111322.27</v>
      </c>
      <c r="E532">
        <v>1246093334</v>
      </c>
      <c r="F532" s="324">
        <v>45537</v>
      </c>
      <c r="H532" t="s">
        <v>173</v>
      </c>
      <c r="I532" t="s">
        <v>174</v>
      </c>
      <c r="J532">
        <v>251</v>
      </c>
      <c r="K532" s="324">
        <v>45127</v>
      </c>
      <c r="L532">
        <v>1010100</v>
      </c>
      <c r="M532" t="s">
        <v>35</v>
      </c>
      <c r="N532">
        <v>575</v>
      </c>
      <c r="O532" s="32">
        <v>0</v>
      </c>
      <c r="P532" s="32">
        <v>111322.27</v>
      </c>
      <c r="Q532" s="32">
        <v>0</v>
      </c>
      <c r="R532" s="32">
        <v>0</v>
      </c>
      <c r="S532" s="32">
        <v>0</v>
      </c>
      <c r="T532" s="32">
        <v>0</v>
      </c>
      <c r="U532" s="32">
        <v>111322.27</v>
      </c>
      <c r="V532" s="32">
        <v>0</v>
      </c>
      <c r="W532" s="32">
        <v>0</v>
      </c>
      <c r="X532" s="32">
        <v>0</v>
      </c>
      <c r="Y532" s="32">
        <v>0</v>
      </c>
      <c r="Z532" s="32">
        <v>111322.27</v>
      </c>
      <c r="AA532" s="32">
        <v>111322.27</v>
      </c>
      <c r="AB532" s="32">
        <v>111322.27</v>
      </c>
      <c r="AC532" s="32" t="s">
        <v>541</v>
      </c>
      <c r="AD532" s="32"/>
      <c r="AE532" s="32">
        <v>111322.27</v>
      </c>
    </row>
    <row r="533" spans="1:31" x14ac:dyDescent="0.25">
      <c r="A533">
        <v>10456</v>
      </c>
      <c r="B533" t="s">
        <v>199</v>
      </c>
      <c r="C533" t="s">
        <v>200</v>
      </c>
      <c r="D533" s="35">
        <v>118491.86</v>
      </c>
      <c r="E533">
        <v>1246097861</v>
      </c>
      <c r="F533" s="324">
        <v>45565</v>
      </c>
      <c r="H533" t="s">
        <v>173</v>
      </c>
      <c r="I533" t="s">
        <v>174</v>
      </c>
      <c r="J533">
        <v>683</v>
      </c>
      <c r="K533" s="324">
        <v>45152</v>
      </c>
      <c r="L533">
        <v>1010100</v>
      </c>
      <c r="M533" t="s">
        <v>35</v>
      </c>
      <c r="N533">
        <v>547</v>
      </c>
      <c r="O533" s="32">
        <v>0</v>
      </c>
      <c r="P533" s="32">
        <v>118491.86</v>
      </c>
      <c r="Q533" s="32">
        <v>0</v>
      </c>
      <c r="R533" s="32">
        <v>0</v>
      </c>
      <c r="S533" s="32">
        <v>0</v>
      </c>
      <c r="T533" s="32">
        <v>0</v>
      </c>
      <c r="U533" s="32">
        <v>118491.86</v>
      </c>
      <c r="V533" s="32">
        <v>0</v>
      </c>
      <c r="W533" s="32">
        <v>0</v>
      </c>
      <c r="X533" s="32">
        <v>0</v>
      </c>
      <c r="Y533" s="32">
        <v>0</v>
      </c>
      <c r="Z533" s="32">
        <v>118491.86</v>
      </c>
      <c r="AA533" s="32">
        <v>118491.86</v>
      </c>
      <c r="AB533" s="32">
        <v>118491.86</v>
      </c>
      <c r="AC533" s="32" t="s">
        <v>541</v>
      </c>
      <c r="AD533" s="32"/>
      <c r="AE533" s="32">
        <v>118491.86</v>
      </c>
    </row>
    <row r="534" spans="1:31" x14ac:dyDescent="0.25">
      <c r="A534">
        <v>10456</v>
      </c>
      <c r="B534" t="s">
        <v>199</v>
      </c>
      <c r="C534" t="s">
        <v>200</v>
      </c>
      <c r="D534" s="35">
        <v>117498.04</v>
      </c>
      <c r="E534">
        <v>1246099432</v>
      </c>
      <c r="F534" s="324">
        <v>45545</v>
      </c>
      <c r="H534" t="s">
        <v>173</v>
      </c>
      <c r="I534" t="s">
        <v>174</v>
      </c>
      <c r="J534">
        <v>787</v>
      </c>
      <c r="K534" s="324">
        <v>45160</v>
      </c>
      <c r="L534">
        <v>1010100</v>
      </c>
      <c r="M534" t="s">
        <v>35</v>
      </c>
      <c r="N534">
        <v>567</v>
      </c>
      <c r="O534" s="32">
        <v>0</v>
      </c>
      <c r="P534" s="32">
        <v>117498.04</v>
      </c>
      <c r="Q534" s="32">
        <v>0</v>
      </c>
      <c r="R534" s="32">
        <v>0</v>
      </c>
      <c r="S534" s="32">
        <v>0</v>
      </c>
      <c r="T534" s="32">
        <v>0</v>
      </c>
      <c r="U534" s="32">
        <v>117498.04</v>
      </c>
      <c r="V534" s="32">
        <v>0</v>
      </c>
      <c r="W534" s="32">
        <v>0</v>
      </c>
      <c r="X534" s="32">
        <v>0</v>
      </c>
      <c r="Y534" s="32">
        <v>0</v>
      </c>
      <c r="Z534" s="32">
        <v>117498.04</v>
      </c>
      <c r="AA534" s="32">
        <v>117498.04</v>
      </c>
      <c r="AB534" s="32">
        <v>117498.04</v>
      </c>
      <c r="AC534" s="32" t="s">
        <v>541</v>
      </c>
      <c r="AD534" s="32"/>
      <c r="AE534" s="32">
        <v>117498.04</v>
      </c>
    </row>
    <row r="535" spans="1:31" x14ac:dyDescent="0.25">
      <c r="A535">
        <v>10456</v>
      </c>
      <c r="B535" t="s">
        <v>199</v>
      </c>
      <c r="C535" t="s">
        <v>200</v>
      </c>
      <c r="D535" s="35">
        <v>100560.82</v>
      </c>
      <c r="E535">
        <v>1246100417</v>
      </c>
      <c r="F535" s="324">
        <v>45548</v>
      </c>
      <c r="H535" t="s">
        <v>173</v>
      </c>
      <c r="I535" t="s">
        <v>174</v>
      </c>
      <c r="J535">
        <v>183</v>
      </c>
      <c r="K535" s="324">
        <v>45163</v>
      </c>
      <c r="L535">
        <v>1010100</v>
      </c>
      <c r="M535" t="s">
        <v>35</v>
      </c>
      <c r="N535">
        <v>564</v>
      </c>
      <c r="O535" s="32">
        <v>0</v>
      </c>
      <c r="P535" s="32">
        <v>100560.82</v>
      </c>
      <c r="Q535" s="32">
        <v>0</v>
      </c>
      <c r="R535" s="32">
        <v>0</v>
      </c>
      <c r="S535" s="32">
        <v>0</v>
      </c>
      <c r="T535" s="32">
        <v>0</v>
      </c>
      <c r="U535" s="32">
        <v>100560.82</v>
      </c>
      <c r="V535" s="32">
        <v>0</v>
      </c>
      <c r="W535" s="32">
        <v>0</v>
      </c>
      <c r="X535" s="32">
        <v>0</v>
      </c>
      <c r="Y535" s="32">
        <v>0</v>
      </c>
      <c r="Z535" s="32">
        <v>100560.82</v>
      </c>
      <c r="AA535" s="32">
        <v>100560.82</v>
      </c>
      <c r="AB535" s="32">
        <v>100560.82</v>
      </c>
      <c r="AC535" s="32" t="s">
        <v>541</v>
      </c>
      <c r="AD535" s="32"/>
      <c r="AE535" s="32">
        <v>100560.82</v>
      </c>
    </row>
    <row r="536" spans="1:31" x14ac:dyDescent="0.25">
      <c r="A536">
        <v>10456</v>
      </c>
      <c r="B536" t="s">
        <v>199</v>
      </c>
      <c r="C536" t="s">
        <v>200</v>
      </c>
      <c r="D536" s="35">
        <v>61416.78</v>
      </c>
      <c r="E536">
        <v>1246065449</v>
      </c>
      <c r="F536" s="324">
        <v>45199</v>
      </c>
      <c r="H536" t="s">
        <v>173</v>
      </c>
      <c r="I536" t="s">
        <v>174</v>
      </c>
      <c r="J536">
        <v>20596</v>
      </c>
      <c r="K536" s="324">
        <v>44958</v>
      </c>
      <c r="L536">
        <v>1010100</v>
      </c>
      <c r="M536" t="s">
        <v>35</v>
      </c>
      <c r="N536">
        <v>913</v>
      </c>
      <c r="O536" s="32">
        <v>0</v>
      </c>
      <c r="P536" s="32">
        <v>61416.78</v>
      </c>
      <c r="Q536" s="32">
        <v>0</v>
      </c>
      <c r="R536" s="32">
        <v>0</v>
      </c>
      <c r="S536" s="32">
        <v>0</v>
      </c>
      <c r="T536" s="32">
        <v>0</v>
      </c>
      <c r="U536" s="32">
        <v>61416.78</v>
      </c>
      <c r="V536" s="32">
        <v>0</v>
      </c>
      <c r="W536" s="32">
        <v>0</v>
      </c>
      <c r="X536" s="32">
        <v>0</v>
      </c>
      <c r="Y536" s="32">
        <v>0</v>
      </c>
      <c r="Z536" s="32">
        <v>61416.78</v>
      </c>
      <c r="AA536" s="32">
        <v>61416.78</v>
      </c>
      <c r="AB536" s="32">
        <v>61416.78</v>
      </c>
      <c r="AC536" s="32" t="s">
        <v>541</v>
      </c>
      <c r="AD536" s="32"/>
      <c r="AE536" s="32">
        <v>61416.78</v>
      </c>
    </row>
    <row r="537" spans="1:31" x14ac:dyDescent="0.25">
      <c r="A537">
        <v>10456</v>
      </c>
      <c r="B537" t="s">
        <v>199</v>
      </c>
      <c r="C537" t="s">
        <v>200</v>
      </c>
      <c r="D537" s="35">
        <v>106537.82</v>
      </c>
      <c r="E537">
        <v>1246110763</v>
      </c>
      <c r="F537" s="324">
        <v>45534</v>
      </c>
      <c r="H537" t="s">
        <v>173</v>
      </c>
      <c r="I537" t="s">
        <v>174</v>
      </c>
      <c r="J537">
        <v>1702</v>
      </c>
      <c r="K537" s="324">
        <v>45222</v>
      </c>
      <c r="L537">
        <v>1010100</v>
      </c>
      <c r="M537" t="s">
        <v>35</v>
      </c>
      <c r="N537">
        <v>578</v>
      </c>
      <c r="O537" s="32">
        <v>0</v>
      </c>
      <c r="P537" s="32">
        <v>106537.82</v>
      </c>
      <c r="Q537" s="32">
        <v>0</v>
      </c>
      <c r="R537" s="32">
        <v>0</v>
      </c>
      <c r="S537" s="32">
        <v>0</v>
      </c>
      <c r="T537" s="32">
        <v>0</v>
      </c>
      <c r="U537" s="32">
        <v>106537.82</v>
      </c>
      <c r="V537" s="32">
        <v>0</v>
      </c>
      <c r="W537" s="32">
        <v>0</v>
      </c>
      <c r="X537" s="32">
        <v>0</v>
      </c>
      <c r="Y537" s="32">
        <v>0</v>
      </c>
      <c r="Z537" s="32">
        <v>106537.82</v>
      </c>
      <c r="AA537" s="32">
        <v>106537.82</v>
      </c>
      <c r="AB537" s="32">
        <v>106537.82</v>
      </c>
      <c r="AC537" s="32" t="s">
        <v>541</v>
      </c>
      <c r="AD537" s="32"/>
      <c r="AE537" s="32">
        <v>106537.82</v>
      </c>
    </row>
    <row r="538" spans="1:31" x14ac:dyDescent="0.25">
      <c r="A538">
        <v>10456</v>
      </c>
      <c r="B538" t="s">
        <v>199</v>
      </c>
      <c r="C538" t="s">
        <v>200</v>
      </c>
      <c r="D538" s="35">
        <v>110173.77</v>
      </c>
      <c r="E538">
        <v>1246067444</v>
      </c>
      <c r="F538" s="324">
        <v>45199</v>
      </c>
      <c r="H538" t="s">
        <v>173</v>
      </c>
      <c r="I538" t="s">
        <v>174</v>
      </c>
      <c r="J538">
        <v>20680</v>
      </c>
      <c r="K538" s="324">
        <v>44971</v>
      </c>
      <c r="L538">
        <v>1010100</v>
      </c>
      <c r="M538" t="s">
        <v>35</v>
      </c>
      <c r="N538">
        <v>913</v>
      </c>
      <c r="O538" s="32">
        <v>0</v>
      </c>
      <c r="P538" s="32">
        <v>110173.77</v>
      </c>
      <c r="Q538" s="32">
        <v>0</v>
      </c>
      <c r="R538" s="32">
        <v>0</v>
      </c>
      <c r="S538" s="32">
        <v>0</v>
      </c>
      <c r="T538" s="32">
        <v>0</v>
      </c>
      <c r="U538" s="32">
        <v>110173.77</v>
      </c>
      <c r="V538" s="32">
        <v>0</v>
      </c>
      <c r="W538" s="32">
        <v>0</v>
      </c>
      <c r="X538" s="32">
        <v>0</v>
      </c>
      <c r="Y538" s="32">
        <v>0</v>
      </c>
      <c r="Z538" s="32">
        <v>110173.77</v>
      </c>
      <c r="AA538" s="32">
        <v>110173.77</v>
      </c>
      <c r="AB538" s="32">
        <v>110173.77</v>
      </c>
      <c r="AC538" s="32" t="s">
        <v>541</v>
      </c>
      <c r="AD538" s="32"/>
      <c r="AE538" s="32">
        <v>110173.77</v>
      </c>
    </row>
    <row r="539" spans="1:31" x14ac:dyDescent="0.25">
      <c r="A539">
        <v>10456</v>
      </c>
      <c r="B539" t="s">
        <v>199</v>
      </c>
      <c r="C539" t="s">
        <v>200</v>
      </c>
      <c r="D539" s="35">
        <v>153644.62</v>
      </c>
      <c r="E539">
        <v>1246066037</v>
      </c>
      <c r="F539" s="324">
        <v>45199</v>
      </c>
      <c r="H539" t="s">
        <v>173</v>
      </c>
      <c r="I539" t="s">
        <v>174</v>
      </c>
      <c r="J539">
        <v>20619</v>
      </c>
      <c r="K539" s="324">
        <v>44963</v>
      </c>
      <c r="L539">
        <v>1010100</v>
      </c>
      <c r="M539" t="s">
        <v>35</v>
      </c>
      <c r="N539">
        <v>913</v>
      </c>
      <c r="O539" s="32">
        <v>0</v>
      </c>
      <c r="P539" s="32">
        <v>153644.62</v>
      </c>
      <c r="Q539" s="32">
        <v>0</v>
      </c>
      <c r="R539" s="32">
        <v>0</v>
      </c>
      <c r="S539" s="32">
        <v>0</v>
      </c>
      <c r="T539" s="32">
        <v>0</v>
      </c>
      <c r="U539" s="32">
        <v>153644.62</v>
      </c>
      <c r="V539" s="32">
        <v>0</v>
      </c>
      <c r="W539" s="32">
        <v>0</v>
      </c>
      <c r="X539" s="32">
        <v>0</v>
      </c>
      <c r="Y539" s="32">
        <v>0</v>
      </c>
      <c r="Z539" s="32">
        <v>153644.62</v>
      </c>
      <c r="AA539" s="32">
        <v>153644.62</v>
      </c>
      <c r="AB539" s="32">
        <v>153644.62</v>
      </c>
      <c r="AC539" s="32" t="s">
        <v>541</v>
      </c>
      <c r="AD539" s="32"/>
      <c r="AE539" s="32">
        <v>153644.62</v>
      </c>
    </row>
    <row r="540" spans="1:31" x14ac:dyDescent="0.25">
      <c r="A540">
        <v>10456</v>
      </c>
      <c r="B540" t="s">
        <v>199</v>
      </c>
      <c r="C540" t="s">
        <v>200</v>
      </c>
      <c r="D540" s="35">
        <v>121627.64</v>
      </c>
      <c r="E540">
        <v>1246061337</v>
      </c>
      <c r="F540" s="324">
        <v>45199</v>
      </c>
      <c r="H540" t="s">
        <v>173</v>
      </c>
      <c r="I540" t="s">
        <v>174</v>
      </c>
      <c r="J540">
        <v>20371</v>
      </c>
      <c r="K540" s="324">
        <v>44930</v>
      </c>
      <c r="L540">
        <v>1010100</v>
      </c>
      <c r="M540" t="s">
        <v>35</v>
      </c>
      <c r="N540">
        <v>913</v>
      </c>
      <c r="O540" s="32">
        <v>0</v>
      </c>
      <c r="P540" s="32">
        <v>121627.64</v>
      </c>
      <c r="Q540" s="32">
        <v>0</v>
      </c>
      <c r="R540" s="32">
        <v>0</v>
      </c>
      <c r="S540" s="32">
        <v>0</v>
      </c>
      <c r="T540" s="32">
        <v>0</v>
      </c>
      <c r="U540" s="32">
        <v>121627.64</v>
      </c>
      <c r="V540" s="32">
        <v>0</v>
      </c>
      <c r="W540" s="32">
        <v>0</v>
      </c>
      <c r="X540" s="32">
        <v>0</v>
      </c>
      <c r="Y540" s="32">
        <v>0</v>
      </c>
      <c r="Z540" s="32">
        <v>121627.64</v>
      </c>
      <c r="AA540" s="32">
        <v>121627.64</v>
      </c>
      <c r="AB540" s="32">
        <v>121627.64</v>
      </c>
      <c r="AC540" s="32" t="s">
        <v>541</v>
      </c>
      <c r="AD540" s="32"/>
      <c r="AE540" s="32">
        <v>121627.64</v>
      </c>
    </row>
    <row r="541" spans="1:31" x14ac:dyDescent="0.25">
      <c r="A541">
        <v>10456</v>
      </c>
      <c r="B541" t="s">
        <v>199</v>
      </c>
      <c r="C541" t="s">
        <v>200</v>
      </c>
      <c r="D541" s="35">
        <v>119763.56</v>
      </c>
      <c r="E541">
        <v>1246107272</v>
      </c>
      <c r="F541" s="324">
        <v>45536</v>
      </c>
      <c r="H541" t="s">
        <v>173</v>
      </c>
      <c r="I541" t="s">
        <v>174</v>
      </c>
      <c r="J541">
        <v>1444</v>
      </c>
      <c r="K541" s="324">
        <v>45201</v>
      </c>
      <c r="L541">
        <v>1010100</v>
      </c>
      <c r="M541" t="s">
        <v>35</v>
      </c>
      <c r="N541">
        <v>576</v>
      </c>
      <c r="O541" s="32">
        <v>0</v>
      </c>
      <c r="P541" s="32">
        <v>119763.56</v>
      </c>
      <c r="Q541" s="32">
        <v>0</v>
      </c>
      <c r="R541" s="32">
        <v>0</v>
      </c>
      <c r="S541" s="32">
        <v>0</v>
      </c>
      <c r="T541" s="32">
        <v>0</v>
      </c>
      <c r="U541" s="32">
        <v>119763.56</v>
      </c>
      <c r="V541" s="32">
        <v>0</v>
      </c>
      <c r="W541" s="32">
        <v>0</v>
      </c>
      <c r="X541" s="32">
        <v>0</v>
      </c>
      <c r="Y541" s="32">
        <v>0</v>
      </c>
      <c r="Z541" s="32">
        <v>119763.56</v>
      </c>
      <c r="AA541" s="32">
        <v>119763.56</v>
      </c>
      <c r="AB541" s="32">
        <v>119763.56</v>
      </c>
      <c r="AC541" s="32" t="s">
        <v>541</v>
      </c>
      <c r="AD541" s="32"/>
      <c r="AE541" s="32">
        <v>119763.56</v>
      </c>
    </row>
    <row r="542" spans="1:31" x14ac:dyDescent="0.25">
      <c r="A542">
        <v>10456</v>
      </c>
      <c r="B542" t="s">
        <v>199</v>
      </c>
      <c r="C542" t="s">
        <v>200</v>
      </c>
      <c r="D542" s="35">
        <v>129996.55</v>
      </c>
      <c r="E542">
        <v>1246063009</v>
      </c>
      <c r="F542" s="324">
        <v>45199</v>
      </c>
      <c r="H542" t="s">
        <v>173</v>
      </c>
      <c r="I542" t="s">
        <v>174</v>
      </c>
      <c r="J542">
        <v>20458</v>
      </c>
      <c r="K542" s="324">
        <v>44943</v>
      </c>
      <c r="L542">
        <v>1010100</v>
      </c>
      <c r="M542" t="s">
        <v>35</v>
      </c>
      <c r="N542">
        <v>913</v>
      </c>
      <c r="O542" s="32">
        <v>0</v>
      </c>
      <c r="P542" s="32">
        <v>129996.55</v>
      </c>
      <c r="Q542" s="32">
        <v>0</v>
      </c>
      <c r="R542" s="32">
        <v>0</v>
      </c>
      <c r="S542" s="32">
        <v>0</v>
      </c>
      <c r="T542" s="32">
        <v>0</v>
      </c>
      <c r="U542" s="32">
        <v>129996.55</v>
      </c>
      <c r="V542" s="32">
        <v>0</v>
      </c>
      <c r="W542" s="32">
        <v>0</v>
      </c>
      <c r="X542" s="32">
        <v>0</v>
      </c>
      <c r="Y542" s="32">
        <v>0</v>
      </c>
      <c r="Z542" s="32">
        <v>129996.55</v>
      </c>
      <c r="AA542" s="32">
        <v>129996.55</v>
      </c>
      <c r="AB542" s="32">
        <v>129996.55</v>
      </c>
      <c r="AC542" s="32" t="s">
        <v>541</v>
      </c>
      <c r="AD542" s="32"/>
      <c r="AE542" s="32">
        <v>129996.55</v>
      </c>
    </row>
    <row r="543" spans="1:31" x14ac:dyDescent="0.25">
      <c r="A543">
        <v>10456</v>
      </c>
      <c r="B543" t="s">
        <v>199</v>
      </c>
      <c r="C543" t="s">
        <v>200</v>
      </c>
      <c r="D543" s="35">
        <v>61021.61</v>
      </c>
      <c r="E543">
        <v>1246063058</v>
      </c>
      <c r="F543" s="324">
        <v>45199</v>
      </c>
      <c r="H543" t="s">
        <v>173</v>
      </c>
      <c r="I543" t="s">
        <v>174</v>
      </c>
      <c r="J543">
        <v>20480</v>
      </c>
      <c r="K543" s="324">
        <v>44943</v>
      </c>
      <c r="L543">
        <v>1010100</v>
      </c>
      <c r="M543" t="s">
        <v>35</v>
      </c>
      <c r="N543">
        <v>913</v>
      </c>
      <c r="O543" s="32">
        <v>0</v>
      </c>
      <c r="P543" s="32">
        <v>61021.61</v>
      </c>
      <c r="Q543" s="32">
        <v>0</v>
      </c>
      <c r="R543" s="32">
        <v>0</v>
      </c>
      <c r="S543" s="32">
        <v>0</v>
      </c>
      <c r="T543" s="32">
        <v>0</v>
      </c>
      <c r="U543" s="32">
        <v>61021.61</v>
      </c>
      <c r="V543" s="32">
        <v>0</v>
      </c>
      <c r="W543" s="32">
        <v>0</v>
      </c>
      <c r="X543" s="32">
        <v>0</v>
      </c>
      <c r="Y543" s="32">
        <v>0</v>
      </c>
      <c r="Z543" s="32">
        <v>61021.61</v>
      </c>
      <c r="AA543" s="32">
        <v>61021.61</v>
      </c>
      <c r="AB543" s="32">
        <v>61021.61</v>
      </c>
      <c r="AC543" s="32" t="s">
        <v>541</v>
      </c>
      <c r="AD543" s="32"/>
      <c r="AE543" s="32">
        <v>61021.61</v>
      </c>
    </row>
    <row r="544" spans="1:31" x14ac:dyDescent="0.25">
      <c r="A544">
        <v>10456</v>
      </c>
      <c r="B544" t="s">
        <v>199</v>
      </c>
      <c r="C544" t="s">
        <v>200</v>
      </c>
      <c r="D544" s="35">
        <v>111090.76</v>
      </c>
      <c r="E544">
        <v>1246063995</v>
      </c>
      <c r="F544" s="324">
        <v>45199</v>
      </c>
      <c r="H544" t="s">
        <v>173</v>
      </c>
      <c r="I544" t="s">
        <v>174</v>
      </c>
      <c r="J544">
        <v>20513</v>
      </c>
      <c r="K544" s="324">
        <v>44949</v>
      </c>
      <c r="L544">
        <v>1010100</v>
      </c>
      <c r="M544" t="s">
        <v>35</v>
      </c>
      <c r="N544">
        <v>913</v>
      </c>
      <c r="O544" s="32">
        <v>0</v>
      </c>
      <c r="P544" s="32">
        <v>111090.76</v>
      </c>
      <c r="Q544" s="32">
        <v>0</v>
      </c>
      <c r="R544" s="32">
        <v>0</v>
      </c>
      <c r="S544" s="32">
        <v>0</v>
      </c>
      <c r="T544" s="32">
        <v>0</v>
      </c>
      <c r="U544" s="32">
        <v>111090.76</v>
      </c>
      <c r="V544" s="32">
        <v>0</v>
      </c>
      <c r="W544" s="32">
        <v>0</v>
      </c>
      <c r="X544" s="32">
        <v>0</v>
      </c>
      <c r="Y544" s="32">
        <v>0</v>
      </c>
      <c r="Z544" s="32">
        <v>111090.76</v>
      </c>
      <c r="AA544" s="32">
        <v>111090.76</v>
      </c>
      <c r="AB544" s="32">
        <v>111090.76</v>
      </c>
      <c r="AC544" s="32" t="s">
        <v>541</v>
      </c>
      <c r="AD544" s="32"/>
      <c r="AE544" s="32">
        <v>111090.76</v>
      </c>
    </row>
    <row r="545" spans="1:31" x14ac:dyDescent="0.25">
      <c r="A545">
        <v>10456</v>
      </c>
      <c r="B545" t="s">
        <v>199</v>
      </c>
      <c r="C545" t="s">
        <v>200</v>
      </c>
      <c r="D545" s="35">
        <v>110522.5</v>
      </c>
      <c r="E545">
        <v>1246106689</v>
      </c>
      <c r="F545" s="324">
        <v>45557</v>
      </c>
      <c r="H545" t="s">
        <v>173</v>
      </c>
      <c r="I545" t="s">
        <v>174</v>
      </c>
      <c r="J545">
        <v>1400</v>
      </c>
      <c r="K545" s="324">
        <v>45197</v>
      </c>
      <c r="L545">
        <v>1010100</v>
      </c>
      <c r="M545" t="s">
        <v>35</v>
      </c>
      <c r="N545">
        <v>555</v>
      </c>
      <c r="O545" s="32">
        <v>0</v>
      </c>
      <c r="P545" s="32">
        <v>110522.5</v>
      </c>
      <c r="Q545" s="32">
        <v>0</v>
      </c>
      <c r="R545" s="32">
        <v>0</v>
      </c>
      <c r="S545" s="32">
        <v>0</v>
      </c>
      <c r="T545" s="32">
        <v>0</v>
      </c>
      <c r="U545" s="32">
        <v>110522.5</v>
      </c>
      <c r="V545" s="32">
        <v>0</v>
      </c>
      <c r="W545" s="32">
        <v>0</v>
      </c>
      <c r="X545" s="32">
        <v>0</v>
      </c>
      <c r="Y545" s="32">
        <v>0</v>
      </c>
      <c r="Z545" s="32">
        <v>110522.5</v>
      </c>
      <c r="AA545" s="32">
        <v>110522.5</v>
      </c>
      <c r="AB545" s="32">
        <v>110522.5</v>
      </c>
      <c r="AC545" s="32" t="s">
        <v>541</v>
      </c>
      <c r="AD545" s="32"/>
      <c r="AE545" s="32">
        <v>110522.5</v>
      </c>
    </row>
    <row r="546" spans="1:31" x14ac:dyDescent="0.25">
      <c r="A546">
        <v>10456</v>
      </c>
      <c r="B546" t="s">
        <v>199</v>
      </c>
      <c r="C546" t="s">
        <v>200</v>
      </c>
      <c r="D546" s="35">
        <v>94275.76</v>
      </c>
      <c r="E546">
        <v>1246103838</v>
      </c>
      <c r="F546" s="324">
        <v>45543</v>
      </c>
      <c r="H546" t="s">
        <v>173</v>
      </c>
      <c r="I546" t="s">
        <v>174</v>
      </c>
      <c r="J546">
        <v>1159</v>
      </c>
      <c r="K546" s="324">
        <v>45183</v>
      </c>
      <c r="L546">
        <v>1010100</v>
      </c>
      <c r="M546" t="s">
        <v>35</v>
      </c>
      <c r="N546">
        <v>569</v>
      </c>
      <c r="O546" s="32">
        <v>0</v>
      </c>
      <c r="P546" s="32">
        <v>94275.76</v>
      </c>
      <c r="Q546" s="32">
        <v>0</v>
      </c>
      <c r="R546" s="32">
        <v>0</v>
      </c>
      <c r="S546" s="32">
        <v>0</v>
      </c>
      <c r="T546" s="32">
        <v>0</v>
      </c>
      <c r="U546" s="32">
        <v>94275.76</v>
      </c>
      <c r="V546" s="32">
        <v>0</v>
      </c>
      <c r="W546" s="32">
        <v>0</v>
      </c>
      <c r="X546" s="32">
        <v>0</v>
      </c>
      <c r="Y546" s="32">
        <v>0</v>
      </c>
      <c r="Z546" s="32">
        <v>94275.76</v>
      </c>
      <c r="AA546" s="32">
        <v>94275.76</v>
      </c>
      <c r="AB546" s="32">
        <v>94275.76</v>
      </c>
      <c r="AC546" s="32" t="s">
        <v>541</v>
      </c>
      <c r="AD546" s="32"/>
      <c r="AE546" s="32">
        <v>94275.76</v>
      </c>
    </row>
    <row r="547" spans="1:31" x14ac:dyDescent="0.25">
      <c r="A547">
        <v>10456</v>
      </c>
      <c r="B547" t="s">
        <v>199</v>
      </c>
      <c r="C547" t="s">
        <v>200</v>
      </c>
      <c r="D547" s="35">
        <v>74904.38</v>
      </c>
      <c r="E547">
        <v>1246269261</v>
      </c>
      <c r="F547" s="324">
        <v>45199</v>
      </c>
      <c r="H547" t="s">
        <v>173</v>
      </c>
      <c r="I547" t="s">
        <v>174</v>
      </c>
      <c r="J547">
        <v>20898</v>
      </c>
      <c r="K547" s="324">
        <v>45000</v>
      </c>
      <c r="L547">
        <v>1010100</v>
      </c>
      <c r="M547" t="s">
        <v>35</v>
      </c>
      <c r="N547">
        <v>913</v>
      </c>
      <c r="O547" s="32">
        <v>0</v>
      </c>
      <c r="P547" s="32">
        <v>74904.38</v>
      </c>
      <c r="Q547" s="32">
        <v>0</v>
      </c>
      <c r="R547" s="32">
        <v>0</v>
      </c>
      <c r="S547" s="32">
        <v>0</v>
      </c>
      <c r="T547" s="32">
        <v>0</v>
      </c>
      <c r="U547" s="32">
        <v>74904.38</v>
      </c>
      <c r="V547" s="32">
        <v>0</v>
      </c>
      <c r="W547" s="32">
        <v>2247.1314000000002</v>
      </c>
      <c r="X547" s="32">
        <v>72657.248600000006</v>
      </c>
      <c r="Y547" s="32">
        <v>72657.248600000006</v>
      </c>
      <c r="Z547" s="32">
        <v>74904.38</v>
      </c>
      <c r="AA547" s="32">
        <v>0</v>
      </c>
      <c r="AB547" s="32">
        <v>74904.38</v>
      </c>
      <c r="AC547" s="32" t="s">
        <v>541</v>
      </c>
      <c r="AD547" s="32"/>
      <c r="AE547" s="32">
        <v>74904.38</v>
      </c>
    </row>
    <row r="548" spans="1:31" x14ac:dyDescent="0.25">
      <c r="A548">
        <v>11637</v>
      </c>
      <c r="B548" t="s">
        <v>735</v>
      </c>
      <c r="C548" t="s">
        <v>896</v>
      </c>
      <c r="D548" s="35">
        <v>207000</v>
      </c>
      <c r="E548">
        <v>1246268339</v>
      </c>
      <c r="F548" s="324">
        <v>46128</v>
      </c>
      <c r="H548" t="s">
        <v>28</v>
      </c>
      <c r="I548" t="s">
        <v>29</v>
      </c>
      <c r="J548">
        <v>2827</v>
      </c>
      <c r="K548" s="324">
        <v>46100</v>
      </c>
      <c r="L548">
        <v>1010100</v>
      </c>
      <c r="M548" t="s">
        <v>35</v>
      </c>
      <c r="N548">
        <v>-16</v>
      </c>
      <c r="O548" s="32">
        <v>0</v>
      </c>
      <c r="P548" s="32">
        <v>0</v>
      </c>
      <c r="Q548" s="32">
        <v>207000</v>
      </c>
      <c r="R548" s="32">
        <v>0</v>
      </c>
      <c r="S548" s="32">
        <v>0</v>
      </c>
      <c r="T548" s="32">
        <v>0</v>
      </c>
      <c r="U548" s="32">
        <v>0</v>
      </c>
      <c r="V548" s="32">
        <v>0</v>
      </c>
      <c r="W548" s="32">
        <v>0</v>
      </c>
      <c r="X548" s="32">
        <v>0</v>
      </c>
      <c r="Y548" s="32">
        <v>0</v>
      </c>
      <c r="Z548" s="32">
        <v>0</v>
      </c>
      <c r="AA548" s="32">
        <v>0</v>
      </c>
      <c r="AB548" s="32">
        <v>0</v>
      </c>
      <c r="AC548" s="32" t="s">
        <v>475</v>
      </c>
      <c r="AD548" s="32"/>
      <c r="AE548" s="32">
        <v>0</v>
      </c>
    </row>
    <row r="549" spans="1:31" x14ac:dyDescent="0.25">
      <c r="A549">
        <v>11637</v>
      </c>
      <c r="B549" t="s">
        <v>735</v>
      </c>
      <c r="C549" t="s">
        <v>896</v>
      </c>
      <c r="D549" s="35">
        <v>11160</v>
      </c>
      <c r="E549">
        <v>1246268383</v>
      </c>
      <c r="F549" s="324">
        <v>46128</v>
      </c>
      <c r="H549" t="s">
        <v>28</v>
      </c>
      <c r="I549" t="s">
        <v>29</v>
      </c>
      <c r="J549">
        <v>10927</v>
      </c>
      <c r="K549" s="324">
        <v>46100</v>
      </c>
      <c r="L549">
        <v>1010100</v>
      </c>
      <c r="M549" t="s">
        <v>35</v>
      </c>
      <c r="N549">
        <v>-16</v>
      </c>
      <c r="O549" s="32">
        <v>0</v>
      </c>
      <c r="P549" s="32">
        <v>0</v>
      </c>
      <c r="Q549" s="32">
        <v>11160</v>
      </c>
      <c r="R549" s="32">
        <v>0</v>
      </c>
      <c r="S549" s="32">
        <v>0</v>
      </c>
      <c r="T549" s="32">
        <v>0</v>
      </c>
      <c r="U549" s="32">
        <v>0</v>
      </c>
      <c r="V549" s="32">
        <v>0</v>
      </c>
      <c r="W549" s="32">
        <v>0</v>
      </c>
      <c r="X549" s="32">
        <v>0</v>
      </c>
      <c r="Y549" s="32">
        <v>0</v>
      </c>
      <c r="Z549" s="32">
        <v>0</v>
      </c>
      <c r="AA549" s="32">
        <v>0</v>
      </c>
      <c r="AB549" s="32">
        <v>0</v>
      </c>
      <c r="AC549" s="32" t="s">
        <v>475</v>
      </c>
      <c r="AD549" s="32"/>
      <c r="AE549" s="32">
        <v>0</v>
      </c>
    </row>
    <row r="550" spans="1:31" x14ac:dyDescent="0.25">
      <c r="A550">
        <v>12943</v>
      </c>
      <c r="B550" t="s">
        <v>294</v>
      </c>
      <c r="C550" t="s">
        <v>401</v>
      </c>
      <c r="D550" s="35">
        <v>82290</v>
      </c>
      <c r="E550">
        <v>1246187828</v>
      </c>
      <c r="F550" s="324">
        <v>45667</v>
      </c>
      <c r="H550" t="s">
        <v>28</v>
      </c>
      <c r="I550" t="s">
        <v>29</v>
      </c>
      <c r="J550">
        <v>1585</v>
      </c>
      <c r="K550" s="324">
        <v>45639</v>
      </c>
      <c r="L550">
        <v>1010100</v>
      </c>
      <c r="M550" t="s">
        <v>35</v>
      </c>
      <c r="N550">
        <v>445</v>
      </c>
      <c r="O550" s="32">
        <v>0</v>
      </c>
      <c r="P550" s="32">
        <v>82290</v>
      </c>
      <c r="Q550" s="32">
        <v>0</v>
      </c>
      <c r="R550" s="32">
        <v>0</v>
      </c>
      <c r="S550" s="32">
        <v>0</v>
      </c>
      <c r="T550" s="32">
        <v>0</v>
      </c>
      <c r="U550" s="32">
        <v>82290</v>
      </c>
      <c r="V550" s="32">
        <v>0</v>
      </c>
      <c r="W550" s="32">
        <v>2468.6999999999998</v>
      </c>
      <c r="X550" s="32">
        <v>79821.3</v>
      </c>
      <c r="Y550" s="32">
        <v>79821.3</v>
      </c>
      <c r="Z550" s="32">
        <v>82290</v>
      </c>
      <c r="AA550" s="32">
        <v>0</v>
      </c>
      <c r="AB550" s="32">
        <v>82290</v>
      </c>
      <c r="AC550" s="32" t="s">
        <v>540</v>
      </c>
      <c r="AD550" s="32"/>
      <c r="AE550" s="32">
        <v>82290</v>
      </c>
    </row>
    <row r="551" spans="1:31" x14ac:dyDescent="0.25">
      <c r="A551">
        <v>12943</v>
      </c>
      <c r="B551" t="s">
        <v>294</v>
      </c>
      <c r="C551" t="s">
        <v>401</v>
      </c>
      <c r="D551" s="35">
        <v>82290</v>
      </c>
      <c r="E551">
        <v>1246187829</v>
      </c>
      <c r="F551" s="324">
        <v>45695</v>
      </c>
      <c r="H551" t="s">
        <v>28</v>
      </c>
      <c r="I551" t="s">
        <v>29</v>
      </c>
      <c r="J551">
        <v>1585</v>
      </c>
      <c r="K551" s="324">
        <v>45639</v>
      </c>
      <c r="L551">
        <v>1010100</v>
      </c>
      <c r="M551" t="s">
        <v>35</v>
      </c>
      <c r="N551">
        <v>417</v>
      </c>
      <c r="O551" s="32">
        <v>0</v>
      </c>
      <c r="P551" s="32">
        <v>82290</v>
      </c>
      <c r="Q551" s="32">
        <v>0</v>
      </c>
      <c r="R551" s="32">
        <v>0</v>
      </c>
      <c r="S551" s="32">
        <v>0</v>
      </c>
      <c r="T551" s="32">
        <v>0</v>
      </c>
      <c r="U551" s="32">
        <v>82290</v>
      </c>
      <c r="V551" s="32">
        <v>0</v>
      </c>
      <c r="W551" s="32">
        <v>2468.6999999999998</v>
      </c>
      <c r="X551" s="32">
        <v>79821.3</v>
      </c>
      <c r="Y551" s="32">
        <v>79821.3</v>
      </c>
      <c r="Z551" s="32">
        <v>82290</v>
      </c>
      <c r="AA551" s="32">
        <v>0</v>
      </c>
      <c r="AB551" s="32">
        <v>82290</v>
      </c>
      <c r="AC551" s="32" t="s">
        <v>540</v>
      </c>
      <c r="AD551" s="32"/>
      <c r="AE551" s="32">
        <v>82290</v>
      </c>
    </row>
    <row r="552" spans="1:31" x14ac:dyDescent="0.25">
      <c r="A552">
        <v>12943</v>
      </c>
      <c r="B552" t="s">
        <v>294</v>
      </c>
      <c r="C552" t="s">
        <v>401</v>
      </c>
      <c r="D552" s="35">
        <v>49170</v>
      </c>
      <c r="E552">
        <v>1246183176</v>
      </c>
      <c r="F552" s="324">
        <v>45642</v>
      </c>
      <c r="H552" t="s">
        <v>28</v>
      </c>
      <c r="I552" t="s">
        <v>29</v>
      </c>
      <c r="J552">
        <v>6129</v>
      </c>
      <c r="K552" s="324">
        <v>45614</v>
      </c>
      <c r="L552">
        <v>1010100</v>
      </c>
      <c r="M552" t="s">
        <v>35</v>
      </c>
      <c r="N552">
        <v>470</v>
      </c>
      <c r="O552" s="32">
        <v>0</v>
      </c>
      <c r="P552" s="32">
        <v>49170</v>
      </c>
      <c r="Q552" s="32">
        <v>0</v>
      </c>
      <c r="R552" s="32">
        <v>0</v>
      </c>
      <c r="S552" s="32">
        <v>0</v>
      </c>
      <c r="T552" s="32">
        <v>0</v>
      </c>
      <c r="U552" s="32">
        <v>49170</v>
      </c>
      <c r="V552" s="32">
        <v>0</v>
      </c>
      <c r="W552" s="32">
        <v>1475.1</v>
      </c>
      <c r="X552" s="32">
        <v>47694.9</v>
      </c>
      <c r="Y552" s="32">
        <v>47694.9</v>
      </c>
      <c r="Z552" s="32">
        <v>49170</v>
      </c>
      <c r="AA552" s="32">
        <v>0</v>
      </c>
      <c r="AB552" s="32">
        <v>49170</v>
      </c>
      <c r="AC552" s="32" t="s">
        <v>540</v>
      </c>
      <c r="AD552" s="32"/>
      <c r="AE552" s="32">
        <v>49170</v>
      </c>
    </row>
    <row r="553" spans="1:31" x14ac:dyDescent="0.25">
      <c r="A553">
        <v>12629</v>
      </c>
      <c r="B553" t="s">
        <v>120</v>
      </c>
      <c r="C553" t="s">
        <v>474</v>
      </c>
      <c r="D553" s="35">
        <v>162357</v>
      </c>
      <c r="E553">
        <v>1246266378</v>
      </c>
      <c r="F553" s="324">
        <v>46115</v>
      </c>
      <c r="H553" t="s">
        <v>28</v>
      </c>
      <c r="I553" t="s">
        <v>29</v>
      </c>
      <c r="J553">
        <v>10815</v>
      </c>
      <c r="K553" s="324">
        <v>46085</v>
      </c>
      <c r="L553">
        <v>1010100</v>
      </c>
      <c r="M553" t="s">
        <v>35</v>
      </c>
      <c r="N553">
        <v>-3</v>
      </c>
      <c r="O553" s="32">
        <v>0</v>
      </c>
      <c r="P553" s="32">
        <v>0</v>
      </c>
      <c r="Q553" s="32">
        <v>162357</v>
      </c>
      <c r="R553" s="32">
        <v>0</v>
      </c>
      <c r="S553" s="32">
        <v>0</v>
      </c>
      <c r="T553" s="32">
        <v>0</v>
      </c>
      <c r="U553" s="32">
        <v>0</v>
      </c>
      <c r="V553" s="32">
        <v>0</v>
      </c>
      <c r="W553" s="32">
        <v>0</v>
      </c>
      <c r="X553" s="32">
        <v>0</v>
      </c>
      <c r="Y553" s="32">
        <v>0</v>
      </c>
      <c r="Z553" s="32">
        <v>0</v>
      </c>
      <c r="AA553" s="32">
        <v>0</v>
      </c>
      <c r="AB553" s="32">
        <v>0</v>
      </c>
      <c r="AC553" s="32" t="s">
        <v>475</v>
      </c>
      <c r="AD553" s="32"/>
      <c r="AE553" s="32">
        <v>0</v>
      </c>
    </row>
    <row r="554" spans="1:31" x14ac:dyDescent="0.25">
      <c r="A554">
        <v>12629</v>
      </c>
      <c r="B554" t="s">
        <v>120</v>
      </c>
      <c r="C554" t="s">
        <v>474</v>
      </c>
      <c r="D554" s="35">
        <v>162791.4</v>
      </c>
      <c r="E554">
        <v>1246267013</v>
      </c>
      <c r="F554" s="324">
        <v>46120</v>
      </c>
      <c r="H554" t="s">
        <v>28</v>
      </c>
      <c r="I554" t="s">
        <v>29</v>
      </c>
      <c r="J554">
        <v>10843</v>
      </c>
      <c r="K554" s="324">
        <v>46090</v>
      </c>
      <c r="L554">
        <v>1010100</v>
      </c>
      <c r="M554" t="s">
        <v>35</v>
      </c>
      <c r="N554">
        <v>-8</v>
      </c>
      <c r="O554" s="32">
        <v>0</v>
      </c>
      <c r="P554" s="32">
        <v>0</v>
      </c>
      <c r="Q554" s="32">
        <v>162791.4</v>
      </c>
      <c r="R554" s="32">
        <v>0</v>
      </c>
      <c r="S554" s="32">
        <v>0</v>
      </c>
      <c r="T554" s="32">
        <v>0</v>
      </c>
      <c r="U554" s="32">
        <v>0</v>
      </c>
      <c r="V554" s="32">
        <v>0</v>
      </c>
      <c r="W554" s="32">
        <v>0</v>
      </c>
      <c r="X554" s="32">
        <v>0</v>
      </c>
      <c r="Y554" s="32">
        <v>0</v>
      </c>
      <c r="Z554" s="32">
        <v>0</v>
      </c>
      <c r="AA554" s="32">
        <v>0</v>
      </c>
      <c r="AB554" s="32">
        <v>0</v>
      </c>
      <c r="AC554" s="32" t="s">
        <v>475</v>
      </c>
      <c r="AD554" s="32"/>
      <c r="AE554" s="32">
        <v>0</v>
      </c>
    </row>
    <row r="555" spans="1:31" x14ac:dyDescent="0.25">
      <c r="A555">
        <v>12629</v>
      </c>
      <c r="B555" t="s">
        <v>120</v>
      </c>
      <c r="C555" t="s">
        <v>474</v>
      </c>
      <c r="D555" s="35">
        <v>150519.6</v>
      </c>
      <c r="E555">
        <v>1246267963</v>
      </c>
      <c r="F555" s="324">
        <v>46127</v>
      </c>
      <c r="H555" t="s">
        <v>28</v>
      </c>
      <c r="I555" t="s">
        <v>29</v>
      </c>
      <c r="J555">
        <v>10900</v>
      </c>
      <c r="K555" s="324">
        <v>46097</v>
      </c>
      <c r="L555">
        <v>1010100</v>
      </c>
      <c r="M555" t="s">
        <v>35</v>
      </c>
      <c r="N555">
        <v>-15</v>
      </c>
      <c r="O555" s="32">
        <v>0</v>
      </c>
      <c r="P555" s="32">
        <v>0</v>
      </c>
      <c r="Q555" s="32">
        <v>150519.6</v>
      </c>
      <c r="R555" s="32">
        <v>0</v>
      </c>
      <c r="S555" s="32">
        <v>0</v>
      </c>
      <c r="T555" s="32">
        <v>0</v>
      </c>
      <c r="U555" s="32">
        <v>0</v>
      </c>
      <c r="V555" s="32">
        <v>0</v>
      </c>
      <c r="W555" s="32">
        <v>0</v>
      </c>
      <c r="X555" s="32">
        <v>0</v>
      </c>
      <c r="Y555" s="32">
        <v>0</v>
      </c>
      <c r="Z555" s="32">
        <v>0</v>
      </c>
      <c r="AA555" s="32">
        <v>0</v>
      </c>
      <c r="AB555" s="32">
        <v>0</v>
      </c>
      <c r="AC555" s="32" t="s">
        <v>475</v>
      </c>
      <c r="AD555" s="32"/>
      <c r="AE555" s="32">
        <v>0</v>
      </c>
    </row>
    <row r="556" spans="1:31" x14ac:dyDescent="0.25">
      <c r="A556">
        <v>12629</v>
      </c>
      <c r="B556" t="s">
        <v>120</v>
      </c>
      <c r="C556" t="s">
        <v>474</v>
      </c>
      <c r="D556" s="35">
        <v>6516</v>
      </c>
      <c r="E556">
        <v>1246265830</v>
      </c>
      <c r="F556" s="324">
        <v>46113</v>
      </c>
      <c r="H556" t="s">
        <v>28</v>
      </c>
      <c r="I556" t="s">
        <v>29</v>
      </c>
      <c r="J556">
        <v>10586</v>
      </c>
      <c r="K556" s="324">
        <v>46049</v>
      </c>
      <c r="L556">
        <v>1010100</v>
      </c>
      <c r="M556" t="s">
        <v>35</v>
      </c>
      <c r="N556">
        <v>-1</v>
      </c>
      <c r="O556" s="32">
        <v>0</v>
      </c>
      <c r="P556" s="32">
        <v>0</v>
      </c>
      <c r="Q556" s="32">
        <v>6516</v>
      </c>
      <c r="R556" s="32">
        <v>0</v>
      </c>
      <c r="S556" s="32">
        <v>0</v>
      </c>
      <c r="T556" s="32">
        <v>0</v>
      </c>
      <c r="U556" s="32">
        <v>0</v>
      </c>
      <c r="V556" s="32">
        <v>0</v>
      </c>
      <c r="W556" s="32">
        <v>0</v>
      </c>
      <c r="X556" s="32">
        <v>0</v>
      </c>
      <c r="Y556" s="32">
        <v>0</v>
      </c>
      <c r="Z556" s="32">
        <v>0</v>
      </c>
      <c r="AA556" s="32">
        <v>0</v>
      </c>
      <c r="AB556" s="32">
        <v>0</v>
      </c>
      <c r="AC556" s="32" t="s">
        <v>475</v>
      </c>
      <c r="AD556" s="32"/>
      <c r="AE556" s="32">
        <v>0</v>
      </c>
    </row>
    <row r="557" spans="1:31" x14ac:dyDescent="0.25">
      <c r="A557">
        <v>12629</v>
      </c>
      <c r="B557" t="s">
        <v>120</v>
      </c>
      <c r="C557" t="s">
        <v>474</v>
      </c>
      <c r="D557" s="35">
        <v>153506.1</v>
      </c>
      <c r="E557">
        <v>1246268563</v>
      </c>
      <c r="F557" s="324">
        <v>46131</v>
      </c>
      <c r="H557" t="s">
        <v>28</v>
      </c>
      <c r="I557" t="s">
        <v>29</v>
      </c>
      <c r="J557">
        <v>10948</v>
      </c>
      <c r="K557" s="324">
        <v>46101</v>
      </c>
      <c r="L557">
        <v>1010100</v>
      </c>
      <c r="M557" t="s">
        <v>35</v>
      </c>
      <c r="N557">
        <v>-19</v>
      </c>
      <c r="O557" s="32">
        <v>0</v>
      </c>
      <c r="P557" s="32">
        <v>0</v>
      </c>
      <c r="Q557" s="32">
        <v>153506.1</v>
      </c>
      <c r="R557" s="32">
        <v>0</v>
      </c>
      <c r="S557" s="32">
        <v>0</v>
      </c>
      <c r="T557" s="32">
        <v>0</v>
      </c>
      <c r="U557" s="32">
        <v>0</v>
      </c>
      <c r="V557" s="32">
        <v>0</v>
      </c>
      <c r="W557" s="32">
        <v>0</v>
      </c>
      <c r="X557" s="32">
        <v>0</v>
      </c>
      <c r="Y557" s="32">
        <v>0</v>
      </c>
      <c r="Z557" s="32">
        <v>0</v>
      </c>
      <c r="AA557" s="32">
        <v>0</v>
      </c>
      <c r="AB557" s="32">
        <v>0</v>
      </c>
      <c r="AC557" s="32" t="s">
        <v>475</v>
      </c>
      <c r="AD557" s="32"/>
      <c r="AE557" s="32">
        <v>0</v>
      </c>
    </row>
    <row r="558" spans="1:31" x14ac:dyDescent="0.25">
      <c r="A558">
        <v>12629</v>
      </c>
      <c r="B558" t="s">
        <v>120</v>
      </c>
      <c r="C558" t="s">
        <v>474</v>
      </c>
      <c r="D558" s="35">
        <v>162465.60000000001</v>
      </c>
      <c r="E558">
        <v>1246269412</v>
      </c>
      <c r="F558" s="324">
        <v>46138</v>
      </c>
      <c r="H558" t="s">
        <v>28</v>
      </c>
      <c r="I558" t="s">
        <v>29</v>
      </c>
      <c r="J558">
        <v>10987</v>
      </c>
      <c r="K558" s="324">
        <v>46108</v>
      </c>
      <c r="L558">
        <v>1010100</v>
      </c>
      <c r="M558" t="s">
        <v>35</v>
      </c>
      <c r="N558">
        <v>-26</v>
      </c>
      <c r="O558" s="32">
        <v>0</v>
      </c>
      <c r="P558" s="32">
        <v>0</v>
      </c>
      <c r="Q558" s="32">
        <v>162465.60000000001</v>
      </c>
      <c r="R558" s="32">
        <v>0</v>
      </c>
      <c r="S558" s="32">
        <v>0</v>
      </c>
      <c r="T558" s="32">
        <v>0</v>
      </c>
      <c r="U558" s="32">
        <v>0</v>
      </c>
      <c r="V558" s="32">
        <v>0</v>
      </c>
      <c r="W558" s="32">
        <v>0</v>
      </c>
      <c r="X558" s="32">
        <v>0</v>
      </c>
      <c r="Y558" s="32">
        <v>0</v>
      </c>
      <c r="Z558" s="32">
        <v>0</v>
      </c>
      <c r="AA558" s="32">
        <v>0</v>
      </c>
      <c r="AB558" s="32">
        <v>0</v>
      </c>
      <c r="AC558" s="32" t="s">
        <v>475</v>
      </c>
      <c r="AD558" s="32"/>
      <c r="AE558" s="32">
        <v>0</v>
      </c>
    </row>
    <row r="559" spans="1:31" x14ac:dyDescent="0.25">
      <c r="A559">
        <v>12295</v>
      </c>
      <c r="B559" t="s">
        <v>207</v>
      </c>
      <c r="C559" t="s">
        <v>208</v>
      </c>
      <c r="D559" s="35">
        <v>129728</v>
      </c>
      <c r="E559">
        <v>1246100036</v>
      </c>
      <c r="F559" s="324">
        <v>45547</v>
      </c>
      <c r="H559" t="s">
        <v>173</v>
      </c>
      <c r="I559" t="s">
        <v>174</v>
      </c>
      <c r="J559">
        <v>843</v>
      </c>
      <c r="K559" s="324">
        <v>45162</v>
      </c>
      <c r="L559">
        <v>1010100</v>
      </c>
      <c r="M559" t="s">
        <v>35</v>
      </c>
      <c r="N559">
        <v>565</v>
      </c>
      <c r="O559" s="32">
        <v>0</v>
      </c>
      <c r="P559" s="32">
        <v>0</v>
      </c>
      <c r="Q559" s="32">
        <v>0</v>
      </c>
      <c r="R559" s="32">
        <v>0</v>
      </c>
      <c r="S559" s="32">
        <v>0</v>
      </c>
      <c r="T559" s="32">
        <v>0</v>
      </c>
      <c r="U559" s="32">
        <v>129728</v>
      </c>
      <c r="V559" s="32">
        <v>0</v>
      </c>
      <c r="W559" s="32">
        <v>3891.8399999999997</v>
      </c>
      <c r="X559" s="32">
        <v>125836.16</v>
      </c>
      <c r="Y559" s="32">
        <v>125836.16</v>
      </c>
      <c r="Z559" s="32">
        <v>129728</v>
      </c>
      <c r="AA559" s="32">
        <v>-129728</v>
      </c>
      <c r="AB559" s="32">
        <v>0</v>
      </c>
      <c r="AC559" s="32" t="s">
        <v>541</v>
      </c>
      <c r="AD559" s="32"/>
      <c r="AE559" s="32">
        <v>0</v>
      </c>
    </row>
    <row r="560" spans="1:31" x14ac:dyDescent="0.25">
      <c r="A560">
        <v>12295</v>
      </c>
      <c r="B560" t="s">
        <v>207</v>
      </c>
      <c r="C560" t="s">
        <v>208</v>
      </c>
      <c r="D560" s="35">
        <v>126208</v>
      </c>
      <c r="E560">
        <v>1246106003</v>
      </c>
      <c r="F560" s="324">
        <v>45559</v>
      </c>
      <c r="H560" t="s">
        <v>173</v>
      </c>
      <c r="I560" t="s">
        <v>174</v>
      </c>
      <c r="J560">
        <v>1328</v>
      </c>
      <c r="K560" s="324">
        <v>45194</v>
      </c>
      <c r="L560">
        <v>1010100</v>
      </c>
      <c r="M560" t="s">
        <v>35</v>
      </c>
      <c r="N560">
        <v>553</v>
      </c>
      <c r="O560" s="32">
        <v>0</v>
      </c>
      <c r="P560" s="32">
        <v>0</v>
      </c>
      <c r="Q560" s="32">
        <v>0</v>
      </c>
      <c r="R560" s="32">
        <v>0</v>
      </c>
      <c r="S560" s="32">
        <v>0</v>
      </c>
      <c r="T560" s="32">
        <v>0</v>
      </c>
      <c r="U560" s="32">
        <v>126208</v>
      </c>
      <c r="V560" s="32">
        <v>0</v>
      </c>
      <c r="W560" s="32">
        <v>3786.24</v>
      </c>
      <c r="X560" s="32">
        <v>122421.75999999999</v>
      </c>
      <c r="Y560" s="32">
        <v>122421.75999999999</v>
      </c>
      <c r="Z560" s="32">
        <v>126208</v>
      </c>
      <c r="AA560" s="32">
        <v>-126208</v>
      </c>
      <c r="AB560" s="32">
        <v>0</v>
      </c>
      <c r="AC560" s="32" t="s">
        <v>541</v>
      </c>
      <c r="AD560" s="32"/>
      <c r="AE560" s="32">
        <v>0</v>
      </c>
    </row>
    <row r="561" spans="1:31" x14ac:dyDescent="0.25">
      <c r="A561">
        <v>12295</v>
      </c>
      <c r="B561" t="s">
        <v>207</v>
      </c>
      <c r="C561" t="s">
        <v>208</v>
      </c>
      <c r="D561" s="35">
        <v>19965</v>
      </c>
      <c r="E561">
        <v>1246100409</v>
      </c>
      <c r="F561" s="324">
        <v>45548</v>
      </c>
      <c r="H561" t="s">
        <v>173</v>
      </c>
      <c r="I561" t="s">
        <v>174</v>
      </c>
      <c r="J561">
        <v>864</v>
      </c>
      <c r="K561" s="324">
        <v>45163</v>
      </c>
      <c r="L561">
        <v>1010100</v>
      </c>
      <c r="M561" t="s">
        <v>35</v>
      </c>
      <c r="N561">
        <v>564</v>
      </c>
      <c r="O561" s="32">
        <v>0</v>
      </c>
      <c r="P561" s="32">
        <v>0</v>
      </c>
      <c r="Q561" s="32">
        <v>0</v>
      </c>
      <c r="R561" s="32">
        <v>0</v>
      </c>
      <c r="S561" s="32">
        <v>0</v>
      </c>
      <c r="T561" s="32">
        <v>0</v>
      </c>
      <c r="U561" s="32">
        <v>19965</v>
      </c>
      <c r="V561" s="32">
        <v>0</v>
      </c>
      <c r="W561" s="32">
        <v>598.94999999999993</v>
      </c>
      <c r="X561" s="32">
        <v>19366.05</v>
      </c>
      <c r="Y561" s="32">
        <v>19366.05</v>
      </c>
      <c r="Z561" s="32">
        <v>19965</v>
      </c>
      <c r="AA561" s="32">
        <v>-19965</v>
      </c>
      <c r="AB561" s="32">
        <v>0</v>
      </c>
      <c r="AC561" s="32" t="s">
        <v>541</v>
      </c>
      <c r="AD561" s="32"/>
      <c r="AE561" s="32">
        <v>0</v>
      </c>
    </row>
    <row r="562" spans="1:31" x14ac:dyDescent="0.25">
      <c r="A562">
        <v>12295</v>
      </c>
      <c r="B562" t="s">
        <v>207</v>
      </c>
      <c r="C562" t="s">
        <v>208</v>
      </c>
      <c r="D562" s="35">
        <v>102625</v>
      </c>
      <c r="E562">
        <v>1246100411</v>
      </c>
      <c r="F562" s="324">
        <v>45548</v>
      </c>
      <c r="H562" t="s">
        <v>173</v>
      </c>
      <c r="I562" t="s">
        <v>174</v>
      </c>
      <c r="J562">
        <v>865</v>
      </c>
      <c r="K562" s="324">
        <v>45163</v>
      </c>
      <c r="L562">
        <v>1010100</v>
      </c>
      <c r="M562" t="s">
        <v>35</v>
      </c>
      <c r="N562">
        <v>564</v>
      </c>
      <c r="O562" s="32">
        <v>0</v>
      </c>
      <c r="P562" s="32">
        <v>0</v>
      </c>
      <c r="Q562" s="32">
        <v>0</v>
      </c>
      <c r="R562" s="32">
        <v>0</v>
      </c>
      <c r="S562" s="32">
        <v>0</v>
      </c>
      <c r="T562" s="32">
        <v>0</v>
      </c>
      <c r="U562" s="32">
        <v>102625</v>
      </c>
      <c r="V562" s="32">
        <v>0</v>
      </c>
      <c r="W562" s="32">
        <v>3078.75</v>
      </c>
      <c r="X562" s="32">
        <v>99546.25</v>
      </c>
      <c r="Y562" s="32">
        <v>99546.25</v>
      </c>
      <c r="Z562" s="32">
        <v>102625</v>
      </c>
      <c r="AA562" s="32">
        <v>-102625</v>
      </c>
      <c r="AB562" s="32">
        <v>0</v>
      </c>
      <c r="AC562" s="32" t="s">
        <v>541</v>
      </c>
      <c r="AD562" s="32"/>
      <c r="AE562" s="32">
        <v>0</v>
      </c>
    </row>
    <row r="563" spans="1:31" x14ac:dyDescent="0.25">
      <c r="A563">
        <v>12295</v>
      </c>
      <c r="B563" t="s">
        <v>207</v>
      </c>
      <c r="C563" t="s">
        <v>208</v>
      </c>
      <c r="D563" s="35">
        <v>23664</v>
      </c>
      <c r="E563">
        <v>1246100034</v>
      </c>
      <c r="F563" s="324">
        <v>45547</v>
      </c>
      <c r="H563" t="s">
        <v>173</v>
      </c>
      <c r="I563" t="s">
        <v>174</v>
      </c>
      <c r="J563">
        <v>842</v>
      </c>
      <c r="K563" s="324">
        <v>45162</v>
      </c>
      <c r="L563">
        <v>1010100</v>
      </c>
      <c r="M563" t="s">
        <v>35</v>
      </c>
      <c r="N563">
        <v>565</v>
      </c>
      <c r="O563" s="32">
        <v>0</v>
      </c>
      <c r="P563" s="32">
        <v>0</v>
      </c>
      <c r="Q563" s="32">
        <v>0</v>
      </c>
      <c r="R563" s="32">
        <v>0</v>
      </c>
      <c r="S563" s="32">
        <v>0</v>
      </c>
      <c r="T563" s="32">
        <v>0</v>
      </c>
      <c r="U563" s="32">
        <v>23664</v>
      </c>
      <c r="V563" s="32">
        <v>0</v>
      </c>
      <c r="W563" s="32">
        <v>709.92</v>
      </c>
      <c r="X563" s="32">
        <v>22954.079999999998</v>
      </c>
      <c r="Y563" s="32">
        <v>22954.079999999998</v>
      </c>
      <c r="Z563" s="32">
        <v>23664</v>
      </c>
      <c r="AA563" s="32">
        <v>-23664</v>
      </c>
      <c r="AB563" s="32">
        <v>0</v>
      </c>
      <c r="AC563" s="32" t="s">
        <v>541</v>
      </c>
      <c r="AD563" s="32"/>
      <c r="AE563" s="32">
        <v>0</v>
      </c>
    </row>
    <row r="564" spans="1:31" x14ac:dyDescent="0.25">
      <c r="A564">
        <v>12295</v>
      </c>
      <c r="B564" t="s">
        <v>207</v>
      </c>
      <c r="C564" t="s">
        <v>208</v>
      </c>
      <c r="D564" s="35">
        <v>126845</v>
      </c>
      <c r="E564">
        <v>1246102685</v>
      </c>
      <c r="F564" s="324">
        <v>45560</v>
      </c>
      <c r="H564" t="s">
        <v>173</v>
      </c>
      <c r="I564" t="s">
        <v>174</v>
      </c>
      <c r="J564">
        <v>1060</v>
      </c>
      <c r="K564" s="324">
        <v>45175</v>
      </c>
      <c r="L564">
        <v>1010100</v>
      </c>
      <c r="M564" t="s">
        <v>35</v>
      </c>
      <c r="N564">
        <v>552</v>
      </c>
      <c r="O564" s="32">
        <v>0</v>
      </c>
      <c r="P564" s="32">
        <v>0</v>
      </c>
      <c r="Q564" s="32">
        <v>0</v>
      </c>
      <c r="R564" s="32">
        <v>0</v>
      </c>
      <c r="S564" s="32">
        <v>0</v>
      </c>
      <c r="T564" s="32">
        <v>0</v>
      </c>
      <c r="U564" s="32">
        <v>126845</v>
      </c>
      <c r="V564" s="32">
        <v>0</v>
      </c>
      <c r="W564" s="32">
        <v>3805.35</v>
      </c>
      <c r="X564" s="32">
        <v>123039.65</v>
      </c>
      <c r="Y564" s="32">
        <v>123039.65</v>
      </c>
      <c r="Z564" s="32">
        <v>126845</v>
      </c>
      <c r="AA564" s="32">
        <v>-126845</v>
      </c>
      <c r="AB564" s="32">
        <v>0</v>
      </c>
      <c r="AC564" s="32" t="s">
        <v>541</v>
      </c>
      <c r="AD564" s="32"/>
      <c r="AE564" s="32">
        <v>0</v>
      </c>
    </row>
    <row r="565" spans="1:31" x14ac:dyDescent="0.25">
      <c r="A565">
        <v>12295</v>
      </c>
      <c r="B565" t="s">
        <v>207</v>
      </c>
      <c r="C565" t="s">
        <v>208</v>
      </c>
      <c r="D565" s="35">
        <v>119790</v>
      </c>
      <c r="E565">
        <v>1246100311</v>
      </c>
      <c r="F565" s="324">
        <v>45548</v>
      </c>
      <c r="H565" t="s">
        <v>173</v>
      </c>
      <c r="I565" t="s">
        <v>174</v>
      </c>
      <c r="J565">
        <v>851</v>
      </c>
      <c r="K565" s="324">
        <v>45163</v>
      </c>
      <c r="L565">
        <v>1010100</v>
      </c>
      <c r="M565" t="s">
        <v>35</v>
      </c>
      <c r="N565">
        <v>564</v>
      </c>
      <c r="O565" s="32">
        <v>0</v>
      </c>
      <c r="P565" s="32">
        <v>0</v>
      </c>
      <c r="Q565" s="32">
        <v>0</v>
      </c>
      <c r="R565" s="32">
        <v>0</v>
      </c>
      <c r="S565" s="32">
        <v>0</v>
      </c>
      <c r="T565" s="32">
        <v>0</v>
      </c>
      <c r="U565" s="32">
        <v>119790</v>
      </c>
      <c r="V565" s="32">
        <v>0</v>
      </c>
      <c r="W565" s="32">
        <v>3593.7</v>
      </c>
      <c r="X565" s="32">
        <v>116196.3</v>
      </c>
      <c r="Y565" s="32">
        <v>116196.3</v>
      </c>
      <c r="Z565" s="32">
        <v>119790</v>
      </c>
      <c r="AA565" s="32">
        <v>-119790</v>
      </c>
      <c r="AB565" s="32">
        <v>0</v>
      </c>
      <c r="AC565" s="32" t="s">
        <v>541</v>
      </c>
      <c r="AD565" s="32"/>
      <c r="AE565" s="32">
        <v>0</v>
      </c>
    </row>
    <row r="566" spans="1:31" x14ac:dyDescent="0.25">
      <c r="A566">
        <v>12295</v>
      </c>
      <c r="B566" t="s">
        <v>207</v>
      </c>
      <c r="C566" t="s">
        <v>208</v>
      </c>
      <c r="D566" s="35">
        <v>127776</v>
      </c>
      <c r="E566">
        <v>1246102654</v>
      </c>
      <c r="F566" s="324">
        <v>45560</v>
      </c>
      <c r="H566" t="s">
        <v>173</v>
      </c>
      <c r="I566" t="s">
        <v>174</v>
      </c>
      <c r="J566">
        <v>1053</v>
      </c>
      <c r="K566" s="324">
        <v>45175</v>
      </c>
      <c r="L566">
        <v>1010100</v>
      </c>
      <c r="M566" t="s">
        <v>35</v>
      </c>
      <c r="N566">
        <v>552</v>
      </c>
      <c r="O566" s="32">
        <v>0</v>
      </c>
      <c r="P566" s="32">
        <v>0</v>
      </c>
      <c r="Q566" s="32">
        <v>0</v>
      </c>
      <c r="R566" s="32">
        <v>0</v>
      </c>
      <c r="S566" s="32">
        <v>0</v>
      </c>
      <c r="T566" s="32">
        <v>0</v>
      </c>
      <c r="U566" s="32">
        <v>127776</v>
      </c>
      <c r="V566" s="32">
        <v>0</v>
      </c>
      <c r="W566" s="32">
        <v>3833.2799999999997</v>
      </c>
      <c r="X566" s="32">
        <v>123942.72</v>
      </c>
      <c r="Y566" s="32">
        <v>123942.72</v>
      </c>
      <c r="Z566" s="32">
        <v>127776</v>
      </c>
      <c r="AA566" s="32">
        <v>-127776</v>
      </c>
      <c r="AB566" s="32">
        <v>0</v>
      </c>
      <c r="AC566" s="32" t="s">
        <v>541</v>
      </c>
      <c r="AD566" s="32"/>
      <c r="AE566" s="32">
        <v>0</v>
      </c>
    </row>
    <row r="567" spans="1:31" x14ac:dyDescent="0.25">
      <c r="A567">
        <v>12295</v>
      </c>
      <c r="B567" t="s">
        <v>207</v>
      </c>
      <c r="C567" t="s">
        <v>208</v>
      </c>
      <c r="D567" s="35">
        <v>99410.750000000015</v>
      </c>
      <c r="E567">
        <v>1246240412</v>
      </c>
      <c r="F567" s="324">
        <v>45546</v>
      </c>
      <c r="H567" t="s">
        <v>173</v>
      </c>
      <c r="I567" t="s">
        <v>174</v>
      </c>
      <c r="J567">
        <v>176</v>
      </c>
      <c r="K567" s="324">
        <v>45161</v>
      </c>
      <c r="L567">
        <v>1010100</v>
      </c>
      <c r="M567" t="s">
        <v>35</v>
      </c>
      <c r="N567">
        <v>566</v>
      </c>
      <c r="O567" s="32">
        <v>0</v>
      </c>
      <c r="P567" s="32">
        <v>0</v>
      </c>
      <c r="Q567" s="32">
        <v>0</v>
      </c>
      <c r="R567" s="32">
        <v>0</v>
      </c>
      <c r="S567" s="32">
        <v>0</v>
      </c>
      <c r="T567" s="32">
        <v>0</v>
      </c>
      <c r="U567" s="32">
        <v>99410.750000000015</v>
      </c>
      <c r="V567" s="32">
        <v>0</v>
      </c>
      <c r="W567" s="32">
        <v>2982.3225000000002</v>
      </c>
      <c r="X567" s="32">
        <v>96428.427500000005</v>
      </c>
      <c r="Y567" s="32">
        <v>96428.427500000005</v>
      </c>
      <c r="Z567" s="32">
        <v>99410.750000000015</v>
      </c>
      <c r="AA567" s="32">
        <v>-99410.750000000015</v>
      </c>
      <c r="AB567" s="32">
        <v>0</v>
      </c>
      <c r="AC567" s="32" t="s">
        <v>541</v>
      </c>
      <c r="AD567" s="32"/>
      <c r="AE567" s="32">
        <v>0</v>
      </c>
    </row>
    <row r="568" spans="1:31" x14ac:dyDescent="0.25">
      <c r="A568">
        <v>13193</v>
      </c>
      <c r="B568" t="s">
        <v>210</v>
      </c>
      <c r="C568" t="s">
        <v>211</v>
      </c>
      <c r="D568" s="35">
        <v>39218.19</v>
      </c>
      <c r="E568">
        <v>1246129675</v>
      </c>
      <c r="F568" s="324">
        <v>45598</v>
      </c>
      <c r="H568" t="s">
        <v>173</v>
      </c>
      <c r="I568" t="s">
        <v>174</v>
      </c>
      <c r="J568">
        <v>2817</v>
      </c>
      <c r="K568" s="324">
        <v>45338</v>
      </c>
      <c r="L568">
        <v>1010100</v>
      </c>
      <c r="M568" t="s">
        <v>35</v>
      </c>
      <c r="N568">
        <v>514</v>
      </c>
      <c r="O568" s="32">
        <v>0</v>
      </c>
      <c r="P568" s="32">
        <v>39218.19</v>
      </c>
      <c r="Q568" s="32">
        <v>0</v>
      </c>
      <c r="R568" s="32">
        <v>0</v>
      </c>
      <c r="S568" s="32">
        <v>0</v>
      </c>
      <c r="T568" s="32">
        <v>0</v>
      </c>
      <c r="U568" s="32">
        <v>39218.19</v>
      </c>
      <c r="V568" s="32">
        <v>0</v>
      </c>
      <c r="W568" s="32">
        <v>1176.5457000000001</v>
      </c>
      <c r="X568" s="32">
        <v>38041.6443</v>
      </c>
      <c r="Y568" s="32">
        <v>38041.6443</v>
      </c>
      <c r="Z568" s="32">
        <v>39218.19</v>
      </c>
      <c r="AA568" s="32">
        <v>0</v>
      </c>
      <c r="AB568" s="32">
        <v>39218.19</v>
      </c>
      <c r="AC568" s="32" t="s">
        <v>541</v>
      </c>
      <c r="AD568" s="32"/>
      <c r="AE568" s="32">
        <v>39218.19</v>
      </c>
    </row>
    <row r="569" spans="1:31" x14ac:dyDescent="0.25">
      <c r="A569">
        <v>13193</v>
      </c>
      <c r="B569" t="s">
        <v>210</v>
      </c>
      <c r="C569" t="s">
        <v>211</v>
      </c>
      <c r="D569" s="35">
        <v>96537.1</v>
      </c>
      <c r="E569">
        <v>1246128994</v>
      </c>
      <c r="F569" s="324">
        <v>45599</v>
      </c>
      <c r="H569" t="s">
        <v>173</v>
      </c>
      <c r="I569" t="s">
        <v>174</v>
      </c>
      <c r="J569">
        <v>2765</v>
      </c>
      <c r="K569" s="324">
        <v>45331</v>
      </c>
      <c r="L569">
        <v>1010100</v>
      </c>
      <c r="M569" t="s">
        <v>35</v>
      </c>
      <c r="N569">
        <v>513</v>
      </c>
      <c r="O569" s="32">
        <v>0</v>
      </c>
      <c r="P569" s="32">
        <v>96537.1</v>
      </c>
      <c r="Q569" s="32">
        <v>0</v>
      </c>
      <c r="R569" s="32">
        <v>0</v>
      </c>
      <c r="S569" s="32">
        <v>0</v>
      </c>
      <c r="T569" s="32">
        <v>0</v>
      </c>
      <c r="U569" s="32">
        <v>96537.1</v>
      </c>
      <c r="V569" s="32">
        <v>0</v>
      </c>
      <c r="W569" s="32">
        <v>2896.1130000000003</v>
      </c>
      <c r="X569" s="32">
        <v>93640.987000000008</v>
      </c>
      <c r="Y569" s="32">
        <v>93640.987000000008</v>
      </c>
      <c r="Z569" s="32">
        <v>96537.1</v>
      </c>
      <c r="AA569" s="32">
        <v>0</v>
      </c>
      <c r="AB569" s="32">
        <v>96537.1</v>
      </c>
      <c r="AC569" s="32" t="s">
        <v>541</v>
      </c>
      <c r="AD569" s="32"/>
      <c r="AE569" s="32">
        <v>96537.1</v>
      </c>
    </row>
    <row r="570" spans="1:31" x14ac:dyDescent="0.25">
      <c r="A570">
        <v>13193</v>
      </c>
      <c r="B570" t="s">
        <v>210</v>
      </c>
      <c r="C570" t="s">
        <v>211</v>
      </c>
      <c r="D570" s="35">
        <v>14369.79</v>
      </c>
      <c r="E570">
        <v>1246129687</v>
      </c>
      <c r="F570" s="324">
        <v>45594</v>
      </c>
      <c r="H570" t="s">
        <v>173</v>
      </c>
      <c r="I570" t="s">
        <v>174</v>
      </c>
      <c r="J570">
        <v>2824</v>
      </c>
      <c r="K570" s="324">
        <v>45338</v>
      </c>
      <c r="L570">
        <v>1010100</v>
      </c>
      <c r="M570" t="s">
        <v>35</v>
      </c>
      <c r="N570">
        <v>518</v>
      </c>
      <c r="O570" s="32">
        <v>0</v>
      </c>
      <c r="P570" s="32">
        <v>14369.789999999999</v>
      </c>
      <c r="Q570" s="32">
        <v>0</v>
      </c>
      <c r="R570" s="32">
        <v>0</v>
      </c>
      <c r="S570" s="32">
        <v>0</v>
      </c>
      <c r="T570" s="32">
        <v>0</v>
      </c>
      <c r="U570" s="32">
        <v>14369.79</v>
      </c>
      <c r="V570" s="32">
        <v>0</v>
      </c>
      <c r="W570" s="32">
        <v>431.09370000000001</v>
      </c>
      <c r="X570" s="32">
        <v>13938.6963</v>
      </c>
      <c r="Y570" s="32">
        <v>13938.6963</v>
      </c>
      <c r="Z570" s="32">
        <v>14369.79</v>
      </c>
      <c r="AA570" s="32">
        <v>0</v>
      </c>
      <c r="AB570" s="32">
        <v>14369.789999999999</v>
      </c>
      <c r="AC570" s="32" t="s">
        <v>541</v>
      </c>
      <c r="AD570" s="32"/>
      <c r="AE570" s="32">
        <v>14369.789999999999</v>
      </c>
    </row>
    <row r="571" spans="1:31" x14ac:dyDescent="0.25">
      <c r="A571">
        <v>13193</v>
      </c>
      <c r="B571" t="s">
        <v>210</v>
      </c>
      <c r="C571" t="s">
        <v>211</v>
      </c>
      <c r="D571" s="35">
        <v>102482.69</v>
      </c>
      <c r="E571">
        <v>1246129689</v>
      </c>
      <c r="F571" s="324">
        <v>45594</v>
      </c>
      <c r="H571" t="s">
        <v>173</v>
      </c>
      <c r="I571" t="s">
        <v>174</v>
      </c>
      <c r="J571">
        <v>2825</v>
      </c>
      <c r="K571" s="324">
        <v>45338</v>
      </c>
      <c r="L571">
        <v>1010100</v>
      </c>
      <c r="M571" t="s">
        <v>35</v>
      </c>
      <c r="N571">
        <v>518</v>
      </c>
      <c r="O571" s="32">
        <v>0</v>
      </c>
      <c r="P571" s="32">
        <v>102482.69</v>
      </c>
      <c r="Q571" s="32">
        <v>0</v>
      </c>
      <c r="R571" s="32">
        <v>0</v>
      </c>
      <c r="S571" s="32">
        <v>0</v>
      </c>
      <c r="T571" s="32">
        <v>0</v>
      </c>
      <c r="U571" s="32">
        <v>102482.69</v>
      </c>
      <c r="V571" s="32">
        <v>0</v>
      </c>
      <c r="W571" s="32">
        <v>3074.4807000000001</v>
      </c>
      <c r="X571" s="32">
        <v>99408.209300000002</v>
      </c>
      <c r="Y571" s="32">
        <v>99408.209300000002</v>
      </c>
      <c r="Z571" s="32">
        <v>102482.69</v>
      </c>
      <c r="AA571" s="32">
        <v>0</v>
      </c>
      <c r="AB571" s="32">
        <v>102482.69</v>
      </c>
      <c r="AC571" s="32" t="s">
        <v>541</v>
      </c>
      <c r="AD571" s="32"/>
      <c r="AE571" s="32">
        <v>102482.69</v>
      </c>
    </row>
    <row r="572" spans="1:31" x14ac:dyDescent="0.25">
      <c r="A572">
        <v>13193</v>
      </c>
      <c r="B572" t="s">
        <v>210</v>
      </c>
      <c r="C572" t="s">
        <v>211</v>
      </c>
      <c r="D572" s="35">
        <v>96537.1</v>
      </c>
      <c r="E572">
        <v>1246128030</v>
      </c>
      <c r="F572" s="324">
        <v>45604</v>
      </c>
      <c r="H572" t="s">
        <v>173</v>
      </c>
      <c r="I572" t="s">
        <v>174</v>
      </c>
      <c r="J572">
        <v>2691</v>
      </c>
      <c r="K572" s="324">
        <v>45324</v>
      </c>
      <c r="L572">
        <v>1010100</v>
      </c>
      <c r="M572" t="s">
        <v>35</v>
      </c>
      <c r="N572">
        <v>508</v>
      </c>
      <c r="O572" s="32">
        <v>0</v>
      </c>
      <c r="P572" s="32">
        <v>96537.1</v>
      </c>
      <c r="Q572" s="32">
        <v>0</v>
      </c>
      <c r="R572" s="32">
        <v>0</v>
      </c>
      <c r="S572" s="32">
        <v>0</v>
      </c>
      <c r="T572" s="32">
        <v>0</v>
      </c>
      <c r="U572" s="32">
        <v>96537.1</v>
      </c>
      <c r="V572" s="32">
        <v>0</v>
      </c>
      <c r="W572" s="32">
        <v>2896.1130000000003</v>
      </c>
      <c r="X572" s="32">
        <v>93640.987000000008</v>
      </c>
      <c r="Y572" s="32">
        <v>93640.987000000008</v>
      </c>
      <c r="Z572" s="32">
        <v>96537.1</v>
      </c>
      <c r="AA572" s="32">
        <v>0</v>
      </c>
      <c r="AB572" s="32">
        <v>96537.1</v>
      </c>
      <c r="AC572" s="32" t="s">
        <v>541</v>
      </c>
      <c r="AD572" s="32"/>
      <c r="AE572" s="32">
        <v>96537.1</v>
      </c>
    </row>
    <row r="573" spans="1:31" x14ac:dyDescent="0.25">
      <c r="A573">
        <v>13193</v>
      </c>
      <c r="B573" t="s">
        <v>210</v>
      </c>
      <c r="C573" t="s">
        <v>211</v>
      </c>
      <c r="D573" s="35">
        <v>96537.1</v>
      </c>
      <c r="E573">
        <v>1246129535</v>
      </c>
      <c r="F573" s="324">
        <v>45597</v>
      </c>
      <c r="H573" t="s">
        <v>173</v>
      </c>
      <c r="I573" t="s">
        <v>174</v>
      </c>
      <c r="J573">
        <v>2797</v>
      </c>
      <c r="K573" s="324">
        <v>45337</v>
      </c>
      <c r="L573">
        <v>1010100</v>
      </c>
      <c r="M573" t="s">
        <v>35</v>
      </c>
      <c r="N573">
        <v>515</v>
      </c>
      <c r="O573" s="32">
        <v>0</v>
      </c>
      <c r="P573" s="32">
        <v>96537.1</v>
      </c>
      <c r="Q573" s="32">
        <v>0</v>
      </c>
      <c r="R573" s="32">
        <v>0</v>
      </c>
      <c r="S573" s="32">
        <v>0</v>
      </c>
      <c r="T573" s="32">
        <v>0</v>
      </c>
      <c r="U573" s="32">
        <v>96537.1</v>
      </c>
      <c r="V573" s="32">
        <v>0</v>
      </c>
      <c r="W573" s="32">
        <v>2896.1130000000003</v>
      </c>
      <c r="X573" s="32">
        <v>93640.987000000008</v>
      </c>
      <c r="Y573" s="32">
        <v>93640.987000000008</v>
      </c>
      <c r="Z573" s="32">
        <v>96537.1</v>
      </c>
      <c r="AA573" s="32">
        <v>0</v>
      </c>
      <c r="AB573" s="32">
        <v>96537.1</v>
      </c>
      <c r="AC573" s="32" t="s">
        <v>541</v>
      </c>
      <c r="AD573" s="32"/>
      <c r="AE573" s="32">
        <v>96537.1</v>
      </c>
    </row>
    <row r="574" spans="1:31" x14ac:dyDescent="0.25">
      <c r="A574">
        <v>13193</v>
      </c>
      <c r="B574" t="s">
        <v>210</v>
      </c>
      <c r="C574" t="s">
        <v>211</v>
      </c>
      <c r="D574" s="35">
        <v>12586.97</v>
      </c>
      <c r="E574">
        <v>1246129615</v>
      </c>
      <c r="F574" s="324">
        <v>45594</v>
      </c>
      <c r="H574" t="s">
        <v>173</v>
      </c>
      <c r="I574" t="s">
        <v>174</v>
      </c>
      <c r="J574">
        <v>2804</v>
      </c>
      <c r="K574" s="324">
        <v>45338</v>
      </c>
      <c r="L574">
        <v>1010100</v>
      </c>
      <c r="M574" t="s">
        <v>35</v>
      </c>
      <c r="N574">
        <v>518</v>
      </c>
      <c r="O574" s="32">
        <v>0</v>
      </c>
      <c r="P574" s="32">
        <v>12586.97</v>
      </c>
      <c r="Q574" s="32">
        <v>0</v>
      </c>
      <c r="R574" s="32">
        <v>0</v>
      </c>
      <c r="S574" s="32">
        <v>0</v>
      </c>
      <c r="T574" s="32">
        <v>0</v>
      </c>
      <c r="U574" s="32">
        <v>12586.97</v>
      </c>
      <c r="V574" s="32">
        <v>0</v>
      </c>
      <c r="W574" s="32">
        <v>377.60909999999996</v>
      </c>
      <c r="X574" s="32">
        <v>12209.3609</v>
      </c>
      <c r="Y574" s="32">
        <v>12209.3609</v>
      </c>
      <c r="Z574" s="32">
        <v>12586.97</v>
      </c>
      <c r="AA574" s="32">
        <v>0</v>
      </c>
      <c r="AB574" s="32">
        <v>12586.97</v>
      </c>
      <c r="AC574" s="32" t="s">
        <v>541</v>
      </c>
      <c r="AD574" s="32"/>
      <c r="AE574" s="32">
        <v>12586.97</v>
      </c>
    </row>
    <row r="575" spans="1:31" x14ac:dyDescent="0.25">
      <c r="A575">
        <v>13193</v>
      </c>
      <c r="B575" t="s">
        <v>210</v>
      </c>
      <c r="C575" t="s">
        <v>211</v>
      </c>
      <c r="D575" s="35">
        <v>96537.1</v>
      </c>
      <c r="E575">
        <v>1246129423</v>
      </c>
      <c r="F575" s="324">
        <v>45597</v>
      </c>
      <c r="H575" t="s">
        <v>173</v>
      </c>
      <c r="I575" t="s">
        <v>174</v>
      </c>
      <c r="J575">
        <v>2793</v>
      </c>
      <c r="K575" s="324">
        <v>45337</v>
      </c>
      <c r="L575">
        <v>1010100</v>
      </c>
      <c r="M575" t="s">
        <v>35</v>
      </c>
      <c r="N575">
        <v>515</v>
      </c>
      <c r="O575" s="32">
        <v>0</v>
      </c>
      <c r="P575" s="32">
        <v>96537.1</v>
      </c>
      <c r="Q575" s="32">
        <v>0</v>
      </c>
      <c r="R575" s="32">
        <v>0</v>
      </c>
      <c r="S575" s="32">
        <v>0</v>
      </c>
      <c r="T575" s="32">
        <v>0</v>
      </c>
      <c r="U575" s="32">
        <v>96537.1</v>
      </c>
      <c r="V575" s="32">
        <v>0</v>
      </c>
      <c r="W575" s="32">
        <v>2896.1130000000003</v>
      </c>
      <c r="X575" s="32">
        <v>93640.987000000008</v>
      </c>
      <c r="Y575" s="32">
        <v>93640.987000000008</v>
      </c>
      <c r="Z575" s="32">
        <v>96537.1</v>
      </c>
      <c r="AA575" s="32">
        <v>0</v>
      </c>
      <c r="AB575" s="32">
        <v>96537.1</v>
      </c>
      <c r="AC575" s="32" t="s">
        <v>541</v>
      </c>
      <c r="AD575" s="32"/>
      <c r="AE575" s="32">
        <v>96537.1</v>
      </c>
    </row>
    <row r="576" spans="1:31" x14ac:dyDescent="0.25">
      <c r="A576">
        <v>13193</v>
      </c>
      <c r="B576" t="s">
        <v>210</v>
      </c>
      <c r="C576" t="s">
        <v>211</v>
      </c>
      <c r="D576" s="35">
        <v>96537.1</v>
      </c>
      <c r="E576">
        <v>1246129513</v>
      </c>
      <c r="F576" s="324">
        <v>45605</v>
      </c>
      <c r="H576" t="s">
        <v>173</v>
      </c>
      <c r="I576" t="s">
        <v>174</v>
      </c>
      <c r="J576">
        <v>2795</v>
      </c>
      <c r="K576" s="324">
        <v>45337</v>
      </c>
      <c r="L576">
        <v>1010100</v>
      </c>
      <c r="M576" t="s">
        <v>35</v>
      </c>
      <c r="N576">
        <v>507</v>
      </c>
      <c r="O576" s="32">
        <v>0</v>
      </c>
      <c r="P576" s="32">
        <v>96537.1</v>
      </c>
      <c r="Q576" s="32">
        <v>0</v>
      </c>
      <c r="R576" s="32">
        <v>0</v>
      </c>
      <c r="S576" s="32">
        <v>0</v>
      </c>
      <c r="T576" s="32">
        <v>0</v>
      </c>
      <c r="U576" s="32">
        <v>96537.1</v>
      </c>
      <c r="V576" s="32">
        <v>0</v>
      </c>
      <c r="W576" s="32">
        <v>2896.1130000000003</v>
      </c>
      <c r="X576" s="32">
        <v>93640.987000000008</v>
      </c>
      <c r="Y576" s="32">
        <v>93640.987000000008</v>
      </c>
      <c r="Z576" s="32">
        <v>96537.1</v>
      </c>
      <c r="AA576" s="32">
        <v>0</v>
      </c>
      <c r="AB576" s="32">
        <v>96537.1</v>
      </c>
      <c r="AC576" s="32" t="s">
        <v>541</v>
      </c>
      <c r="AD576" s="32"/>
      <c r="AE576" s="32">
        <v>96537.1</v>
      </c>
    </row>
    <row r="577" spans="1:31" x14ac:dyDescent="0.25">
      <c r="A577">
        <v>13193</v>
      </c>
      <c r="B577" t="s">
        <v>210</v>
      </c>
      <c r="C577" t="s">
        <v>211</v>
      </c>
      <c r="D577" s="35">
        <v>100695.77</v>
      </c>
      <c r="E577">
        <v>1246129348</v>
      </c>
      <c r="F577" s="324">
        <v>45592</v>
      </c>
      <c r="H577" t="s">
        <v>173</v>
      </c>
      <c r="I577" t="s">
        <v>174</v>
      </c>
      <c r="J577">
        <v>2788</v>
      </c>
      <c r="K577" s="324">
        <v>45336</v>
      </c>
      <c r="L577">
        <v>1010100</v>
      </c>
      <c r="M577" t="s">
        <v>35</v>
      </c>
      <c r="N577">
        <v>520</v>
      </c>
      <c r="O577" s="32">
        <v>0</v>
      </c>
      <c r="P577" s="32">
        <v>100695.77</v>
      </c>
      <c r="Q577" s="32">
        <v>0</v>
      </c>
      <c r="R577" s="32">
        <v>0</v>
      </c>
      <c r="S577" s="32">
        <v>0</v>
      </c>
      <c r="T577" s="32">
        <v>0</v>
      </c>
      <c r="U577" s="32">
        <v>100695.77</v>
      </c>
      <c r="V577" s="32">
        <v>0</v>
      </c>
      <c r="W577" s="32">
        <v>3020.8730999999998</v>
      </c>
      <c r="X577" s="32">
        <v>97674.896900000007</v>
      </c>
      <c r="Y577" s="32">
        <v>97674.896900000007</v>
      </c>
      <c r="Z577" s="32">
        <v>100695.77</v>
      </c>
      <c r="AA577" s="32">
        <v>0</v>
      </c>
      <c r="AB577" s="32">
        <v>100695.77</v>
      </c>
      <c r="AC577" s="32" t="s">
        <v>541</v>
      </c>
      <c r="AD577" s="32"/>
      <c r="AE577" s="32">
        <v>100695.77</v>
      </c>
    </row>
    <row r="578" spans="1:31" x14ac:dyDescent="0.25">
      <c r="A578">
        <v>13193</v>
      </c>
      <c r="B578" t="s">
        <v>210</v>
      </c>
      <c r="C578" t="s">
        <v>211</v>
      </c>
      <c r="D578" s="35">
        <v>96537.12</v>
      </c>
      <c r="E578">
        <v>1246129613</v>
      </c>
      <c r="F578" s="324">
        <v>45598</v>
      </c>
      <c r="H578" t="s">
        <v>173</v>
      </c>
      <c r="I578" t="s">
        <v>174</v>
      </c>
      <c r="J578">
        <v>2803</v>
      </c>
      <c r="K578" s="324">
        <v>45338</v>
      </c>
      <c r="L578">
        <v>1010100</v>
      </c>
      <c r="M578" t="s">
        <v>35</v>
      </c>
      <c r="N578">
        <v>514</v>
      </c>
      <c r="O578" s="32">
        <v>0</v>
      </c>
      <c r="P578" s="32">
        <v>96537.12</v>
      </c>
      <c r="Q578" s="32">
        <v>0</v>
      </c>
      <c r="R578" s="32">
        <v>0</v>
      </c>
      <c r="S578" s="32">
        <v>0</v>
      </c>
      <c r="T578" s="32">
        <v>0</v>
      </c>
      <c r="U578" s="32">
        <v>96537.12</v>
      </c>
      <c r="V578" s="32">
        <v>0</v>
      </c>
      <c r="W578" s="32">
        <v>2896.1135999999997</v>
      </c>
      <c r="X578" s="32">
        <v>93641.006399999998</v>
      </c>
      <c r="Y578" s="32">
        <v>93641.006399999998</v>
      </c>
      <c r="Z578" s="32">
        <v>96537.12</v>
      </c>
      <c r="AA578" s="32">
        <v>0</v>
      </c>
      <c r="AB578" s="32">
        <v>96537.12</v>
      </c>
      <c r="AC578" s="32" t="s">
        <v>541</v>
      </c>
      <c r="AD578" s="32"/>
      <c r="AE578" s="32">
        <v>96537.12</v>
      </c>
    </row>
    <row r="579" spans="1:31" x14ac:dyDescent="0.25">
      <c r="A579">
        <v>13193</v>
      </c>
      <c r="B579" t="s">
        <v>210</v>
      </c>
      <c r="C579" t="s">
        <v>211</v>
      </c>
      <c r="D579" s="35">
        <v>114958.38999999998</v>
      </c>
      <c r="E579">
        <v>1246126152</v>
      </c>
      <c r="F579" s="324">
        <v>45594</v>
      </c>
      <c r="H579" t="s">
        <v>173</v>
      </c>
      <c r="I579" t="s">
        <v>174</v>
      </c>
      <c r="J579">
        <v>2568</v>
      </c>
      <c r="K579" s="324">
        <v>45314</v>
      </c>
      <c r="L579">
        <v>1010100</v>
      </c>
      <c r="M579" t="s">
        <v>35</v>
      </c>
      <c r="N579">
        <v>518</v>
      </c>
      <c r="O579" s="32">
        <v>0</v>
      </c>
      <c r="P579" s="32">
        <v>114958.38999999997</v>
      </c>
      <c r="Q579" s="32">
        <v>0</v>
      </c>
      <c r="R579" s="32">
        <v>0</v>
      </c>
      <c r="S579" s="32">
        <v>0</v>
      </c>
      <c r="T579" s="32">
        <v>0</v>
      </c>
      <c r="U579" s="32">
        <v>114958.38999999998</v>
      </c>
      <c r="V579" s="32">
        <v>0</v>
      </c>
      <c r="W579" s="32">
        <v>3448.7516999999993</v>
      </c>
      <c r="X579" s="32">
        <v>111509.63829999998</v>
      </c>
      <c r="Y579" s="32">
        <v>111509.63829999998</v>
      </c>
      <c r="Z579" s="32">
        <v>114958.38999999998</v>
      </c>
      <c r="AA579" s="32">
        <v>0</v>
      </c>
      <c r="AB579" s="32">
        <v>114958.38999999997</v>
      </c>
      <c r="AC579" s="32" t="s">
        <v>541</v>
      </c>
      <c r="AD579" s="32"/>
      <c r="AE579" s="32">
        <v>114958.38999999997</v>
      </c>
    </row>
    <row r="580" spans="1:31" x14ac:dyDescent="0.25">
      <c r="A580">
        <v>13193</v>
      </c>
      <c r="B580" t="s">
        <v>210</v>
      </c>
      <c r="C580" t="s">
        <v>211</v>
      </c>
      <c r="D580" s="35">
        <v>111898.75000000001</v>
      </c>
      <c r="E580">
        <v>1246126325</v>
      </c>
      <c r="F580" s="324">
        <v>45595</v>
      </c>
      <c r="H580" t="s">
        <v>173</v>
      </c>
      <c r="I580" t="s">
        <v>174</v>
      </c>
      <c r="J580">
        <v>2581</v>
      </c>
      <c r="K580" s="324">
        <v>45315</v>
      </c>
      <c r="L580">
        <v>1010100</v>
      </c>
      <c r="M580" t="s">
        <v>35</v>
      </c>
      <c r="N580">
        <v>517</v>
      </c>
      <c r="O580" s="32">
        <v>0</v>
      </c>
      <c r="P580" s="32">
        <v>111898.75</v>
      </c>
      <c r="Q580" s="32">
        <v>0</v>
      </c>
      <c r="R580" s="32">
        <v>0</v>
      </c>
      <c r="S580" s="32">
        <v>0</v>
      </c>
      <c r="T580" s="32">
        <v>0</v>
      </c>
      <c r="U580" s="32">
        <v>111898.75000000001</v>
      </c>
      <c r="V580" s="32">
        <v>0</v>
      </c>
      <c r="W580" s="32">
        <v>3356.9625000000001</v>
      </c>
      <c r="X580" s="32">
        <v>108541.78750000001</v>
      </c>
      <c r="Y580" s="32">
        <v>108541.78750000001</v>
      </c>
      <c r="Z580" s="32">
        <v>111898.75000000001</v>
      </c>
      <c r="AA580" s="32">
        <v>0</v>
      </c>
      <c r="AB580" s="32">
        <v>111898.75</v>
      </c>
      <c r="AC580" s="32" t="s">
        <v>541</v>
      </c>
      <c r="AD580" s="32"/>
      <c r="AE580" s="32">
        <v>111898.75</v>
      </c>
    </row>
    <row r="581" spans="1:31" x14ac:dyDescent="0.25">
      <c r="A581">
        <v>13193</v>
      </c>
      <c r="B581" t="s">
        <v>210</v>
      </c>
      <c r="C581" t="s">
        <v>211</v>
      </c>
      <c r="D581" s="35">
        <v>108604.24</v>
      </c>
      <c r="E581">
        <v>1246126878</v>
      </c>
      <c r="F581" s="324">
        <v>45597</v>
      </c>
      <c r="G581" s="325"/>
      <c r="H581" t="s">
        <v>173</v>
      </c>
      <c r="I581" t="s">
        <v>174</v>
      </c>
      <c r="J581">
        <v>2614</v>
      </c>
      <c r="K581" s="324">
        <v>45317</v>
      </c>
      <c r="L581">
        <v>1010100</v>
      </c>
      <c r="M581" t="s">
        <v>35</v>
      </c>
      <c r="N581">
        <v>515</v>
      </c>
      <c r="O581" s="32">
        <v>0</v>
      </c>
      <c r="P581" s="32">
        <v>108604.24</v>
      </c>
      <c r="Q581" s="32">
        <v>0</v>
      </c>
      <c r="R581" s="32">
        <v>0</v>
      </c>
      <c r="S581" s="32">
        <v>0</v>
      </c>
      <c r="T581" s="32">
        <v>0</v>
      </c>
      <c r="U581" s="32">
        <v>108604.24</v>
      </c>
      <c r="V581" s="32">
        <v>0</v>
      </c>
      <c r="W581" s="32">
        <v>3258.1271999999999</v>
      </c>
      <c r="X581" s="32">
        <v>105346.1128</v>
      </c>
      <c r="Y581" s="32">
        <v>105346.1128</v>
      </c>
      <c r="Z581" s="32">
        <v>108604.24</v>
      </c>
      <c r="AA581" s="32">
        <v>0</v>
      </c>
      <c r="AB581" s="32">
        <v>108604.24</v>
      </c>
      <c r="AC581" s="32" t="s">
        <v>541</v>
      </c>
      <c r="AD581" s="32"/>
      <c r="AE581" s="32">
        <v>108604.24</v>
      </c>
    </row>
    <row r="582" spans="1:31" x14ac:dyDescent="0.25">
      <c r="A582">
        <v>13193</v>
      </c>
      <c r="B582" t="s">
        <v>210</v>
      </c>
      <c r="C582" t="s">
        <v>211</v>
      </c>
      <c r="D582" s="35">
        <v>110524.44</v>
      </c>
      <c r="E582">
        <v>1246126771</v>
      </c>
      <c r="F582" s="324">
        <v>45597</v>
      </c>
      <c r="H582" t="s">
        <v>173</v>
      </c>
      <c r="I582" t="s">
        <v>174</v>
      </c>
      <c r="J582">
        <v>2605</v>
      </c>
      <c r="K582" s="324">
        <v>45317</v>
      </c>
      <c r="L582">
        <v>1010100</v>
      </c>
      <c r="M582" t="s">
        <v>35</v>
      </c>
      <c r="N582">
        <v>515</v>
      </c>
      <c r="O582" s="32">
        <v>0</v>
      </c>
      <c r="P582" s="32">
        <v>110524.44</v>
      </c>
      <c r="Q582" s="32">
        <v>0</v>
      </c>
      <c r="R582" s="32">
        <v>0</v>
      </c>
      <c r="S582" s="32">
        <v>0</v>
      </c>
      <c r="T582" s="32">
        <v>0</v>
      </c>
      <c r="U582" s="32">
        <v>110524.44</v>
      </c>
      <c r="V582" s="32">
        <v>0</v>
      </c>
      <c r="W582" s="32">
        <v>3315.7332000000001</v>
      </c>
      <c r="X582" s="32">
        <v>107208.7068</v>
      </c>
      <c r="Y582" s="32">
        <v>107208.7068</v>
      </c>
      <c r="Z582" s="32">
        <v>110524.44</v>
      </c>
      <c r="AA582" s="32">
        <v>0</v>
      </c>
      <c r="AB582" s="32">
        <v>110524.44</v>
      </c>
      <c r="AC582" s="32" t="s">
        <v>541</v>
      </c>
      <c r="AD582" s="32"/>
      <c r="AE582" s="32">
        <v>110524.44</v>
      </c>
    </row>
    <row r="583" spans="1:31" x14ac:dyDescent="0.25">
      <c r="A583">
        <v>13193</v>
      </c>
      <c r="B583" t="s">
        <v>210</v>
      </c>
      <c r="C583" t="s">
        <v>211</v>
      </c>
      <c r="D583" s="35">
        <v>81453.179999999993</v>
      </c>
      <c r="E583">
        <v>1246126682</v>
      </c>
      <c r="F583" s="324">
        <v>45596</v>
      </c>
      <c r="H583" t="s">
        <v>173</v>
      </c>
      <c r="I583" t="s">
        <v>174</v>
      </c>
      <c r="J583">
        <v>2598</v>
      </c>
      <c r="K583" s="324">
        <v>45316</v>
      </c>
      <c r="L583">
        <v>1010100</v>
      </c>
      <c r="M583" t="s">
        <v>35</v>
      </c>
      <c r="N583">
        <v>516</v>
      </c>
      <c r="O583" s="32">
        <v>0</v>
      </c>
      <c r="P583" s="32">
        <v>81453.179999999993</v>
      </c>
      <c r="Q583" s="32">
        <v>0</v>
      </c>
      <c r="R583" s="32">
        <v>0</v>
      </c>
      <c r="S583" s="32">
        <v>0</v>
      </c>
      <c r="T583" s="32">
        <v>0</v>
      </c>
      <c r="U583" s="32">
        <v>81453.179999999993</v>
      </c>
      <c r="V583" s="32">
        <v>0</v>
      </c>
      <c r="W583" s="32">
        <v>2443.5953999999997</v>
      </c>
      <c r="X583" s="32">
        <v>79009.584599999987</v>
      </c>
      <c r="Y583" s="32">
        <v>79009.584599999987</v>
      </c>
      <c r="Z583" s="32">
        <v>81453.179999999993</v>
      </c>
      <c r="AA583" s="32">
        <v>0</v>
      </c>
      <c r="AB583" s="32">
        <v>81453.179999999993</v>
      </c>
      <c r="AC583" s="32" t="s">
        <v>541</v>
      </c>
      <c r="AD583" s="32"/>
      <c r="AE583" s="32">
        <v>81453.179999999993</v>
      </c>
    </row>
    <row r="584" spans="1:31" x14ac:dyDescent="0.25">
      <c r="A584">
        <v>13193</v>
      </c>
      <c r="B584" t="s">
        <v>210</v>
      </c>
      <c r="C584" t="s">
        <v>211</v>
      </c>
      <c r="D584" s="35">
        <v>97994.5</v>
      </c>
      <c r="E584">
        <v>1246124699</v>
      </c>
      <c r="F584" s="324">
        <v>45593</v>
      </c>
      <c r="H584" t="s">
        <v>173</v>
      </c>
      <c r="I584" t="s">
        <v>174</v>
      </c>
      <c r="J584">
        <v>2485</v>
      </c>
      <c r="K584" s="324">
        <v>45303</v>
      </c>
      <c r="L584">
        <v>1010100</v>
      </c>
      <c r="M584" t="s">
        <v>35</v>
      </c>
      <c r="N584">
        <v>519</v>
      </c>
      <c r="O584" s="32">
        <v>0</v>
      </c>
      <c r="P584" s="32">
        <v>97994.5</v>
      </c>
      <c r="Q584" s="32">
        <v>0</v>
      </c>
      <c r="R584" s="32">
        <v>0</v>
      </c>
      <c r="S584" s="32">
        <v>0</v>
      </c>
      <c r="T584" s="32">
        <v>0</v>
      </c>
      <c r="U584" s="32">
        <v>97994.5</v>
      </c>
      <c r="V584" s="32">
        <v>0</v>
      </c>
      <c r="W584" s="32">
        <v>2939.835</v>
      </c>
      <c r="X584" s="32">
        <v>95054.664999999994</v>
      </c>
      <c r="Y584" s="32">
        <v>95054.664999999994</v>
      </c>
      <c r="Z584" s="32">
        <v>97994.5</v>
      </c>
      <c r="AA584" s="32">
        <v>0</v>
      </c>
      <c r="AB584" s="32">
        <v>97994.5</v>
      </c>
      <c r="AC584" s="32" t="s">
        <v>541</v>
      </c>
      <c r="AD584" s="32"/>
      <c r="AE584" s="32">
        <v>97994.5</v>
      </c>
    </row>
    <row r="585" spans="1:31" x14ac:dyDescent="0.25">
      <c r="A585">
        <v>13193</v>
      </c>
      <c r="B585" t="s">
        <v>210</v>
      </c>
      <c r="C585" t="s">
        <v>211</v>
      </c>
      <c r="D585" s="35">
        <v>102482.69</v>
      </c>
      <c r="E585">
        <v>1246129677</v>
      </c>
      <c r="F585" s="324">
        <v>45594</v>
      </c>
      <c r="H585" t="s">
        <v>173</v>
      </c>
      <c r="I585" t="s">
        <v>174</v>
      </c>
      <c r="J585">
        <v>2818</v>
      </c>
      <c r="K585" s="324">
        <v>45338</v>
      </c>
      <c r="L585">
        <v>1010100</v>
      </c>
      <c r="M585" t="s">
        <v>35</v>
      </c>
      <c r="N585">
        <v>518</v>
      </c>
      <c r="O585" s="32">
        <v>0</v>
      </c>
      <c r="P585" s="32">
        <v>102482.69</v>
      </c>
      <c r="Q585" s="32">
        <v>0</v>
      </c>
      <c r="R585" s="32">
        <v>0</v>
      </c>
      <c r="S585" s="32">
        <v>0</v>
      </c>
      <c r="T585" s="32">
        <v>0</v>
      </c>
      <c r="U585" s="32">
        <v>102482.69</v>
      </c>
      <c r="V585" s="32">
        <v>0</v>
      </c>
      <c r="W585" s="32">
        <v>3074.4807000000001</v>
      </c>
      <c r="X585" s="32">
        <v>99408.209300000002</v>
      </c>
      <c r="Y585" s="32">
        <v>99408.209300000002</v>
      </c>
      <c r="Z585" s="32">
        <v>102482.69</v>
      </c>
      <c r="AA585" s="32">
        <v>0</v>
      </c>
      <c r="AB585" s="32">
        <v>102482.69</v>
      </c>
      <c r="AC585" s="32" t="s">
        <v>541</v>
      </c>
      <c r="AD585" s="32"/>
      <c r="AE585" s="32">
        <v>102482.69</v>
      </c>
    </row>
    <row r="586" spans="1:31" x14ac:dyDescent="0.25">
      <c r="A586">
        <v>13193</v>
      </c>
      <c r="B586" t="s">
        <v>210</v>
      </c>
      <c r="C586" t="s">
        <v>211</v>
      </c>
      <c r="D586" s="35">
        <v>140175.09</v>
      </c>
      <c r="E586">
        <v>1246130332</v>
      </c>
      <c r="F586" s="324">
        <v>45599</v>
      </c>
      <c r="H586" t="s">
        <v>173</v>
      </c>
      <c r="I586" t="s">
        <v>174</v>
      </c>
      <c r="J586">
        <v>2873</v>
      </c>
      <c r="K586" s="324">
        <v>45343</v>
      </c>
      <c r="L586">
        <v>1010100</v>
      </c>
      <c r="M586" t="s">
        <v>35</v>
      </c>
      <c r="N586">
        <v>513</v>
      </c>
      <c r="O586" s="32">
        <v>0</v>
      </c>
      <c r="P586" s="32">
        <v>140175.09</v>
      </c>
      <c r="Q586" s="32">
        <v>0</v>
      </c>
      <c r="R586" s="32">
        <v>0</v>
      </c>
      <c r="S586" s="32">
        <v>0</v>
      </c>
      <c r="T586" s="32">
        <v>0</v>
      </c>
      <c r="U586" s="32">
        <v>140175.09</v>
      </c>
      <c r="V586" s="32">
        <v>0</v>
      </c>
      <c r="W586" s="32">
        <v>4205.2527</v>
      </c>
      <c r="X586" s="32">
        <v>135969.83729999998</v>
      </c>
      <c r="Y586" s="32">
        <v>135969.83729999998</v>
      </c>
      <c r="Z586" s="32">
        <v>140175.09</v>
      </c>
      <c r="AA586" s="32">
        <v>0</v>
      </c>
      <c r="AB586" s="32">
        <v>140175.09</v>
      </c>
      <c r="AC586" s="32" t="s">
        <v>541</v>
      </c>
      <c r="AD586" s="32"/>
      <c r="AE586" s="32">
        <v>140175.09</v>
      </c>
    </row>
    <row r="587" spans="1:31" x14ac:dyDescent="0.25">
      <c r="A587">
        <v>13193</v>
      </c>
      <c r="B587" t="s">
        <v>210</v>
      </c>
      <c r="C587" t="s">
        <v>211</v>
      </c>
      <c r="D587" s="35">
        <v>112140.07</v>
      </c>
      <c r="E587">
        <v>1246130309</v>
      </c>
      <c r="F587" s="324">
        <v>45599</v>
      </c>
      <c r="H587" t="s">
        <v>173</v>
      </c>
      <c r="I587" t="s">
        <v>174</v>
      </c>
      <c r="J587">
        <v>2867</v>
      </c>
      <c r="K587" s="324">
        <v>45343</v>
      </c>
      <c r="L587">
        <v>1010100</v>
      </c>
      <c r="M587" t="s">
        <v>35</v>
      </c>
      <c r="N587">
        <v>513</v>
      </c>
      <c r="O587" s="32">
        <v>0</v>
      </c>
      <c r="P587" s="32">
        <v>112140.06999999999</v>
      </c>
      <c r="Q587" s="32">
        <v>0</v>
      </c>
      <c r="R587" s="32">
        <v>0</v>
      </c>
      <c r="S587" s="32">
        <v>0</v>
      </c>
      <c r="T587" s="32">
        <v>0</v>
      </c>
      <c r="U587" s="32">
        <v>112140.07</v>
      </c>
      <c r="V587" s="32">
        <v>0</v>
      </c>
      <c r="W587" s="32">
        <v>3364.2021</v>
      </c>
      <c r="X587" s="32">
        <v>108775.8679</v>
      </c>
      <c r="Y587" s="32">
        <v>108775.8679</v>
      </c>
      <c r="Z587" s="32">
        <v>112140.07</v>
      </c>
      <c r="AA587" s="32">
        <v>0</v>
      </c>
      <c r="AB587" s="32">
        <v>112140.06999999999</v>
      </c>
      <c r="AC587" s="32" t="s">
        <v>541</v>
      </c>
      <c r="AD587" s="32"/>
      <c r="AE587" s="32">
        <v>112140.06999999999</v>
      </c>
    </row>
    <row r="588" spans="1:31" x14ac:dyDescent="0.25">
      <c r="A588">
        <v>13193</v>
      </c>
      <c r="B588" t="s">
        <v>210</v>
      </c>
      <c r="C588" t="s">
        <v>211</v>
      </c>
      <c r="D588" s="35">
        <v>105131.31</v>
      </c>
      <c r="E588">
        <v>1246132575</v>
      </c>
      <c r="F588" s="324">
        <v>45597</v>
      </c>
      <c r="H588" t="s">
        <v>173</v>
      </c>
      <c r="I588" t="s">
        <v>174</v>
      </c>
      <c r="J588">
        <v>2994</v>
      </c>
      <c r="K588" s="324">
        <v>45357</v>
      </c>
      <c r="L588">
        <v>1010100</v>
      </c>
      <c r="M588" t="s">
        <v>35</v>
      </c>
      <c r="N588">
        <v>515</v>
      </c>
      <c r="O588" s="32">
        <v>0</v>
      </c>
      <c r="P588" s="32">
        <v>105131.31</v>
      </c>
      <c r="Q588" s="32">
        <v>0</v>
      </c>
      <c r="R588" s="32">
        <v>0</v>
      </c>
      <c r="S588" s="32">
        <v>0</v>
      </c>
      <c r="T588" s="32">
        <v>0</v>
      </c>
      <c r="U588" s="32">
        <v>105131.31</v>
      </c>
      <c r="V588" s="32">
        <v>0</v>
      </c>
      <c r="W588" s="32">
        <v>3153.9393</v>
      </c>
      <c r="X588" s="32">
        <v>101977.3707</v>
      </c>
      <c r="Y588" s="32">
        <v>101977.3707</v>
      </c>
      <c r="Z588" s="32">
        <v>105131.31</v>
      </c>
      <c r="AA588" s="32">
        <v>0</v>
      </c>
      <c r="AB588" s="32">
        <v>105131.31</v>
      </c>
      <c r="AC588" s="32" t="s">
        <v>541</v>
      </c>
      <c r="AD588" s="32"/>
      <c r="AE588" s="32">
        <v>105131.31</v>
      </c>
    </row>
    <row r="589" spans="1:31" x14ac:dyDescent="0.25">
      <c r="A589">
        <v>13193</v>
      </c>
      <c r="B589" t="s">
        <v>210</v>
      </c>
      <c r="C589" t="s">
        <v>211</v>
      </c>
      <c r="D589" s="35">
        <v>97257.29</v>
      </c>
      <c r="E589">
        <v>1246139180</v>
      </c>
      <c r="F589" s="324">
        <v>45573</v>
      </c>
      <c r="H589" t="s">
        <v>173</v>
      </c>
      <c r="I589" t="s">
        <v>174</v>
      </c>
      <c r="J589">
        <v>3265</v>
      </c>
      <c r="K589" s="324">
        <v>45393</v>
      </c>
      <c r="L589">
        <v>1010100</v>
      </c>
      <c r="M589" t="s">
        <v>35</v>
      </c>
      <c r="N589">
        <v>539</v>
      </c>
      <c r="O589" s="32">
        <v>0</v>
      </c>
      <c r="P589" s="32">
        <v>97257.29</v>
      </c>
      <c r="Q589" s="32">
        <v>0</v>
      </c>
      <c r="R589" s="32">
        <v>0</v>
      </c>
      <c r="S589" s="32">
        <v>0</v>
      </c>
      <c r="T589" s="32">
        <v>0</v>
      </c>
      <c r="U589" s="32">
        <v>97257.29</v>
      </c>
      <c r="V589" s="32">
        <v>0</v>
      </c>
      <c r="W589" s="32">
        <v>2917.7186999999999</v>
      </c>
      <c r="X589" s="32">
        <v>94339.571299999996</v>
      </c>
      <c r="Y589" s="32">
        <v>94339.571299999996</v>
      </c>
      <c r="Z589" s="32">
        <v>97257.29</v>
      </c>
      <c r="AA589" s="32">
        <v>0</v>
      </c>
      <c r="AB589" s="32">
        <v>97257.29</v>
      </c>
      <c r="AC589" s="32" t="s">
        <v>541</v>
      </c>
      <c r="AD589" s="32"/>
      <c r="AE589" s="32">
        <v>97257.29</v>
      </c>
    </row>
    <row r="590" spans="1:31" x14ac:dyDescent="0.25">
      <c r="A590">
        <v>13193</v>
      </c>
      <c r="B590" t="s">
        <v>210</v>
      </c>
      <c r="C590" t="s">
        <v>211</v>
      </c>
      <c r="D590" s="35">
        <v>104293.46</v>
      </c>
      <c r="E590">
        <v>1246135519</v>
      </c>
      <c r="F590" s="324">
        <v>45600</v>
      </c>
      <c r="H590" t="s">
        <v>173</v>
      </c>
      <c r="I590" t="s">
        <v>174</v>
      </c>
      <c r="J590">
        <v>3146</v>
      </c>
      <c r="K590" s="324">
        <v>45373</v>
      </c>
      <c r="L590">
        <v>1010100</v>
      </c>
      <c r="M590" t="s">
        <v>35</v>
      </c>
      <c r="N590">
        <v>512</v>
      </c>
      <c r="O590" s="32">
        <v>0</v>
      </c>
      <c r="P590" s="32">
        <v>104293.45999999999</v>
      </c>
      <c r="Q590" s="32">
        <v>0</v>
      </c>
      <c r="R590" s="32">
        <v>0</v>
      </c>
      <c r="S590" s="32">
        <v>0</v>
      </c>
      <c r="T590" s="32">
        <v>0</v>
      </c>
      <c r="U590" s="32">
        <v>104293.46</v>
      </c>
      <c r="V590" s="32">
        <v>0</v>
      </c>
      <c r="W590" s="32">
        <v>3128.8038000000001</v>
      </c>
      <c r="X590" s="32">
        <v>101164.6562</v>
      </c>
      <c r="Y590" s="32">
        <v>101164.6562</v>
      </c>
      <c r="Z590" s="32">
        <v>104293.46</v>
      </c>
      <c r="AA590" s="32">
        <v>0</v>
      </c>
      <c r="AB590" s="32">
        <v>104293.45999999999</v>
      </c>
      <c r="AC590" s="32" t="s">
        <v>541</v>
      </c>
      <c r="AD590" s="32"/>
      <c r="AE590" s="32">
        <v>104293.45999999999</v>
      </c>
    </row>
    <row r="591" spans="1:31" x14ac:dyDescent="0.25">
      <c r="A591">
        <v>13193</v>
      </c>
      <c r="B591" t="s">
        <v>210</v>
      </c>
      <c r="C591" t="s">
        <v>211</v>
      </c>
      <c r="D591" s="35">
        <v>120980.73</v>
      </c>
      <c r="E591">
        <v>1246138904</v>
      </c>
      <c r="F591" s="324">
        <v>45572</v>
      </c>
      <c r="H591" t="s">
        <v>173</v>
      </c>
      <c r="I591" t="s">
        <v>174</v>
      </c>
      <c r="J591">
        <v>3260</v>
      </c>
      <c r="K591" s="324">
        <v>45392</v>
      </c>
      <c r="L591">
        <v>1010100</v>
      </c>
      <c r="M591" t="s">
        <v>35</v>
      </c>
      <c r="N591">
        <v>540</v>
      </c>
      <c r="O591" s="32">
        <v>0</v>
      </c>
      <c r="P591" s="32">
        <v>120980.73</v>
      </c>
      <c r="Q591" s="32">
        <v>0</v>
      </c>
      <c r="R591" s="32">
        <v>0</v>
      </c>
      <c r="S591" s="32">
        <v>0</v>
      </c>
      <c r="T591" s="32">
        <v>0</v>
      </c>
      <c r="U591" s="32">
        <v>120980.73</v>
      </c>
      <c r="V591" s="32">
        <v>0</v>
      </c>
      <c r="W591" s="32">
        <v>3629.4218999999998</v>
      </c>
      <c r="X591" s="32">
        <v>117351.30809999999</v>
      </c>
      <c r="Y591" s="32">
        <v>117351.30809999999</v>
      </c>
      <c r="Z591" s="32">
        <v>120980.73</v>
      </c>
      <c r="AA591" s="32">
        <v>0</v>
      </c>
      <c r="AB591" s="32">
        <v>120980.73</v>
      </c>
      <c r="AC591" s="32" t="s">
        <v>541</v>
      </c>
      <c r="AD591" s="32"/>
      <c r="AE591" s="32">
        <v>120980.73</v>
      </c>
    </row>
    <row r="592" spans="1:31" x14ac:dyDescent="0.25">
      <c r="A592">
        <v>13193</v>
      </c>
      <c r="B592" t="s">
        <v>210</v>
      </c>
      <c r="C592" t="s">
        <v>211</v>
      </c>
      <c r="D592" s="35">
        <v>142145.26999999999</v>
      </c>
      <c r="E592">
        <v>1246138695</v>
      </c>
      <c r="F592" s="324">
        <v>45571</v>
      </c>
      <c r="H592" t="s">
        <v>173</v>
      </c>
      <c r="I592" t="s">
        <v>174</v>
      </c>
      <c r="J592">
        <v>3255</v>
      </c>
      <c r="K592" s="324">
        <v>45391</v>
      </c>
      <c r="L592">
        <v>1010100</v>
      </c>
      <c r="M592" t="s">
        <v>35</v>
      </c>
      <c r="N592">
        <v>541</v>
      </c>
      <c r="O592" s="32">
        <v>0</v>
      </c>
      <c r="P592" s="32">
        <v>142145.26999999999</v>
      </c>
      <c r="Q592" s="32">
        <v>0</v>
      </c>
      <c r="R592" s="32">
        <v>0</v>
      </c>
      <c r="S592" s="32">
        <v>0</v>
      </c>
      <c r="T592" s="32">
        <v>0</v>
      </c>
      <c r="U592" s="32">
        <v>142145.26999999999</v>
      </c>
      <c r="V592" s="32">
        <v>0</v>
      </c>
      <c r="W592" s="32">
        <v>4264.3580999999995</v>
      </c>
      <c r="X592" s="32">
        <v>137880.91189999998</v>
      </c>
      <c r="Y592" s="32">
        <v>137880.91189999998</v>
      </c>
      <c r="Z592" s="32">
        <v>142145.26999999999</v>
      </c>
      <c r="AA592" s="32">
        <v>0</v>
      </c>
      <c r="AB592" s="32">
        <v>142145.26999999999</v>
      </c>
      <c r="AC592" s="32" t="s">
        <v>541</v>
      </c>
      <c r="AD592" s="32"/>
      <c r="AE592" s="32">
        <v>142145.26999999999</v>
      </c>
    </row>
    <row r="593" spans="1:31" x14ac:dyDescent="0.25">
      <c r="A593">
        <v>13193</v>
      </c>
      <c r="B593" t="s">
        <v>210</v>
      </c>
      <c r="C593" t="s">
        <v>211</v>
      </c>
      <c r="D593" s="35">
        <v>30167.84</v>
      </c>
      <c r="E593">
        <v>1246134824</v>
      </c>
      <c r="F593" s="324">
        <v>45597</v>
      </c>
      <c r="H593" t="s">
        <v>173</v>
      </c>
      <c r="I593" t="s">
        <v>174</v>
      </c>
      <c r="J593">
        <v>3122</v>
      </c>
      <c r="K593" s="324">
        <v>45370</v>
      </c>
      <c r="L593">
        <v>1010100</v>
      </c>
      <c r="M593" t="s">
        <v>35</v>
      </c>
      <c r="N593">
        <v>515</v>
      </c>
      <c r="O593" s="32">
        <v>0</v>
      </c>
      <c r="P593" s="32">
        <v>30167.839999999997</v>
      </c>
      <c r="Q593" s="32">
        <v>0</v>
      </c>
      <c r="R593" s="32">
        <v>0</v>
      </c>
      <c r="S593" s="32">
        <v>0</v>
      </c>
      <c r="T593" s="32">
        <v>0</v>
      </c>
      <c r="U593" s="32">
        <v>30167.84</v>
      </c>
      <c r="V593" s="32">
        <v>0</v>
      </c>
      <c r="W593" s="32">
        <v>905.03519999999992</v>
      </c>
      <c r="X593" s="32">
        <v>29262.804799999998</v>
      </c>
      <c r="Y593" s="32">
        <v>29262.804799999998</v>
      </c>
      <c r="Z593" s="32">
        <v>30167.84</v>
      </c>
      <c r="AA593" s="32">
        <v>0</v>
      </c>
      <c r="AB593" s="32">
        <v>30167.839999999997</v>
      </c>
      <c r="AC593" s="32" t="s">
        <v>541</v>
      </c>
      <c r="AD593" s="32"/>
      <c r="AE593" s="32">
        <v>30167.839999999997</v>
      </c>
    </row>
    <row r="594" spans="1:31" x14ac:dyDescent="0.25">
      <c r="A594">
        <v>13193</v>
      </c>
      <c r="B594" t="s">
        <v>210</v>
      </c>
      <c r="C594" t="s">
        <v>211</v>
      </c>
      <c r="D594" s="35">
        <v>96077.53</v>
      </c>
      <c r="E594">
        <v>1246134935</v>
      </c>
      <c r="F594" s="324">
        <v>45598</v>
      </c>
      <c r="H594" t="s">
        <v>173</v>
      </c>
      <c r="I594" t="s">
        <v>174</v>
      </c>
      <c r="J594">
        <v>3128</v>
      </c>
      <c r="K594" s="324">
        <v>45371</v>
      </c>
      <c r="L594">
        <v>1010100</v>
      </c>
      <c r="M594" t="s">
        <v>35</v>
      </c>
      <c r="N594">
        <v>514</v>
      </c>
      <c r="O594" s="32">
        <v>0</v>
      </c>
      <c r="P594" s="32">
        <v>96077.53</v>
      </c>
      <c r="Q594" s="32">
        <v>0</v>
      </c>
      <c r="R594" s="32">
        <v>0</v>
      </c>
      <c r="S594" s="32">
        <v>0</v>
      </c>
      <c r="T594" s="32">
        <v>0</v>
      </c>
      <c r="U594" s="32">
        <v>96077.53</v>
      </c>
      <c r="V594" s="32">
        <v>0</v>
      </c>
      <c r="W594" s="32">
        <v>2882.3258999999998</v>
      </c>
      <c r="X594" s="32">
        <v>93195.204100000003</v>
      </c>
      <c r="Y594" s="32">
        <v>93195.204100000003</v>
      </c>
      <c r="Z594" s="32">
        <v>96077.53</v>
      </c>
      <c r="AA594" s="32">
        <v>0</v>
      </c>
      <c r="AB594" s="32">
        <v>96077.53</v>
      </c>
      <c r="AC594" s="32" t="s">
        <v>541</v>
      </c>
      <c r="AD594" s="32"/>
      <c r="AE594" s="32">
        <v>96077.53</v>
      </c>
    </row>
    <row r="595" spans="1:31" x14ac:dyDescent="0.25">
      <c r="A595">
        <v>13193</v>
      </c>
      <c r="B595" t="s">
        <v>210</v>
      </c>
      <c r="C595" t="s">
        <v>211</v>
      </c>
      <c r="D595" s="35">
        <v>90503.54</v>
      </c>
      <c r="E595">
        <v>1246134807</v>
      </c>
      <c r="F595" s="324">
        <v>45597</v>
      </c>
      <c r="H595" t="s">
        <v>173</v>
      </c>
      <c r="I595" t="s">
        <v>174</v>
      </c>
      <c r="J595">
        <v>3119</v>
      </c>
      <c r="K595" s="324">
        <v>45370</v>
      </c>
      <c r="L595">
        <v>1010100</v>
      </c>
      <c r="M595" t="s">
        <v>35</v>
      </c>
      <c r="N595">
        <v>515</v>
      </c>
      <c r="O595" s="32">
        <v>0</v>
      </c>
      <c r="P595" s="32">
        <v>90503.539999999979</v>
      </c>
      <c r="Q595" s="32">
        <v>0</v>
      </c>
      <c r="R595" s="32">
        <v>0</v>
      </c>
      <c r="S595" s="32">
        <v>0</v>
      </c>
      <c r="T595" s="32">
        <v>0</v>
      </c>
      <c r="U595" s="32">
        <v>90503.54</v>
      </c>
      <c r="V595" s="32">
        <v>0</v>
      </c>
      <c r="W595" s="32">
        <v>2715.1061999999997</v>
      </c>
      <c r="X595" s="32">
        <v>87788.433799999984</v>
      </c>
      <c r="Y595" s="32">
        <v>87788.433799999984</v>
      </c>
      <c r="Z595" s="32">
        <v>90503.54</v>
      </c>
      <c r="AA595" s="32">
        <v>0</v>
      </c>
      <c r="AB595" s="32">
        <v>90503.539999999979</v>
      </c>
      <c r="AC595" s="32" t="s">
        <v>541</v>
      </c>
      <c r="AD595" s="32"/>
      <c r="AE595" s="32">
        <v>90503.539999999979</v>
      </c>
    </row>
    <row r="596" spans="1:31" x14ac:dyDescent="0.25">
      <c r="A596">
        <v>13193</v>
      </c>
      <c r="B596" t="s">
        <v>210</v>
      </c>
      <c r="C596" t="s">
        <v>211</v>
      </c>
      <c r="D596" s="35">
        <v>90503.54</v>
      </c>
      <c r="E596">
        <v>1246134540</v>
      </c>
      <c r="F596" s="324">
        <v>45596</v>
      </c>
      <c r="H596" t="s">
        <v>173</v>
      </c>
      <c r="I596" t="s">
        <v>174</v>
      </c>
      <c r="J596">
        <v>3110</v>
      </c>
      <c r="K596" s="324">
        <v>45369</v>
      </c>
      <c r="L596">
        <v>1010100</v>
      </c>
      <c r="M596" t="s">
        <v>35</v>
      </c>
      <c r="N596">
        <v>516</v>
      </c>
      <c r="O596" s="32">
        <v>0</v>
      </c>
      <c r="P596" s="32">
        <v>90503.539999999979</v>
      </c>
      <c r="Q596" s="32">
        <v>0</v>
      </c>
      <c r="R596" s="32">
        <v>0</v>
      </c>
      <c r="S596" s="32">
        <v>0</v>
      </c>
      <c r="T596" s="32">
        <v>0</v>
      </c>
      <c r="U596" s="32">
        <v>90503.54</v>
      </c>
      <c r="V596" s="32">
        <v>0</v>
      </c>
      <c r="W596" s="32">
        <v>2715.1061999999997</v>
      </c>
      <c r="X596" s="32">
        <v>87788.433799999984</v>
      </c>
      <c r="Y596" s="32">
        <v>87788.433799999984</v>
      </c>
      <c r="Z596" s="32">
        <v>90503.54</v>
      </c>
      <c r="AA596" s="32">
        <v>0</v>
      </c>
      <c r="AB596" s="32">
        <v>90503.539999999979</v>
      </c>
      <c r="AC596" s="32" t="s">
        <v>541</v>
      </c>
      <c r="AD596" s="32"/>
      <c r="AE596" s="32">
        <v>90503.539999999979</v>
      </c>
    </row>
    <row r="597" spans="1:31" x14ac:dyDescent="0.25">
      <c r="A597">
        <v>13193</v>
      </c>
      <c r="B597" t="s">
        <v>210</v>
      </c>
      <c r="C597" t="s">
        <v>211</v>
      </c>
      <c r="D597" s="35">
        <v>82776.289999999994</v>
      </c>
      <c r="E597">
        <v>1246139327</v>
      </c>
      <c r="F597" s="324">
        <v>45573</v>
      </c>
      <c r="H597" t="s">
        <v>173</v>
      </c>
      <c r="I597" t="s">
        <v>174</v>
      </c>
      <c r="J597">
        <v>3272</v>
      </c>
      <c r="K597" s="324">
        <v>45393</v>
      </c>
      <c r="L597">
        <v>1010100</v>
      </c>
      <c r="M597" t="s">
        <v>35</v>
      </c>
      <c r="N597">
        <v>539</v>
      </c>
      <c r="O597" s="32">
        <v>0</v>
      </c>
      <c r="P597" s="32">
        <v>82776.289999999994</v>
      </c>
      <c r="Q597" s="32">
        <v>0</v>
      </c>
      <c r="R597" s="32">
        <v>0</v>
      </c>
      <c r="S597" s="32">
        <v>0</v>
      </c>
      <c r="T597" s="32">
        <v>0</v>
      </c>
      <c r="U597" s="32">
        <v>82776.289999999994</v>
      </c>
      <c r="V597" s="32">
        <v>0</v>
      </c>
      <c r="W597" s="32">
        <v>2483.2886999999996</v>
      </c>
      <c r="X597" s="32">
        <v>80293.001299999989</v>
      </c>
      <c r="Y597" s="32">
        <v>80293.001299999989</v>
      </c>
      <c r="Z597" s="32">
        <v>82776.289999999994</v>
      </c>
      <c r="AA597" s="32">
        <v>0</v>
      </c>
      <c r="AB597" s="32">
        <v>82776.289999999994</v>
      </c>
      <c r="AC597" s="32" t="s">
        <v>541</v>
      </c>
      <c r="AD597" s="32"/>
      <c r="AE597" s="32">
        <v>82776.289999999994</v>
      </c>
    </row>
    <row r="598" spans="1:31" x14ac:dyDescent="0.25">
      <c r="A598">
        <v>13193</v>
      </c>
      <c r="B598" t="s">
        <v>210</v>
      </c>
      <c r="C598" t="s">
        <v>211</v>
      </c>
      <c r="D598" s="35">
        <v>64051.68</v>
      </c>
      <c r="E598">
        <v>1246134828</v>
      </c>
      <c r="F598" s="324">
        <v>45597</v>
      </c>
      <c r="H598" t="s">
        <v>173</v>
      </c>
      <c r="I598" t="s">
        <v>174</v>
      </c>
      <c r="J598">
        <v>3123</v>
      </c>
      <c r="K598" s="324">
        <v>45370</v>
      </c>
      <c r="L598">
        <v>1010100</v>
      </c>
      <c r="M598" t="s">
        <v>35</v>
      </c>
      <c r="N598">
        <v>515</v>
      </c>
      <c r="O598" s="32">
        <v>0</v>
      </c>
      <c r="P598" s="32">
        <v>64051.68</v>
      </c>
      <c r="Q598" s="32">
        <v>0</v>
      </c>
      <c r="R598" s="32">
        <v>0</v>
      </c>
      <c r="S598" s="32">
        <v>0</v>
      </c>
      <c r="T598" s="32">
        <v>0</v>
      </c>
      <c r="U598" s="32">
        <v>64051.68</v>
      </c>
      <c r="V598" s="32">
        <v>0</v>
      </c>
      <c r="W598" s="32">
        <v>1921.5503999999999</v>
      </c>
      <c r="X598" s="32">
        <v>62130.1296</v>
      </c>
      <c r="Y598" s="32">
        <v>62130.1296</v>
      </c>
      <c r="Z598" s="32">
        <v>64051.68</v>
      </c>
      <c r="AA598" s="32">
        <v>0</v>
      </c>
      <c r="AB598" s="32">
        <v>64051.68</v>
      </c>
      <c r="AC598" s="32" t="s">
        <v>541</v>
      </c>
      <c r="AD598" s="32"/>
      <c r="AE598" s="32">
        <v>64051.68</v>
      </c>
    </row>
    <row r="599" spans="1:31" x14ac:dyDescent="0.25">
      <c r="A599">
        <v>13193</v>
      </c>
      <c r="B599" t="s">
        <v>210</v>
      </c>
      <c r="C599" t="s">
        <v>211</v>
      </c>
      <c r="D599" s="35">
        <v>96077.53</v>
      </c>
      <c r="E599">
        <v>1246134926</v>
      </c>
      <c r="F599" s="324">
        <v>45598</v>
      </c>
      <c r="H599" t="s">
        <v>173</v>
      </c>
      <c r="I599" t="s">
        <v>174</v>
      </c>
      <c r="J599">
        <v>3126</v>
      </c>
      <c r="K599" s="324">
        <v>45371</v>
      </c>
      <c r="L599">
        <v>1010100</v>
      </c>
      <c r="M599" t="s">
        <v>35</v>
      </c>
      <c r="N599">
        <v>514</v>
      </c>
      <c r="O599" s="32">
        <v>0</v>
      </c>
      <c r="P599" s="32">
        <v>96077.53</v>
      </c>
      <c r="Q599" s="32">
        <v>0</v>
      </c>
      <c r="R599" s="32">
        <v>0</v>
      </c>
      <c r="S599" s="32">
        <v>0</v>
      </c>
      <c r="T599" s="32">
        <v>0</v>
      </c>
      <c r="U599" s="32">
        <v>96077.53</v>
      </c>
      <c r="V599" s="32">
        <v>0</v>
      </c>
      <c r="W599" s="32">
        <v>2882.3258999999998</v>
      </c>
      <c r="X599" s="32">
        <v>93195.204100000003</v>
      </c>
      <c r="Y599" s="32">
        <v>93195.204100000003</v>
      </c>
      <c r="Z599" s="32">
        <v>96077.53</v>
      </c>
      <c r="AA599" s="32">
        <v>0</v>
      </c>
      <c r="AB599" s="32">
        <v>96077.53</v>
      </c>
      <c r="AC599" s="32" t="s">
        <v>541</v>
      </c>
      <c r="AD599" s="32"/>
      <c r="AE599" s="32">
        <v>96077.53</v>
      </c>
    </row>
    <row r="600" spans="1:31" x14ac:dyDescent="0.25">
      <c r="A600">
        <v>13193</v>
      </c>
      <c r="B600" t="s">
        <v>210</v>
      </c>
      <c r="C600" t="s">
        <v>211</v>
      </c>
      <c r="D600" s="35">
        <v>96077.53</v>
      </c>
      <c r="E600">
        <v>1246135475</v>
      </c>
      <c r="F600" s="324">
        <v>45600</v>
      </c>
      <c r="H600" t="s">
        <v>173</v>
      </c>
      <c r="I600" t="s">
        <v>174</v>
      </c>
      <c r="J600">
        <v>3143</v>
      </c>
      <c r="K600" s="324">
        <v>45373</v>
      </c>
      <c r="L600">
        <v>1010100</v>
      </c>
      <c r="M600" t="s">
        <v>35</v>
      </c>
      <c r="N600">
        <v>512</v>
      </c>
      <c r="O600" s="32">
        <v>0</v>
      </c>
      <c r="P600" s="32">
        <v>96077.53</v>
      </c>
      <c r="Q600" s="32">
        <v>0</v>
      </c>
      <c r="R600" s="32">
        <v>0</v>
      </c>
      <c r="S600" s="32">
        <v>0</v>
      </c>
      <c r="T600" s="32">
        <v>0</v>
      </c>
      <c r="U600" s="32">
        <v>96077.53</v>
      </c>
      <c r="V600" s="32">
        <v>0</v>
      </c>
      <c r="W600" s="32">
        <v>2882.3258999999998</v>
      </c>
      <c r="X600" s="32">
        <v>93195.204100000003</v>
      </c>
      <c r="Y600" s="32">
        <v>93195.204100000003</v>
      </c>
      <c r="Z600" s="32">
        <v>96077.53</v>
      </c>
      <c r="AA600" s="32">
        <v>0</v>
      </c>
      <c r="AB600" s="32">
        <v>96077.53</v>
      </c>
      <c r="AC600" s="32" t="s">
        <v>541</v>
      </c>
      <c r="AD600" s="32"/>
      <c r="AE600" s="32">
        <v>96077.53</v>
      </c>
    </row>
    <row r="601" spans="1:31" x14ac:dyDescent="0.25">
      <c r="A601">
        <v>14348</v>
      </c>
      <c r="B601" t="s">
        <v>452</v>
      </c>
      <c r="C601" t="s">
        <v>498</v>
      </c>
      <c r="D601" s="35">
        <v>131567.4</v>
      </c>
      <c r="E601">
        <v>1246216319</v>
      </c>
      <c r="F601" s="324">
        <v>46133</v>
      </c>
      <c r="H601" t="s">
        <v>173</v>
      </c>
      <c r="I601" t="s">
        <v>174</v>
      </c>
      <c r="J601">
        <v>2021</v>
      </c>
      <c r="K601" s="324">
        <v>45806</v>
      </c>
      <c r="L601">
        <v>1010100</v>
      </c>
      <c r="M601" t="s">
        <v>35</v>
      </c>
      <c r="N601">
        <v>-21</v>
      </c>
      <c r="O601" s="32">
        <v>0</v>
      </c>
      <c r="P601" s="32">
        <v>0</v>
      </c>
      <c r="Q601" s="32">
        <v>131567.4</v>
      </c>
      <c r="R601" s="32">
        <v>0</v>
      </c>
      <c r="S601" s="32">
        <v>0</v>
      </c>
      <c r="T601" s="32">
        <v>0</v>
      </c>
      <c r="U601" s="32">
        <v>0</v>
      </c>
      <c r="V601" s="32">
        <v>0</v>
      </c>
      <c r="W601" s="32">
        <v>0</v>
      </c>
      <c r="X601" s="32">
        <v>0</v>
      </c>
      <c r="Y601" s="32">
        <v>0</v>
      </c>
      <c r="Z601" s="32">
        <v>0</v>
      </c>
      <c r="AA601" s="32">
        <v>0</v>
      </c>
      <c r="AB601" s="32">
        <v>0</v>
      </c>
      <c r="AC601" s="32" t="s">
        <v>475</v>
      </c>
      <c r="AD601" s="32"/>
      <c r="AE601" s="32">
        <v>0</v>
      </c>
    </row>
    <row r="602" spans="1:31" x14ac:dyDescent="0.25">
      <c r="A602">
        <v>14348</v>
      </c>
      <c r="B602" t="s">
        <v>452</v>
      </c>
      <c r="C602" t="s">
        <v>498</v>
      </c>
      <c r="D602" s="35">
        <v>188669.12</v>
      </c>
      <c r="E602">
        <v>1246215914</v>
      </c>
      <c r="F602" s="324">
        <v>46132</v>
      </c>
      <c r="H602" t="s">
        <v>173</v>
      </c>
      <c r="I602" t="s">
        <v>174</v>
      </c>
      <c r="J602">
        <v>7942</v>
      </c>
      <c r="K602" s="324">
        <v>45805</v>
      </c>
      <c r="L602">
        <v>1010100</v>
      </c>
      <c r="M602" t="s">
        <v>35</v>
      </c>
      <c r="N602">
        <v>-20</v>
      </c>
      <c r="O602" s="32">
        <v>0</v>
      </c>
      <c r="P602" s="32">
        <v>0</v>
      </c>
      <c r="Q602" s="32">
        <v>188669.12</v>
      </c>
      <c r="R602" s="32">
        <v>0</v>
      </c>
      <c r="S602" s="32">
        <v>0</v>
      </c>
      <c r="T602" s="32">
        <v>0</v>
      </c>
      <c r="U602" s="32">
        <v>0</v>
      </c>
      <c r="V602" s="32">
        <v>0</v>
      </c>
      <c r="W602" s="32">
        <v>0</v>
      </c>
      <c r="X602" s="32">
        <v>0</v>
      </c>
      <c r="Y602" s="32">
        <v>0</v>
      </c>
      <c r="Z602" s="32">
        <v>0</v>
      </c>
      <c r="AA602" s="32">
        <v>0</v>
      </c>
      <c r="AB602" s="32">
        <v>0</v>
      </c>
      <c r="AC602" s="32" t="s">
        <v>475</v>
      </c>
      <c r="AD602" s="32"/>
      <c r="AE602" s="32">
        <v>0</v>
      </c>
    </row>
    <row r="603" spans="1:31" x14ac:dyDescent="0.25">
      <c r="A603">
        <v>14348</v>
      </c>
      <c r="B603" t="s">
        <v>452</v>
      </c>
      <c r="C603" t="s">
        <v>498</v>
      </c>
      <c r="D603" s="35">
        <v>188669.12</v>
      </c>
      <c r="E603">
        <v>1246215868</v>
      </c>
      <c r="F603" s="324">
        <v>46132</v>
      </c>
      <c r="H603" t="s">
        <v>173</v>
      </c>
      <c r="I603" t="s">
        <v>174</v>
      </c>
      <c r="J603">
        <v>7933</v>
      </c>
      <c r="K603" s="324">
        <v>45805</v>
      </c>
      <c r="L603">
        <v>1010100</v>
      </c>
      <c r="M603" t="s">
        <v>35</v>
      </c>
      <c r="N603">
        <v>-20</v>
      </c>
      <c r="O603" s="32">
        <v>0</v>
      </c>
      <c r="P603" s="32">
        <v>0</v>
      </c>
      <c r="Q603" s="32">
        <v>188669.12</v>
      </c>
      <c r="R603" s="32">
        <v>0</v>
      </c>
      <c r="S603" s="32">
        <v>0</v>
      </c>
      <c r="T603" s="32">
        <v>0</v>
      </c>
      <c r="U603" s="32">
        <v>0</v>
      </c>
      <c r="V603" s="32">
        <v>0</v>
      </c>
      <c r="W603" s="32">
        <v>0</v>
      </c>
      <c r="X603" s="32">
        <v>0</v>
      </c>
      <c r="Y603" s="32">
        <v>0</v>
      </c>
      <c r="Z603" s="32">
        <v>0</v>
      </c>
      <c r="AA603" s="32">
        <v>0</v>
      </c>
      <c r="AB603" s="32">
        <v>0</v>
      </c>
      <c r="AC603" s="32" t="s">
        <v>475</v>
      </c>
      <c r="AD603" s="32"/>
      <c r="AE603" s="32">
        <v>0</v>
      </c>
    </row>
    <row r="604" spans="1:31" x14ac:dyDescent="0.25">
      <c r="A604">
        <v>14348</v>
      </c>
      <c r="B604" t="s">
        <v>452</v>
      </c>
      <c r="C604" t="s">
        <v>498</v>
      </c>
      <c r="D604" s="35">
        <v>131567.4</v>
      </c>
      <c r="E604">
        <v>1246216133</v>
      </c>
      <c r="F604" s="324">
        <v>46133</v>
      </c>
      <c r="H604" t="s">
        <v>173</v>
      </c>
      <c r="I604" t="s">
        <v>174</v>
      </c>
      <c r="J604">
        <v>7957</v>
      </c>
      <c r="K604" s="324">
        <v>45806</v>
      </c>
      <c r="L604">
        <v>1010100</v>
      </c>
      <c r="M604" t="s">
        <v>35</v>
      </c>
      <c r="N604">
        <v>-21</v>
      </c>
      <c r="O604" s="32">
        <v>0</v>
      </c>
      <c r="P604" s="32">
        <v>0</v>
      </c>
      <c r="Q604" s="32">
        <v>131567.4</v>
      </c>
      <c r="R604" s="32">
        <v>0</v>
      </c>
      <c r="S604" s="32">
        <v>0</v>
      </c>
      <c r="T604" s="32">
        <v>0</v>
      </c>
      <c r="U604" s="32">
        <v>0</v>
      </c>
      <c r="V604" s="32">
        <v>0</v>
      </c>
      <c r="W604" s="32">
        <v>0</v>
      </c>
      <c r="X604" s="32">
        <v>0</v>
      </c>
      <c r="Y604" s="32">
        <v>0</v>
      </c>
      <c r="Z604" s="32">
        <v>0</v>
      </c>
      <c r="AA604" s="32">
        <v>0</v>
      </c>
      <c r="AB604" s="32">
        <v>0</v>
      </c>
      <c r="AC604" s="32" t="s">
        <v>475</v>
      </c>
      <c r="AD604" s="32"/>
      <c r="AE604" s="32">
        <v>0</v>
      </c>
    </row>
    <row r="605" spans="1:31" x14ac:dyDescent="0.25">
      <c r="A605">
        <v>14552</v>
      </c>
      <c r="B605" t="s">
        <v>335</v>
      </c>
      <c r="C605" t="s">
        <v>336</v>
      </c>
      <c r="D605" s="35">
        <v>156088</v>
      </c>
      <c r="E605">
        <v>1246226199</v>
      </c>
      <c r="F605" s="324">
        <v>46142</v>
      </c>
      <c r="H605" t="s">
        <v>173</v>
      </c>
      <c r="I605" t="s">
        <v>174</v>
      </c>
      <c r="J605">
        <v>8567</v>
      </c>
      <c r="K605" s="324">
        <v>45859</v>
      </c>
      <c r="L605">
        <v>1010100</v>
      </c>
      <c r="M605" t="s">
        <v>35</v>
      </c>
      <c r="N605">
        <v>-30</v>
      </c>
      <c r="O605" s="32">
        <v>0</v>
      </c>
      <c r="P605" s="32">
        <v>0</v>
      </c>
      <c r="Q605" s="32">
        <v>156088</v>
      </c>
      <c r="R605" s="32">
        <v>0</v>
      </c>
      <c r="S605" s="32">
        <v>0</v>
      </c>
      <c r="T605" s="32">
        <v>0</v>
      </c>
      <c r="U605" s="32">
        <v>0</v>
      </c>
      <c r="V605" s="32">
        <v>0</v>
      </c>
      <c r="W605" s="32">
        <v>0</v>
      </c>
      <c r="X605" s="32">
        <v>0</v>
      </c>
      <c r="Y605" s="32">
        <v>0</v>
      </c>
      <c r="Z605" s="32">
        <v>0</v>
      </c>
      <c r="AA605" s="32">
        <v>0</v>
      </c>
      <c r="AB605" s="32">
        <v>0</v>
      </c>
      <c r="AC605" s="32" t="s">
        <v>475</v>
      </c>
      <c r="AD605" s="32"/>
      <c r="AE605" s="32">
        <v>0</v>
      </c>
    </row>
    <row r="606" spans="1:31" x14ac:dyDescent="0.25">
      <c r="A606">
        <v>14552</v>
      </c>
      <c r="B606" t="s">
        <v>335</v>
      </c>
      <c r="C606" t="s">
        <v>336</v>
      </c>
      <c r="D606" s="35">
        <v>194626</v>
      </c>
      <c r="E606">
        <v>1246240017</v>
      </c>
      <c r="F606" s="324">
        <v>46143</v>
      </c>
      <c r="H606" t="s">
        <v>173</v>
      </c>
      <c r="I606" t="s">
        <v>174</v>
      </c>
      <c r="J606">
        <v>9500</v>
      </c>
      <c r="K606" s="324">
        <v>45929</v>
      </c>
      <c r="L606">
        <v>1010100</v>
      </c>
      <c r="M606" t="s">
        <v>35</v>
      </c>
      <c r="N606">
        <v>-31</v>
      </c>
      <c r="O606" s="32">
        <v>0</v>
      </c>
      <c r="P606" s="32">
        <v>0</v>
      </c>
      <c r="Q606" s="32">
        <v>194626</v>
      </c>
      <c r="R606" s="32">
        <v>0</v>
      </c>
      <c r="S606" s="32">
        <v>0</v>
      </c>
      <c r="T606" s="32">
        <v>0</v>
      </c>
      <c r="U606" s="32">
        <v>0</v>
      </c>
      <c r="V606" s="32">
        <v>0</v>
      </c>
      <c r="W606" s="32">
        <v>0</v>
      </c>
      <c r="X606" s="32">
        <v>0</v>
      </c>
      <c r="Y606" s="32">
        <v>0</v>
      </c>
      <c r="Z606" s="32">
        <v>0</v>
      </c>
      <c r="AA606" s="32">
        <v>0</v>
      </c>
      <c r="AB606" s="32">
        <v>0</v>
      </c>
      <c r="AC606" s="32" t="s">
        <v>475</v>
      </c>
      <c r="AD606" s="32"/>
      <c r="AE606" s="32">
        <v>0</v>
      </c>
    </row>
    <row r="607" spans="1:31" x14ac:dyDescent="0.25">
      <c r="A607">
        <v>14552</v>
      </c>
      <c r="B607" t="s">
        <v>335</v>
      </c>
      <c r="C607" t="s">
        <v>336</v>
      </c>
      <c r="D607" s="35">
        <v>176320</v>
      </c>
      <c r="E607">
        <v>1246225706</v>
      </c>
      <c r="F607" s="324">
        <v>46145</v>
      </c>
      <c r="H607" t="s">
        <v>173</v>
      </c>
      <c r="I607" t="s">
        <v>174</v>
      </c>
      <c r="J607">
        <v>8525</v>
      </c>
      <c r="K607" s="324">
        <v>45855</v>
      </c>
      <c r="L607">
        <v>1010100</v>
      </c>
      <c r="M607" t="s">
        <v>35</v>
      </c>
      <c r="N607">
        <v>-33</v>
      </c>
      <c r="O607" s="32">
        <v>0</v>
      </c>
      <c r="P607" s="32">
        <v>0</v>
      </c>
      <c r="Q607" s="32">
        <v>176320</v>
      </c>
      <c r="R607" s="32">
        <v>0</v>
      </c>
      <c r="S607" s="32">
        <v>0</v>
      </c>
      <c r="T607" s="32">
        <v>0</v>
      </c>
      <c r="U607" s="32">
        <v>0</v>
      </c>
      <c r="V607" s="32">
        <v>0</v>
      </c>
      <c r="W607" s="32">
        <v>0</v>
      </c>
      <c r="X607" s="32">
        <v>0</v>
      </c>
      <c r="Y607" s="32">
        <v>0</v>
      </c>
      <c r="Z607" s="32">
        <v>0</v>
      </c>
      <c r="AA607" s="32">
        <v>0</v>
      </c>
      <c r="AB607" s="32">
        <v>0</v>
      </c>
      <c r="AC607" s="32" t="s">
        <v>475</v>
      </c>
      <c r="AD607" s="32"/>
      <c r="AE607" s="32">
        <v>0</v>
      </c>
    </row>
    <row r="608" spans="1:31" x14ac:dyDescent="0.25">
      <c r="A608">
        <v>14552</v>
      </c>
      <c r="B608" t="s">
        <v>335</v>
      </c>
      <c r="C608" t="s">
        <v>336</v>
      </c>
      <c r="D608" s="35">
        <v>112043</v>
      </c>
      <c r="E608">
        <v>1246240517</v>
      </c>
      <c r="F608" s="324">
        <v>46144</v>
      </c>
      <c r="H608" t="s">
        <v>173</v>
      </c>
      <c r="I608" t="s">
        <v>174</v>
      </c>
      <c r="J608">
        <v>9522</v>
      </c>
      <c r="K608" s="324">
        <v>45930</v>
      </c>
      <c r="L608">
        <v>1010100</v>
      </c>
      <c r="M608" t="s">
        <v>35</v>
      </c>
      <c r="N608">
        <v>-32</v>
      </c>
      <c r="O608" s="32">
        <v>0</v>
      </c>
      <c r="P608" s="32">
        <v>0</v>
      </c>
      <c r="Q608" s="32">
        <v>112043</v>
      </c>
      <c r="R608" s="32">
        <v>0</v>
      </c>
      <c r="S608" s="32">
        <v>0</v>
      </c>
      <c r="T608" s="32">
        <v>0</v>
      </c>
      <c r="U608" s="32">
        <v>0</v>
      </c>
      <c r="V608" s="32">
        <v>0</v>
      </c>
      <c r="W608" s="32">
        <v>0</v>
      </c>
      <c r="X608" s="32">
        <v>0</v>
      </c>
      <c r="Y608" s="32">
        <v>0</v>
      </c>
      <c r="Z608" s="32">
        <v>0</v>
      </c>
      <c r="AA608" s="32">
        <v>0</v>
      </c>
      <c r="AB608" s="32">
        <v>0</v>
      </c>
      <c r="AC608" s="32" t="s">
        <v>475</v>
      </c>
      <c r="AD608" s="32"/>
      <c r="AE608" s="32">
        <v>0</v>
      </c>
    </row>
    <row r="609" spans="1:31" x14ac:dyDescent="0.25">
      <c r="A609">
        <v>14848</v>
      </c>
      <c r="B609" t="s">
        <v>377</v>
      </c>
      <c r="C609" t="s">
        <v>659</v>
      </c>
      <c r="D609" s="35">
        <v>207773.56999999998</v>
      </c>
      <c r="E609">
        <v>1246230064</v>
      </c>
      <c r="F609" s="324">
        <v>46162</v>
      </c>
      <c r="H609" t="s">
        <v>173</v>
      </c>
      <c r="I609" t="s">
        <v>174</v>
      </c>
      <c r="J609">
        <v>8811</v>
      </c>
      <c r="K609" s="324">
        <v>45877</v>
      </c>
      <c r="L609">
        <v>1010100</v>
      </c>
      <c r="M609" t="s">
        <v>35</v>
      </c>
      <c r="N609">
        <v>-50</v>
      </c>
      <c r="O609" s="32">
        <v>0</v>
      </c>
      <c r="P609" s="32">
        <v>0</v>
      </c>
      <c r="Q609" s="32">
        <v>207773.56999999998</v>
      </c>
      <c r="R609" s="32">
        <v>0</v>
      </c>
      <c r="S609" s="32">
        <v>0</v>
      </c>
      <c r="T609" s="32">
        <v>0</v>
      </c>
      <c r="U609" s="32">
        <v>0</v>
      </c>
      <c r="V609" s="32">
        <v>0</v>
      </c>
      <c r="W609" s="32">
        <v>0</v>
      </c>
      <c r="X609" s="32">
        <v>0</v>
      </c>
      <c r="Y609" s="32">
        <v>0</v>
      </c>
      <c r="Z609" s="32">
        <v>0</v>
      </c>
      <c r="AA609" s="32">
        <v>0</v>
      </c>
      <c r="AB609" s="32">
        <v>0</v>
      </c>
      <c r="AC609" s="32" t="s">
        <v>475</v>
      </c>
      <c r="AD609" s="32"/>
      <c r="AE609" s="32">
        <v>0</v>
      </c>
    </row>
    <row r="610" spans="1:31" x14ac:dyDescent="0.25">
      <c r="A610">
        <v>14848</v>
      </c>
      <c r="B610" t="s">
        <v>377</v>
      </c>
      <c r="C610" t="s">
        <v>659</v>
      </c>
      <c r="D610" s="35">
        <v>121554.34</v>
      </c>
      <c r="E610">
        <v>1246230701</v>
      </c>
      <c r="F610" s="324">
        <v>46164</v>
      </c>
      <c r="H610" t="s">
        <v>173</v>
      </c>
      <c r="I610" t="s">
        <v>174</v>
      </c>
      <c r="J610">
        <v>8856</v>
      </c>
      <c r="K610" s="324">
        <v>45881</v>
      </c>
      <c r="L610">
        <v>1010100</v>
      </c>
      <c r="M610" t="s">
        <v>35</v>
      </c>
      <c r="N610">
        <v>-52</v>
      </c>
      <c r="O610" s="32">
        <v>0</v>
      </c>
      <c r="P610" s="32">
        <v>0</v>
      </c>
      <c r="Q610" s="32">
        <v>121554.34</v>
      </c>
      <c r="R610" s="32">
        <v>0</v>
      </c>
      <c r="S610" s="32">
        <v>0</v>
      </c>
      <c r="T610" s="32">
        <v>0</v>
      </c>
      <c r="U610" s="32">
        <v>0</v>
      </c>
      <c r="V610" s="32">
        <v>0</v>
      </c>
      <c r="W610" s="32">
        <v>0</v>
      </c>
      <c r="X610" s="32">
        <v>0</v>
      </c>
      <c r="Y610" s="32">
        <v>0</v>
      </c>
      <c r="Z610" s="32">
        <v>0</v>
      </c>
      <c r="AA610" s="32">
        <v>0</v>
      </c>
      <c r="AB610" s="32">
        <v>0</v>
      </c>
      <c r="AC610" s="32" t="s">
        <v>475</v>
      </c>
      <c r="AD610" s="32"/>
      <c r="AE610" s="32">
        <v>0</v>
      </c>
    </row>
    <row r="611" spans="1:31" x14ac:dyDescent="0.25">
      <c r="A611">
        <v>14396</v>
      </c>
      <c r="B611" t="s">
        <v>270</v>
      </c>
      <c r="C611" t="s">
        <v>271</v>
      </c>
      <c r="D611" s="35">
        <v>137598</v>
      </c>
      <c r="E611">
        <v>1246163527</v>
      </c>
      <c r="F611" s="324">
        <v>45779</v>
      </c>
      <c r="H611" t="s">
        <v>173</v>
      </c>
      <c r="I611" t="s">
        <v>174</v>
      </c>
      <c r="J611">
        <v>4649</v>
      </c>
      <c r="K611" s="324">
        <v>45511</v>
      </c>
      <c r="L611">
        <v>1010100</v>
      </c>
      <c r="M611" t="s">
        <v>35</v>
      </c>
      <c r="N611">
        <v>333</v>
      </c>
      <c r="O611" s="32">
        <v>0</v>
      </c>
      <c r="P611" s="32">
        <v>4127.9399999999996</v>
      </c>
      <c r="Q611" s="32">
        <v>0</v>
      </c>
      <c r="R611" s="32">
        <v>0</v>
      </c>
      <c r="S611" s="32">
        <v>0</v>
      </c>
      <c r="T611" s="32">
        <v>137598</v>
      </c>
      <c r="U611" s="32">
        <v>0</v>
      </c>
      <c r="V611" s="32">
        <v>0</v>
      </c>
      <c r="W611" s="32">
        <v>4127.9399999999996</v>
      </c>
      <c r="X611" s="32">
        <v>0</v>
      </c>
      <c r="Y611" s="32">
        <v>0</v>
      </c>
      <c r="Z611" s="32">
        <v>0</v>
      </c>
      <c r="AA611" s="32">
        <v>0</v>
      </c>
      <c r="AB611" s="32">
        <v>4127.9399999999996</v>
      </c>
      <c r="AC611" s="32" t="s">
        <v>540</v>
      </c>
      <c r="AD611" s="32"/>
      <c r="AE611" s="32">
        <v>0</v>
      </c>
    </row>
    <row r="612" spans="1:31" x14ac:dyDescent="0.25">
      <c r="A612">
        <v>14396</v>
      </c>
      <c r="B612" t="s">
        <v>270</v>
      </c>
      <c r="C612" t="s">
        <v>271</v>
      </c>
      <c r="D612" s="35">
        <v>121086.24</v>
      </c>
      <c r="E612">
        <v>1246160799</v>
      </c>
      <c r="F612" s="324">
        <v>45779</v>
      </c>
      <c r="H612" t="s">
        <v>173</v>
      </c>
      <c r="I612" t="s">
        <v>174</v>
      </c>
      <c r="J612">
        <v>4489</v>
      </c>
      <c r="K612" s="324">
        <v>45499</v>
      </c>
      <c r="L612">
        <v>1010100</v>
      </c>
      <c r="M612" t="s">
        <v>35</v>
      </c>
      <c r="N612">
        <v>333</v>
      </c>
      <c r="O612" s="32">
        <v>0</v>
      </c>
      <c r="P612" s="32">
        <v>3632.5871999999999</v>
      </c>
      <c r="Q612" s="32">
        <v>0</v>
      </c>
      <c r="R612" s="32">
        <v>0</v>
      </c>
      <c r="S612" s="32">
        <v>0</v>
      </c>
      <c r="T612" s="32">
        <v>121086.24</v>
      </c>
      <c r="U612" s="32">
        <v>0</v>
      </c>
      <c r="V612" s="32">
        <v>0</v>
      </c>
      <c r="W612" s="32">
        <v>3632.5871999999999</v>
      </c>
      <c r="X612" s="32">
        <v>0</v>
      </c>
      <c r="Y612" s="32">
        <v>0</v>
      </c>
      <c r="Z612" s="32">
        <v>0</v>
      </c>
      <c r="AA612" s="32">
        <v>0</v>
      </c>
      <c r="AB612" s="32">
        <v>3632.5871999999999</v>
      </c>
      <c r="AC612" s="32" t="s">
        <v>540</v>
      </c>
      <c r="AD612" s="32"/>
      <c r="AE612" s="32">
        <v>0</v>
      </c>
    </row>
    <row r="613" spans="1:31" x14ac:dyDescent="0.25">
      <c r="A613">
        <v>14396</v>
      </c>
      <c r="B613" t="s">
        <v>270</v>
      </c>
      <c r="C613" t="s">
        <v>271</v>
      </c>
      <c r="D613" s="35">
        <v>145692</v>
      </c>
      <c r="E613">
        <v>1246160793</v>
      </c>
      <c r="F613">
        <v>45779</v>
      </c>
      <c r="H613" t="s">
        <v>173</v>
      </c>
      <c r="I613" t="s">
        <v>174</v>
      </c>
      <c r="J613">
        <v>4485</v>
      </c>
      <c r="K613">
        <v>45499</v>
      </c>
      <c r="L613">
        <v>1010100</v>
      </c>
      <c r="M613" t="s">
        <v>35</v>
      </c>
      <c r="N613">
        <v>333</v>
      </c>
      <c r="O613" s="32">
        <v>0</v>
      </c>
      <c r="P613">
        <v>4370.76</v>
      </c>
      <c r="Q613">
        <v>0</v>
      </c>
      <c r="R613">
        <v>0</v>
      </c>
      <c r="S613">
        <v>0</v>
      </c>
      <c r="T613">
        <v>145692</v>
      </c>
      <c r="U613">
        <v>0</v>
      </c>
      <c r="V613">
        <v>0</v>
      </c>
      <c r="W613">
        <v>4370.76</v>
      </c>
      <c r="X613">
        <v>0</v>
      </c>
      <c r="Y613">
        <v>0</v>
      </c>
      <c r="Z613">
        <v>0</v>
      </c>
      <c r="AA613" s="32">
        <v>0</v>
      </c>
      <c r="AB613" s="32">
        <v>4370.76</v>
      </c>
      <c r="AC613" t="s">
        <v>540</v>
      </c>
      <c r="AE613">
        <v>0</v>
      </c>
    </row>
    <row r="614" spans="1:31" x14ac:dyDescent="0.25">
      <c r="A614">
        <v>14396</v>
      </c>
      <c r="B614" t="s">
        <v>270</v>
      </c>
      <c r="C614" t="s">
        <v>271</v>
      </c>
      <c r="D614" s="35">
        <v>121410</v>
      </c>
      <c r="E614">
        <v>1246180565</v>
      </c>
      <c r="F614">
        <v>45776</v>
      </c>
      <c r="H614" t="s">
        <v>173</v>
      </c>
      <c r="I614" t="s">
        <v>174</v>
      </c>
      <c r="J614">
        <v>5953</v>
      </c>
      <c r="K614">
        <v>45600</v>
      </c>
      <c r="L614">
        <v>1010100</v>
      </c>
      <c r="M614" t="s">
        <v>35</v>
      </c>
      <c r="N614">
        <v>336</v>
      </c>
      <c r="O614" s="32">
        <v>0</v>
      </c>
      <c r="P614">
        <v>3642.2999999999997</v>
      </c>
      <c r="Q614">
        <v>0</v>
      </c>
      <c r="R614">
        <v>0</v>
      </c>
      <c r="S614">
        <v>0</v>
      </c>
      <c r="T614">
        <v>121410</v>
      </c>
      <c r="U614">
        <v>0</v>
      </c>
      <c r="V614">
        <v>0</v>
      </c>
      <c r="W614">
        <v>3642.2999999999997</v>
      </c>
      <c r="X614">
        <v>0</v>
      </c>
      <c r="Y614">
        <v>0</v>
      </c>
      <c r="Z614">
        <v>0</v>
      </c>
      <c r="AA614" s="32">
        <v>0</v>
      </c>
      <c r="AB614" s="32">
        <v>3642.2999999999997</v>
      </c>
      <c r="AC614" t="s">
        <v>540</v>
      </c>
      <c r="AE614">
        <v>0</v>
      </c>
    </row>
    <row r="615" spans="1:31" x14ac:dyDescent="0.25">
      <c r="A615">
        <v>14396</v>
      </c>
      <c r="B615" t="s">
        <v>270</v>
      </c>
      <c r="C615" t="s">
        <v>271</v>
      </c>
      <c r="D615" s="35">
        <v>171360</v>
      </c>
      <c r="E615">
        <v>1246202562</v>
      </c>
      <c r="F615">
        <v>45930</v>
      </c>
      <c r="H615" t="s">
        <v>173</v>
      </c>
      <c r="I615" t="s">
        <v>174</v>
      </c>
      <c r="J615">
        <v>7204</v>
      </c>
      <c r="K615">
        <v>45728</v>
      </c>
      <c r="L615">
        <v>1010100</v>
      </c>
      <c r="M615" t="s">
        <v>35</v>
      </c>
      <c r="N615">
        <v>182</v>
      </c>
      <c r="O615" s="32">
        <v>0</v>
      </c>
      <c r="P615">
        <v>5140.8</v>
      </c>
      <c r="Q615">
        <v>0</v>
      </c>
      <c r="R615">
        <v>0</v>
      </c>
      <c r="S615">
        <v>0</v>
      </c>
      <c r="T615">
        <v>171360</v>
      </c>
      <c r="U615">
        <v>0</v>
      </c>
      <c r="V615">
        <v>0</v>
      </c>
      <c r="W615">
        <v>5140.8</v>
      </c>
      <c r="X615">
        <v>0</v>
      </c>
      <c r="Y615">
        <v>0</v>
      </c>
      <c r="Z615">
        <v>0</v>
      </c>
      <c r="AA615" s="32">
        <v>0</v>
      </c>
      <c r="AB615" s="32">
        <v>5140.8</v>
      </c>
      <c r="AC615" t="s">
        <v>540</v>
      </c>
      <c r="AE615">
        <v>0</v>
      </c>
    </row>
    <row r="616" spans="1:31" x14ac:dyDescent="0.25">
      <c r="A616">
        <v>14396</v>
      </c>
      <c r="B616" t="s">
        <v>270</v>
      </c>
      <c r="C616" t="s">
        <v>271</v>
      </c>
      <c r="D616" s="35">
        <v>4000</v>
      </c>
      <c r="E616">
        <v>1246203613</v>
      </c>
      <c r="F616">
        <v>45920</v>
      </c>
      <c r="H616" t="s">
        <v>173</v>
      </c>
      <c r="I616" t="s">
        <v>174</v>
      </c>
      <c r="J616">
        <v>7286</v>
      </c>
      <c r="K616">
        <v>45735</v>
      </c>
      <c r="L616">
        <v>1010100</v>
      </c>
      <c r="M616" t="s">
        <v>35</v>
      </c>
      <c r="N616">
        <v>192</v>
      </c>
      <c r="O616" s="32">
        <v>0</v>
      </c>
      <c r="P616">
        <v>120</v>
      </c>
      <c r="Q616">
        <v>0</v>
      </c>
      <c r="R616">
        <v>0</v>
      </c>
      <c r="S616">
        <v>0</v>
      </c>
      <c r="T616">
        <v>4000</v>
      </c>
      <c r="U616">
        <v>0</v>
      </c>
      <c r="V616">
        <v>0</v>
      </c>
      <c r="W616">
        <v>120</v>
      </c>
      <c r="X616">
        <v>0</v>
      </c>
      <c r="Y616">
        <v>0</v>
      </c>
      <c r="Z616">
        <v>4000</v>
      </c>
      <c r="AA616" s="32">
        <v>0</v>
      </c>
      <c r="AB616" s="32">
        <v>120</v>
      </c>
      <c r="AC616" t="s">
        <v>540</v>
      </c>
      <c r="AE616">
        <v>120</v>
      </c>
    </row>
    <row r="617" spans="1:31" x14ac:dyDescent="0.25">
      <c r="A617">
        <v>14396</v>
      </c>
      <c r="B617" t="s">
        <v>270</v>
      </c>
      <c r="C617" t="s">
        <v>271</v>
      </c>
      <c r="D617" s="35">
        <v>139680</v>
      </c>
      <c r="E617">
        <v>1246199147</v>
      </c>
      <c r="F617">
        <v>45889</v>
      </c>
      <c r="H617" t="s">
        <v>173</v>
      </c>
      <c r="I617" t="s">
        <v>174</v>
      </c>
      <c r="J617">
        <v>6996</v>
      </c>
      <c r="K617">
        <v>45706</v>
      </c>
      <c r="L617">
        <v>1010100</v>
      </c>
      <c r="M617" t="s">
        <v>35</v>
      </c>
      <c r="N617">
        <v>223</v>
      </c>
      <c r="O617" s="32">
        <v>0</v>
      </c>
      <c r="P617">
        <v>4190.3999999999996</v>
      </c>
      <c r="Q617">
        <v>0</v>
      </c>
      <c r="R617">
        <v>0</v>
      </c>
      <c r="S617">
        <v>0</v>
      </c>
      <c r="T617">
        <v>139680</v>
      </c>
      <c r="U617">
        <v>0</v>
      </c>
      <c r="V617">
        <v>0</v>
      </c>
      <c r="W617">
        <v>4190.3999999999996</v>
      </c>
      <c r="X617">
        <v>0</v>
      </c>
      <c r="Y617">
        <v>0</v>
      </c>
      <c r="Z617">
        <v>0</v>
      </c>
      <c r="AA617" s="32">
        <v>0</v>
      </c>
      <c r="AB617" s="32">
        <v>4190.3999999999996</v>
      </c>
      <c r="AC617" t="s">
        <v>540</v>
      </c>
      <c r="AE617">
        <v>0</v>
      </c>
    </row>
    <row r="618" spans="1:31" x14ac:dyDescent="0.25">
      <c r="A618">
        <v>14396</v>
      </c>
      <c r="B618" t="s">
        <v>270</v>
      </c>
      <c r="C618" t="s">
        <v>271</v>
      </c>
      <c r="D618" s="35">
        <v>139680</v>
      </c>
      <c r="E618">
        <v>1246199209</v>
      </c>
      <c r="F618">
        <v>45889</v>
      </c>
      <c r="H618" t="s">
        <v>173</v>
      </c>
      <c r="I618" t="s">
        <v>174</v>
      </c>
      <c r="J618">
        <v>7005</v>
      </c>
      <c r="K618">
        <v>45706</v>
      </c>
      <c r="L618">
        <v>1010100</v>
      </c>
      <c r="M618" t="s">
        <v>35</v>
      </c>
      <c r="N618">
        <v>223</v>
      </c>
      <c r="O618" s="32">
        <v>0</v>
      </c>
      <c r="P618">
        <v>4190.3999999999996</v>
      </c>
      <c r="Q618">
        <v>0</v>
      </c>
      <c r="R618">
        <v>0</v>
      </c>
      <c r="S618">
        <v>0</v>
      </c>
      <c r="T618">
        <v>139680</v>
      </c>
      <c r="U618">
        <v>0</v>
      </c>
      <c r="V618">
        <v>0</v>
      </c>
      <c r="W618">
        <v>4190.3999999999996</v>
      </c>
      <c r="X618">
        <v>0</v>
      </c>
      <c r="Y618">
        <v>0</v>
      </c>
      <c r="Z618">
        <v>0</v>
      </c>
      <c r="AA618" s="32">
        <v>0</v>
      </c>
      <c r="AB618" s="32">
        <v>4190.3999999999996</v>
      </c>
      <c r="AC618" t="s">
        <v>540</v>
      </c>
      <c r="AE618">
        <v>0</v>
      </c>
    </row>
    <row r="619" spans="1:31" x14ac:dyDescent="0.25">
      <c r="A619">
        <v>14396</v>
      </c>
      <c r="B619" t="s">
        <v>270</v>
      </c>
      <c r="C619" t="s">
        <v>271</v>
      </c>
      <c r="D619" s="35">
        <v>8000</v>
      </c>
      <c r="E619">
        <v>1246205781</v>
      </c>
      <c r="F619">
        <v>45920</v>
      </c>
      <c r="H619" t="s">
        <v>173</v>
      </c>
      <c r="I619" t="s">
        <v>174</v>
      </c>
      <c r="J619">
        <v>7423</v>
      </c>
      <c r="K619">
        <v>45744</v>
      </c>
      <c r="L619">
        <v>1010100</v>
      </c>
      <c r="M619" t="s">
        <v>35</v>
      </c>
      <c r="N619">
        <v>192</v>
      </c>
      <c r="O619" s="32">
        <v>0</v>
      </c>
      <c r="P619">
        <v>240</v>
      </c>
      <c r="Q619">
        <v>0</v>
      </c>
      <c r="R619">
        <v>0</v>
      </c>
      <c r="S619">
        <v>0</v>
      </c>
      <c r="T619">
        <v>8000</v>
      </c>
      <c r="U619">
        <v>0</v>
      </c>
      <c r="V619">
        <v>0</v>
      </c>
      <c r="W619">
        <v>240</v>
      </c>
      <c r="X619">
        <v>0</v>
      </c>
      <c r="Y619">
        <v>0</v>
      </c>
      <c r="Z619">
        <v>8000</v>
      </c>
      <c r="AA619" s="32">
        <v>0</v>
      </c>
      <c r="AB619" s="32">
        <v>240</v>
      </c>
      <c r="AC619" t="s">
        <v>540</v>
      </c>
      <c r="AE619">
        <v>240</v>
      </c>
    </row>
    <row r="620" spans="1:31" x14ac:dyDescent="0.25">
      <c r="A620">
        <v>15749</v>
      </c>
      <c r="B620" t="s">
        <v>555</v>
      </c>
      <c r="C620" t="s">
        <v>906</v>
      </c>
      <c r="D620" s="35">
        <v>66740</v>
      </c>
      <c r="E620">
        <v>1246268739</v>
      </c>
      <c r="F620">
        <v>46133</v>
      </c>
      <c r="H620" t="s">
        <v>28</v>
      </c>
      <c r="I620" t="s">
        <v>29</v>
      </c>
      <c r="J620">
        <v>2838</v>
      </c>
      <c r="K620">
        <v>46105</v>
      </c>
      <c r="L620">
        <v>1010100</v>
      </c>
      <c r="M620" t="s">
        <v>35</v>
      </c>
      <c r="N620">
        <v>-21</v>
      </c>
      <c r="O620" s="32">
        <v>0</v>
      </c>
      <c r="P620">
        <v>0</v>
      </c>
      <c r="Q620">
        <v>66740</v>
      </c>
      <c r="R620">
        <v>0</v>
      </c>
      <c r="S620">
        <v>0</v>
      </c>
      <c r="T620">
        <v>0</v>
      </c>
      <c r="U620">
        <v>0</v>
      </c>
      <c r="V620">
        <v>0</v>
      </c>
      <c r="W620">
        <v>0</v>
      </c>
      <c r="X620">
        <v>0</v>
      </c>
      <c r="Y620">
        <v>0</v>
      </c>
      <c r="Z620">
        <v>0</v>
      </c>
      <c r="AA620" s="32">
        <v>0</v>
      </c>
      <c r="AB620" s="32">
        <v>0</v>
      </c>
      <c r="AC620" t="s">
        <v>475</v>
      </c>
      <c r="AE620">
        <v>0</v>
      </c>
    </row>
    <row r="621" spans="1:31" x14ac:dyDescent="0.25">
      <c r="A621">
        <v>16107</v>
      </c>
      <c r="B621" t="s">
        <v>581</v>
      </c>
      <c r="C621" t="s">
        <v>582</v>
      </c>
      <c r="D621" s="35">
        <v>58579.74</v>
      </c>
      <c r="E621">
        <v>1246235692</v>
      </c>
      <c r="F621">
        <v>46142</v>
      </c>
      <c r="H621" t="s">
        <v>173</v>
      </c>
      <c r="I621" t="s">
        <v>174</v>
      </c>
      <c r="J621">
        <v>9246</v>
      </c>
      <c r="K621">
        <v>45908</v>
      </c>
      <c r="L621">
        <v>1010100</v>
      </c>
      <c r="M621" t="s">
        <v>35</v>
      </c>
      <c r="N621">
        <v>-30</v>
      </c>
      <c r="O621" s="32">
        <v>0</v>
      </c>
      <c r="P621">
        <v>0</v>
      </c>
      <c r="Q621">
        <v>58579.74</v>
      </c>
      <c r="R621">
        <v>0</v>
      </c>
      <c r="S621">
        <v>0</v>
      </c>
      <c r="T621">
        <v>0</v>
      </c>
      <c r="U621">
        <v>0</v>
      </c>
      <c r="V621">
        <v>0</v>
      </c>
      <c r="W621">
        <v>0</v>
      </c>
      <c r="X621">
        <v>0</v>
      </c>
      <c r="Y621">
        <v>0</v>
      </c>
      <c r="Z621">
        <v>0</v>
      </c>
      <c r="AA621" s="32">
        <v>0</v>
      </c>
      <c r="AB621" s="32">
        <v>0</v>
      </c>
      <c r="AC621" t="s">
        <v>475</v>
      </c>
      <c r="AE621">
        <v>0</v>
      </c>
    </row>
    <row r="622" spans="1:31" x14ac:dyDescent="0.25">
      <c r="A622">
        <v>16107</v>
      </c>
      <c r="B622" t="s">
        <v>581</v>
      </c>
      <c r="C622" t="s">
        <v>582</v>
      </c>
      <c r="D622" s="35">
        <v>120293.94</v>
      </c>
      <c r="E622">
        <v>1246234013</v>
      </c>
      <c r="F622">
        <v>46164</v>
      </c>
      <c r="H622" t="s">
        <v>173</v>
      </c>
      <c r="I622" t="s">
        <v>174</v>
      </c>
      <c r="J622">
        <v>9130</v>
      </c>
      <c r="K622">
        <v>45898</v>
      </c>
      <c r="L622">
        <v>1010100</v>
      </c>
      <c r="M622" t="s">
        <v>35</v>
      </c>
      <c r="N622">
        <v>-52</v>
      </c>
      <c r="O622" s="32">
        <v>0</v>
      </c>
      <c r="P622">
        <v>0</v>
      </c>
      <c r="Q622">
        <v>120293.94</v>
      </c>
      <c r="R622">
        <v>0</v>
      </c>
      <c r="S622">
        <v>0</v>
      </c>
      <c r="T622">
        <v>0</v>
      </c>
      <c r="U622">
        <v>0</v>
      </c>
      <c r="V622">
        <v>0</v>
      </c>
      <c r="W622">
        <v>0</v>
      </c>
      <c r="X622">
        <v>0</v>
      </c>
      <c r="Y622">
        <v>0</v>
      </c>
      <c r="Z622">
        <v>0</v>
      </c>
      <c r="AA622" s="32">
        <v>0</v>
      </c>
      <c r="AB622" s="32">
        <v>0</v>
      </c>
      <c r="AC622" t="s">
        <v>475</v>
      </c>
      <c r="AE622">
        <v>0</v>
      </c>
    </row>
    <row r="623" spans="1:31" x14ac:dyDescent="0.25">
      <c r="A623">
        <v>16107</v>
      </c>
      <c r="B623" t="s">
        <v>581</v>
      </c>
      <c r="C623" t="s">
        <v>582</v>
      </c>
      <c r="D623" s="35">
        <v>52795.360000000001</v>
      </c>
      <c r="E623">
        <v>1246231811</v>
      </c>
      <c r="F623">
        <v>46144</v>
      </c>
      <c r="H623" t="s">
        <v>173</v>
      </c>
      <c r="I623" t="s">
        <v>174</v>
      </c>
      <c r="J623">
        <v>8929</v>
      </c>
      <c r="K623">
        <v>45888</v>
      </c>
      <c r="L623">
        <v>1010100</v>
      </c>
      <c r="M623" t="s">
        <v>35</v>
      </c>
      <c r="N623">
        <v>-32</v>
      </c>
      <c r="O623" s="32">
        <v>0</v>
      </c>
      <c r="P623">
        <v>0</v>
      </c>
      <c r="Q623">
        <v>52795.360000000001</v>
      </c>
      <c r="R623">
        <v>0</v>
      </c>
      <c r="S623">
        <v>0</v>
      </c>
      <c r="T623">
        <v>0</v>
      </c>
      <c r="U623">
        <v>0</v>
      </c>
      <c r="V623">
        <v>0</v>
      </c>
      <c r="W623">
        <v>0</v>
      </c>
      <c r="X623">
        <v>0</v>
      </c>
      <c r="Y623">
        <v>0</v>
      </c>
      <c r="Z623">
        <v>0</v>
      </c>
      <c r="AA623" s="32">
        <v>0</v>
      </c>
      <c r="AB623" s="32">
        <v>0</v>
      </c>
      <c r="AC623" t="s">
        <v>475</v>
      </c>
      <c r="AE623">
        <v>0</v>
      </c>
    </row>
    <row r="624" spans="1:31" x14ac:dyDescent="0.25">
      <c r="A624">
        <v>16107</v>
      </c>
      <c r="B624" t="s">
        <v>581</v>
      </c>
      <c r="C624" t="s">
        <v>582</v>
      </c>
      <c r="D624" s="35">
        <v>92391.88</v>
      </c>
      <c r="E624">
        <v>1246232362</v>
      </c>
      <c r="F624">
        <v>46144</v>
      </c>
      <c r="H624" t="s">
        <v>173</v>
      </c>
      <c r="I624" t="s">
        <v>174</v>
      </c>
      <c r="J624">
        <v>8978</v>
      </c>
      <c r="K624">
        <v>45890</v>
      </c>
      <c r="L624">
        <v>1010100</v>
      </c>
      <c r="M624" t="s">
        <v>35</v>
      </c>
      <c r="N624">
        <v>-32</v>
      </c>
      <c r="O624" s="32">
        <v>0</v>
      </c>
      <c r="P624">
        <v>0</v>
      </c>
      <c r="Q624">
        <v>92391.88</v>
      </c>
      <c r="R624">
        <v>0</v>
      </c>
      <c r="S624">
        <v>0</v>
      </c>
      <c r="T624">
        <v>0</v>
      </c>
      <c r="U624">
        <v>0</v>
      </c>
      <c r="V624">
        <v>0</v>
      </c>
      <c r="W624">
        <v>0</v>
      </c>
      <c r="X624">
        <v>0</v>
      </c>
      <c r="Y624">
        <v>0</v>
      </c>
      <c r="Z624">
        <v>0</v>
      </c>
      <c r="AA624" s="32">
        <v>0</v>
      </c>
      <c r="AB624" s="32">
        <v>0</v>
      </c>
      <c r="AC624" t="s">
        <v>475</v>
      </c>
      <c r="AE624">
        <v>0</v>
      </c>
    </row>
    <row r="625" spans="1:31" x14ac:dyDescent="0.25">
      <c r="A625">
        <v>16107</v>
      </c>
      <c r="B625" t="s">
        <v>581</v>
      </c>
      <c r="C625" t="s">
        <v>582</v>
      </c>
      <c r="D625" s="35">
        <v>94968.9</v>
      </c>
      <c r="E625">
        <v>1246234271</v>
      </c>
      <c r="F625">
        <v>46167</v>
      </c>
      <c r="H625" t="s">
        <v>173</v>
      </c>
      <c r="I625" t="s">
        <v>174</v>
      </c>
      <c r="J625">
        <v>9136</v>
      </c>
      <c r="K625">
        <v>45901</v>
      </c>
      <c r="L625">
        <v>1010100</v>
      </c>
      <c r="M625" t="s">
        <v>35</v>
      </c>
      <c r="N625">
        <v>-55</v>
      </c>
      <c r="O625" s="32">
        <v>0</v>
      </c>
      <c r="P625">
        <v>0</v>
      </c>
      <c r="Q625">
        <v>94968.9</v>
      </c>
      <c r="R625">
        <v>0</v>
      </c>
      <c r="S625">
        <v>0</v>
      </c>
      <c r="T625">
        <v>0</v>
      </c>
      <c r="U625">
        <v>0</v>
      </c>
      <c r="V625">
        <v>0</v>
      </c>
      <c r="W625">
        <v>0</v>
      </c>
      <c r="X625">
        <v>0</v>
      </c>
      <c r="Y625">
        <v>0</v>
      </c>
      <c r="Z625">
        <v>0</v>
      </c>
      <c r="AA625" s="32">
        <v>0</v>
      </c>
      <c r="AB625" s="32">
        <v>0</v>
      </c>
      <c r="AC625" t="s">
        <v>475</v>
      </c>
      <c r="AE625">
        <v>0</v>
      </c>
    </row>
    <row r="626" spans="1:31" x14ac:dyDescent="0.25">
      <c r="A626">
        <v>16107</v>
      </c>
      <c r="B626" t="s">
        <v>581</v>
      </c>
      <c r="C626" t="s">
        <v>582</v>
      </c>
      <c r="D626" s="35">
        <v>101300.16</v>
      </c>
      <c r="E626">
        <v>1246233237</v>
      </c>
      <c r="F626">
        <v>46162</v>
      </c>
      <c r="H626" t="s">
        <v>173</v>
      </c>
      <c r="I626" t="s">
        <v>174</v>
      </c>
      <c r="J626">
        <v>9072</v>
      </c>
      <c r="K626">
        <v>45896</v>
      </c>
      <c r="L626">
        <v>1010100</v>
      </c>
      <c r="M626" t="s">
        <v>35</v>
      </c>
      <c r="N626">
        <v>-50</v>
      </c>
      <c r="O626" s="32">
        <v>0</v>
      </c>
      <c r="P626">
        <v>0</v>
      </c>
      <c r="Q626">
        <v>101300.16</v>
      </c>
      <c r="R626">
        <v>0</v>
      </c>
      <c r="S626">
        <v>0</v>
      </c>
      <c r="T626">
        <v>0</v>
      </c>
      <c r="U626">
        <v>0</v>
      </c>
      <c r="V626">
        <v>0</v>
      </c>
      <c r="W626">
        <v>0</v>
      </c>
      <c r="X626">
        <v>0</v>
      </c>
      <c r="Y626">
        <v>0</v>
      </c>
      <c r="Z626">
        <v>0</v>
      </c>
      <c r="AA626" s="32">
        <v>0</v>
      </c>
      <c r="AB626" s="32">
        <v>0</v>
      </c>
      <c r="AC626" t="s">
        <v>475</v>
      </c>
      <c r="AE626">
        <v>0</v>
      </c>
    </row>
    <row r="627" spans="1:31" x14ac:dyDescent="0.25">
      <c r="A627">
        <v>16107</v>
      </c>
      <c r="B627" t="s">
        <v>581</v>
      </c>
      <c r="C627" t="s">
        <v>582</v>
      </c>
      <c r="D627" s="35">
        <v>27054.5</v>
      </c>
      <c r="E627">
        <v>1246235694</v>
      </c>
      <c r="F627">
        <v>46142</v>
      </c>
      <c r="H627" t="s">
        <v>173</v>
      </c>
      <c r="I627" t="s">
        <v>174</v>
      </c>
      <c r="J627">
        <v>9247</v>
      </c>
      <c r="K627">
        <v>45908</v>
      </c>
      <c r="L627">
        <v>1010100</v>
      </c>
      <c r="M627" t="s">
        <v>35</v>
      </c>
      <c r="N627">
        <v>-30</v>
      </c>
      <c r="O627" s="32">
        <v>0</v>
      </c>
      <c r="P627">
        <v>0</v>
      </c>
      <c r="Q627">
        <v>27054.5</v>
      </c>
      <c r="R627">
        <v>0</v>
      </c>
      <c r="S627">
        <v>0</v>
      </c>
      <c r="T627">
        <v>0</v>
      </c>
      <c r="U627">
        <v>0</v>
      </c>
      <c r="V627">
        <v>0</v>
      </c>
      <c r="W627">
        <v>0</v>
      </c>
      <c r="X627">
        <v>0</v>
      </c>
      <c r="Y627">
        <v>0</v>
      </c>
      <c r="Z627">
        <v>0</v>
      </c>
      <c r="AA627" s="32">
        <v>0</v>
      </c>
      <c r="AB627" s="32">
        <v>0</v>
      </c>
      <c r="AC627" t="s">
        <v>475</v>
      </c>
      <c r="AE627">
        <v>0</v>
      </c>
    </row>
    <row r="628" spans="1:31" x14ac:dyDescent="0.25">
      <c r="A628">
        <v>16107</v>
      </c>
      <c r="B628" t="s">
        <v>581</v>
      </c>
      <c r="C628" t="s">
        <v>582</v>
      </c>
      <c r="D628" s="35">
        <v>94968.9</v>
      </c>
      <c r="E628">
        <v>1246233894</v>
      </c>
      <c r="F628">
        <v>46164</v>
      </c>
      <c r="H628" t="s">
        <v>173</v>
      </c>
      <c r="I628" t="s">
        <v>174</v>
      </c>
      <c r="J628">
        <v>9120</v>
      </c>
      <c r="K628">
        <v>45898</v>
      </c>
      <c r="L628">
        <v>1010100</v>
      </c>
      <c r="M628" t="s">
        <v>35</v>
      </c>
      <c r="N628">
        <v>-52</v>
      </c>
      <c r="O628" s="32">
        <v>0</v>
      </c>
      <c r="P628">
        <v>0</v>
      </c>
      <c r="Q628">
        <v>94968.9</v>
      </c>
      <c r="R628">
        <v>0</v>
      </c>
      <c r="S628">
        <v>0</v>
      </c>
      <c r="T628">
        <v>0</v>
      </c>
      <c r="U628">
        <v>0</v>
      </c>
      <c r="V628">
        <v>0</v>
      </c>
      <c r="W628">
        <v>0</v>
      </c>
      <c r="X628">
        <v>0</v>
      </c>
      <c r="Y628">
        <v>0</v>
      </c>
      <c r="Z628">
        <v>0</v>
      </c>
      <c r="AA628" s="32">
        <v>0</v>
      </c>
      <c r="AB628" s="32">
        <v>0</v>
      </c>
      <c r="AC628" t="s">
        <v>475</v>
      </c>
      <c r="AE628">
        <v>0</v>
      </c>
    </row>
    <row r="629" spans="1:31" x14ac:dyDescent="0.25">
      <c r="A629">
        <v>16107</v>
      </c>
      <c r="B629" t="s">
        <v>581</v>
      </c>
      <c r="C629" t="s">
        <v>582</v>
      </c>
      <c r="D629" s="35">
        <v>94968.9</v>
      </c>
      <c r="E629">
        <v>1246238555</v>
      </c>
      <c r="F629">
        <v>46164</v>
      </c>
      <c r="H629" t="s">
        <v>173</v>
      </c>
      <c r="I629" t="s">
        <v>174</v>
      </c>
      <c r="J629">
        <v>9444</v>
      </c>
      <c r="K629">
        <v>45924</v>
      </c>
      <c r="L629">
        <v>1010100</v>
      </c>
      <c r="M629" t="s">
        <v>35</v>
      </c>
      <c r="N629">
        <v>-52</v>
      </c>
      <c r="O629" s="32">
        <v>0</v>
      </c>
      <c r="P629">
        <v>0</v>
      </c>
      <c r="Q629">
        <v>94968.9</v>
      </c>
      <c r="R629">
        <v>0</v>
      </c>
      <c r="S629">
        <v>0</v>
      </c>
      <c r="T629">
        <v>0</v>
      </c>
      <c r="U629">
        <v>0</v>
      </c>
      <c r="V629">
        <v>0</v>
      </c>
      <c r="W629">
        <v>0</v>
      </c>
      <c r="X629">
        <v>0</v>
      </c>
      <c r="Y629">
        <v>0</v>
      </c>
      <c r="Z629">
        <v>0</v>
      </c>
      <c r="AA629" s="32">
        <v>0</v>
      </c>
      <c r="AB629" s="32">
        <v>0</v>
      </c>
      <c r="AC629" t="s">
        <v>475</v>
      </c>
      <c r="AE629">
        <v>0</v>
      </c>
    </row>
    <row r="630" spans="1:31" x14ac:dyDescent="0.25">
      <c r="A630">
        <v>16107</v>
      </c>
      <c r="B630" t="s">
        <v>581</v>
      </c>
      <c r="C630" t="s">
        <v>582</v>
      </c>
      <c r="D630" s="35">
        <v>2217.7800000000002</v>
      </c>
      <c r="E630">
        <v>1246235696</v>
      </c>
      <c r="F630">
        <v>46142</v>
      </c>
      <c r="H630" t="s">
        <v>173</v>
      </c>
      <c r="I630" t="s">
        <v>174</v>
      </c>
      <c r="J630">
        <v>9248</v>
      </c>
      <c r="K630">
        <v>45908</v>
      </c>
      <c r="L630">
        <v>1010100</v>
      </c>
      <c r="M630" t="s">
        <v>35</v>
      </c>
      <c r="N630">
        <v>-30</v>
      </c>
      <c r="O630" s="32">
        <v>0</v>
      </c>
      <c r="P630">
        <v>0</v>
      </c>
      <c r="Q630">
        <v>2217.7800000000002</v>
      </c>
      <c r="R630">
        <v>0</v>
      </c>
      <c r="S630">
        <v>0</v>
      </c>
      <c r="T630">
        <v>0</v>
      </c>
      <c r="U630">
        <v>0</v>
      </c>
      <c r="V630">
        <v>0</v>
      </c>
      <c r="W630">
        <v>0</v>
      </c>
      <c r="X630">
        <v>0</v>
      </c>
      <c r="Y630">
        <v>0</v>
      </c>
      <c r="Z630">
        <v>0</v>
      </c>
      <c r="AA630" s="32">
        <v>0</v>
      </c>
      <c r="AB630" s="32">
        <v>0</v>
      </c>
      <c r="AC630" t="s">
        <v>475</v>
      </c>
      <c r="AE630">
        <v>0</v>
      </c>
    </row>
    <row r="631" spans="1:31" x14ac:dyDescent="0.25">
      <c r="A631">
        <v>15917</v>
      </c>
      <c r="B631" t="s">
        <v>671</v>
      </c>
      <c r="C631" t="s">
        <v>695</v>
      </c>
      <c r="D631" s="35">
        <v>8176</v>
      </c>
      <c r="E631">
        <v>1246241844</v>
      </c>
      <c r="F631">
        <v>46143</v>
      </c>
      <c r="H631" t="s">
        <v>173</v>
      </c>
      <c r="I631" t="s">
        <v>174</v>
      </c>
      <c r="J631">
        <v>9608</v>
      </c>
      <c r="K631">
        <v>45937</v>
      </c>
      <c r="L631">
        <v>1010100</v>
      </c>
      <c r="M631" t="s">
        <v>35</v>
      </c>
      <c r="N631">
        <v>-31</v>
      </c>
      <c r="O631" s="32">
        <v>0</v>
      </c>
      <c r="P631">
        <v>0</v>
      </c>
      <c r="Q631">
        <v>8176</v>
      </c>
      <c r="R631">
        <v>0</v>
      </c>
      <c r="S631">
        <v>0</v>
      </c>
      <c r="T631">
        <v>0</v>
      </c>
      <c r="U631">
        <v>0</v>
      </c>
      <c r="V631">
        <v>0</v>
      </c>
      <c r="W631">
        <v>0</v>
      </c>
      <c r="X631">
        <v>0</v>
      </c>
      <c r="Y631">
        <v>0</v>
      </c>
      <c r="Z631">
        <v>0</v>
      </c>
      <c r="AA631" s="32">
        <v>0</v>
      </c>
      <c r="AB631" s="32">
        <v>0</v>
      </c>
      <c r="AC631" t="s">
        <v>475</v>
      </c>
      <c r="AE631">
        <v>0</v>
      </c>
    </row>
    <row r="632" spans="1:31" x14ac:dyDescent="0.25">
      <c r="A632">
        <v>15917</v>
      </c>
      <c r="B632" t="s">
        <v>671</v>
      </c>
      <c r="C632" t="s">
        <v>695</v>
      </c>
      <c r="D632" s="35">
        <v>2564.1</v>
      </c>
      <c r="E632">
        <v>1246237253</v>
      </c>
      <c r="F632">
        <v>46142</v>
      </c>
      <c r="H632" t="s">
        <v>173</v>
      </c>
      <c r="I632" t="s">
        <v>174</v>
      </c>
      <c r="J632">
        <v>9360</v>
      </c>
      <c r="K632">
        <v>45918</v>
      </c>
      <c r="L632">
        <v>1010100</v>
      </c>
      <c r="M632" t="s">
        <v>35</v>
      </c>
      <c r="N632">
        <v>-30</v>
      </c>
      <c r="O632" s="32">
        <v>0</v>
      </c>
      <c r="P632">
        <v>0</v>
      </c>
      <c r="Q632">
        <v>2564.1</v>
      </c>
      <c r="R632">
        <v>0</v>
      </c>
      <c r="S632">
        <v>0</v>
      </c>
      <c r="T632">
        <v>0</v>
      </c>
      <c r="U632">
        <v>0</v>
      </c>
      <c r="V632">
        <v>0</v>
      </c>
      <c r="W632">
        <v>0</v>
      </c>
      <c r="X632">
        <v>0</v>
      </c>
      <c r="Y632">
        <v>0</v>
      </c>
      <c r="Z632">
        <v>0</v>
      </c>
      <c r="AA632" s="32">
        <v>0</v>
      </c>
      <c r="AB632" s="32">
        <v>0</v>
      </c>
      <c r="AC632" t="s">
        <v>475</v>
      </c>
      <c r="AE632">
        <v>0</v>
      </c>
    </row>
    <row r="633" spans="1:31" x14ac:dyDescent="0.25">
      <c r="A633">
        <v>15917</v>
      </c>
      <c r="B633" t="s">
        <v>671</v>
      </c>
      <c r="C633" t="s">
        <v>695</v>
      </c>
      <c r="D633" s="35">
        <v>3492</v>
      </c>
      <c r="E633">
        <v>1246240189</v>
      </c>
      <c r="F633">
        <v>46154</v>
      </c>
      <c r="H633" t="s">
        <v>173</v>
      </c>
      <c r="I633" t="s">
        <v>174</v>
      </c>
      <c r="J633">
        <v>9509</v>
      </c>
      <c r="K633">
        <v>45930</v>
      </c>
      <c r="L633">
        <v>1010100</v>
      </c>
      <c r="M633" t="s">
        <v>35</v>
      </c>
      <c r="N633">
        <v>-42</v>
      </c>
      <c r="O633" s="32">
        <v>0</v>
      </c>
      <c r="P633">
        <v>0</v>
      </c>
      <c r="Q633">
        <v>3492</v>
      </c>
      <c r="R633">
        <v>0</v>
      </c>
      <c r="S633">
        <v>0</v>
      </c>
      <c r="T633">
        <v>0</v>
      </c>
      <c r="U633">
        <v>0</v>
      </c>
      <c r="V633">
        <v>0</v>
      </c>
      <c r="W633">
        <v>0</v>
      </c>
      <c r="X633">
        <v>0</v>
      </c>
      <c r="Y633">
        <v>0</v>
      </c>
      <c r="Z633">
        <v>0</v>
      </c>
      <c r="AA633" s="32">
        <v>0</v>
      </c>
      <c r="AB633" s="32">
        <v>0</v>
      </c>
      <c r="AC633" t="s">
        <v>475</v>
      </c>
      <c r="AE633">
        <v>0</v>
      </c>
    </row>
    <row r="634" spans="1:31" x14ac:dyDescent="0.25">
      <c r="A634">
        <v>15917</v>
      </c>
      <c r="B634" t="s">
        <v>671</v>
      </c>
      <c r="C634" t="s">
        <v>695</v>
      </c>
      <c r="D634" s="35">
        <v>6293.7</v>
      </c>
      <c r="E634">
        <v>1246241843</v>
      </c>
      <c r="F634">
        <v>46143</v>
      </c>
      <c r="H634" t="s">
        <v>173</v>
      </c>
      <c r="I634" t="s">
        <v>174</v>
      </c>
      <c r="J634">
        <v>9607</v>
      </c>
      <c r="K634">
        <v>45937</v>
      </c>
      <c r="L634">
        <v>1010100</v>
      </c>
      <c r="M634" t="s">
        <v>35</v>
      </c>
      <c r="N634">
        <v>-31</v>
      </c>
      <c r="O634" s="32">
        <v>0</v>
      </c>
      <c r="P634">
        <v>0</v>
      </c>
      <c r="Q634">
        <v>6293.7</v>
      </c>
      <c r="R634">
        <v>0</v>
      </c>
      <c r="S634">
        <v>0</v>
      </c>
      <c r="T634">
        <v>0</v>
      </c>
      <c r="U634">
        <v>0</v>
      </c>
      <c r="V634">
        <v>0</v>
      </c>
      <c r="W634">
        <v>0</v>
      </c>
      <c r="X634">
        <v>0</v>
      </c>
      <c r="Y634">
        <v>0</v>
      </c>
      <c r="Z634">
        <v>0</v>
      </c>
      <c r="AA634" s="32">
        <v>0</v>
      </c>
      <c r="AB634" s="32">
        <v>0</v>
      </c>
      <c r="AC634" t="s">
        <v>475</v>
      </c>
      <c r="AE634">
        <v>0</v>
      </c>
    </row>
    <row r="635" spans="1:31" x14ac:dyDescent="0.25">
      <c r="A635">
        <v>17497</v>
      </c>
      <c r="B635" t="s">
        <v>862</v>
      </c>
      <c r="C635" t="s">
        <v>881</v>
      </c>
      <c r="D635" s="35">
        <v>11278.17</v>
      </c>
      <c r="E635">
        <v>1246267007</v>
      </c>
      <c r="F635">
        <v>46120</v>
      </c>
      <c r="H635" t="s">
        <v>173</v>
      </c>
      <c r="I635" t="s">
        <v>174</v>
      </c>
      <c r="J635">
        <v>10842</v>
      </c>
      <c r="K635">
        <v>46090</v>
      </c>
      <c r="L635">
        <v>1010100</v>
      </c>
      <c r="M635" t="s">
        <v>35</v>
      </c>
      <c r="N635">
        <v>-8</v>
      </c>
      <c r="O635" s="32">
        <v>0</v>
      </c>
      <c r="P635">
        <v>0</v>
      </c>
      <c r="Q635">
        <v>11278.17</v>
      </c>
      <c r="R635">
        <v>0</v>
      </c>
      <c r="S635">
        <v>0</v>
      </c>
      <c r="T635">
        <v>0</v>
      </c>
      <c r="U635">
        <v>0</v>
      </c>
      <c r="V635">
        <v>0</v>
      </c>
      <c r="W635">
        <v>0</v>
      </c>
      <c r="X635">
        <v>0</v>
      </c>
      <c r="Y635">
        <v>0</v>
      </c>
      <c r="Z635">
        <v>0</v>
      </c>
      <c r="AA635" s="32">
        <v>0</v>
      </c>
      <c r="AB635" s="32">
        <v>0</v>
      </c>
      <c r="AC635" t="s">
        <v>475</v>
      </c>
      <c r="AE635">
        <v>0</v>
      </c>
    </row>
  </sheetData>
  <autoFilter ref="A3:AE607" xr:uid="{7FBE46A5-8BCE-4E4D-8CBB-A7B44C539DC2}"/>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sheetPr filterMode="1"/>
  <dimension ref="A1:Q176"/>
  <sheetViews>
    <sheetView zoomScale="80" zoomScaleNormal="80" workbookViewId="0">
      <pane xSplit="6" ySplit="1" topLeftCell="G2" activePane="bottomRight" state="frozen"/>
      <selection pane="topRight" activeCell="G1" sqref="G1"/>
      <selection pane="bottomLeft" activeCell="A2" sqref="A2"/>
      <selection pane="bottomRight" activeCell="C201" sqref="C201"/>
    </sheetView>
  </sheetViews>
  <sheetFormatPr defaultRowHeight="13.2" x14ac:dyDescent="0.25"/>
  <cols>
    <col min="1" max="1" width="13.33203125" bestFit="1" customWidth="1"/>
    <col min="2" max="2" width="14.33203125" bestFit="1" customWidth="1"/>
    <col min="3" max="3" width="42.88671875" customWidth="1"/>
    <col min="4" max="4" width="13.88671875" customWidth="1"/>
    <col min="5" max="5" width="255.6640625" hidden="1" customWidth="1"/>
    <col min="6" max="6" width="19.6640625" customWidth="1"/>
    <col min="7" max="7" width="38.33203125" customWidth="1"/>
    <col min="8" max="8" width="14.88671875" bestFit="1"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98" t="s">
        <v>583</v>
      </c>
      <c r="B1" s="98" t="s">
        <v>439</v>
      </c>
      <c r="C1" s="98" t="s">
        <v>440</v>
      </c>
      <c r="D1" s="98" t="s">
        <v>442</v>
      </c>
      <c r="E1" s="98" t="s">
        <v>444</v>
      </c>
      <c r="F1" s="98" t="s">
        <v>445</v>
      </c>
      <c r="G1" s="98" t="s">
        <v>443</v>
      </c>
      <c r="H1" s="98" t="s">
        <v>584</v>
      </c>
      <c r="I1" s="98" t="s">
        <v>446</v>
      </c>
      <c r="J1" s="98" t="s">
        <v>447</v>
      </c>
      <c r="K1" s="98" t="s">
        <v>585</v>
      </c>
      <c r="L1" s="98" t="s">
        <v>441</v>
      </c>
      <c r="M1" s="98" t="s">
        <v>586</v>
      </c>
      <c r="N1" s="98" t="s">
        <v>587</v>
      </c>
      <c r="O1" s="98" t="s">
        <v>588</v>
      </c>
      <c r="P1" s="98" t="s">
        <v>589</v>
      </c>
      <c r="Q1" s="98" t="s">
        <v>590</v>
      </c>
    </row>
    <row r="2" spans="1:17" hidden="1" x14ac:dyDescent="0.25">
      <c r="A2">
        <v>402</v>
      </c>
      <c r="B2">
        <v>16951</v>
      </c>
      <c r="C2" t="s">
        <v>749</v>
      </c>
      <c r="D2" s="260">
        <v>45979</v>
      </c>
      <c r="E2" t="s">
        <v>750</v>
      </c>
      <c r="F2" t="s">
        <v>448</v>
      </c>
      <c r="G2" s="25">
        <v>750000</v>
      </c>
      <c r="H2" s="25">
        <v>750000</v>
      </c>
      <c r="J2" s="260">
        <v>46344</v>
      </c>
      <c r="L2" t="s">
        <v>455</v>
      </c>
      <c r="M2" s="25">
        <v>750000</v>
      </c>
      <c r="N2" t="s">
        <v>448</v>
      </c>
      <c r="O2" s="25">
        <v>750000</v>
      </c>
      <c r="Q2" s="260">
        <v>46344</v>
      </c>
    </row>
    <row r="3" spans="1:17" hidden="1" x14ac:dyDescent="0.25">
      <c r="A3">
        <v>291</v>
      </c>
      <c r="B3">
        <v>4223</v>
      </c>
      <c r="C3" t="s">
        <v>700</v>
      </c>
      <c r="D3" s="260">
        <v>45903</v>
      </c>
      <c r="E3" t="s">
        <v>637</v>
      </c>
      <c r="F3" t="s">
        <v>448</v>
      </c>
      <c r="G3" s="25">
        <v>825000</v>
      </c>
      <c r="H3" s="25">
        <v>825000</v>
      </c>
      <c r="J3" s="260">
        <v>46268</v>
      </c>
      <c r="L3" t="s">
        <v>455</v>
      </c>
      <c r="M3" s="25"/>
      <c r="N3" t="s">
        <v>448</v>
      </c>
      <c r="O3" s="25">
        <v>825000</v>
      </c>
      <c r="Q3" s="260">
        <v>46268</v>
      </c>
    </row>
    <row r="4" spans="1:17" hidden="1" x14ac:dyDescent="0.25">
      <c r="A4">
        <v>222</v>
      </c>
      <c r="B4">
        <v>5882</v>
      </c>
      <c r="C4" t="s">
        <v>179</v>
      </c>
      <c r="D4" s="260">
        <v>45838</v>
      </c>
      <c r="E4" t="s">
        <v>643</v>
      </c>
      <c r="F4" t="s">
        <v>448</v>
      </c>
      <c r="G4" s="25">
        <v>275000</v>
      </c>
      <c r="H4" s="25">
        <v>275000</v>
      </c>
      <c r="J4" s="260"/>
      <c r="L4" t="s">
        <v>455</v>
      </c>
      <c r="M4" s="25"/>
      <c r="N4" t="s">
        <v>448</v>
      </c>
      <c r="O4" s="25">
        <v>275000</v>
      </c>
      <c r="Q4" s="260">
        <v>46203</v>
      </c>
    </row>
    <row r="5" spans="1:17" hidden="1" x14ac:dyDescent="0.25">
      <c r="A5">
        <v>400</v>
      </c>
      <c r="B5">
        <v>17497</v>
      </c>
      <c r="C5" t="s">
        <v>862</v>
      </c>
      <c r="D5" s="260">
        <v>46083</v>
      </c>
      <c r="E5" t="s">
        <v>863</v>
      </c>
      <c r="F5" t="s">
        <v>448</v>
      </c>
      <c r="G5" s="25">
        <v>300000</v>
      </c>
      <c r="H5" s="25">
        <v>300000</v>
      </c>
      <c r="J5" s="260">
        <v>46448</v>
      </c>
      <c r="L5" t="s">
        <v>455</v>
      </c>
      <c r="M5" s="25"/>
      <c r="N5" t="s">
        <v>448</v>
      </c>
      <c r="O5" s="25">
        <v>300000</v>
      </c>
      <c r="Q5" s="260">
        <v>46448</v>
      </c>
    </row>
    <row r="6" spans="1:17" hidden="1" x14ac:dyDescent="0.25">
      <c r="A6">
        <v>206</v>
      </c>
      <c r="B6">
        <v>11580</v>
      </c>
      <c r="C6" t="s">
        <v>492</v>
      </c>
      <c r="D6" s="260">
        <v>45831</v>
      </c>
      <c r="E6" t="s">
        <v>644</v>
      </c>
      <c r="F6" t="s">
        <v>448</v>
      </c>
      <c r="G6" s="25">
        <v>302500</v>
      </c>
      <c r="H6" s="25">
        <v>302500</v>
      </c>
      <c r="J6" s="260"/>
      <c r="L6" t="s">
        <v>469</v>
      </c>
      <c r="M6" s="25"/>
      <c r="N6" t="s">
        <v>448</v>
      </c>
      <c r="O6" s="25">
        <v>302500</v>
      </c>
      <c r="Q6" s="260">
        <v>46196</v>
      </c>
    </row>
    <row r="7" spans="1:17" hidden="1" x14ac:dyDescent="0.25">
      <c r="A7">
        <v>76</v>
      </c>
      <c r="B7">
        <v>14667</v>
      </c>
      <c r="C7" t="s">
        <v>324</v>
      </c>
      <c r="D7" s="260">
        <v>45618</v>
      </c>
      <c r="E7" t="s">
        <v>460</v>
      </c>
      <c r="F7" t="s">
        <v>448</v>
      </c>
      <c r="G7" s="25">
        <v>1500000</v>
      </c>
      <c r="H7" s="25">
        <v>1800000</v>
      </c>
      <c r="I7" t="s">
        <v>461</v>
      </c>
      <c r="J7" s="260"/>
      <c r="M7" s="25">
        <v>0</v>
      </c>
      <c r="N7" t="s">
        <v>448</v>
      </c>
      <c r="O7" s="25">
        <v>1500000</v>
      </c>
      <c r="Q7" s="260">
        <v>45983</v>
      </c>
    </row>
    <row r="8" spans="1:17" hidden="1" x14ac:dyDescent="0.25">
      <c r="A8">
        <v>381</v>
      </c>
      <c r="B8">
        <v>14258</v>
      </c>
      <c r="C8" t="s">
        <v>299</v>
      </c>
      <c r="D8" s="260">
        <v>45981</v>
      </c>
      <c r="E8" t="s">
        <v>751</v>
      </c>
      <c r="F8" t="s">
        <v>448</v>
      </c>
      <c r="G8" s="25">
        <v>750000</v>
      </c>
      <c r="H8" s="25">
        <v>750000</v>
      </c>
      <c r="J8" s="260">
        <v>46347</v>
      </c>
      <c r="L8" t="s">
        <v>455</v>
      </c>
      <c r="M8" s="25"/>
      <c r="N8" t="s">
        <v>448</v>
      </c>
      <c r="O8" s="25">
        <v>100000</v>
      </c>
      <c r="Q8" s="260">
        <v>46347</v>
      </c>
    </row>
    <row r="9" spans="1:17" hidden="1" x14ac:dyDescent="0.25">
      <c r="A9">
        <v>395</v>
      </c>
      <c r="B9">
        <v>16318</v>
      </c>
      <c r="C9" t="s">
        <v>649</v>
      </c>
      <c r="D9" s="260">
        <v>46076</v>
      </c>
      <c r="E9" t="s">
        <v>864</v>
      </c>
      <c r="F9" t="s">
        <v>448</v>
      </c>
      <c r="G9" s="25">
        <v>650000</v>
      </c>
      <c r="H9" s="25">
        <v>650000</v>
      </c>
      <c r="J9" s="260">
        <v>46441</v>
      </c>
      <c r="L9" t="s">
        <v>455</v>
      </c>
      <c r="M9" s="25"/>
      <c r="N9" t="s">
        <v>448</v>
      </c>
      <c r="O9" s="25">
        <v>650000</v>
      </c>
      <c r="Q9" s="260">
        <v>46441</v>
      </c>
    </row>
    <row r="10" spans="1:17" hidden="1" x14ac:dyDescent="0.25">
      <c r="A10">
        <v>270</v>
      </c>
      <c r="B10">
        <v>8187</v>
      </c>
      <c r="C10" t="s">
        <v>553</v>
      </c>
      <c r="D10" s="260">
        <v>45897</v>
      </c>
      <c r="E10" t="s">
        <v>677</v>
      </c>
      <c r="F10" t="s">
        <v>448</v>
      </c>
      <c r="G10" s="25">
        <v>4000000</v>
      </c>
      <c r="H10" s="25">
        <v>4000000</v>
      </c>
      <c r="J10" s="260">
        <v>46262</v>
      </c>
      <c r="K10">
        <v>180</v>
      </c>
      <c r="L10" t="s">
        <v>455</v>
      </c>
      <c r="M10" s="25"/>
      <c r="N10" t="s">
        <v>448</v>
      </c>
      <c r="O10" s="25">
        <v>1000000</v>
      </c>
      <c r="Q10" s="260">
        <v>46262</v>
      </c>
    </row>
    <row r="11" spans="1:17" hidden="1" x14ac:dyDescent="0.25">
      <c r="A11">
        <v>394</v>
      </c>
      <c r="B11">
        <v>7060</v>
      </c>
      <c r="C11" t="s">
        <v>182</v>
      </c>
      <c r="D11" s="260">
        <v>45890</v>
      </c>
      <c r="E11" t="s">
        <v>449</v>
      </c>
      <c r="F11" t="s">
        <v>448</v>
      </c>
      <c r="G11" s="25">
        <v>1800000</v>
      </c>
      <c r="H11" s="25">
        <v>500000</v>
      </c>
      <c r="I11" t="s">
        <v>450</v>
      </c>
      <c r="J11" s="260">
        <v>46255</v>
      </c>
      <c r="L11" t="s">
        <v>455</v>
      </c>
      <c r="M11" s="25"/>
      <c r="N11" t="s">
        <v>448</v>
      </c>
      <c r="O11" s="25">
        <v>500000</v>
      </c>
      <c r="P11" t="s">
        <v>226</v>
      </c>
      <c r="Q11" s="260">
        <v>46255</v>
      </c>
    </row>
    <row r="12" spans="1:17" hidden="1" x14ac:dyDescent="0.25">
      <c r="A12">
        <v>183</v>
      </c>
      <c r="B12">
        <v>12653</v>
      </c>
      <c r="C12" t="s">
        <v>260</v>
      </c>
      <c r="D12" s="260">
        <v>45821</v>
      </c>
      <c r="E12" t="s">
        <v>626</v>
      </c>
      <c r="F12" t="s">
        <v>448</v>
      </c>
      <c r="G12" s="25">
        <v>7000000</v>
      </c>
      <c r="H12" s="25">
        <v>3000000</v>
      </c>
      <c r="J12" s="260">
        <v>46186</v>
      </c>
      <c r="K12">
        <v>180</v>
      </c>
      <c r="L12" t="s">
        <v>455</v>
      </c>
      <c r="M12" s="25"/>
      <c r="N12" t="s">
        <v>448</v>
      </c>
      <c r="O12" s="25">
        <v>7000000</v>
      </c>
      <c r="Q12" s="260">
        <v>46186</v>
      </c>
    </row>
    <row r="13" spans="1:17" hidden="1" x14ac:dyDescent="0.25">
      <c r="A13">
        <v>278</v>
      </c>
      <c r="B13">
        <v>8217</v>
      </c>
      <c r="C13" t="s">
        <v>618</v>
      </c>
      <c r="D13" s="260">
        <v>45824</v>
      </c>
      <c r="E13" t="s">
        <v>627</v>
      </c>
      <c r="F13" t="s">
        <v>448</v>
      </c>
      <c r="G13" s="25">
        <v>700000</v>
      </c>
      <c r="H13" s="25">
        <v>700000</v>
      </c>
      <c r="J13" s="260"/>
      <c r="K13">
        <v>28</v>
      </c>
      <c r="L13" t="s">
        <v>455</v>
      </c>
      <c r="M13" s="25"/>
      <c r="N13" t="s">
        <v>448</v>
      </c>
      <c r="O13" s="25">
        <v>700000</v>
      </c>
      <c r="Q13" s="260">
        <v>46189</v>
      </c>
    </row>
    <row r="14" spans="1:17" hidden="1" x14ac:dyDescent="0.25">
      <c r="A14">
        <v>219</v>
      </c>
      <c r="B14">
        <v>14632</v>
      </c>
      <c r="C14" t="s">
        <v>464</v>
      </c>
      <c r="D14" s="260">
        <v>45835</v>
      </c>
      <c r="E14" t="s">
        <v>465</v>
      </c>
      <c r="F14" t="s">
        <v>448</v>
      </c>
      <c r="G14" s="25">
        <v>100000</v>
      </c>
      <c r="H14" s="25">
        <v>100000</v>
      </c>
      <c r="I14" t="s">
        <v>466</v>
      </c>
      <c r="J14" s="260">
        <v>46200</v>
      </c>
      <c r="K14">
        <v>28</v>
      </c>
      <c r="L14" t="s">
        <v>456</v>
      </c>
      <c r="M14" s="25"/>
      <c r="N14" t="s">
        <v>448</v>
      </c>
      <c r="O14" s="25"/>
      <c r="Q14" s="260">
        <v>46200</v>
      </c>
    </row>
    <row r="15" spans="1:17" hidden="1" x14ac:dyDescent="0.25">
      <c r="A15">
        <v>397</v>
      </c>
      <c r="B15">
        <v>17472</v>
      </c>
      <c r="C15" t="s">
        <v>865</v>
      </c>
      <c r="D15" s="260">
        <v>46072</v>
      </c>
      <c r="E15" t="s">
        <v>783</v>
      </c>
      <c r="F15" t="s">
        <v>448</v>
      </c>
      <c r="G15" s="25">
        <v>500000</v>
      </c>
      <c r="H15" s="25">
        <v>500000</v>
      </c>
      <c r="J15" s="260">
        <v>46437</v>
      </c>
      <c r="L15" t="s">
        <v>455</v>
      </c>
      <c r="M15" s="25">
        <v>500000</v>
      </c>
      <c r="N15" t="s">
        <v>448</v>
      </c>
      <c r="O15" s="25">
        <v>500000</v>
      </c>
      <c r="Q15" s="260">
        <v>46437</v>
      </c>
    </row>
    <row r="16" spans="1:17" hidden="1" x14ac:dyDescent="0.25">
      <c r="A16">
        <v>403</v>
      </c>
      <c r="B16">
        <v>2900</v>
      </c>
      <c r="C16" t="s">
        <v>550</v>
      </c>
      <c r="D16" s="260">
        <v>46090</v>
      </c>
      <c r="E16" t="s">
        <v>783</v>
      </c>
      <c r="F16" t="s">
        <v>448</v>
      </c>
      <c r="G16" s="25">
        <v>200000</v>
      </c>
      <c r="H16" s="25">
        <v>200000</v>
      </c>
      <c r="J16" s="260"/>
      <c r="L16" t="s">
        <v>455</v>
      </c>
      <c r="M16" s="25"/>
      <c r="N16" t="s">
        <v>448</v>
      </c>
      <c r="O16" s="25">
        <v>200000</v>
      </c>
      <c r="Q16" s="260">
        <v>46455</v>
      </c>
    </row>
    <row r="17" spans="1:17" hidden="1" x14ac:dyDescent="0.25">
      <c r="A17">
        <v>367</v>
      </c>
      <c r="B17">
        <v>2642</v>
      </c>
      <c r="C17" t="s">
        <v>784</v>
      </c>
      <c r="D17" s="260">
        <v>46001</v>
      </c>
      <c r="E17" t="s">
        <v>783</v>
      </c>
      <c r="F17" t="s">
        <v>448</v>
      </c>
      <c r="G17" s="25">
        <v>825000</v>
      </c>
      <c r="H17" s="25">
        <v>825000</v>
      </c>
      <c r="J17" s="260">
        <v>46366</v>
      </c>
      <c r="L17" t="s">
        <v>476</v>
      </c>
      <c r="M17" s="25"/>
      <c r="N17" t="s">
        <v>448</v>
      </c>
      <c r="O17" s="25">
        <v>825000</v>
      </c>
      <c r="Q17" s="260">
        <v>46366</v>
      </c>
    </row>
    <row r="18" spans="1:17" hidden="1" x14ac:dyDescent="0.25">
      <c r="A18">
        <v>180</v>
      </c>
      <c r="B18">
        <v>10413</v>
      </c>
      <c r="C18" t="s">
        <v>296</v>
      </c>
      <c r="D18" s="260">
        <v>45820</v>
      </c>
      <c r="E18" t="s">
        <v>624</v>
      </c>
      <c r="F18" t="s">
        <v>448</v>
      </c>
      <c r="G18" s="25">
        <v>800000</v>
      </c>
      <c r="H18" s="25">
        <v>800000</v>
      </c>
      <c r="J18" s="260"/>
      <c r="L18" t="s">
        <v>455</v>
      </c>
      <c r="M18" s="25"/>
      <c r="N18" t="s">
        <v>448</v>
      </c>
      <c r="O18" s="25">
        <v>800000</v>
      </c>
      <c r="Q18" s="260">
        <v>46186</v>
      </c>
    </row>
    <row r="19" spans="1:17" hidden="1" x14ac:dyDescent="0.25">
      <c r="A19">
        <v>355</v>
      </c>
      <c r="B19">
        <v>2287</v>
      </c>
      <c r="C19" t="s">
        <v>126</v>
      </c>
      <c r="D19" s="260">
        <v>45994</v>
      </c>
      <c r="E19" t="s">
        <v>773</v>
      </c>
      <c r="F19" t="s">
        <v>448</v>
      </c>
      <c r="G19" s="25">
        <v>962500</v>
      </c>
      <c r="H19" s="25">
        <v>962500</v>
      </c>
      <c r="J19" s="260">
        <v>46359</v>
      </c>
      <c r="L19" t="s">
        <v>455</v>
      </c>
      <c r="M19" s="25"/>
      <c r="N19" t="s">
        <v>448</v>
      </c>
      <c r="O19" s="25">
        <v>962500</v>
      </c>
      <c r="Q19" s="260">
        <v>46359</v>
      </c>
    </row>
    <row r="20" spans="1:17" hidden="1" x14ac:dyDescent="0.25">
      <c r="A20">
        <v>244</v>
      </c>
      <c r="B20">
        <v>3426</v>
      </c>
      <c r="C20" t="s">
        <v>403</v>
      </c>
      <c r="D20" s="260">
        <v>45831</v>
      </c>
      <c r="E20" t="s">
        <v>638</v>
      </c>
      <c r="F20" t="s">
        <v>448</v>
      </c>
      <c r="G20" s="25">
        <v>660000</v>
      </c>
      <c r="H20" s="25">
        <v>660000</v>
      </c>
      <c r="J20" s="260"/>
      <c r="L20" t="s">
        <v>469</v>
      </c>
      <c r="M20" s="25"/>
      <c r="N20" t="s">
        <v>448</v>
      </c>
      <c r="O20" s="25">
        <v>660000</v>
      </c>
      <c r="Q20" s="260">
        <v>46196</v>
      </c>
    </row>
    <row r="21" spans="1:17" hidden="1" x14ac:dyDescent="0.25">
      <c r="A21">
        <v>421</v>
      </c>
      <c r="B21">
        <v>16910</v>
      </c>
      <c r="C21" t="s">
        <v>696</v>
      </c>
      <c r="D21" s="260">
        <v>46107</v>
      </c>
      <c r="E21" t="s">
        <v>914</v>
      </c>
      <c r="F21" t="s">
        <v>448</v>
      </c>
      <c r="G21" s="25">
        <v>550000</v>
      </c>
      <c r="H21" s="25">
        <v>550000</v>
      </c>
      <c r="J21" s="260">
        <v>46444</v>
      </c>
      <c r="L21" t="s">
        <v>463</v>
      </c>
      <c r="M21" s="25"/>
      <c r="N21" t="s">
        <v>448</v>
      </c>
      <c r="O21" s="25">
        <v>550000</v>
      </c>
      <c r="Q21" s="260">
        <v>46472</v>
      </c>
    </row>
    <row r="22" spans="1:17" hidden="1" x14ac:dyDescent="0.25">
      <c r="A22">
        <v>199</v>
      </c>
      <c r="B22">
        <v>11768</v>
      </c>
      <c r="C22" t="s">
        <v>305</v>
      </c>
      <c r="D22" s="260">
        <v>45831</v>
      </c>
      <c r="E22" t="s">
        <v>640</v>
      </c>
      <c r="F22" t="s">
        <v>448</v>
      </c>
      <c r="G22" s="25">
        <v>550000</v>
      </c>
      <c r="H22" s="25">
        <v>550000</v>
      </c>
      <c r="J22" s="260"/>
      <c r="L22" t="s">
        <v>469</v>
      </c>
      <c r="M22" s="25"/>
      <c r="N22" t="s">
        <v>448</v>
      </c>
      <c r="O22" s="25">
        <v>550000</v>
      </c>
      <c r="Q22" s="260">
        <v>46196</v>
      </c>
    </row>
    <row r="23" spans="1:17" hidden="1" x14ac:dyDescent="0.25">
      <c r="A23">
        <v>305</v>
      </c>
      <c r="B23">
        <v>16288</v>
      </c>
      <c r="C23" t="s">
        <v>665</v>
      </c>
      <c r="D23" s="260">
        <v>45870</v>
      </c>
      <c r="E23" t="s">
        <v>725</v>
      </c>
      <c r="F23" t="s">
        <v>448</v>
      </c>
      <c r="G23" s="25">
        <v>750000</v>
      </c>
      <c r="H23" s="25">
        <v>750000</v>
      </c>
      <c r="J23" s="260">
        <v>46235</v>
      </c>
      <c r="L23" t="s">
        <v>455</v>
      </c>
      <c r="M23" s="25"/>
      <c r="N23" t="s">
        <v>448</v>
      </c>
      <c r="O23" s="25">
        <v>500000</v>
      </c>
      <c r="Q23" s="260">
        <v>46235</v>
      </c>
    </row>
    <row r="24" spans="1:17" hidden="1" x14ac:dyDescent="0.25">
      <c r="A24">
        <v>122</v>
      </c>
      <c r="B24">
        <v>15799</v>
      </c>
      <c r="C24" t="s">
        <v>595</v>
      </c>
      <c r="D24" s="260">
        <v>45709</v>
      </c>
      <c r="E24" t="s">
        <v>596</v>
      </c>
      <c r="F24" t="s">
        <v>448</v>
      </c>
      <c r="G24" s="25">
        <v>1500000</v>
      </c>
      <c r="H24" s="25">
        <v>1500000</v>
      </c>
      <c r="J24" s="260">
        <v>46074</v>
      </c>
      <c r="K24">
        <v>270</v>
      </c>
      <c r="L24" t="s">
        <v>455</v>
      </c>
      <c r="M24" s="25"/>
      <c r="N24" t="s">
        <v>448</v>
      </c>
      <c r="O24" s="25">
        <v>1500000</v>
      </c>
      <c r="Q24" s="260">
        <v>46074</v>
      </c>
    </row>
    <row r="25" spans="1:17" hidden="1" x14ac:dyDescent="0.25">
      <c r="A25">
        <v>349</v>
      </c>
      <c r="B25">
        <v>15699</v>
      </c>
      <c r="C25" t="s">
        <v>697</v>
      </c>
      <c r="D25" s="260">
        <v>45987</v>
      </c>
      <c r="E25" t="s">
        <v>752</v>
      </c>
      <c r="F25" t="s">
        <v>448</v>
      </c>
      <c r="G25" s="25">
        <v>1375000</v>
      </c>
      <c r="H25" s="25">
        <v>1375000</v>
      </c>
      <c r="J25" s="260"/>
      <c r="M25" s="25"/>
      <c r="N25" t="s">
        <v>448</v>
      </c>
      <c r="O25" s="25">
        <v>1375000</v>
      </c>
      <c r="Q25" s="260"/>
    </row>
    <row r="26" spans="1:17" hidden="1" x14ac:dyDescent="0.25">
      <c r="A26">
        <v>354</v>
      </c>
      <c r="B26">
        <v>12322</v>
      </c>
      <c r="C26" t="s">
        <v>774</v>
      </c>
      <c r="D26" s="260">
        <v>45994</v>
      </c>
      <c r="E26" t="s">
        <v>775</v>
      </c>
      <c r="F26" t="s">
        <v>448</v>
      </c>
      <c r="G26" s="25">
        <v>350000</v>
      </c>
      <c r="H26" s="25">
        <v>350000</v>
      </c>
      <c r="J26" s="260">
        <v>46359</v>
      </c>
      <c r="L26" t="s">
        <v>455</v>
      </c>
      <c r="M26" s="25"/>
      <c r="N26" t="s">
        <v>448</v>
      </c>
      <c r="O26" s="25">
        <v>350000</v>
      </c>
      <c r="Q26" s="260">
        <v>46359</v>
      </c>
    </row>
    <row r="27" spans="1:17" hidden="1" x14ac:dyDescent="0.25">
      <c r="A27">
        <v>127</v>
      </c>
      <c r="B27">
        <v>15749</v>
      </c>
      <c r="C27" t="s">
        <v>555</v>
      </c>
      <c r="D27" s="260">
        <v>45772</v>
      </c>
      <c r="E27" t="s">
        <v>598</v>
      </c>
      <c r="F27" t="s">
        <v>448</v>
      </c>
      <c r="G27" s="25">
        <v>1000000</v>
      </c>
      <c r="H27" s="25">
        <v>100000</v>
      </c>
      <c r="J27" s="260"/>
      <c r="M27" s="25"/>
      <c r="N27" t="s">
        <v>448</v>
      </c>
      <c r="O27" s="25">
        <v>1000000</v>
      </c>
      <c r="Q27" s="260">
        <v>46137</v>
      </c>
    </row>
    <row r="28" spans="1:17" hidden="1" x14ac:dyDescent="0.25">
      <c r="A28">
        <v>159</v>
      </c>
      <c r="B28">
        <v>943</v>
      </c>
      <c r="C28" t="s">
        <v>168</v>
      </c>
      <c r="D28" s="260">
        <v>45804</v>
      </c>
      <c r="E28" t="s">
        <v>603</v>
      </c>
      <c r="F28" t="s">
        <v>448</v>
      </c>
      <c r="G28" s="25">
        <v>1500000</v>
      </c>
      <c r="H28" s="25">
        <v>1500000</v>
      </c>
      <c r="J28" s="260"/>
      <c r="L28" t="s">
        <v>455</v>
      </c>
      <c r="M28" s="25"/>
      <c r="N28" t="s">
        <v>448</v>
      </c>
      <c r="O28" s="25">
        <v>1500000</v>
      </c>
      <c r="Q28" s="260">
        <v>46168</v>
      </c>
    </row>
    <row r="29" spans="1:17" hidden="1" x14ac:dyDescent="0.25">
      <c r="A29">
        <v>359</v>
      </c>
      <c r="B29">
        <v>5300</v>
      </c>
      <c r="C29" t="s">
        <v>30</v>
      </c>
      <c r="D29" s="260">
        <v>45995</v>
      </c>
      <c r="E29" t="s">
        <v>775</v>
      </c>
      <c r="F29" t="s">
        <v>448</v>
      </c>
      <c r="G29" s="25">
        <v>2600000</v>
      </c>
      <c r="H29" s="25">
        <v>2600000</v>
      </c>
      <c r="J29" s="260">
        <v>46360</v>
      </c>
      <c r="L29" t="s">
        <v>455</v>
      </c>
      <c r="M29" s="25"/>
      <c r="N29" t="s">
        <v>448</v>
      </c>
      <c r="O29" s="25">
        <v>2600000</v>
      </c>
      <c r="Q29" s="260">
        <v>46360</v>
      </c>
    </row>
    <row r="30" spans="1:17" hidden="1" x14ac:dyDescent="0.25">
      <c r="A30">
        <v>407</v>
      </c>
      <c r="B30">
        <v>2619</v>
      </c>
      <c r="C30" t="s">
        <v>887</v>
      </c>
      <c r="D30" s="260">
        <v>46093</v>
      </c>
      <c r="E30" t="s">
        <v>783</v>
      </c>
      <c r="F30" t="s">
        <v>448</v>
      </c>
      <c r="G30" s="25">
        <v>650000</v>
      </c>
      <c r="H30" s="25">
        <v>650000</v>
      </c>
      <c r="J30" s="260"/>
      <c r="L30" t="s">
        <v>455</v>
      </c>
      <c r="M30" s="25"/>
      <c r="N30" t="s">
        <v>448</v>
      </c>
      <c r="O30" s="25">
        <v>650000</v>
      </c>
      <c r="Q30" s="260">
        <v>46458</v>
      </c>
    </row>
    <row r="31" spans="1:17" hidden="1" x14ac:dyDescent="0.25">
      <c r="A31">
        <v>173</v>
      </c>
      <c r="B31">
        <v>14382</v>
      </c>
      <c r="C31" t="s">
        <v>272</v>
      </c>
      <c r="D31" s="260">
        <v>45799</v>
      </c>
      <c r="E31" t="s">
        <v>608</v>
      </c>
      <c r="F31" t="s">
        <v>448</v>
      </c>
      <c r="G31" s="25">
        <v>300000</v>
      </c>
      <c r="H31" s="25">
        <v>300000</v>
      </c>
      <c r="J31" s="260"/>
      <c r="M31" s="25"/>
      <c r="N31" t="s">
        <v>448</v>
      </c>
      <c r="O31" s="25">
        <v>300000</v>
      </c>
      <c r="Q31" s="260">
        <v>46164</v>
      </c>
    </row>
    <row r="32" spans="1:17" hidden="1" x14ac:dyDescent="0.25">
      <c r="A32">
        <v>339</v>
      </c>
      <c r="B32">
        <v>2607</v>
      </c>
      <c r="C32" t="s">
        <v>753</v>
      </c>
      <c r="D32" s="260">
        <v>45980</v>
      </c>
      <c r="E32" t="s">
        <v>754</v>
      </c>
      <c r="F32" t="s">
        <v>448</v>
      </c>
      <c r="G32" s="25">
        <v>300000</v>
      </c>
      <c r="H32" s="25">
        <v>300000</v>
      </c>
      <c r="J32" s="260"/>
      <c r="L32" t="s">
        <v>455</v>
      </c>
      <c r="M32" s="25"/>
      <c r="N32" t="s">
        <v>448</v>
      </c>
      <c r="O32" s="25">
        <v>300000</v>
      </c>
      <c r="Q32" s="260"/>
    </row>
    <row r="33" spans="1:17" hidden="1" x14ac:dyDescent="0.25">
      <c r="A33">
        <v>422</v>
      </c>
      <c r="B33">
        <v>17449</v>
      </c>
      <c r="C33" t="s">
        <v>915</v>
      </c>
      <c r="D33" s="260">
        <v>46114</v>
      </c>
      <c r="E33" t="s">
        <v>916</v>
      </c>
      <c r="F33" t="s">
        <v>448</v>
      </c>
      <c r="G33" s="25">
        <v>500000</v>
      </c>
      <c r="H33" s="25">
        <v>500000</v>
      </c>
      <c r="J33" s="260">
        <v>46479</v>
      </c>
      <c r="L33" t="s">
        <v>455</v>
      </c>
      <c r="M33" s="25"/>
      <c r="N33" t="s">
        <v>448</v>
      </c>
      <c r="O33" s="25">
        <v>500000</v>
      </c>
      <c r="Q33" s="260">
        <v>46479</v>
      </c>
    </row>
    <row r="34" spans="1:17" hidden="1" x14ac:dyDescent="0.25">
      <c r="A34">
        <v>192</v>
      </c>
      <c r="B34">
        <v>2656</v>
      </c>
      <c r="C34" t="s">
        <v>130</v>
      </c>
      <c r="D34" s="260">
        <v>45831</v>
      </c>
      <c r="E34" t="s">
        <v>634</v>
      </c>
      <c r="F34" t="s">
        <v>448</v>
      </c>
      <c r="G34" s="25">
        <v>687500</v>
      </c>
      <c r="H34" s="25">
        <v>687500</v>
      </c>
      <c r="J34" s="260"/>
      <c r="L34" t="s">
        <v>469</v>
      </c>
      <c r="M34" s="25"/>
      <c r="N34" t="s">
        <v>448</v>
      </c>
      <c r="O34" s="25">
        <v>687500</v>
      </c>
      <c r="Q34" s="260">
        <v>46196</v>
      </c>
    </row>
    <row r="35" spans="1:17" hidden="1" x14ac:dyDescent="0.25">
      <c r="A35">
        <v>176</v>
      </c>
      <c r="B35">
        <v>2225</v>
      </c>
      <c r="C35" t="s">
        <v>866</v>
      </c>
      <c r="D35" s="260">
        <v>45812</v>
      </c>
      <c r="E35" t="s">
        <v>623</v>
      </c>
      <c r="F35" t="s">
        <v>448</v>
      </c>
      <c r="G35" s="25">
        <v>200000</v>
      </c>
      <c r="H35" s="25">
        <v>200000</v>
      </c>
      <c r="J35" s="260"/>
      <c r="K35">
        <v>28</v>
      </c>
      <c r="M35" s="25"/>
      <c r="N35" t="s">
        <v>448</v>
      </c>
      <c r="O35" s="25">
        <v>0</v>
      </c>
      <c r="Q35" s="260">
        <v>46177</v>
      </c>
    </row>
    <row r="36" spans="1:17" hidden="1" x14ac:dyDescent="0.25">
      <c r="A36">
        <v>371</v>
      </c>
      <c r="B36">
        <v>10676</v>
      </c>
      <c r="C36" t="s">
        <v>133</v>
      </c>
      <c r="D36" s="260">
        <v>46001</v>
      </c>
      <c r="E36" t="s">
        <v>804</v>
      </c>
      <c r="F36" t="s">
        <v>448</v>
      </c>
      <c r="G36" s="25">
        <v>550000</v>
      </c>
      <c r="H36" s="25">
        <v>550000</v>
      </c>
      <c r="J36" s="260">
        <v>46366</v>
      </c>
      <c r="L36" t="s">
        <v>476</v>
      </c>
      <c r="M36" s="25"/>
      <c r="N36" t="s">
        <v>448</v>
      </c>
      <c r="O36" s="25">
        <v>550000</v>
      </c>
      <c r="Q36" s="260">
        <v>46366</v>
      </c>
    </row>
    <row r="37" spans="1:17" hidden="1" x14ac:dyDescent="0.25">
      <c r="A37">
        <v>374</v>
      </c>
      <c r="B37">
        <v>12249</v>
      </c>
      <c r="C37" t="s">
        <v>805</v>
      </c>
      <c r="D37" s="260">
        <v>46007</v>
      </c>
      <c r="E37" t="s">
        <v>806</v>
      </c>
      <c r="G37" s="25"/>
      <c r="H37" s="25">
        <v>110000</v>
      </c>
      <c r="J37" s="260"/>
      <c r="M37" s="25"/>
      <c r="N37" t="s">
        <v>448</v>
      </c>
      <c r="O37" s="25">
        <v>110000</v>
      </c>
      <c r="Q37" s="260"/>
    </row>
    <row r="38" spans="1:17" hidden="1" x14ac:dyDescent="0.25">
      <c r="A38">
        <v>386</v>
      </c>
      <c r="B38">
        <v>2696</v>
      </c>
      <c r="C38" t="s">
        <v>131</v>
      </c>
      <c r="D38" s="260">
        <v>46030</v>
      </c>
      <c r="E38" t="s">
        <v>829</v>
      </c>
      <c r="F38" t="s">
        <v>448</v>
      </c>
      <c r="G38" s="25">
        <v>660000</v>
      </c>
      <c r="H38" s="25">
        <v>660000</v>
      </c>
      <c r="J38" s="260">
        <v>46395</v>
      </c>
      <c r="L38" t="s">
        <v>455</v>
      </c>
      <c r="M38" s="25"/>
      <c r="N38" t="s">
        <v>448</v>
      </c>
      <c r="O38" s="25">
        <v>660000</v>
      </c>
      <c r="Q38" s="260">
        <v>46395</v>
      </c>
    </row>
    <row r="39" spans="1:17" hidden="1" x14ac:dyDescent="0.25">
      <c r="A39">
        <v>383</v>
      </c>
      <c r="B39">
        <v>17305</v>
      </c>
      <c r="C39" t="s">
        <v>819</v>
      </c>
      <c r="D39" s="260">
        <v>46031</v>
      </c>
      <c r="E39" t="s">
        <v>830</v>
      </c>
      <c r="F39" t="s">
        <v>448</v>
      </c>
      <c r="G39" s="25">
        <v>250000</v>
      </c>
      <c r="H39" s="25">
        <v>250000</v>
      </c>
      <c r="J39" s="260">
        <v>46396</v>
      </c>
      <c r="K39">
        <v>60</v>
      </c>
      <c r="M39" s="25"/>
      <c r="N39" t="s">
        <v>448</v>
      </c>
      <c r="O39" s="25"/>
      <c r="Q39" s="260">
        <v>46396</v>
      </c>
    </row>
    <row r="40" spans="1:17" hidden="1" x14ac:dyDescent="0.25">
      <c r="A40">
        <v>378</v>
      </c>
      <c r="B40">
        <v>11978</v>
      </c>
      <c r="C40" t="s">
        <v>308</v>
      </c>
      <c r="D40" s="260">
        <v>46001</v>
      </c>
      <c r="E40" t="s">
        <v>807</v>
      </c>
      <c r="F40" t="s">
        <v>448</v>
      </c>
      <c r="G40" s="25">
        <v>1925000</v>
      </c>
      <c r="H40" s="25">
        <v>192500</v>
      </c>
      <c r="J40" s="260"/>
      <c r="L40" t="s">
        <v>455</v>
      </c>
      <c r="M40" s="25"/>
      <c r="N40" t="s">
        <v>448</v>
      </c>
      <c r="O40" s="25">
        <v>192500</v>
      </c>
      <c r="Q40" s="260">
        <v>46366</v>
      </c>
    </row>
    <row r="41" spans="1:17" hidden="1" x14ac:dyDescent="0.25">
      <c r="A41">
        <v>267</v>
      </c>
      <c r="B41">
        <v>4737</v>
      </c>
      <c r="C41" t="s">
        <v>678</v>
      </c>
      <c r="D41" s="260">
        <v>45894</v>
      </c>
      <c r="E41" t="s">
        <v>608</v>
      </c>
      <c r="F41" t="s">
        <v>448</v>
      </c>
      <c r="G41" s="25">
        <v>150000</v>
      </c>
      <c r="H41" s="25">
        <v>150000</v>
      </c>
      <c r="J41" s="260">
        <v>46259</v>
      </c>
      <c r="L41" t="s">
        <v>455</v>
      </c>
      <c r="M41" s="25"/>
      <c r="N41" t="s">
        <v>448</v>
      </c>
      <c r="O41" s="25">
        <v>150000</v>
      </c>
      <c r="Q41" s="260">
        <v>46259</v>
      </c>
    </row>
    <row r="42" spans="1:17" hidden="1" x14ac:dyDescent="0.25">
      <c r="A42">
        <v>221</v>
      </c>
      <c r="B42">
        <v>1062</v>
      </c>
      <c r="C42" t="s">
        <v>591</v>
      </c>
      <c r="D42" s="260">
        <v>45834</v>
      </c>
      <c r="E42" t="s">
        <v>651</v>
      </c>
      <c r="F42" t="s">
        <v>448</v>
      </c>
      <c r="G42" s="25">
        <v>660000</v>
      </c>
      <c r="H42" s="25">
        <v>660000</v>
      </c>
      <c r="J42" s="260"/>
      <c r="L42" t="s">
        <v>469</v>
      </c>
      <c r="M42" s="25"/>
      <c r="N42" t="s">
        <v>448</v>
      </c>
      <c r="O42" s="25">
        <v>660000</v>
      </c>
      <c r="Q42" s="260">
        <v>45834</v>
      </c>
    </row>
    <row r="43" spans="1:17" hidden="1" x14ac:dyDescent="0.25">
      <c r="A43">
        <v>319</v>
      </c>
      <c r="B43">
        <v>6177</v>
      </c>
      <c r="C43" t="s">
        <v>744</v>
      </c>
      <c r="D43" s="260">
        <v>45957</v>
      </c>
      <c r="E43" t="s">
        <v>755</v>
      </c>
      <c r="F43" t="s">
        <v>448</v>
      </c>
      <c r="G43" s="25">
        <v>850000</v>
      </c>
      <c r="H43" s="25">
        <v>850000</v>
      </c>
      <c r="J43" s="260">
        <v>46343</v>
      </c>
      <c r="L43" t="s">
        <v>455</v>
      </c>
      <c r="M43" s="25"/>
      <c r="N43" t="s">
        <v>448</v>
      </c>
      <c r="O43" s="25">
        <v>850000</v>
      </c>
      <c r="Q43" s="260">
        <v>46343</v>
      </c>
    </row>
    <row r="44" spans="1:17" hidden="1" x14ac:dyDescent="0.25">
      <c r="A44">
        <v>133</v>
      </c>
      <c r="B44">
        <v>16042</v>
      </c>
      <c r="C44" t="s">
        <v>572</v>
      </c>
      <c r="D44" s="260">
        <v>45789</v>
      </c>
      <c r="E44" t="s">
        <v>600</v>
      </c>
      <c r="F44" t="s">
        <v>448</v>
      </c>
      <c r="G44" s="25">
        <v>500000</v>
      </c>
      <c r="H44" s="25">
        <v>500000</v>
      </c>
      <c r="J44" s="260">
        <v>46154</v>
      </c>
      <c r="K44">
        <v>15</v>
      </c>
      <c r="L44" t="s">
        <v>455</v>
      </c>
      <c r="M44" s="25"/>
      <c r="N44" t="s">
        <v>448</v>
      </c>
      <c r="O44" s="25">
        <v>500000</v>
      </c>
      <c r="Q44" s="260">
        <v>46154</v>
      </c>
    </row>
    <row r="45" spans="1:17" hidden="1" x14ac:dyDescent="0.25">
      <c r="A45">
        <v>276</v>
      </c>
      <c r="B45">
        <v>5209</v>
      </c>
      <c r="C45" t="s">
        <v>94</v>
      </c>
      <c r="D45" s="260">
        <v>45916</v>
      </c>
      <c r="E45" t="s">
        <v>693</v>
      </c>
      <c r="F45" t="s">
        <v>448</v>
      </c>
      <c r="G45" s="25">
        <v>100000</v>
      </c>
      <c r="H45" s="25">
        <v>100000</v>
      </c>
      <c r="J45" s="260">
        <v>46282</v>
      </c>
      <c r="L45" t="s">
        <v>455</v>
      </c>
      <c r="M45" s="25"/>
      <c r="N45" t="s">
        <v>448</v>
      </c>
      <c r="O45" s="25">
        <v>100000</v>
      </c>
      <c r="Q45" s="260">
        <v>46282</v>
      </c>
    </row>
    <row r="46" spans="1:17" hidden="1" x14ac:dyDescent="0.25">
      <c r="A46">
        <v>338</v>
      </c>
      <c r="B46">
        <v>6315</v>
      </c>
      <c r="C46" t="s">
        <v>97</v>
      </c>
      <c r="D46" s="260">
        <v>45980</v>
      </c>
      <c r="E46" t="s">
        <v>754</v>
      </c>
      <c r="F46" t="s">
        <v>448</v>
      </c>
      <c r="G46" s="25">
        <v>300000</v>
      </c>
      <c r="H46" s="25">
        <v>300000</v>
      </c>
      <c r="J46" s="260"/>
      <c r="L46" t="s">
        <v>455</v>
      </c>
      <c r="M46" s="25"/>
      <c r="N46" t="s">
        <v>448</v>
      </c>
      <c r="O46" s="25">
        <v>300000</v>
      </c>
      <c r="Q46" s="260"/>
    </row>
    <row r="47" spans="1:17" hidden="1" x14ac:dyDescent="0.25">
      <c r="A47">
        <v>343</v>
      </c>
      <c r="B47">
        <v>16645</v>
      </c>
      <c r="C47" t="s">
        <v>673</v>
      </c>
      <c r="D47" s="260">
        <v>45912</v>
      </c>
      <c r="E47" t="s">
        <v>754</v>
      </c>
      <c r="F47" t="s">
        <v>448</v>
      </c>
      <c r="G47" s="25">
        <v>400000</v>
      </c>
      <c r="H47" s="25">
        <v>400000</v>
      </c>
      <c r="J47" s="260">
        <v>46277</v>
      </c>
      <c r="L47" t="s">
        <v>455</v>
      </c>
      <c r="M47" s="25"/>
      <c r="N47" t="s">
        <v>448</v>
      </c>
      <c r="O47" s="25">
        <v>400000</v>
      </c>
      <c r="Q47" s="260"/>
    </row>
    <row r="48" spans="1:17" hidden="1" x14ac:dyDescent="0.25">
      <c r="A48">
        <v>185</v>
      </c>
      <c r="B48">
        <v>12098</v>
      </c>
      <c r="C48" t="s">
        <v>620</v>
      </c>
      <c r="D48" s="260">
        <v>45824</v>
      </c>
      <c r="E48" t="s">
        <v>627</v>
      </c>
      <c r="F48" t="s">
        <v>448</v>
      </c>
      <c r="G48" s="25">
        <v>500000</v>
      </c>
      <c r="H48" s="25">
        <v>500000</v>
      </c>
      <c r="J48" s="260"/>
      <c r="K48">
        <v>28</v>
      </c>
      <c r="L48" t="s">
        <v>455</v>
      </c>
      <c r="M48" s="25"/>
      <c r="N48" t="s">
        <v>448</v>
      </c>
      <c r="O48" s="25">
        <v>500000</v>
      </c>
      <c r="Q48" s="260">
        <v>46189</v>
      </c>
    </row>
    <row r="49" spans="1:17" hidden="1" x14ac:dyDescent="0.25">
      <c r="A49">
        <v>182</v>
      </c>
      <c r="B49">
        <v>7420</v>
      </c>
      <c r="C49" t="s">
        <v>621</v>
      </c>
      <c r="D49" s="260">
        <v>45819</v>
      </c>
      <c r="E49" t="s">
        <v>625</v>
      </c>
      <c r="F49" t="s">
        <v>448</v>
      </c>
      <c r="G49" s="25">
        <v>300000</v>
      </c>
      <c r="H49" s="25">
        <v>300000</v>
      </c>
      <c r="J49" s="260"/>
      <c r="K49">
        <v>28</v>
      </c>
      <c r="M49" s="25"/>
      <c r="N49" t="s">
        <v>448</v>
      </c>
      <c r="O49" s="25">
        <v>300000</v>
      </c>
      <c r="Q49" s="260">
        <v>46184</v>
      </c>
    </row>
    <row r="50" spans="1:17" hidden="1" x14ac:dyDescent="0.25">
      <c r="A50">
        <v>169</v>
      </c>
      <c r="B50">
        <v>10941</v>
      </c>
      <c r="C50" t="s">
        <v>193</v>
      </c>
      <c r="D50" s="260">
        <v>45804</v>
      </c>
      <c r="E50" t="s">
        <v>603</v>
      </c>
      <c r="F50" t="s">
        <v>448</v>
      </c>
      <c r="G50" s="25">
        <v>800000</v>
      </c>
      <c r="H50" s="25">
        <v>800000</v>
      </c>
      <c r="J50" s="260">
        <v>46169</v>
      </c>
      <c r="L50" t="s">
        <v>455</v>
      </c>
      <c r="M50" s="25"/>
      <c r="N50" t="s">
        <v>448</v>
      </c>
      <c r="O50" s="25">
        <v>800000</v>
      </c>
      <c r="Q50" s="260">
        <v>46168</v>
      </c>
    </row>
    <row r="51" spans="1:17" hidden="1" x14ac:dyDescent="0.25">
      <c r="A51">
        <v>303</v>
      </c>
      <c r="B51">
        <v>31</v>
      </c>
      <c r="C51" t="s">
        <v>290</v>
      </c>
      <c r="D51" s="260">
        <v>45936</v>
      </c>
      <c r="E51" t="s">
        <v>718</v>
      </c>
      <c r="F51" t="s">
        <v>448</v>
      </c>
      <c r="G51" s="25">
        <v>500000</v>
      </c>
      <c r="H51" s="25">
        <v>500000</v>
      </c>
      <c r="J51" s="260"/>
      <c r="L51" t="s">
        <v>455</v>
      </c>
      <c r="M51" s="25"/>
      <c r="N51" t="s">
        <v>448</v>
      </c>
      <c r="O51" s="25">
        <v>500000</v>
      </c>
      <c r="Q51" s="260"/>
    </row>
    <row r="52" spans="1:17" hidden="1" x14ac:dyDescent="0.25">
      <c r="A52">
        <v>415</v>
      </c>
      <c r="B52">
        <v>210</v>
      </c>
      <c r="C52" t="s">
        <v>333</v>
      </c>
      <c r="D52" s="260">
        <v>45919</v>
      </c>
      <c r="E52" t="s">
        <v>888</v>
      </c>
      <c r="F52" t="s">
        <v>448</v>
      </c>
      <c r="G52" s="25">
        <v>100000</v>
      </c>
      <c r="H52" s="25">
        <v>100000</v>
      </c>
      <c r="J52" s="260">
        <v>46284</v>
      </c>
      <c r="M52" s="25"/>
      <c r="N52" t="s">
        <v>448</v>
      </c>
      <c r="O52" s="25">
        <v>100000</v>
      </c>
      <c r="Q52" s="260"/>
    </row>
    <row r="53" spans="1:17" hidden="1" x14ac:dyDescent="0.25">
      <c r="A53">
        <v>170</v>
      </c>
      <c r="B53">
        <v>10541</v>
      </c>
      <c r="C53" t="s">
        <v>375</v>
      </c>
      <c r="D53" s="260">
        <v>45804</v>
      </c>
      <c r="E53" t="s">
        <v>603</v>
      </c>
      <c r="F53" t="s">
        <v>448</v>
      </c>
      <c r="G53" s="25">
        <v>1023000</v>
      </c>
      <c r="H53" s="25">
        <v>1023000</v>
      </c>
      <c r="J53" s="260">
        <v>46169</v>
      </c>
      <c r="L53" t="s">
        <v>455</v>
      </c>
      <c r="M53" s="25"/>
      <c r="N53" t="s">
        <v>448</v>
      </c>
      <c r="O53" s="25">
        <v>1023000</v>
      </c>
      <c r="Q53" s="260">
        <v>46168</v>
      </c>
    </row>
    <row r="54" spans="1:17" hidden="1" x14ac:dyDescent="0.25">
      <c r="A54">
        <v>289</v>
      </c>
      <c r="B54">
        <v>13567</v>
      </c>
      <c r="C54" t="s">
        <v>378</v>
      </c>
      <c r="D54" s="260">
        <v>45926</v>
      </c>
      <c r="E54" t="s">
        <v>698</v>
      </c>
      <c r="F54" t="s">
        <v>448</v>
      </c>
      <c r="G54" s="25">
        <v>500000</v>
      </c>
      <c r="H54" s="25">
        <v>500000</v>
      </c>
      <c r="J54" s="260">
        <v>46291</v>
      </c>
      <c r="K54">
        <v>360</v>
      </c>
      <c r="L54" t="s">
        <v>455</v>
      </c>
      <c r="M54" s="25"/>
      <c r="N54" t="s">
        <v>448</v>
      </c>
      <c r="O54" s="25">
        <v>300000</v>
      </c>
      <c r="Q54" s="260">
        <v>46291</v>
      </c>
    </row>
    <row r="55" spans="1:17" hidden="1" x14ac:dyDescent="0.25">
      <c r="A55">
        <v>388</v>
      </c>
      <c r="B55">
        <v>17310</v>
      </c>
      <c r="C55" t="s">
        <v>831</v>
      </c>
      <c r="D55" s="260">
        <v>46030</v>
      </c>
      <c r="E55" t="s">
        <v>783</v>
      </c>
      <c r="F55" t="s">
        <v>448</v>
      </c>
      <c r="G55" s="25">
        <v>500000</v>
      </c>
      <c r="H55" s="25">
        <v>500000</v>
      </c>
      <c r="J55" s="260">
        <v>46395</v>
      </c>
      <c r="L55" t="s">
        <v>455</v>
      </c>
      <c r="M55" s="25"/>
      <c r="N55" t="s">
        <v>448</v>
      </c>
      <c r="O55" s="25">
        <v>500000</v>
      </c>
      <c r="Q55" s="260">
        <v>46395</v>
      </c>
    </row>
    <row r="56" spans="1:17" hidden="1" x14ac:dyDescent="0.25">
      <c r="A56">
        <v>272</v>
      </c>
      <c r="B56">
        <v>16723</v>
      </c>
      <c r="C56" t="s">
        <v>683</v>
      </c>
      <c r="D56" s="260">
        <v>45898</v>
      </c>
      <c r="E56" t="s">
        <v>684</v>
      </c>
      <c r="F56" t="s">
        <v>448</v>
      </c>
      <c r="G56" s="25">
        <v>1500000</v>
      </c>
      <c r="H56" s="25">
        <v>1500000</v>
      </c>
      <c r="J56" s="260">
        <v>46263</v>
      </c>
      <c r="L56" t="s">
        <v>455</v>
      </c>
      <c r="M56" s="25"/>
      <c r="N56" t="s">
        <v>448</v>
      </c>
      <c r="O56" s="25">
        <v>1500000</v>
      </c>
      <c r="Q56" s="260">
        <v>46263</v>
      </c>
    </row>
    <row r="57" spans="1:17" hidden="1" x14ac:dyDescent="0.25">
      <c r="A57">
        <v>138</v>
      </c>
      <c r="B57">
        <v>15509</v>
      </c>
      <c r="C57" t="s">
        <v>580</v>
      </c>
      <c r="D57" s="260">
        <v>45800</v>
      </c>
      <c r="E57" t="s">
        <v>601</v>
      </c>
      <c r="F57" t="s">
        <v>448</v>
      </c>
      <c r="G57" s="25">
        <v>100000</v>
      </c>
      <c r="H57" s="25">
        <v>100000</v>
      </c>
      <c r="J57" s="260"/>
      <c r="K57">
        <v>5</v>
      </c>
      <c r="L57" t="s">
        <v>455</v>
      </c>
      <c r="M57" s="25"/>
      <c r="N57" t="s">
        <v>448</v>
      </c>
      <c r="O57" s="25">
        <v>100000</v>
      </c>
      <c r="Q57" s="260">
        <v>46165</v>
      </c>
    </row>
    <row r="58" spans="1:17" hidden="1" x14ac:dyDescent="0.25">
      <c r="A58">
        <v>408</v>
      </c>
      <c r="B58">
        <v>17511</v>
      </c>
      <c r="C58" t="s">
        <v>889</v>
      </c>
      <c r="D58" s="260">
        <v>46076</v>
      </c>
      <c r="E58" t="s">
        <v>783</v>
      </c>
      <c r="F58" t="s">
        <v>448</v>
      </c>
      <c r="G58" s="25">
        <v>300000</v>
      </c>
      <c r="H58" s="25">
        <v>300000</v>
      </c>
      <c r="J58" s="260"/>
      <c r="L58" t="s">
        <v>455</v>
      </c>
      <c r="M58" s="25"/>
      <c r="N58" t="s">
        <v>448</v>
      </c>
      <c r="O58" s="25">
        <v>300000</v>
      </c>
      <c r="Q58" s="260">
        <v>46076</v>
      </c>
    </row>
    <row r="59" spans="1:17" hidden="1" x14ac:dyDescent="0.25">
      <c r="A59">
        <v>401</v>
      </c>
      <c r="B59">
        <v>6370</v>
      </c>
      <c r="C59" t="s">
        <v>295</v>
      </c>
      <c r="D59" s="260">
        <v>45994</v>
      </c>
      <c r="E59" t="s">
        <v>867</v>
      </c>
      <c r="F59" t="s">
        <v>448</v>
      </c>
      <c r="G59" s="25">
        <v>550000</v>
      </c>
      <c r="H59" s="25">
        <v>550000</v>
      </c>
      <c r="J59" s="260">
        <v>46359</v>
      </c>
      <c r="L59" t="s">
        <v>455</v>
      </c>
      <c r="M59" s="25"/>
      <c r="N59" t="s">
        <v>448</v>
      </c>
      <c r="O59" s="25">
        <v>550000</v>
      </c>
      <c r="Q59" s="260">
        <v>46359</v>
      </c>
    </row>
    <row r="60" spans="1:17" hidden="1" x14ac:dyDescent="0.25">
      <c r="A60">
        <v>341</v>
      </c>
      <c r="B60">
        <v>13836</v>
      </c>
      <c r="C60" t="s">
        <v>402</v>
      </c>
      <c r="D60" s="260">
        <v>45980</v>
      </c>
      <c r="E60" t="s">
        <v>467</v>
      </c>
      <c r="F60" t="s">
        <v>448</v>
      </c>
      <c r="G60" s="25">
        <v>100000</v>
      </c>
      <c r="H60" s="25">
        <v>100000</v>
      </c>
      <c r="J60" s="260"/>
      <c r="K60">
        <v>28</v>
      </c>
      <c r="L60" t="s">
        <v>455</v>
      </c>
      <c r="M60" s="25"/>
      <c r="N60" t="s">
        <v>448</v>
      </c>
      <c r="O60" s="25"/>
      <c r="Q60" s="260"/>
    </row>
    <row r="61" spans="1:17" hidden="1" x14ac:dyDescent="0.25">
      <c r="A61">
        <v>356</v>
      </c>
      <c r="B61">
        <v>2011</v>
      </c>
      <c r="C61" t="s">
        <v>726</v>
      </c>
      <c r="D61" s="260">
        <v>45994</v>
      </c>
      <c r="E61" t="s">
        <v>775</v>
      </c>
      <c r="F61" t="s">
        <v>448</v>
      </c>
      <c r="G61" s="25">
        <v>3500000</v>
      </c>
      <c r="H61" s="25">
        <v>3500000</v>
      </c>
      <c r="J61" s="260">
        <v>46359</v>
      </c>
      <c r="L61" t="s">
        <v>455</v>
      </c>
      <c r="M61" s="25"/>
      <c r="N61" t="s">
        <v>448</v>
      </c>
      <c r="O61" s="25">
        <v>3500000</v>
      </c>
      <c r="Q61" s="260">
        <v>46359</v>
      </c>
    </row>
    <row r="62" spans="1:17" hidden="1" x14ac:dyDescent="0.25">
      <c r="A62">
        <v>368</v>
      </c>
      <c r="B62">
        <v>15435</v>
      </c>
      <c r="C62" t="s">
        <v>785</v>
      </c>
      <c r="D62" s="260">
        <v>46001</v>
      </c>
      <c r="E62" t="s">
        <v>786</v>
      </c>
      <c r="F62" t="s">
        <v>448</v>
      </c>
      <c r="G62" s="25">
        <v>192500</v>
      </c>
      <c r="H62" s="25"/>
      <c r="J62" s="260">
        <v>46366</v>
      </c>
      <c r="L62" t="s">
        <v>455</v>
      </c>
      <c r="M62" s="25"/>
      <c r="N62" t="s">
        <v>448</v>
      </c>
      <c r="O62" s="25">
        <v>192500</v>
      </c>
      <c r="Q62" s="260">
        <v>46366</v>
      </c>
    </row>
    <row r="63" spans="1:17" hidden="1" x14ac:dyDescent="0.25">
      <c r="A63">
        <v>337</v>
      </c>
      <c r="B63">
        <v>507</v>
      </c>
      <c r="C63" t="s">
        <v>51</v>
      </c>
      <c r="D63" s="260">
        <v>45980</v>
      </c>
      <c r="E63" t="s">
        <v>754</v>
      </c>
      <c r="F63" t="s">
        <v>448</v>
      </c>
      <c r="G63" s="25">
        <v>200000</v>
      </c>
      <c r="H63" s="25">
        <v>200000</v>
      </c>
      <c r="J63" s="260"/>
      <c r="M63" s="25"/>
      <c r="N63" t="s">
        <v>448</v>
      </c>
      <c r="O63" s="25">
        <v>200000</v>
      </c>
      <c r="Q63" s="260"/>
    </row>
    <row r="64" spans="1:17" hidden="1" x14ac:dyDescent="0.25">
      <c r="A64">
        <v>205</v>
      </c>
      <c r="B64">
        <v>11770</v>
      </c>
      <c r="C64" t="s">
        <v>438</v>
      </c>
      <c r="D64" s="260">
        <v>45831</v>
      </c>
      <c r="E64" t="s">
        <v>643</v>
      </c>
      <c r="F64" t="s">
        <v>448</v>
      </c>
      <c r="G64" s="25">
        <v>275000</v>
      </c>
      <c r="H64" s="25">
        <v>275000</v>
      </c>
      <c r="J64" s="260"/>
      <c r="L64" t="s">
        <v>455</v>
      </c>
      <c r="M64" s="25"/>
      <c r="N64" t="s">
        <v>448</v>
      </c>
      <c r="O64" s="25">
        <v>275000</v>
      </c>
      <c r="Q64" s="260">
        <v>46196</v>
      </c>
    </row>
    <row r="65" spans="1:17" hidden="1" x14ac:dyDescent="0.25">
      <c r="A65">
        <v>412</v>
      </c>
      <c r="B65">
        <v>16921</v>
      </c>
      <c r="C65" t="s">
        <v>890</v>
      </c>
      <c r="D65" s="260">
        <v>46093</v>
      </c>
      <c r="E65" t="s">
        <v>891</v>
      </c>
      <c r="F65" t="s">
        <v>448</v>
      </c>
      <c r="G65" s="25">
        <v>250000</v>
      </c>
      <c r="H65" s="25">
        <v>250000</v>
      </c>
      <c r="J65" s="260">
        <v>46458</v>
      </c>
      <c r="L65" t="s">
        <v>455</v>
      </c>
      <c r="M65" s="25"/>
      <c r="N65" t="s">
        <v>448</v>
      </c>
      <c r="O65" s="25">
        <v>250000</v>
      </c>
      <c r="Q65" s="260">
        <v>46458</v>
      </c>
    </row>
    <row r="66" spans="1:17" hidden="1" x14ac:dyDescent="0.25">
      <c r="A66">
        <v>344</v>
      </c>
      <c r="B66">
        <v>1998</v>
      </c>
      <c r="C66" t="s">
        <v>756</v>
      </c>
      <c r="D66" s="260">
        <v>45980</v>
      </c>
      <c r="E66" t="s">
        <v>754</v>
      </c>
      <c r="F66" t="s">
        <v>448</v>
      </c>
      <c r="G66" s="25">
        <v>20000</v>
      </c>
      <c r="H66" s="25">
        <v>20000</v>
      </c>
      <c r="J66" s="260"/>
      <c r="M66" s="25"/>
      <c r="N66" t="s">
        <v>448</v>
      </c>
      <c r="O66" s="25">
        <v>20000</v>
      </c>
      <c r="Q66" s="260"/>
    </row>
    <row r="67" spans="1:17" hidden="1" x14ac:dyDescent="0.25">
      <c r="A67">
        <v>203</v>
      </c>
      <c r="B67">
        <v>2652</v>
      </c>
      <c r="C67" t="s">
        <v>129</v>
      </c>
      <c r="D67" s="260">
        <v>45831</v>
      </c>
      <c r="E67" t="s">
        <v>642</v>
      </c>
      <c r="F67" t="s">
        <v>448</v>
      </c>
      <c r="G67" s="25">
        <v>1375000</v>
      </c>
      <c r="H67" s="25">
        <v>1375000</v>
      </c>
      <c r="J67" s="260"/>
      <c r="L67" t="s">
        <v>469</v>
      </c>
      <c r="M67" s="25"/>
      <c r="N67" t="s">
        <v>448</v>
      </c>
      <c r="O67" s="25">
        <v>1375000</v>
      </c>
      <c r="Q67" s="260">
        <v>46196</v>
      </c>
    </row>
    <row r="68" spans="1:17" hidden="1" x14ac:dyDescent="0.25">
      <c r="A68">
        <v>152</v>
      </c>
      <c r="B68">
        <v>3273</v>
      </c>
      <c r="C68" t="s">
        <v>90</v>
      </c>
      <c r="D68" s="260">
        <v>45804</v>
      </c>
      <c r="E68" t="s">
        <v>603</v>
      </c>
      <c r="F68" t="s">
        <v>448</v>
      </c>
      <c r="G68" s="25">
        <v>1500000</v>
      </c>
      <c r="H68" s="25">
        <v>1500000</v>
      </c>
      <c r="J68" s="260"/>
      <c r="L68" t="s">
        <v>455</v>
      </c>
      <c r="M68" s="25"/>
      <c r="N68" t="s">
        <v>448</v>
      </c>
      <c r="O68" s="25">
        <v>1500000</v>
      </c>
      <c r="Q68" s="260">
        <v>46168</v>
      </c>
    </row>
    <row r="69" spans="1:17" hidden="1" x14ac:dyDescent="0.25">
      <c r="A69">
        <v>336</v>
      </c>
      <c r="B69">
        <v>505</v>
      </c>
      <c r="C69" t="s">
        <v>50</v>
      </c>
      <c r="D69" s="260">
        <v>45980</v>
      </c>
      <c r="E69" t="s">
        <v>754</v>
      </c>
      <c r="F69" t="s">
        <v>448</v>
      </c>
      <c r="G69" s="25">
        <v>150000</v>
      </c>
      <c r="H69" s="25">
        <v>150000</v>
      </c>
      <c r="J69" s="260"/>
      <c r="L69" t="s">
        <v>455</v>
      </c>
      <c r="M69" s="25"/>
      <c r="N69" t="s">
        <v>448</v>
      </c>
      <c r="O69" s="25">
        <v>150000</v>
      </c>
      <c r="Q69" s="260">
        <v>46345</v>
      </c>
    </row>
    <row r="70" spans="1:17" hidden="1" x14ac:dyDescent="0.25">
      <c r="A70">
        <v>419</v>
      </c>
      <c r="B70">
        <v>13773</v>
      </c>
      <c r="C70" t="s">
        <v>496</v>
      </c>
      <c r="D70" s="260">
        <v>46094</v>
      </c>
      <c r="E70" t="s">
        <v>775</v>
      </c>
      <c r="F70" t="s">
        <v>448</v>
      </c>
      <c r="G70" s="25">
        <v>200000</v>
      </c>
      <c r="H70" s="25">
        <v>200000</v>
      </c>
      <c r="J70" s="260">
        <v>46459</v>
      </c>
      <c r="L70" t="s">
        <v>455</v>
      </c>
      <c r="M70" s="25"/>
      <c r="N70" t="s">
        <v>448</v>
      </c>
      <c r="O70" s="25">
        <v>200000</v>
      </c>
      <c r="Q70" s="260">
        <v>46459</v>
      </c>
    </row>
    <row r="71" spans="1:17" hidden="1" x14ac:dyDescent="0.25">
      <c r="A71">
        <v>207</v>
      </c>
      <c r="B71">
        <v>6382</v>
      </c>
      <c r="C71" t="s">
        <v>491</v>
      </c>
      <c r="D71" s="260">
        <v>45831</v>
      </c>
      <c r="E71" t="s">
        <v>645</v>
      </c>
      <c r="F71" t="s">
        <v>448</v>
      </c>
      <c r="G71" s="25">
        <v>330000</v>
      </c>
      <c r="H71" s="25">
        <v>330000</v>
      </c>
      <c r="J71" s="260"/>
      <c r="L71" t="s">
        <v>455</v>
      </c>
      <c r="M71" s="25"/>
      <c r="N71" t="s">
        <v>448</v>
      </c>
      <c r="O71" s="25">
        <v>330000</v>
      </c>
      <c r="Q71" s="260">
        <v>46196</v>
      </c>
    </row>
    <row r="72" spans="1:17" hidden="1" x14ac:dyDescent="0.25">
      <c r="A72">
        <v>300</v>
      </c>
      <c r="B72">
        <v>6382</v>
      </c>
      <c r="C72" t="s">
        <v>491</v>
      </c>
      <c r="D72" s="260">
        <v>45936</v>
      </c>
      <c r="E72" t="s">
        <v>722</v>
      </c>
      <c r="F72" t="s">
        <v>448</v>
      </c>
      <c r="G72" s="25">
        <v>550000</v>
      </c>
      <c r="H72" s="25">
        <v>550000</v>
      </c>
      <c r="J72" s="260"/>
      <c r="M72" s="25"/>
      <c r="N72" t="s">
        <v>448</v>
      </c>
      <c r="O72" s="25">
        <v>550000</v>
      </c>
      <c r="Q72" s="260"/>
    </row>
    <row r="73" spans="1:17" s="119" customFormat="1" hidden="1" x14ac:dyDescent="0.25">
      <c r="A73">
        <v>335</v>
      </c>
      <c r="B73">
        <v>16918</v>
      </c>
      <c r="C73" t="s">
        <v>757</v>
      </c>
      <c r="D73" s="260">
        <v>45980</v>
      </c>
      <c r="E73" t="s">
        <v>754</v>
      </c>
      <c r="F73" t="s">
        <v>448</v>
      </c>
      <c r="G73" s="25">
        <v>400000</v>
      </c>
      <c r="H73" s="25">
        <v>400000</v>
      </c>
      <c r="I73"/>
      <c r="J73" s="260"/>
      <c r="K73"/>
      <c r="L73" t="s">
        <v>455</v>
      </c>
      <c r="M73" s="25"/>
      <c r="N73" t="s">
        <v>448</v>
      </c>
      <c r="O73" s="25">
        <v>400000</v>
      </c>
      <c r="P73"/>
      <c r="Q73" s="260">
        <v>46345</v>
      </c>
    </row>
    <row r="74" spans="1:17" hidden="1" x14ac:dyDescent="0.25">
      <c r="A74">
        <v>263</v>
      </c>
      <c r="B74">
        <v>12337</v>
      </c>
      <c r="C74" t="s">
        <v>666</v>
      </c>
      <c r="D74" s="260">
        <v>45870</v>
      </c>
      <c r="E74" t="s">
        <v>667</v>
      </c>
      <c r="F74" t="s">
        <v>448</v>
      </c>
      <c r="G74" s="25">
        <v>275000</v>
      </c>
      <c r="H74" s="25">
        <v>275000</v>
      </c>
      <c r="J74" s="260">
        <v>46253</v>
      </c>
      <c r="L74" t="s">
        <v>455</v>
      </c>
      <c r="M74" s="25"/>
      <c r="N74" t="s">
        <v>448</v>
      </c>
      <c r="O74" s="25">
        <v>275000</v>
      </c>
      <c r="Q74" s="260">
        <v>46253</v>
      </c>
    </row>
    <row r="75" spans="1:17" hidden="1" x14ac:dyDescent="0.25">
      <c r="A75">
        <v>273</v>
      </c>
      <c r="B75">
        <v>2678</v>
      </c>
      <c r="C75" t="s">
        <v>681</v>
      </c>
      <c r="D75" s="260">
        <v>45902</v>
      </c>
      <c r="E75" t="s">
        <v>682</v>
      </c>
      <c r="F75" t="s">
        <v>448</v>
      </c>
      <c r="G75" s="25">
        <v>275000</v>
      </c>
      <c r="H75" s="25">
        <v>275000</v>
      </c>
      <c r="J75" s="260">
        <v>46267</v>
      </c>
      <c r="L75" t="s">
        <v>455</v>
      </c>
      <c r="M75" s="25"/>
      <c r="N75" t="s">
        <v>448</v>
      </c>
      <c r="O75" s="25">
        <v>275000</v>
      </c>
      <c r="Q75" s="260">
        <v>46267</v>
      </c>
    </row>
    <row r="76" spans="1:17" hidden="1" x14ac:dyDescent="0.25">
      <c r="A76">
        <v>292</v>
      </c>
      <c r="B76">
        <v>3297</v>
      </c>
      <c r="C76" t="s">
        <v>648</v>
      </c>
      <c r="D76" s="260">
        <v>45931</v>
      </c>
      <c r="E76" t="s">
        <v>712</v>
      </c>
      <c r="F76" t="s">
        <v>448</v>
      </c>
      <c r="G76" s="25">
        <v>550000</v>
      </c>
      <c r="H76" s="25">
        <v>550000</v>
      </c>
      <c r="J76" s="260"/>
      <c r="L76" t="s">
        <v>455</v>
      </c>
      <c r="M76" s="25"/>
      <c r="N76" t="s">
        <v>448</v>
      </c>
      <c r="O76" s="25">
        <v>550000</v>
      </c>
      <c r="Q76" s="260">
        <v>46205</v>
      </c>
    </row>
    <row r="77" spans="1:17" hidden="1" x14ac:dyDescent="0.25">
      <c r="A77">
        <v>360</v>
      </c>
      <c r="B77">
        <v>11326</v>
      </c>
      <c r="C77" t="s">
        <v>197</v>
      </c>
      <c r="D77" s="260">
        <v>45869</v>
      </c>
      <c r="E77" t="s">
        <v>782</v>
      </c>
      <c r="F77" t="s">
        <v>448</v>
      </c>
      <c r="G77" s="25">
        <v>1500000</v>
      </c>
      <c r="H77" s="25">
        <v>660000</v>
      </c>
      <c r="J77" s="260">
        <v>46234</v>
      </c>
      <c r="K77">
        <v>270</v>
      </c>
      <c r="M77" s="25"/>
      <c r="N77" t="s">
        <v>448</v>
      </c>
      <c r="O77" s="25">
        <v>660000</v>
      </c>
      <c r="Q77" s="260">
        <v>46234</v>
      </c>
    </row>
    <row r="78" spans="1:17" hidden="1" x14ac:dyDescent="0.25">
      <c r="A78">
        <v>334</v>
      </c>
      <c r="B78">
        <v>139</v>
      </c>
      <c r="C78" t="s">
        <v>40</v>
      </c>
      <c r="D78" s="260">
        <v>45980</v>
      </c>
      <c r="E78" t="s">
        <v>754</v>
      </c>
      <c r="F78" t="s">
        <v>448</v>
      </c>
      <c r="G78" s="25">
        <v>3000000</v>
      </c>
      <c r="H78" s="25">
        <v>3000000</v>
      </c>
      <c r="J78" s="260"/>
      <c r="L78" t="s">
        <v>455</v>
      </c>
      <c r="M78" s="25"/>
      <c r="N78" t="s">
        <v>448</v>
      </c>
      <c r="O78" s="25">
        <v>3000000</v>
      </c>
      <c r="Q78" s="260">
        <v>46345</v>
      </c>
    </row>
    <row r="79" spans="1:17" hidden="1" x14ac:dyDescent="0.25">
      <c r="A79">
        <v>213</v>
      </c>
      <c r="B79">
        <v>8265</v>
      </c>
      <c r="C79" t="s">
        <v>630</v>
      </c>
      <c r="D79" s="260">
        <v>45834</v>
      </c>
      <c r="E79" t="s">
        <v>631</v>
      </c>
      <c r="F79" t="s">
        <v>448</v>
      </c>
      <c r="G79" s="25">
        <v>750000</v>
      </c>
      <c r="H79" s="25">
        <v>750000</v>
      </c>
      <c r="J79" s="260">
        <v>46199</v>
      </c>
      <c r="K79">
        <v>180</v>
      </c>
      <c r="L79" t="s">
        <v>455</v>
      </c>
      <c r="M79" s="25"/>
      <c r="N79" t="s">
        <v>448</v>
      </c>
      <c r="O79" s="25">
        <v>750000</v>
      </c>
      <c r="Q79" s="260">
        <v>46199</v>
      </c>
    </row>
    <row r="80" spans="1:17" hidden="1" x14ac:dyDescent="0.25">
      <c r="A80">
        <v>145</v>
      </c>
      <c r="B80">
        <v>2975</v>
      </c>
      <c r="C80" t="s">
        <v>488</v>
      </c>
      <c r="D80" s="260">
        <v>45804</v>
      </c>
      <c r="E80" t="s">
        <v>603</v>
      </c>
      <c r="F80" t="s">
        <v>448</v>
      </c>
      <c r="G80" s="25">
        <v>2500000</v>
      </c>
      <c r="H80" s="25">
        <v>2500000</v>
      </c>
      <c r="J80" s="260"/>
      <c r="L80" t="s">
        <v>455</v>
      </c>
      <c r="M80" s="25"/>
      <c r="N80" t="s">
        <v>448</v>
      </c>
      <c r="O80" s="25">
        <v>2500000</v>
      </c>
      <c r="Q80" s="260">
        <v>46168</v>
      </c>
    </row>
    <row r="81" spans="1:17" hidden="1" x14ac:dyDescent="0.25">
      <c r="A81">
        <v>384</v>
      </c>
      <c r="B81">
        <v>2925</v>
      </c>
      <c r="C81" t="s">
        <v>393</v>
      </c>
      <c r="D81" s="260">
        <v>46030</v>
      </c>
      <c r="E81" t="s">
        <v>832</v>
      </c>
      <c r="F81" t="s">
        <v>448</v>
      </c>
      <c r="G81" s="25">
        <v>605000</v>
      </c>
      <c r="H81" s="25">
        <v>605000</v>
      </c>
      <c r="J81" s="260">
        <v>46395</v>
      </c>
      <c r="L81" t="s">
        <v>455</v>
      </c>
      <c r="M81" s="25"/>
      <c r="N81" t="s">
        <v>448</v>
      </c>
      <c r="O81" s="25">
        <v>605000</v>
      </c>
      <c r="Q81" s="260">
        <v>46395</v>
      </c>
    </row>
    <row r="82" spans="1:17" hidden="1" x14ac:dyDescent="0.25">
      <c r="A82">
        <v>262</v>
      </c>
      <c r="B82">
        <v>6269</v>
      </c>
      <c r="C82" t="s">
        <v>646</v>
      </c>
      <c r="D82" s="260">
        <v>45870</v>
      </c>
      <c r="E82" t="s">
        <v>670</v>
      </c>
      <c r="F82" t="s">
        <v>448</v>
      </c>
      <c r="G82" s="25">
        <v>1375000</v>
      </c>
      <c r="H82" s="25">
        <v>1375000</v>
      </c>
      <c r="J82" s="260">
        <v>46253</v>
      </c>
      <c r="L82" t="s">
        <v>455</v>
      </c>
      <c r="M82" s="25"/>
      <c r="N82" t="s">
        <v>448</v>
      </c>
      <c r="O82" s="25">
        <v>1375000</v>
      </c>
      <c r="Q82" s="260">
        <v>46253</v>
      </c>
    </row>
    <row r="83" spans="1:17" hidden="1" x14ac:dyDescent="0.25">
      <c r="A83">
        <v>140</v>
      </c>
      <c r="B83">
        <v>8001</v>
      </c>
      <c r="C83" t="s">
        <v>180</v>
      </c>
      <c r="D83" s="260">
        <v>45803</v>
      </c>
      <c r="E83" t="s">
        <v>602</v>
      </c>
      <c r="F83" t="s">
        <v>448</v>
      </c>
      <c r="G83" s="25">
        <v>700000</v>
      </c>
      <c r="H83" s="25">
        <v>700000</v>
      </c>
      <c r="J83" s="260"/>
      <c r="M83" s="25"/>
      <c r="N83" t="s">
        <v>448</v>
      </c>
      <c r="O83" s="25"/>
      <c r="Q83" s="260">
        <v>46168</v>
      </c>
    </row>
    <row r="84" spans="1:17" hidden="1" x14ac:dyDescent="0.25">
      <c r="A84">
        <v>193</v>
      </c>
      <c r="B84">
        <v>9708</v>
      </c>
      <c r="C84" t="s">
        <v>635</v>
      </c>
      <c r="D84" s="260">
        <v>45831</v>
      </c>
      <c r="E84" t="s">
        <v>636</v>
      </c>
      <c r="F84" t="s">
        <v>448</v>
      </c>
      <c r="G84" s="25">
        <v>1100000</v>
      </c>
      <c r="H84" s="25">
        <v>1100000</v>
      </c>
      <c r="J84" s="260"/>
      <c r="L84" t="s">
        <v>469</v>
      </c>
      <c r="M84" s="25"/>
      <c r="N84" t="s">
        <v>448</v>
      </c>
      <c r="O84" s="25">
        <v>1100000</v>
      </c>
      <c r="Q84" s="260">
        <v>46196</v>
      </c>
    </row>
    <row r="85" spans="1:17" hidden="1" x14ac:dyDescent="0.25">
      <c r="A85">
        <v>190</v>
      </c>
      <c r="B85">
        <v>13329</v>
      </c>
      <c r="C85" t="s">
        <v>398</v>
      </c>
      <c r="D85" s="260">
        <v>45831</v>
      </c>
      <c r="E85" t="s">
        <v>632</v>
      </c>
      <c r="F85" t="s">
        <v>448</v>
      </c>
      <c r="G85" s="25">
        <v>1100000</v>
      </c>
      <c r="H85" s="25">
        <v>1100000</v>
      </c>
      <c r="J85" s="260"/>
      <c r="L85" t="s">
        <v>455</v>
      </c>
      <c r="M85" s="25"/>
      <c r="N85" t="s">
        <v>448</v>
      </c>
      <c r="O85" s="25">
        <v>1100000</v>
      </c>
      <c r="Q85" s="260">
        <v>46196</v>
      </c>
    </row>
    <row r="86" spans="1:17" hidden="1" x14ac:dyDescent="0.25">
      <c r="A86">
        <v>377</v>
      </c>
      <c r="B86">
        <v>17145</v>
      </c>
      <c r="C86" t="s">
        <v>758</v>
      </c>
      <c r="D86" s="260">
        <v>45986</v>
      </c>
      <c r="E86" t="s">
        <v>759</v>
      </c>
      <c r="F86" t="s">
        <v>448</v>
      </c>
      <c r="G86" s="25">
        <v>275000</v>
      </c>
      <c r="H86" s="25">
        <v>275000</v>
      </c>
      <c r="J86" s="260"/>
      <c r="M86" s="25"/>
      <c r="N86" t="s">
        <v>448</v>
      </c>
      <c r="O86" s="25">
        <v>275000</v>
      </c>
      <c r="Q86" s="260"/>
    </row>
    <row r="87" spans="1:17" hidden="1" x14ac:dyDescent="0.25">
      <c r="A87">
        <v>379</v>
      </c>
      <c r="B87">
        <v>17276</v>
      </c>
      <c r="C87" t="s">
        <v>808</v>
      </c>
      <c r="D87" s="260">
        <v>46020</v>
      </c>
      <c r="E87" t="s">
        <v>783</v>
      </c>
      <c r="F87" t="s">
        <v>448</v>
      </c>
      <c r="G87" s="25">
        <v>400000</v>
      </c>
      <c r="H87" s="25">
        <v>400000</v>
      </c>
      <c r="J87" s="260">
        <v>46385</v>
      </c>
      <c r="L87" t="s">
        <v>455</v>
      </c>
      <c r="M87" s="25"/>
      <c r="N87" t="s">
        <v>448</v>
      </c>
      <c r="O87" s="25">
        <v>400000</v>
      </c>
      <c r="Q87" s="260"/>
    </row>
    <row r="88" spans="1:17" hidden="1" x14ac:dyDescent="0.25">
      <c r="A88">
        <v>348</v>
      </c>
      <c r="B88">
        <v>2494</v>
      </c>
      <c r="C88" t="s">
        <v>374</v>
      </c>
      <c r="D88" s="260">
        <v>45982</v>
      </c>
      <c r="E88" t="s">
        <v>760</v>
      </c>
      <c r="F88" t="s">
        <v>448</v>
      </c>
      <c r="G88" s="25">
        <v>550000</v>
      </c>
      <c r="H88" s="25">
        <v>550000</v>
      </c>
      <c r="J88" s="260"/>
      <c r="L88" t="s">
        <v>476</v>
      </c>
      <c r="M88" s="25"/>
      <c r="N88" t="s">
        <v>448</v>
      </c>
      <c r="O88" s="25">
        <v>550000</v>
      </c>
      <c r="Q88" s="260"/>
    </row>
    <row r="89" spans="1:17" hidden="1" x14ac:dyDescent="0.25">
      <c r="A89">
        <v>404</v>
      </c>
      <c r="B89">
        <v>2346</v>
      </c>
      <c r="C89" t="s">
        <v>535</v>
      </c>
      <c r="D89" s="260">
        <v>46090</v>
      </c>
      <c r="E89" t="s">
        <v>892</v>
      </c>
      <c r="F89" t="s">
        <v>448</v>
      </c>
      <c r="G89" s="25">
        <v>1100000</v>
      </c>
      <c r="H89" s="25">
        <v>1100000</v>
      </c>
      <c r="J89" s="260"/>
      <c r="L89" t="s">
        <v>455</v>
      </c>
      <c r="M89" s="25"/>
      <c r="N89" t="s">
        <v>448</v>
      </c>
      <c r="O89" s="25">
        <v>550000</v>
      </c>
      <c r="Q89" s="260">
        <v>46455</v>
      </c>
    </row>
    <row r="90" spans="1:17" hidden="1" x14ac:dyDescent="0.25">
      <c r="A90">
        <v>340</v>
      </c>
      <c r="B90">
        <v>12323</v>
      </c>
      <c r="C90" t="s">
        <v>263</v>
      </c>
      <c r="D90" s="260">
        <v>45980</v>
      </c>
      <c r="E90" t="s">
        <v>754</v>
      </c>
      <c r="F90" t="s">
        <v>448</v>
      </c>
      <c r="G90" s="25">
        <v>100000</v>
      </c>
      <c r="H90" s="25">
        <v>100000</v>
      </c>
      <c r="J90" s="260"/>
      <c r="L90" t="s">
        <v>455</v>
      </c>
      <c r="M90" s="25"/>
      <c r="N90" t="s">
        <v>448</v>
      </c>
      <c r="O90" s="25">
        <v>100000</v>
      </c>
      <c r="Q90" s="260"/>
    </row>
    <row r="91" spans="1:17" hidden="1" x14ac:dyDescent="0.25">
      <c r="A91">
        <v>413</v>
      </c>
      <c r="B91">
        <v>8855</v>
      </c>
      <c r="C91" t="s">
        <v>893</v>
      </c>
      <c r="D91" s="260">
        <v>46093</v>
      </c>
      <c r="E91" t="s">
        <v>775</v>
      </c>
      <c r="F91" t="s">
        <v>448</v>
      </c>
      <c r="G91" s="25">
        <v>750000</v>
      </c>
      <c r="H91" s="25">
        <v>750000</v>
      </c>
      <c r="J91" s="260">
        <v>46458</v>
      </c>
      <c r="L91" t="s">
        <v>455</v>
      </c>
      <c r="M91" s="25"/>
      <c r="N91" t="s">
        <v>448</v>
      </c>
      <c r="O91" s="25">
        <v>750000</v>
      </c>
      <c r="Q91" s="260">
        <v>46458</v>
      </c>
    </row>
    <row r="92" spans="1:17" hidden="1" x14ac:dyDescent="0.25">
      <c r="A92">
        <v>332</v>
      </c>
      <c r="B92">
        <v>833</v>
      </c>
      <c r="C92" t="s">
        <v>241</v>
      </c>
      <c r="D92" s="260">
        <v>45980</v>
      </c>
      <c r="E92" t="s">
        <v>754</v>
      </c>
      <c r="F92" t="s">
        <v>448</v>
      </c>
      <c r="G92" s="25">
        <v>500000</v>
      </c>
      <c r="H92" s="25">
        <v>500000</v>
      </c>
      <c r="J92" s="260">
        <v>46345</v>
      </c>
      <c r="L92" t="s">
        <v>455</v>
      </c>
      <c r="M92" s="25"/>
      <c r="N92" t="s">
        <v>448</v>
      </c>
      <c r="O92" s="25">
        <v>500000</v>
      </c>
      <c r="Q92" s="260">
        <v>46345</v>
      </c>
    </row>
    <row r="93" spans="1:17" hidden="1" x14ac:dyDescent="0.25">
      <c r="A93">
        <v>144</v>
      </c>
      <c r="B93">
        <v>14596</v>
      </c>
      <c r="C93" t="s">
        <v>457</v>
      </c>
      <c r="D93" s="260">
        <v>45804</v>
      </c>
      <c r="E93" t="s">
        <v>458</v>
      </c>
      <c r="F93" t="s">
        <v>448</v>
      </c>
      <c r="G93" s="25">
        <v>1300000</v>
      </c>
      <c r="H93" s="25">
        <v>1300000</v>
      </c>
      <c r="I93" t="s">
        <v>459</v>
      </c>
      <c r="J93" s="260">
        <v>45883</v>
      </c>
      <c r="K93">
        <v>270</v>
      </c>
      <c r="L93" t="s">
        <v>455</v>
      </c>
      <c r="M93" s="25">
        <v>1300000</v>
      </c>
      <c r="N93" t="s">
        <v>448</v>
      </c>
      <c r="O93" s="25">
        <v>1400000</v>
      </c>
      <c r="P93" t="s">
        <v>226</v>
      </c>
      <c r="Q93" s="260">
        <v>46169</v>
      </c>
    </row>
    <row r="94" spans="1:17" hidden="1" x14ac:dyDescent="0.25">
      <c r="A94">
        <v>174</v>
      </c>
      <c r="B94">
        <v>12696</v>
      </c>
      <c r="C94" t="s">
        <v>454</v>
      </c>
      <c r="D94" s="260">
        <v>45566</v>
      </c>
      <c r="E94" t="s">
        <v>608</v>
      </c>
      <c r="F94" t="s">
        <v>448</v>
      </c>
      <c r="G94" s="25">
        <v>350000</v>
      </c>
      <c r="H94" s="25">
        <v>350000</v>
      </c>
      <c r="J94" s="260"/>
      <c r="M94" s="25"/>
      <c r="N94" t="s">
        <v>448</v>
      </c>
      <c r="O94" s="25">
        <v>350000</v>
      </c>
      <c r="Q94" s="260">
        <v>45931</v>
      </c>
    </row>
    <row r="95" spans="1:17" hidden="1" x14ac:dyDescent="0.25">
      <c r="A95">
        <v>258</v>
      </c>
      <c r="B95">
        <v>12190</v>
      </c>
      <c r="C95" t="s">
        <v>259</v>
      </c>
      <c r="D95" s="260">
        <v>45869</v>
      </c>
      <c r="E95" t="s">
        <v>608</v>
      </c>
      <c r="F95" t="s">
        <v>448</v>
      </c>
      <c r="G95" s="25">
        <v>1000000</v>
      </c>
      <c r="H95" s="25">
        <v>1000000</v>
      </c>
      <c r="J95" s="260">
        <v>46234</v>
      </c>
      <c r="L95" t="s">
        <v>455</v>
      </c>
      <c r="M95" s="25"/>
      <c r="N95" t="s">
        <v>448</v>
      </c>
      <c r="O95" s="25">
        <v>1000000</v>
      </c>
      <c r="Q95" s="260">
        <v>46234</v>
      </c>
    </row>
    <row r="96" spans="1:17" hidden="1" x14ac:dyDescent="0.25">
      <c r="A96">
        <v>369</v>
      </c>
      <c r="B96">
        <v>14011</v>
      </c>
      <c r="C96" t="s">
        <v>787</v>
      </c>
      <c r="D96" s="260">
        <v>46001</v>
      </c>
      <c r="E96" t="s">
        <v>788</v>
      </c>
      <c r="F96" t="s">
        <v>448</v>
      </c>
      <c r="G96" s="25"/>
      <c r="H96" s="25">
        <v>110000</v>
      </c>
      <c r="J96" s="260"/>
      <c r="L96" t="s">
        <v>476</v>
      </c>
      <c r="M96" s="25"/>
      <c r="N96" t="s">
        <v>448</v>
      </c>
      <c r="O96" s="25">
        <v>110000</v>
      </c>
      <c r="Q96" s="260"/>
    </row>
    <row r="97" spans="1:17" hidden="1" x14ac:dyDescent="0.25">
      <c r="A97">
        <v>309</v>
      </c>
      <c r="B97">
        <v>12629</v>
      </c>
      <c r="C97" t="s">
        <v>120</v>
      </c>
      <c r="D97" s="260">
        <v>45870</v>
      </c>
      <c r="E97" t="s">
        <v>724</v>
      </c>
      <c r="F97" t="s">
        <v>448</v>
      </c>
      <c r="G97" s="25">
        <v>2500000</v>
      </c>
      <c r="H97" s="25">
        <v>2500000</v>
      </c>
      <c r="J97" s="260">
        <v>46235</v>
      </c>
      <c r="M97" s="25"/>
      <c r="N97" t="s">
        <v>448</v>
      </c>
      <c r="O97" s="25"/>
      <c r="Q97" s="260">
        <v>46235</v>
      </c>
    </row>
    <row r="98" spans="1:17" hidden="1" x14ac:dyDescent="0.25">
      <c r="A98">
        <v>333</v>
      </c>
      <c r="B98">
        <v>12930</v>
      </c>
      <c r="C98" t="s">
        <v>748</v>
      </c>
      <c r="D98" s="260">
        <v>45989</v>
      </c>
      <c r="E98" t="s">
        <v>761</v>
      </c>
      <c r="F98" t="s">
        <v>448</v>
      </c>
      <c r="G98" s="25">
        <v>650000</v>
      </c>
      <c r="H98" s="25">
        <v>650000</v>
      </c>
      <c r="J98" s="260"/>
      <c r="M98" s="25"/>
      <c r="N98" t="s">
        <v>448</v>
      </c>
      <c r="O98" s="25">
        <v>650000</v>
      </c>
      <c r="Q98" s="260">
        <v>46354</v>
      </c>
    </row>
    <row r="99" spans="1:17" hidden="1" x14ac:dyDescent="0.25">
      <c r="A99">
        <v>366</v>
      </c>
      <c r="B99">
        <v>14552</v>
      </c>
      <c r="C99" t="s">
        <v>335</v>
      </c>
      <c r="D99" s="260">
        <v>45999</v>
      </c>
      <c r="E99" t="s">
        <v>789</v>
      </c>
      <c r="F99" t="s">
        <v>448</v>
      </c>
      <c r="G99" s="25">
        <v>500000</v>
      </c>
      <c r="H99" s="25">
        <v>500000</v>
      </c>
      <c r="J99" s="260">
        <v>46364</v>
      </c>
      <c r="K99">
        <v>360</v>
      </c>
      <c r="L99" t="s">
        <v>463</v>
      </c>
      <c r="M99" s="25"/>
      <c r="N99" t="s">
        <v>448</v>
      </c>
      <c r="O99" s="25">
        <v>500000</v>
      </c>
      <c r="Q99" s="260">
        <v>45999</v>
      </c>
    </row>
    <row r="100" spans="1:17" hidden="1" x14ac:dyDescent="0.25">
      <c r="A100">
        <v>399</v>
      </c>
      <c r="B100">
        <v>17341</v>
      </c>
      <c r="C100" t="s">
        <v>833</v>
      </c>
      <c r="D100" s="260">
        <v>46076</v>
      </c>
      <c r="E100" t="s">
        <v>775</v>
      </c>
      <c r="F100" t="s">
        <v>448</v>
      </c>
      <c r="G100" s="25">
        <v>700000</v>
      </c>
      <c r="H100" s="25">
        <v>700000</v>
      </c>
      <c r="J100" s="260">
        <v>46441</v>
      </c>
      <c r="L100" t="s">
        <v>455</v>
      </c>
      <c r="M100" s="25"/>
      <c r="N100" t="s">
        <v>448</v>
      </c>
      <c r="O100" s="25">
        <v>700000</v>
      </c>
      <c r="Q100" s="260">
        <v>46441</v>
      </c>
    </row>
    <row r="101" spans="1:17" hidden="1" x14ac:dyDescent="0.25">
      <c r="A101">
        <v>393</v>
      </c>
      <c r="B101">
        <v>2352</v>
      </c>
      <c r="C101" t="s">
        <v>78</v>
      </c>
      <c r="D101" s="260">
        <v>46023</v>
      </c>
      <c r="E101" t="s">
        <v>750</v>
      </c>
      <c r="F101" t="s">
        <v>448</v>
      </c>
      <c r="G101" s="25">
        <v>500000</v>
      </c>
      <c r="H101" s="25">
        <v>500000</v>
      </c>
      <c r="J101" s="260">
        <v>46388</v>
      </c>
      <c r="L101" t="s">
        <v>455</v>
      </c>
      <c r="M101" s="25"/>
      <c r="N101" t="s">
        <v>448</v>
      </c>
      <c r="O101" s="25">
        <v>500000</v>
      </c>
      <c r="Q101" s="260">
        <v>46388</v>
      </c>
    </row>
    <row r="102" spans="1:17" hidden="1" x14ac:dyDescent="0.25">
      <c r="A102">
        <v>345</v>
      </c>
      <c r="B102">
        <v>17165</v>
      </c>
      <c r="C102" t="s">
        <v>762</v>
      </c>
      <c r="D102" s="260">
        <v>45980</v>
      </c>
      <c r="E102" t="s">
        <v>763</v>
      </c>
      <c r="F102" t="s">
        <v>448</v>
      </c>
      <c r="G102" s="25">
        <v>500000</v>
      </c>
      <c r="H102" s="25">
        <v>500000</v>
      </c>
      <c r="J102" s="260"/>
      <c r="L102" t="s">
        <v>455</v>
      </c>
      <c r="M102" s="25"/>
      <c r="N102" t="s">
        <v>448</v>
      </c>
      <c r="O102" s="25">
        <v>500000</v>
      </c>
      <c r="Q102" s="260"/>
    </row>
    <row r="103" spans="1:17" hidden="1" x14ac:dyDescent="0.25">
      <c r="A103">
        <v>164</v>
      </c>
      <c r="B103">
        <v>13114</v>
      </c>
      <c r="C103" t="s">
        <v>203</v>
      </c>
      <c r="D103" s="260">
        <v>45804</v>
      </c>
      <c r="E103" t="s">
        <v>603</v>
      </c>
      <c r="F103" t="s">
        <v>448</v>
      </c>
      <c r="G103" s="25">
        <v>310000</v>
      </c>
      <c r="H103" s="25">
        <v>310000</v>
      </c>
      <c r="J103" s="260">
        <v>46169</v>
      </c>
      <c r="L103" t="s">
        <v>455</v>
      </c>
      <c r="M103" s="25"/>
      <c r="N103" t="s">
        <v>448</v>
      </c>
      <c r="O103" s="25">
        <v>310000</v>
      </c>
      <c r="Q103" s="260">
        <v>46168</v>
      </c>
    </row>
    <row r="104" spans="1:17" x14ac:dyDescent="0.25">
      <c r="A104">
        <v>223</v>
      </c>
      <c r="B104">
        <v>9294</v>
      </c>
      <c r="C104" t="s">
        <v>852</v>
      </c>
      <c r="D104" s="260">
        <v>45838</v>
      </c>
      <c r="E104" t="s">
        <v>652</v>
      </c>
      <c r="F104" t="s">
        <v>448</v>
      </c>
      <c r="G104" s="25">
        <v>275000</v>
      </c>
      <c r="H104" s="25">
        <v>275000</v>
      </c>
      <c r="J104" s="260"/>
      <c r="L104" t="s">
        <v>476</v>
      </c>
      <c r="M104" s="25"/>
      <c r="N104" t="s">
        <v>448</v>
      </c>
      <c r="O104" s="25">
        <v>275000</v>
      </c>
      <c r="Q104" s="260">
        <v>46204</v>
      </c>
    </row>
    <row r="105" spans="1:17" hidden="1" x14ac:dyDescent="0.25">
      <c r="A105">
        <v>382</v>
      </c>
      <c r="B105">
        <v>11957</v>
      </c>
      <c r="C105" t="s">
        <v>801</v>
      </c>
      <c r="D105" s="260">
        <v>46028</v>
      </c>
      <c r="E105" t="s">
        <v>775</v>
      </c>
      <c r="F105" t="s">
        <v>448</v>
      </c>
      <c r="G105" s="25">
        <v>50000</v>
      </c>
      <c r="H105" s="25">
        <v>50000</v>
      </c>
      <c r="J105" s="260">
        <v>46393</v>
      </c>
      <c r="L105" t="s">
        <v>455</v>
      </c>
      <c r="M105" s="25"/>
      <c r="N105" t="s">
        <v>448</v>
      </c>
      <c r="O105" s="25">
        <v>50000</v>
      </c>
      <c r="Q105" s="260">
        <v>46393</v>
      </c>
    </row>
    <row r="106" spans="1:17" hidden="1" x14ac:dyDescent="0.25">
      <c r="A106">
        <v>261</v>
      </c>
      <c r="B106">
        <v>12365</v>
      </c>
      <c r="C106" t="s">
        <v>361</v>
      </c>
      <c r="D106" s="260">
        <v>45868</v>
      </c>
      <c r="E106" t="s">
        <v>669</v>
      </c>
      <c r="F106" t="s">
        <v>448</v>
      </c>
      <c r="G106" s="25">
        <v>1375000</v>
      </c>
      <c r="H106" s="25">
        <v>1375000</v>
      </c>
      <c r="J106" s="260">
        <v>46233</v>
      </c>
      <c r="M106" s="25"/>
      <c r="N106" t="s">
        <v>448</v>
      </c>
      <c r="O106" s="25">
        <v>1375000</v>
      </c>
      <c r="Q106" s="260">
        <v>46233</v>
      </c>
    </row>
    <row r="107" spans="1:17" hidden="1" x14ac:dyDescent="0.25">
      <c r="A107">
        <v>240</v>
      </c>
      <c r="B107">
        <v>14848</v>
      </c>
      <c r="C107" t="s">
        <v>377</v>
      </c>
      <c r="D107" s="260">
        <v>45876</v>
      </c>
      <c r="E107" t="s">
        <v>661</v>
      </c>
      <c r="F107" t="s">
        <v>448</v>
      </c>
      <c r="G107" s="25">
        <v>350000</v>
      </c>
      <c r="H107" s="25">
        <v>350000</v>
      </c>
      <c r="I107" t="s">
        <v>227</v>
      </c>
      <c r="J107" s="260">
        <v>46241</v>
      </c>
      <c r="K107">
        <v>286</v>
      </c>
      <c r="M107" s="25"/>
      <c r="N107" t="s">
        <v>448</v>
      </c>
      <c r="O107" s="25"/>
      <c r="Q107" s="260">
        <v>46241</v>
      </c>
    </row>
    <row r="108" spans="1:17" hidden="1" x14ac:dyDescent="0.25">
      <c r="A108">
        <v>139</v>
      </c>
      <c r="B108">
        <v>14348</v>
      </c>
      <c r="C108" t="s">
        <v>452</v>
      </c>
      <c r="D108" s="260">
        <v>45803</v>
      </c>
      <c r="E108" t="s">
        <v>592</v>
      </c>
      <c r="F108" t="s">
        <v>448</v>
      </c>
      <c r="G108" s="25">
        <v>700000</v>
      </c>
      <c r="H108" s="25">
        <v>700000</v>
      </c>
      <c r="J108" s="260">
        <v>46168</v>
      </c>
      <c r="K108">
        <v>327</v>
      </c>
      <c r="M108" s="25"/>
      <c r="N108" t="s">
        <v>448</v>
      </c>
      <c r="O108" s="25"/>
      <c r="Q108" s="260">
        <v>46168</v>
      </c>
    </row>
    <row r="109" spans="1:17" hidden="1" x14ac:dyDescent="0.25">
      <c r="A109">
        <v>304</v>
      </c>
      <c r="B109">
        <v>16924</v>
      </c>
      <c r="C109" t="s">
        <v>717</v>
      </c>
      <c r="D109" s="260">
        <v>45939</v>
      </c>
      <c r="E109" t="s">
        <v>723</v>
      </c>
      <c r="F109" t="s">
        <v>448</v>
      </c>
      <c r="G109" s="25">
        <v>180000</v>
      </c>
      <c r="H109" s="25">
        <v>180000</v>
      </c>
      <c r="J109" s="260">
        <v>46304</v>
      </c>
      <c r="L109" t="s">
        <v>463</v>
      </c>
      <c r="M109" s="25"/>
      <c r="N109" t="s">
        <v>448</v>
      </c>
      <c r="O109" s="25"/>
      <c r="Q109" s="260">
        <v>46304</v>
      </c>
    </row>
    <row r="110" spans="1:17" hidden="1" x14ac:dyDescent="0.25">
      <c r="A110">
        <v>63</v>
      </c>
      <c r="B110">
        <v>14905</v>
      </c>
      <c r="C110" t="s">
        <v>357</v>
      </c>
      <c r="D110" s="260">
        <v>45566</v>
      </c>
      <c r="E110" t="s">
        <v>462</v>
      </c>
      <c r="F110" t="s">
        <v>448</v>
      </c>
      <c r="G110" s="25">
        <v>500000</v>
      </c>
      <c r="H110" s="25">
        <v>73125</v>
      </c>
      <c r="J110" s="260">
        <v>45777</v>
      </c>
      <c r="K110">
        <v>360</v>
      </c>
      <c r="M110" s="25"/>
      <c r="N110" t="s">
        <v>448</v>
      </c>
      <c r="O110" s="25"/>
      <c r="Q110" s="260">
        <v>45931</v>
      </c>
    </row>
    <row r="111" spans="1:17" hidden="1" x14ac:dyDescent="0.25">
      <c r="A111">
        <v>231</v>
      </c>
      <c r="B111">
        <v>16141</v>
      </c>
      <c r="C111" t="s">
        <v>577</v>
      </c>
      <c r="D111" s="260">
        <v>45867</v>
      </c>
      <c r="E111" t="s">
        <v>603</v>
      </c>
      <c r="F111" t="s">
        <v>448</v>
      </c>
      <c r="G111" s="25">
        <v>3000000</v>
      </c>
      <c r="H111" s="25">
        <v>3000000</v>
      </c>
      <c r="J111" s="260">
        <v>46232</v>
      </c>
      <c r="L111" t="s">
        <v>455</v>
      </c>
      <c r="M111" s="25"/>
      <c r="N111" t="s">
        <v>448</v>
      </c>
      <c r="O111" s="25">
        <v>3000000</v>
      </c>
      <c r="Q111" s="260">
        <v>46232</v>
      </c>
    </row>
    <row r="112" spans="1:17" hidden="1" x14ac:dyDescent="0.25">
      <c r="A112">
        <v>279</v>
      </c>
      <c r="B112">
        <v>2680</v>
      </c>
      <c r="C112" t="s">
        <v>355</v>
      </c>
      <c r="D112" s="260">
        <v>45831</v>
      </c>
      <c r="E112" t="s">
        <v>636</v>
      </c>
      <c r="F112" t="s">
        <v>448</v>
      </c>
      <c r="G112" s="25">
        <v>770000</v>
      </c>
      <c r="H112" s="25">
        <v>770000</v>
      </c>
      <c r="J112" s="260"/>
      <c r="L112" t="s">
        <v>469</v>
      </c>
      <c r="M112" s="25"/>
      <c r="N112" t="s">
        <v>448</v>
      </c>
      <c r="O112" s="25">
        <v>770000</v>
      </c>
      <c r="Q112" s="260">
        <v>46196</v>
      </c>
    </row>
    <row r="113" spans="1:17" hidden="1" x14ac:dyDescent="0.25">
      <c r="A113">
        <v>409</v>
      </c>
      <c r="B113">
        <v>17512</v>
      </c>
      <c r="C113" t="s">
        <v>894</v>
      </c>
      <c r="D113" s="260">
        <v>46083</v>
      </c>
      <c r="E113" t="s">
        <v>783</v>
      </c>
      <c r="F113" t="s">
        <v>448</v>
      </c>
      <c r="G113" s="25">
        <v>400000</v>
      </c>
      <c r="H113" s="25">
        <v>400000</v>
      </c>
      <c r="J113" s="260">
        <v>46448</v>
      </c>
      <c r="L113" t="s">
        <v>455</v>
      </c>
      <c r="M113" s="25"/>
      <c r="N113" t="s">
        <v>448</v>
      </c>
      <c r="O113" s="25">
        <v>400000</v>
      </c>
      <c r="Q113" s="260">
        <v>46448</v>
      </c>
    </row>
    <row r="114" spans="1:17" hidden="1" x14ac:dyDescent="0.25">
      <c r="A114">
        <v>310</v>
      </c>
      <c r="B114">
        <v>1152</v>
      </c>
      <c r="C114" t="s">
        <v>359</v>
      </c>
      <c r="D114" s="260">
        <v>45943</v>
      </c>
      <c r="E114" t="s">
        <v>764</v>
      </c>
      <c r="F114" t="s">
        <v>448</v>
      </c>
      <c r="G114" s="25">
        <v>250000</v>
      </c>
      <c r="H114" s="25">
        <v>250000</v>
      </c>
      <c r="J114" s="260">
        <v>46309</v>
      </c>
      <c r="L114" t="s">
        <v>455</v>
      </c>
      <c r="M114" s="25"/>
      <c r="N114" t="s">
        <v>448</v>
      </c>
      <c r="O114" s="25">
        <v>250000</v>
      </c>
      <c r="Q114" s="260">
        <v>46308</v>
      </c>
    </row>
    <row r="115" spans="1:17" hidden="1" x14ac:dyDescent="0.25">
      <c r="A115">
        <v>107</v>
      </c>
      <c r="B115">
        <v>2247</v>
      </c>
      <c r="C115" t="s">
        <v>493</v>
      </c>
      <c r="D115" s="260">
        <v>45684</v>
      </c>
      <c r="E115" t="s">
        <v>593</v>
      </c>
      <c r="F115" t="s">
        <v>448</v>
      </c>
      <c r="G115" s="25">
        <v>500000</v>
      </c>
      <c r="H115" s="25">
        <v>500000</v>
      </c>
      <c r="J115" s="260">
        <v>46049</v>
      </c>
      <c r="M115" s="25"/>
      <c r="N115" t="s">
        <v>448</v>
      </c>
      <c r="O115" s="25"/>
      <c r="Q115" s="260">
        <v>46049</v>
      </c>
    </row>
    <row r="116" spans="1:17" hidden="1" x14ac:dyDescent="0.25">
      <c r="A116">
        <v>249</v>
      </c>
      <c r="B116">
        <v>5998</v>
      </c>
      <c r="C116" t="s">
        <v>663</v>
      </c>
      <c r="D116" s="260">
        <v>45869</v>
      </c>
      <c r="E116" t="s">
        <v>664</v>
      </c>
      <c r="F116" t="s">
        <v>448</v>
      </c>
      <c r="G116" s="25">
        <v>2500000</v>
      </c>
      <c r="H116" s="25">
        <v>2500000</v>
      </c>
      <c r="J116" s="260"/>
      <c r="L116" t="s">
        <v>455</v>
      </c>
      <c r="M116" s="25"/>
      <c r="N116" t="s">
        <v>448</v>
      </c>
      <c r="O116" s="25">
        <v>2500000</v>
      </c>
      <c r="Q116" s="260">
        <v>46234</v>
      </c>
    </row>
    <row r="117" spans="1:17" hidden="1" x14ac:dyDescent="0.25">
      <c r="A117">
        <v>418</v>
      </c>
      <c r="B117">
        <v>37</v>
      </c>
      <c r="C117" t="s">
        <v>895</v>
      </c>
      <c r="D117" s="260">
        <v>46094</v>
      </c>
      <c r="E117" t="s">
        <v>891</v>
      </c>
      <c r="F117" t="s">
        <v>448</v>
      </c>
      <c r="G117" s="25">
        <v>300000</v>
      </c>
      <c r="H117" s="25">
        <v>300000</v>
      </c>
      <c r="J117" s="260">
        <v>411701</v>
      </c>
      <c r="L117" t="s">
        <v>455</v>
      </c>
      <c r="M117" s="25"/>
      <c r="N117" t="s">
        <v>448</v>
      </c>
      <c r="O117" s="25">
        <v>300000</v>
      </c>
      <c r="Q117" s="260">
        <v>46459</v>
      </c>
    </row>
    <row r="118" spans="1:17" hidden="1" x14ac:dyDescent="0.25">
      <c r="A118">
        <v>420</v>
      </c>
      <c r="B118">
        <v>2622</v>
      </c>
      <c r="C118" t="s">
        <v>83</v>
      </c>
      <c r="D118" s="260">
        <v>46100</v>
      </c>
      <c r="E118" t="s">
        <v>917</v>
      </c>
      <c r="F118" t="s">
        <v>448</v>
      </c>
      <c r="G118" s="25">
        <v>3000000</v>
      </c>
      <c r="H118" s="25">
        <v>3000000</v>
      </c>
      <c r="J118" s="260">
        <v>46465</v>
      </c>
      <c r="L118" t="s">
        <v>455</v>
      </c>
      <c r="M118" s="25"/>
      <c r="N118" t="s">
        <v>448</v>
      </c>
      <c r="O118" s="25">
        <v>3000000</v>
      </c>
      <c r="Q118" s="260">
        <v>46465</v>
      </c>
    </row>
    <row r="119" spans="1:17" hidden="1" x14ac:dyDescent="0.25">
      <c r="A119">
        <v>167</v>
      </c>
      <c r="B119">
        <v>6431</v>
      </c>
      <c r="C119" t="s">
        <v>495</v>
      </c>
      <c r="D119" s="260">
        <v>45804</v>
      </c>
      <c r="E119" t="s">
        <v>608</v>
      </c>
      <c r="F119" t="s">
        <v>448</v>
      </c>
      <c r="G119" s="25">
        <v>800000</v>
      </c>
      <c r="H119" s="25">
        <v>800000</v>
      </c>
      <c r="J119" s="260">
        <v>46169</v>
      </c>
      <c r="K119">
        <v>270</v>
      </c>
      <c r="L119" t="s">
        <v>455</v>
      </c>
      <c r="M119" s="25"/>
      <c r="N119" t="s">
        <v>448</v>
      </c>
      <c r="O119" s="25">
        <v>800000</v>
      </c>
      <c r="Q119" s="260">
        <v>46080</v>
      </c>
    </row>
    <row r="120" spans="1:17" hidden="1" x14ac:dyDescent="0.25">
      <c r="A120">
        <v>259</v>
      </c>
      <c r="B120">
        <v>16646</v>
      </c>
      <c r="C120" t="s">
        <v>674</v>
      </c>
      <c r="D120" s="260">
        <v>45888</v>
      </c>
      <c r="E120" t="s">
        <v>608</v>
      </c>
      <c r="F120" t="s">
        <v>448</v>
      </c>
      <c r="G120" s="25">
        <v>500000</v>
      </c>
      <c r="H120" s="25">
        <v>500000</v>
      </c>
      <c r="J120" s="260">
        <v>46253</v>
      </c>
      <c r="K120">
        <v>360</v>
      </c>
      <c r="L120" t="s">
        <v>455</v>
      </c>
      <c r="M120" s="25"/>
      <c r="N120" t="s">
        <v>448</v>
      </c>
      <c r="O120" s="25">
        <v>500000</v>
      </c>
      <c r="Q120" s="260">
        <v>46253</v>
      </c>
    </row>
    <row r="121" spans="1:17" hidden="1" x14ac:dyDescent="0.25">
      <c r="A121">
        <v>311</v>
      </c>
      <c r="B121">
        <v>15917</v>
      </c>
      <c r="C121" t="s">
        <v>671</v>
      </c>
      <c r="D121" s="260">
        <v>45912</v>
      </c>
      <c r="E121" t="s">
        <v>721</v>
      </c>
      <c r="F121" t="s">
        <v>448</v>
      </c>
      <c r="G121" s="25">
        <v>1200000</v>
      </c>
      <c r="H121" s="25">
        <v>1200000</v>
      </c>
      <c r="J121" s="260">
        <v>46277</v>
      </c>
      <c r="L121" t="s">
        <v>455</v>
      </c>
      <c r="M121" s="25"/>
      <c r="N121" t="s">
        <v>448</v>
      </c>
      <c r="O121" s="25">
        <v>500000</v>
      </c>
      <c r="Q121" s="260">
        <v>46277</v>
      </c>
    </row>
    <row r="122" spans="1:17" hidden="1" x14ac:dyDescent="0.25">
      <c r="A122">
        <v>202</v>
      </c>
      <c r="B122">
        <v>2655</v>
      </c>
      <c r="C122" t="s">
        <v>360</v>
      </c>
      <c r="D122" s="260">
        <v>45831</v>
      </c>
      <c r="E122" t="s">
        <v>641</v>
      </c>
      <c r="F122" t="s">
        <v>448</v>
      </c>
      <c r="G122" s="25">
        <v>1100000</v>
      </c>
      <c r="H122" s="25">
        <v>1100000</v>
      </c>
      <c r="J122" s="260"/>
      <c r="L122" t="s">
        <v>455</v>
      </c>
      <c r="M122" s="25"/>
      <c r="N122" t="s">
        <v>448</v>
      </c>
      <c r="O122" s="25">
        <v>1100000</v>
      </c>
      <c r="Q122" s="260">
        <v>46196</v>
      </c>
    </row>
    <row r="123" spans="1:17" hidden="1" x14ac:dyDescent="0.25">
      <c r="A123">
        <v>316</v>
      </c>
      <c r="B123">
        <v>7167</v>
      </c>
      <c r="C123" t="s">
        <v>151</v>
      </c>
      <c r="D123" s="260">
        <v>45966</v>
      </c>
      <c r="E123" t="s">
        <v>603</v>
      </c>
      <c r="F123" t="s">
        <v>448</v>
      </c>
      <c r="G123" s="25">
        <v>1000000</v>
      </c>
      <c r="H123" s="25">
        <v>1000000</v>
      </c>
      <c r="J123" s="260">
        <v>46331</v>
      </c>
      <c r="L123" t="s">
        <v>455</v>
      </c>
      <c r="M123" s="25"/>
      <c r="N123" t="s">
        <v>448</v>
      </c>
      <c r="O123" s="25">
        <v>1000000</v>
      </c>
      <c r="Q123" s="260">
        <v>46331</v>
      </c>
    </row>
    <row r="124" spans="1:17" hidden="1" x14ac:dyDescent="0.25">
      <c r="A124">
        <v>147</v>
      </c>
      <c r="B124">
        <v>668</v>
      </c>
      <c r="C124" t="s">
        <v>391</v>
      </c>
      <c r="D124" s="260">
        <v>45804</v>
      </c>
      <c r="E124" t="s">
        <v>603</v>
      </c>
      <c r="F124" t="s">
        <v>448</v>
      </c>
      <c r="G124" s="25">
        <v>2800000</v>
      </c>
      <c r="H124" s="25">
        <v>500000</v>
      </c>
      <c r="J124" s="260"/>
      <c r="L124" t="s">
        <v>455</v>
      </c>
      <c r="M124" s="25"/>
      <c r="N124" t="s">
        <v>448</v>
      </c>
      <c r="O124" s="25">
        <v>2800000</v>
      </c>
      <c r="Q124" s="260">
        <v>46168</v>
      </c>
    </row>
    <row r="125" spans="1:17" hidden="1" x14ac:dyDescent="0.25">
      <c r="A125">
        <v>370</v>
      </c>
      <c r="B125">
        <v>2527</v>
      </c>
      <c r="C125" t="s">
        <v>392</v>
      </c>
      <c r="D125" s="260">
        <v>46001</v>
      </c>
      <c r="E125" t="s">
        <v>790</v>
      </c>
      <c r="F125" t="s">
        <v>448</v>
      </c>
      <c r="G125" s="25">
        <v>412500</v>
      </c>
      <c r="H125" s="25">
        <v>412500</v>
      </c>
      <c r="J125" s="260">
        <v>46366</v>
      </c>
      <c r="L125" t="s">
        <v>455</v>
      </c>
      <c r="M125" s="25"/>
      <c r="N125" t="s">
        <v>448</v>
      </c>
      <c r="O125" s="25">
        <v>412500</v>
      </c>
      <c r="Q125" s="260">
        <v>46366</v>
      </c>
    </row>
    <row r="126" spans="1:17" hidden="1" x14ac:dyDescent="0.25">
      <c r="A126">
        <v>136</v>
      </c>
      <c r="B126">
        <v>11212</v>
      </c>
      <c r="C126" t="s">
        <v>258</v>
      </c>
      <c r="D126" s="260">
        <v>45799</v>
      </c>
      <c r="E126" t="s">
        <v>468</v>
      </c>
      <c r="F126" t="s">
        <v>448</v>
      </c>
      <c r="G126" s="25">
        <v>400000</v>
      </c>
      <c r="H126" s="25">
        <v>400000</v>
      </c>
      <c r="J126" s="260"/>
      <c r="K126">
        <v>28</v>
      </c>
      <c r="L126" t="s">
        <v>455</v>
      </c>
      <c r="M126" s="25"/>
      <c r="N126" t="s">
        <v>448</v>
      </c>
      <c r="O126" s="25">
        <v>400000</v>
      </c>
      <c r="Q126" s="260">
        <v>46164</v>
      </c>
    </row>
    <row r="127" spans="1:17" hidden="1" x14ac:dyDescent="0.25">
      <c r="A127">
        <v>410</v>
      </c>
      <c r="B127">
        <v>16660</v>
      </c>
      <c r="C127" t="s">
        <v>765</v>
      </c>
      <c r="D127" s="260">
        <v>46093</v>
      </c>
      <c r="E127" t="s">
        <v>754</v>
      </c>
      <c r="F127" t="s">
        <v>448</v>
      </c>
      <c r="G127" s="25">
        <v>50000</v>
      </c>
      <c r="H127" s="25">
        <v>50000</v>
      </c>
      <c r="J127" s="260">
        <v>46458</v>
      </c>
      <c r="L127" t="s">
        <v>455</v>
      </c>
      <c r="M127" s="25"/>
      <c r="N127" t="s">
        <v>448</v>
      </c>
      <c r="O127" s="25">
        <v>50000</v>
      </c>
      <c r="Q127" s="260">
        <v>46458</v>
      </c>
    </row>
    <row r="128" spans="1:17" hidden="1" x14ac:dyDescent="0.25">
      <c r="A128">
        <v>392</v>
      </c>
      <c r="B128">
        <v>17224</v>
      </c>
      <c r="C128" t="s">
        <v>823</v>
      </c>
      <c r="D128" s="260">
        <v>46042</v>
      </c>
      <c r="E128" t="s">
        <v>834</v>
      </c>
      <c r="F128" t="s">
        <v>448</v>
      </c>
      <c r="G128" s="25">
        <v>550000</v>
      </c>
      <c r="H128" s="25">
        <v>550000</v>
      </c>
      <c r="J128" s="260">
        <v>46408</v>
      </c>
      <c r="K128">
        <v>78</v>
      </c>
      <c r="L128" t="s">
        <v>463</v>
      </c>
      <c r="M128" s="25"/>
      <c r="N128" t="s">
        <v>448</v>
      </c>
      <c r="O128" s="25">
        <v>550000</v>
      </c>
      <c r="Q128" s="260">
        <v>46408</v>
      </c>
    </row>
    <row r="129" spans="1:17" hidden="1" x14ac:dyDescent="0.25">
      <c r="A129">
        <v>411</v>
      </c>
      <c r="B129">
        <v>3142</v>
      </c>
      <c r="C129" t="s">
        <v>89</v>
      </c>
      <c r="D129" s="260">
        <v>46093</v>
      </c>
      <c r="E129" t="s">
        <v>891</v>
      </c>
      <c r="F129" t="s">
        <v>448</v>
      </c>
      <c r="G129" s="25">
        <v>200000</v>
      </c>
      <c r="H129" s="25">
        <v>200000</v>
      </c>
      <c r="J129" s="260">
        <v>46458</v>
      </c>
      <c r="L129" t="s">
        <v>455</v>
      </c>
      <c r="M129" s="25"/>
      <c r="N129" t="s">
        <v>448</v>
      </c>
      <c r="O129" s="25">
        <v>200000</v>
      </c>
      <c r="Q129" s="260">
        <v>46458</v>
      </c>
    </row>
    <row r="130" spans="1:17" hidden="1" x14ac:dyDescent="0.25">
      <c r="A130">
        <v>417</v>
      </c>
      <c r="B130">
        <v>12972</v>
      </c>
      <c r="C130" t="s">
        <v>766</v>
      </c>
      <c r="D130" s="260">
        <v>45980</v>
      </c>
      <c r="E130" t="s">
        <v>754</v>
      </c>
      <c r="F130" t="s">
        <v>448</v>
      </c>
      <c r="G130" s="25">
        <v>200000</v>
      </c>
      <c r="H130" s="25">
        <v>200000</v>
      </c>
      <c r="J130" s="260">
        <v>46345</v>
      </c>
      <c r="L130" t="s">
        <v>455</v>
      </c>
      <c r="M130" s="25"/>
      <c r="N130" t="s">
        <v>448</v>
      </c>
      <c r="O130" s="25">
        <v>200000</v>
      </c>
      <c r="Q130" s="260">
        <v>46345</v>
      </c>
    </row>
    <row r="131" spans="1:17" hidden="1" x14ac:dyDescent="0.25">
      <c r="A131">
        <v>166</v>
      </c>
      <c r="B131">
        <v>10646</v>
      </c>
      <c r="C131" t="s">
        <v>453</v>
      </c>
      <c r="D131" s="260">
        <v>45804</v>
      </c>
      <c r="E131" t="s">
        <v>607</v>
      </c>
      <c r="F131" t="s">
        <v>448</v>
      </c>
      <c r="G131" s="25">
        <v>500000</v>
      </c>
      <c r="H131" s="25">
        <v>500000</v>
      </c>
      <c r="J131" s="260">
        <v>46169</v>
      </c>
      <c r="L131" t="s">
        <v>455</v>
      </c>
      <c r="M131" s="25"/>
      <c r="N131" t="s">
        <v>448</v>
      </c>
      <c r="O131" s="25">
        <v>500000</v>
      </c>
      <c r="Q131" s="260">
        <v>46169</v>
      </c>
    </row>
    <row r="132" spans="1:17" hidden="1" x14ac:dyDescent="0.25">
      <c r="A132">
        <v>191</v>
      </c>
      <c r="B132">
        <v>2410</v>
      </c>
      <c r="C132" t="s">
        <v>487</v>
      </c>
      <c r="D132" s="260">
        <v>45831</v>
      </c>
      <c r="E132" t="s">
        <v>633</v>
      </c>
      <c r="G132" s="25">
        <v>1375000</v>
      </c>
      <c r="H132" s="25">
        <v>1375000</v>
      </c>
      <c r="J132" s="260"/>
      <c r="L132" t="s">
        <v>469</v>
      </c>
      <c r="M132" s="25"/>
      <c r="N132" t="s">
        <v>448</v>
      </c>
      <c r="O132" s="25">
        <v>1375000</v>
      </c>
      <c r="Q132" s="260">
        <v>46196</v>
      </c>
    </row>
    <row r="133" spans="1:17" hidden="1" x14ac:dyDescent="0.25">
      <c r="A133">
        <v>396</v>
      </c>
      <c r="B133">
        <v>17473</v>
      </c>
      <c r="C133" t="s">
        <v>868</v>
      </c>
      <c r="D133" s="260">
        <v>46076</v>
      </c>
      <c r="E133" t="s">
        <v>783</v>
      </c>
      <c r="F133" t="s">
        <v>448</v>
      </c>
      <c r="G133" s="25">
        <v>300000</v>
      </c>
      <c r="H133" s="25">
        <v>300000</v>
      </c>
      <c r="J133" s="260">
        <v>46441</v>
      </c>
      <c r="L133" t="s">
        <v>455</v>
      </c>
      <c r="M133" s="25">
        <v>300000</v>
      </c>
      <c r="N133" t="s">
        <v>448</v>
      </c>
      <c r="O133" s="25">
        <v>300000</v>
      </c>
      <c r="Q133" s="260">
        <v>46441</v>
      </c>
    </row>
    <row r="134" spans="1:17" hidden="1" x14ac:dyDescent="0.25">
      <c r="A134">
        <v>323</v>
      </c>
      <c r="B134">
        <v>2601</v>
      </c>
      <c r="C134" t="s">
        <v>767</v>
      </c>
      <c r="D134" s="260">
        <v>45976</v>
      </c>
      <c r="E134" t="s">
        <v>768</v>
      </c>
      <c r="F134" t="s">
        <v>448</v>
      </c>
      <c r="G134" s="25">
        <v>500000</v>
      </c>
      <c r="H134" s="25">
        <v>500000</v>
      </c>
      <c r="J134" s="260">
        <v>46341</v>
      </c>
      <c r="L134" t="s">
        <v>455</v>
      </c>
      <c r="M134" s="25">
        <v>500000</v>
      </c>
      <c r="N134" t="s">
        <v>448</v>
      </c>
      <c r="O134" s="25">
        <v>500000</v>
      </c>
      <c r="Q134" s="260">
        <v>46341</v>
      </c>
    </row>
    <row r="135" spans="1:17" hidden="1" x14ac:dyDescent="0.25">
      <c r="A135">
        <v>225</v>
      </c>
      <c r="B135">
        <v>5519</v>
      </c>
      <c r="C135" t="s">
        <v>303</v>
      </c>
      <c r="D135" s="260">
        <v>45837</v>
      </c>
      <c r="E135" t="s">
        <v>625</v>
      </c>
      <c r="F135" t="s">
        <v>448</v>
      </c>
      <c r="G135" s="25">
        <v>300000</v>
      </c>
      <c r="H135" s="25">
        <v>300000</v>
      </c>
      <c r="J135" s="260"/>
      <c r="L135" t="s">
        <v>455</v>
      </c>
      <c r="M135" s="25"/>
      <c r="N135" t="s">
        <v>448</v>
      </c>
      <c r="O135" s="25">
        <v>300000</v>
      </c>
      <c r="Q135" s="260">
        <v>46205</v>
      </c>
    </row>
    <row r="136" spans="1:17" hidden="1" x14ac:dyDescent="0.25">
      <c r="A136">
        <v>406</v>
      </c>
      <c r="B136">
        <v>15319</v>
      </c>
      <c r="C136" t="s">
        <v>419</v>
      </c>
      <c r="D136" s="260">
        <v>46000</v>
      </c>
      <c r="E136" t="s">
        <v>791</v>
      </c>
      <c r="F136" t="s">
        <v>448</v>
      </c>
      <c r="G136" s="25">
        <v>500000</v>
      </c>
      <c r="H136" s="25">
        <v>500000</v>
      </c>
      <c r="J136" s="260">
        <v>46365</v>
      </c>
      <c r="L136" t="s">
        <v>455</v>
      </c>
      <c r="M136" s="25"/>
      <c r="N136" t="s">
        <v>448</v>
      </c>
      <c r="O136" s="25">
        <v>500000</v>
      </c>
      <c r="Q136" s="260">
        <v>46365</v>
      </c>
    </row>
    <row r="137" spans="1:17" hidden="1" x14ac:dyDescent="0.25">
      <c r="A137">
        <v>141</v>
      </c>
      <c r="B137">
        <v>15320</v>
      </c>
      <c r="C137" t="s">
        <v>414</v>
      </c>
      <c r="D137" s="260">
        <v>45803</v>
      </c>
      <c r="E137" t="s">
        <v>603</v>
      </c>
      <c r="F137" t="s">
        <v>448</v>
      </c>
      <c r="G137" s="25">
        <v>4000000</v>
      </c>
      <c r="H137" s="25">
        <v>4000000</v>
      </c>
      <c r="J137" s="260"/>
      <c r="L137" t="s">
        <v>455</v>
      </c>
      <c r="M137" s="25"/>
      <c r="N137" t="s">
        <v>448</v>
      </c>
      <c r="O137" s="25">
        <v>4000000</v>
      </c>
      <c r="Q137" s="260">
        <v>46168</v>
      </c>
    </row>
    <row r="138" spans="1:17" hidden="1" x14ac:dyDescent="0.25">
      <c r="A138">
        <v>250</v>
      </c>
      <c r="B138">
        <v>15355</v>
      </c>
      <c r="C138" t="s">
        <v>433</v>
      </c>
      <c r="D138" s="260">
        <v>45869</v>
      </c>
      <c r="E138" t="s">
        <v>668</v>
      </c>
      <c r="F138" t="s">
        <v>448</v>
      </c>
      <c r="G138" s="25">
        <v>1000000</v>
      </c>
      <c r="H138" s="25">
        <v>4200000</v>
      </c>
      <c r="J138" s="260">
        <v>46234</v>
      </c>
      <c r="K138">
        <v>270</v>
      </c>
      <c r="M138" s="25">
        <v>4200000</v>
      </c>
      <c r="N138" t="s">
        <v>448</v>
      </c>
      <c r="O138" s="25">
        <v>1000000</v>
      </c>
      <c r="P138" t="s">
        <v>226</v>
      </c>
      <c r="Q138" s="260">
        <v>46234</v>
      </c>
    </row>
    <row r="139" spans="1:17" hidden="1" x14ac:dyDescent="0.25">
      <c r="A139">
        <v>274</v>
      </c>
      <c r="B139">
        <v>15323</v>
      </c>
      <c r="C139" t="s">
        <v>694</v>
      </c>
      <c r="D139" s="260">
        <v>45904</v>
      </c>
      <c r="E139" t="s">
        <v>608</v>
      </c>
      <c r="F139" t="s">
        <v>448</v>
      </c>
      <c r="G139" s="25">
        <v>1000000</v>
      </c>
      <c r="H139" s="25">
        <v>1000000</v>
      </c>
      <c r="J139" s="260">
        <v>46269</v>
      </c>
      <c r="L139" t="s">
        <v>455</v>
      </c>
      <c r="M139" s="25"/>
      <c r="N139" t="s">
        <v>448</v>
      </c>
      <c r="O139" s="25">
        <v>1000000</v>
      </c>
      <c r="Q139" s="260">
        <v>46269</v>
      </c>
    </row>
    <row r="140" spans="1:17" hidden="1" x14ac:dyDescent="0.25">
      <c r="A140">
        <v>142</v>
      </c>
      <c r="B140">
        <v>15324</v>
      </c>
      <c r="C140" t="s">
        <v>418</v>
      </c>
      <c r="D140" s="260">
        <v>45803</v>
      </c>
      <c r="E140" t="s">
        <v>603</v>
      </c>
      <c r="F140" t="s">
        <v>448</v>
      </c>
      <c r="G140" s="25">
        <v>2000000</v>
      </c>
      <c r="H140" s="25">
        <v>2000000</v>
      </c>
      <c r="J140" s="260"/>
      <c r="L140" t="s">
        <v>455</v>
      </c>
      <c r="M140" s="25"/>
      <c r="N140" t="s">
        <v>448</v>
      </c>
      <c r="O140" s="25">
        <v>2000000</v>
      </c>
      <c r="Q140" s="260">
        <v>46168</v>
      </c>
    </row>
    <row r="141" spans="1:17" hidden="1" x14ac:dyDescent="0.25">
      <c r="A141">
        <v>96</v>
      </c>
      <c r="B141">
        <v>15325</v>
      </c>
      <c r="C141" t="s">
        <v>416</v>
      </c>
      <c r="D141" s="260">
        <v>45649</v>
      </c>
      <c r="E141" t="s">
        <v>471</v>
      </c>
      <c r="F141" t="s">
        <v>451</v>
      </c>
      <c r="G141" s="25">
        <v>6900000</v>
      </c>
      <c r="H141" s="25">
        <v>6900000</v>
      </c>
      <c r="J141" s="260"/>
      <c r="M141" s="25"/>
      <c r="N141" t="s">
        <v>448</v>
      </c>
      <c r="O141" s="25">
        <v>2315000</v>
      </c>
      <c r="Q141" s="260">
        <v>46014</v>
      </c>
    </row>
    <row r="142" spans="1:17" hidden="1" x14ac:dyDescent="0.25">
      <c r="A142">
        <v>130</v>
      </c>
      <c r="B142">
        <v>15720</v>
      </c>
      <c r="C142" t="s">
        <v>532</v>
      </c>
      <c r="D142" s="260">
        <v>45659</v>
      </c>
      <c r="E142" t="s">
        <v>599</v>
      </c>
      <c r="F142" t="s">
        <v>448</v>
      </c>
      <c r="G142" s="25">
        <v>10000000</v>
      </c>
      <c r="H142" s="25">
        <v>10000000</v>
      </c>
      <c r="J142" s="260">
        <v>46025</v>
      </c>
      <c r="M142" s="25"/>
      <c r="N142" t="s">
        <v>448</v>
      </c>
      <c r="O142" s="25"/>
      <c r="Q142" s="260">
        <v>46025</v>
      </c>
    </row>
    <row r="143" spans="1:17" hidden="1" x14ac:dyDescent="0.25">
      <c r="A143">
        <v>154</v>
      </c>
      <c r="B143">
        <v>16145</v>
      </c>
      <c r="C143" t="s">
        <v>604</v>
      </c>
      <c r="D143" s="260">
        <v>45804</v>
      </c>
      <c r="E143" t="s">
        <v>603</v>
      </c>
      <c r="F143" t="s">
        <v>448</v>
      </c>
      <c r="G143" s="25">
        <v>250000</v>
      </c>
      <c r="H143" s="25">
        <v>250000</v>
      </c>
      <c r="J143" s="260"/>
      <c r="L143" t="s">
        <v>455</v>
      </c>
      <c r="M143" s="25"/>
      <c r="N143" t="s">
        <v>448</v>
      </c>
      <c r="O143" s="25">
        <v>250000</v>
      </c>
      <c r="Q143" s="260">
        <v>46168</v>
      </c>
    </row>
    <row r="144" spans="1:17" hidden="1" x14ac:dyDescent="0.25">
      <c r="A144">
        <v>151</v>
      </c>
      <c r="B144">
        <v>15330</v>
      </c>
      <c r="C144" t="s">
        <v>421</v>
      </c>
      <c r="D144" s="260">
        <v>45804</v>
      </c>
      <c r="E144" t="s">
        <v>603</v>
      </c>
      <c r="F144" t="s">
        <v>448</v>
      </c>
      <c r="G144" s="25">
        <v>1500000</v>
      </c>
      <c r="H144" s="25">
        <v>1500000</v>
      </c>
      <c r="J144" s="260"/>
      <c r="L144" t="s">
        <v>455</v>
      </c>
      <c r="M144" s="25"/>
      <c r="N144" t="s">
        <v>448</v>
      </c>
      <c r="O144" s="25">
        <v>750000</v>
      </c>
      <c r="Q144" s="260">
        <v>46168</v>
      </c>
    </row>
    <row r="145" spans="1:17" hidden="1" x14ac:dyDescent="0.25">
      <c r="A145">
        <v>329</v>
      </c>
      <c r="B145">
        <v>15331</v>
      </c>
      <c r="C145" t="s">
        <v>769</v>
      </c>
      <c r="D145" s="260">
        <v>45980</v>
      </c>
      <c r="E145" t="s">
        <v>754</v>
      </c>
      <c r="F145" t="s">
        <v>448</v>
      </c>
      <c r="G145" s="25">
        <v>50000</v>
      </c>
      <c r="H145" s="25">
        <v>50000</v>
      </c>
      <c r="J145" s="260"/>
      <c r="L145" t="s">
        <v>455</v>
      </c>
      <c r="M145" s="25"/>
      <c r="N145" t="s">
        <v>448</v>
      </c>
      <c r="O145" s="25">
        <v>50000</v>
      </c>
      <c r="Q145" s="260">
        <v>46345</v>
      </c>
    </row>
    <row r="146" spans="1:17" hidden="1" x14ac:dyDescent="0.25">
      <c r="A146">
        <v>153</v>
      </c>
      <c r="B146">
        <v>15945</v>
      </c>
      <c r="C146" t="s">
        <v>597</v>
      </c>
      <c r="D146" s="260">
        <v>45804</v>
      </c>
      <c r="E146" t="s">
        <v>603</v>
      </c>
      <c r="F146" t="s">
        <v>448</v>
      </c>
      <c r="G146" s="25">
        <v>1300000</v>
      </c>
      <c r="H146" s="25">
        <v>1300000</v>
      </c>
      <c r="J146" s="260"/>
      <c r="L146" t="s">
        <v>455</v>
      </c>
      <c r="M146" s="25"/>
      <c r="N146" t="s">
        <v>448</v>
      </c>
      <c r="O146" s="25">
        <v>1300000</v>
      </c>
      <c r="Q146" s="260">
        <v>46168</v>
      </c>
    </row>
    <row r="147" spans="1:17" hidden="1" x14ac:dyDescent="0.25">
      <c r="A147">
        <v>252</v>
      </c>
      <c r="B147">
        <v>16146</v>
      </c>
      <c r="C147" t="s">
        <v>658</v>
      </c>
      <c r="D147" s="260">
        <v>45869</v>
      </c>
      <c r="E147" t="s">
        <v>603</v>
      </c>
      <c r="F147" t="s">
        <v>448</v>
      </c>
      <c r="G147" s="25">
        <v>1000000</v>
      </c>
      <c r="H147" s="25">
        <v>1500000</v>
      </c>
      <c r="J147" s="260">
        <v>46234</v>
      </c>
      <c r="L147" t="s">
        <v>455</v>
      </c>
      <c r="M147" s="25"/>
      <c r="N147" t="s">
        <v>448</v>
      </c>
      <c r="O147" s="25">
        <v>1500000</v>
      </c>
      <c r="Q147" s="260">
        <v>46234</v>
      </c>
    </row>
    <row r="148" spans="1:17" hidden="1" x14ac:dyDescent="0.25">
      <c r="A148">
        <v>210</v>
      </c>
      <c r="B148">
        <v>16144</v>
      </c>
      <c r="C148" t="s">
        <v>578</v>
      </c>
      <c r="D148" s="260">
        <v>45831</v>
      </c>
      <c r="E148" t="s">
        <v>603</v>
      </c>
      <c r="F148" t="s">
        <v>448</v>
      </c>
      <c r="G148" s="25">
        <v>1472000</v>
      </c>
      <c r="H148" s="25">
        <v>1472000</v>
      </c>
      <c r="J148" s="260"/>
      <c r="L148" t="s">
        <v>455</v>
      </c>
      <c r="M148" s="25"/>
      <c r="N148" t="s">
        <v>448</v>
      </c>
      <c r="O148" s="25">
        <v>1472000</v>
      </c>
      <c r="Q148" s="260">
        <v>46196</v>
      </c>
    </row>
    <row r="149" spans="1:17" hidden="1" x14ac:dyDescent="0.25">
      <c r="A149">
        <v>156</v>
      </c>
      <c r="B149">
        <v>15332</v>
      </c>
      <c r="C149" t="s">
        <v>576</v>
      </c>
      <c r="D149" s="260">
        <v>45804</v>
      </c>
      <c r="E149" t="s">
        <v>603</v>
      </c>
      <c r="F149" t="s">
        <v>448</v>
      </c>
      <c r="G149" s="25">
        <v>1500000</v>
      </c>
      <c r="H149" s="25">
        <v>1500000</v>
      </c>
      <c r="J149" s="260"/>
      <c r="L149" t="s">
        <v>455</v>
      </c>
      <c r="M149" s="25"/>
      <c r="N149" t="s">
        <v>448</v>
      </c>
      <c r="O149" s="25">
        <v>1500000</v>
      </c>
      <c r="Q149" s="260">
        <v>46168</v>
      </c>
    </row>
    <row r="150" spans="1:17" hidden="1" x14ac:dyDescent="0.25">
      <c r="A150">
        <v>155</v>
      </c>
      <c r="B150">
        <v>16143</v>
      </c>
      <c r="C150" t="s">
        <v>605</v>
      </c>
      <c r="D150" s="260">
        <v>45804</v>
      </c>
      <c r="E150" t="s">
        <v>603</v>
      </c>
      <c r="F150" t="s">
        <v>448</v>
      </c>
      <c r="G150" s="25">
        <v>1500000</v>
      </c>
      <c r="H150" s="25">
        <v>1500000</v>
      </c>
      <c r="J150" s="260"/>
      <c r="L150" t="s">
        <v>455</v>
      </c>
      <c r="M150" s="25"/>
      <c r="N150" t="s">
        <v>448</v>
      </c>
      <c r="O150" s="25">
        <v>1500000</v>
      </c>
      <c r="Q150" s="260">
        <v>46168</v>
      </c>
    </row>
    <row r="151" spans="1:17" hidden="1" x14ac:dyDescent="0.25">
      <c r="A151">
        <v>158</v>
      </c>
      <c r="B151">
        <v>16147</v>
      </c>
      <c r="C151" t="s">
        <v>606</v>
      </c>
      <c r="D151" s="260">
        <v>45804</v>
      </c>
      <c r="E151" t="s">
        <v>603</v>
      </c>
      <c r="F151" t="s">
        <v>448</v>
      </c>
      <c r="G151" s="25">
        <v>500000</v>
      </c>
      <c r="H151" s="25">
        <v>500000</v>
      </c>
      <c r="J151" s="260"/>
      <c r="L151" t="s">
        <v>455</v>
      </c>
      <c r="M151" s="25"/>
      <c r="N151" t="s">
        <v>448</v>
      </c>
      <c r="O151" s="25">
        <v>500000</v>
      </c>
      <c r="Q151" s="260">
        <v>46168</v>
      </c>
    </row>
    <row r="152" spans="1:17" hidden="1" x14ac:dyDescent="0.25">
      <c r="A152">
        <v>161</v>
      </c>
      <c r="B152">
        <v>15333</v>
      </c>
      <c r="C152" t="s">
        <v>431</v>
      </c>
      <c r="D152" s="260">
        <v>45804</v>
      </c>
      <c r="E152" t="s">
        <v>603</v>
      </c>
      <c r="F152" t="s">
        <v>448</v>
      </c>
      <c r="G152" s="25">
        <v>2000000</v>
      </c>
      <c r="H152" s="25">
        <v>2000000</v>
      </c>
      <c r="J152" s="260"/>
      <c r="L152" t="s">
        <v>455</v>
      </c>
      <c r="M152" s="25"/>
      <c r="N152" t="s">
        <v>448</v>
      </c>
      <c r="O152" s="25">
        <v>2000000</v>
      </c>
      <c r="Q152" s="260">
        <v>46168</v>
      </c>
    </row>
    <row r="153" spans="1:17" hidden="1" x14ac:dyDescent="0.25">
      <c r="A153">
        <v>296</v>
      </c>
      <c r="B153">
        <v>15328</v>
      </c>
      <c r="C153" t="s">
        <v>530</v>
      </c>
      <c r="D153" s="260">
        <v>45901</v>
      </c>
      <c r="E153" t="s">
        <v>471</v>
      </c>
      <c r="F153" t="s">
        <v>448</v>
      </c>
      <c r="G153" s="25">
        <v>3000000</v>
      </c>
      <c r="H153" s="25">
        <v>3000000</v>
      </c>
      <c r="J153" s="260">
        <v>46266</v>
      </c>
      <c r="L153" t="s">
        <v>455</v>
      </c>
      <c r="M153" s="25"/>
      <c r="N153" t="s">
        <v>448</v>
      </c>
      <c r="O153" s="25"/>
      <c r="Q153" s="260">
        <v>46266</v>
      </c>
    </row>
    <row r="154" spans="1:17" hidden="1" x14ac:dyDescent="0.25">
      <c r="A154">
        <v>284</v>
      </c>
      <c r="B154">
        <v>15335</v>
      </c>
      <c r="C154" t="s">
        <v>430</v>
      </c>
      <c r="D154" s="260">
        <v>45834</v>
      </c>
      <c r="E154" t="s">
        <v>650</v>
      </c>
      <c r="F154" t="s">
        <v>448</v>
      </c>
      <c r="G154" s="25">
        <v>1000000</v>
      </c>
      <c r="H154" s="25">
        <v>1000000</v>
      </c>
      <c r="J154" s="260"/>
      <c r="L154" t="s">
        <v>455</v>
      </c>
      <c r="M154" s="25"/>
      <c r="N154" t="s">
        <v>448</v>
      </c>
      <c r="O154" s="25">
        <v>1000000</v>
      </c>
      <c r="Q154" s="260">
        <v>46199</v>
      </c>
    </row>
    <row r="155" spans="1:17" hidden="1" x14ac:dyDescent="0.25">
      <c r="A155">
        <v>163</v>
      </c>
      <c r="B155">
        <v>15327</v>
      </c>
      <c r="C155" t="s">
        <v>425</v>
      </c>
      <c r="D155" s="260">
        <v>45804</v>
      </c>
      <c r="E155" t="s">
        <v>603</v>
      </c>
      <c r="F155" t="s">
        <v>448</v>
      </c>
      <c r="G155" s="25">
        <v>1500000</v>
      </c>
      <c r="H155" s="25">
        <v>1500000</v>
      </c>
      <c r="J155" s="260">
        <v>46169</v>
      </c>
      <c r="L155" t="s">
        <v>455</v>
      </c>
      <c r="M155" s="25"/>
      <c r="N155" t="s">
        <v>448</v>
      </c>
      <c r="O155" s="25">
        <v>1500000</v>
      </c>
      <c r="Q155" s="260">
        <v>46168</v>
      </c>
    </row>
    <row r="156" spans="1:17" hidden="1" x14ac:dyDescent="0.25">
      <c r="A156">
        <v>95</v>
      </c>
      <c r="B156">
        <v>15336</v>
      </c>
      <c r="C156" t="s">
        <v>500</v>
      </c>
      <c r="D156" s="260">
        <v>45649</v>
      </c>
      <c r="E156" t="s">
        <v>471</v>
      </c>
      <c r="F156" t="s">
        <v>448</v>
      </c>
      <c r="G156" s="25">
        <v>20000000</v>
      </c>
      <c r="H156" s="25">
        <v>20000000</v>
      </c>
      <c r="J156" s="260">
        <v>46014</v>
      </c>
      <c r="M156" s="25"/>
      <c r="N156" t="s">
        <v>448</v>
      </c>
      <c r="O156" s="25">
        <v>15000000</v>
      </c>
      <c r="Q156" s="260">
        <v>46014</v>
      </c>
    </row>
    <row r="157" spans="1:17" hidden="1" x14ac:dyDescent="0.25">
      <c r="A157">
        <v>129</v>
      </c>
      <c r="B157">
        <v>15710</v>
      </c>
      <c r="C157" t="s">
        <v>531</v>
      </c>
      <c r="D157" s="260">
        <v>45707</v>
      </c>
      <c r="E157" t="s">
        <v>594</v>
      </c>
      <c r="F157" t="s">
        <v>448</v>
      </c>
      <c r="G157" s="25">
        <v>10000000</v>
      </c>
      <c r="H157" s="25">
        <v>15000000</v>
      </c>
      <c r="J157" s="260">
        <v>45771</v>
      </c>
      <c r="L157" t="s">
        <v>455</v>
      </c>
      <c r="M157" s="25"/>
      <c r="N157" t="s">
        <v>448</v>
      </c>
      <c r="O157" s="25">
        <v>10000000</v>
      </c>
      <c r="Q157" s="260">
        <v>46072</v>
      </c>
    </row>
    <row r="158" spans="1:17" hidden="1" x14ac:dyDescent="0.25">
      <c r="A158">
        <v>372</v>
      </c>
      <c r="B158">
        <v>16465</v>
      </c>
      <c r="C158" t="s">
        <v>809</v>
      </c>
      <c r="D158" s="260">
        <v>46001</v>
      </c>
      <c r="E158" t="s">
        <v>810</v>
      </c>
      <c r="F158" t="s">
        <v>448</v>
      </c>
      <c r="G158" s="25">
        <v>165000</v>
      </c>
      <c r="H158" s="25">
        <v>165000</v>
      </c>
      <c r="J158" s="260"/>
      <c r="L158" t="s">
        <v>455</v>
      </c>
      <c r="M158" s="25"/>
      <c r="N158" t="s">
        <v>448</v>
      </c>
      <c r="O158" s="25">
        <v>165000</v>
      </c>
      <c r="Q158" s="260">
        <v>46366</v>
      </c>
    </row>
    <row r="159" spans="1:17" hidden="1" x14ac:dyDescent="0.25">
      <c r="A159">
        <v>168</v>
      </c>
      <c r="B159">
        <v>15356</v>
      </c>
      <c r="C159" t="s">
        <v>426</v>
      </c>
      <c r="D159" s="260">
        <v>45804</v>
      </c>
      <c r="E159" t="s">
        <v>608</v>
      </c>
      <c r="F159" t="s">
        <v>448</v>
      </c>
      <c r="G159" s="25">
        <v>700000</v>
      </c>
      <c r="H159" s="25">
        <v>700000</v>
      </c>
      <c r="J159" s="260">
        <v>46169</v>
      </c>
      <c r="K159">
        <v>180</v>
      </c>
      <c r="L159" t="s">
        <v>455</v>
      </c>
      <c r="M159" s="25"/>
      <c r="N159" t="s">
        <v>448</v>
      </c>
      <c r="O159" s="25">
        <v>700000</v>
      </c>
      <c r="Q159" s="260">
        <v>46169</v>
      </c>
    </row>
    <row r="160" spans="1:17" hidden="1" x14ac:dyDescent="0.25">
      <c r="A160">
        <v>290</v>
      </c>
      <c r="B160">
        <v>15354</v>
      </c>
      <c r="C160" t="s">
        <v>432</v>
      </c>
      <c r="D160" s="260">
        <v>45926</v>
      </c>
      <c r="E160" t="s">
        <v>699</v>
      </c>
      <c r="F160" t="s">
        <v>448</v>
      </c>
      <c r="G160" s="25">
        <v>1500000</v>
      </c>
      <c r="H160" s="25">
        <v>1500000</v>
      </c>
      <c r="J160" s="260">
        <v>46291</v>
      </c>
      <c r="K160">
        <v>270</v>
      </c>
      <c r="L160" t="s">
        <v>455</v>
      </c>
      <c r="M160" s="25">
        <v>3300000</v>
      </c>
      <c r="N160" t="s">
        <v>448</v>
      </c>
      <c r="O160" s="25">
        <v>1000000</v>
      </c>
      <c r="P160" t="s">
        <v>226</v>
      </c>
      <c r="Q160" s="260">
        <v>46291</v>
      </c>
    </row>
    <row r="161" spans="1:17" hidden="1" x14ac:dyDescent="0.25">
      <c r="A161">
        <v>365</v>
      </c>
      <c r="B161">
        <v>15344</v>
      </c>
      <c r="C161" t="s">
        <v>417</v>
      </c>
      <c r="D161" s="260">
        <v>45993</v>
      </c>
      <c r="E161" t="s">
        <v>783</v>
      </c>
      <c r="F161" t="s">
        <v>448</v>
      </c>
      <c r="G161" s="25">
        <v>3500000</v>
      </c>
      <c r="H161" s="25">
        <v>3500000</v>
      </c>
      <c r="J161" s="260"/>
      <c r="L161" t="s">
        <v>455</v>
      </c>
      <c r="M161" s="25"/>
      <c r="N161" t="s">
        <v>448</v>
      </c>
      <c r="O161" s="25">
        <v>3500000</v>
      </c>
      <c r="Q161" s="260">
        <v>46358</v>
      </c>
    </row>
    <row r="162" spans="1:17" hidden="1" x14ac:dyDescent="0.25">
      <c r="A162">
        <v>361</v>
      </c>
      <c r="B162">
        <v>15345</v>
      </c>
      <c r="C162" t="s">
        <v>420</v>
      </c>
      <c r="D162" s="260">
        <v>45994</v>
      </c>
      <c r="E162" t="s">
        <v>783</v>
      </c>
      <c r="F162" t="s">
        <v>448</v>
      </c>
      <c r="G162" s="25">
        <v>6000000</v>
      </c>
      <c r="H162" s="25">
        <v>6000000</v>
      </c>
      <c r="J162" s="260">
        <v>46359</v>
      </c>
      <c r="K162">
        <v>28</v>
      </c>
      <c r="L162" t="s">
        <v>455</v>
      </c>
      <c r="M162" s="25"/>
      <c r="N162" t="s">
        <v>448</v>
      </c>
      <c r="O162" s="25">
        <v>6000000</v>
      </c>
      <c r="Q162" s="260">
        <v>46359</v>
      </c>
    </row>
    <row r="163" spans="1:17" hidden="1" x14ac:dyDescent="0.25">
      <c r="A163">
        <v>194</v>
      </c>
      <c r="B163">
        <v>2645</v>
      </c>
      <c r="C163" t="s">
        <v>394</v>
      </c>
      <c r="D163" s="260">
        <v>45831</v>
      </c>
      <c r="E163" t="s">
        <v>637</v>
      </c>
      <c r="F163" t="s">
        <v>448</v>
      </c>
      <c r="G163" s="25">
        <v>825000</v>
      </c>
      <c r="H163" s="25">
        <v>825000</v>
      </c>
      <c r="J163" s="260"/>
      <c r="L163" t="s">
        <v>469</v>
      </c>
      <c r="M163" s="25"/>
      <c r="N163" t="s">
        <v>448</v>
      </c>
      <c r="O163" s="25">
        <v>825000</v>
      </c>
      <c r="Q163" s="260">
        <v>46196</v>
      </c>
    </row>
    <row r="164" spans="1:17" hidden="1" x14ac:dyDescent="0.25">
      <c r="A164">
        <v>318</v>
      </c>
      <c r="B164">
        <v>1831</v>
      </c>
      <c r="C164" t="s">
        <v>743</v>
      </c>
      <c r="D164" s="260">
        <v>45974</v>
      </c>
      <c r="E164" t="s">
        <v>770</v>
      </c>
      <c r="F164" t="s">
        <v>448</v>
      </c>
      <c r="G164" s="25">
        <v>400000</v>
      </c>
      <c r="H164" s="25">
        <v>400000</v>
      </c>
      <c r="J164" s="260">
        <v>46340</v>
      </c>
      <c r="L164" t="s">
        <v>463</v>
      </c>
      <c r="M164" s="25"/>
      <c r="N164" t="s">
        <v>448</v>
      </c>
      <c r="O164" s="25">
        <v>400000</v>
      </c>
      <c r="Q164" s="260">
        <v>46339</v>
      </c>
    </row>
    <row r="165" spans="1:17" hidden="1" x14ac:dyDescent="0.25">
      <c r="A165">
        <v>385</v>
      </c>
      <c r="B165">
        <v>14116</v>
      </c>
      <c r="C165" t="s">
        <v>655</v>
      </c>
      <c r="D165" s="260">
        <v>46030</v>
      </c>
      <c r="E165" t="s">
        <v>835</v>
      </c>
      <c r="F165" t="s">
        <v>448</v>
      </c>
      <c r="G165" s="25">
        <v>330000</v>
      </c>
      <c r="H165" s="25">
        <v>330000</v>
      </c>
      <c r="J165" s="260">
        <v>46395</v>
      </c>
      <c r="L165" t="s">
        <v>455</v>
      </c>
      <c r="M165" s="25"/>
      <c r="N165" t="s">
        <v>448</v>
      </c>
      <c r="O165" s="25">
        <v>330000</v>
      </c>
      <c r="Q165" s="260">
        <v>46395</v>
      </c>
    </row>
    <row r="166" spans="1:17" hidden="1" x14ac:dyDescent="0.25">
      <c r="A166">
        <v>188</v>
      </c>
      <c r="B166">
        <v>1462</v>
      </c>
      <c r="C166" t="s">
        <v>65</v>
      </c>
      <c r="D166" s="260">
        <v>45821</v>
      </c>
      <c r="E166" t="s">
        <v>629</v>
      </c>
      <c r="G166" s="25">
        <v>270000</v>
      </c>
      <c r="H166" s="25">
        <v>270000</v>
      </c>
      <c r="J166" s="260"/>
      <c r="M166" s="25"/>
      <c r="N166" t="s">
        <v>448</v>
      </c>
      <c r="O166" s="25">
        <v>0</v>
      </c>
      <c r="Q166" s="260">
        <v>46186</v>
      </c>
    </row>
    <row r="167" spans="1:17" hidden="1" x14ac:dyDescent="0.25">
      <c r="A167">
        <v>143</v>
      </c>
      <c r="B167">
        <v>2809</v>
      </c>
      <c r="C167" t="s">
        <v>176</v>
      </c>
      <c r="D167" s="260">
        <v>45803</v>
      </c>
      <c r="E167" t="s">
        <v>603</v>
      </c>
      <c r="F167" t="s">
        <v>448</v>
      </c>
      <c r="G167" s="25">
        <v>1000000</v>
      </c>
      <c r="H167" s="25">
        <v>1000000</v>
      </c>
      <c r="J167" s="260"/>
      <c r="L167" t="s">
        <v>455</v>
      </c>
      <c r="M167" s="25"/>
      <c r="N167" t="s">
        <v>448</v>
      </c>
      <c r="O167" s="25">
        <v>1000000</v>
      </c>
      <c r="Q167" s="260">
        <v>46168</v>
      </c>
    </row>
    <row r="168" spans="1:17" hidden="1" x14ac:dyDescent="0.25">
      <c r="A168">
        <v>328</v>
      </c>
      <c r="B168">
        <v>14561</v>
      </c>
      <c r="C168" t="s">
        <v>327</v>
      </c>
      <c r="D168" s="260">
        <v>45980</v>
      </c>
      <c r="E168" t="s">
        <v>771</v>
      </c>
      <c r="F168" t="s">
        <v>448</v>
      </c>
      <c r="G168" s="25">
        <v>100000</v>
      </c>
      <c r="H168" s="25">
        <v>100000</v>
      </c>
      <c r="J168" s="260">
        <v>46345</v>
      </c>
      <c r="L168" t="s">
        <v>455</v>
      </c>
      <c r="M168" s="25"/>
      <c r="N168" t="s">
        <v>448</v>
      </c>
      <c r="O168" s="25">
        <v>100000</v>
      </c>
      <c r="Q168" s="260">
        <v>46345</v>
      </c>
    </row>
    <row r="169" spans="1:17" hidden="1" x14ac:dyDescent="0.25">
      <c r="A169">
        <v>187</v>
      </c>
      <c r="B169">
        <v>15508</v>
      </c>
      <c r="C169" t="s">
        <v>571</v>
      </c>
      <c r="D169" s="260">
        <v>45825</v>
      </c>
      <c r="E169" t="s">
        <v>628</v>
      </c>
      <c r="F169" t="s">
        <v>448</v>
      </c>
      <c r="G169" s="25">
        <v>550000</v>
      </c>
      <c r="H169" s="25">
        <v>550000</v>
      </c>
      <c r="J169" s="260"/>
      <c r="L169" t="s">
        <v>455</v>
      </c>
      <c r="M169" s="25"/>
      <c r="N169" t="s">
        <v>448</v>
      </c>
      <c r="O169" s="25">
        <v>550000</v>
      </c>
      <c r="Q169" s="260">
        <v>46190</v>
      </c>
    </row>
    <row r="170" spans="1:17" hidden="1" x14ac:dyDescent="0.25">
      <c r="A170">
        <v>301</v>
      </c>
      <c r="B170">
        <v>2648</v>
      </c>
      <c r="C170" t="s">
        <v>534</v>
      </c>
      <c r="D170" s="260">
        <v>45933</v>
      </c>
      <c r="E170" t="s">
        <v>719</v>
      </c>
      <c r="F170" t="s">
        <v>448</v>
      </c>
      <c r="G170" s="25">
        <v>1375000</v>
      </c>
      <c r="H170" s="25">
        <v>1375000</v>
      </c>
      <c r="J170" s="260"/>
      <c r="L170" t="s">
        <v>720</v>
      </c>
      <c r="M170" s="25"/>
      <c r="N170" t="s">
        <v>448</v>
      </c>
      <c r="O170" s="25">
        <v>1375000</v>
      </c>
      <c r="Q170" s="260"/>
    </row>
    <row r="171" spans="1:17" hidden="1" x14ac:dyDescent="0.25">
      <c r="A171">
        <v>255</v>
      </c>
      <c r="B171">
        <v>7</v>
      </c>
      <c r="C171" t="s">
        <v>660</v>
      </c>
      <c r="D171" s="260">
        <v>45877</v>
      </c>
      <c r="E171" t="s">
        <v>672</v>
      </c>
      <c r="F171" t="s">
        <v>448</v>
      </c>
      <c r="G171" s="25">
        <v>50000</v>
      </c>
      <c r="H171" s="25">
        <v>50000</v>
      </c>
      <c r="J171" s="260">
        <v>46242</v>
      </c>
      <c r="L171" t="s">
        <v>455</v>
      </c>
      <c r="M171" s="25"/>
      <c r="N171" t="s">
        <v>448</v>
      </c>
      <c r="O171" s="25">
        <v>50000</v>
      </c>
      <c r="Q171" s="260">
        <v>46242</v>
      </c>
    </row>
    <row r="172" spans="1:17" hidden="1" x14ac:dyDescent="0.25">
      <c r="A172">
        <v>321</v>
      </c>
      <c r="B172">
        <v>7022</v>
      </c>
      <c r="C172" t="s">
        <v>792</v>
      </c>
      <c r="D172" s="260">
        <v>45978</v>
      </c>
      <c r="E172" t="s">
        <v>594</v>
      </c>
      <c r="F172" t="s">
        <v>448</v>
      </c>
      <c r="G172" s="25">
        <v>1500000</v>
      </c>
      <c r="H172" s="25">
        <v>1500000</v>
      </c>
      <c r="J172" s="260">
        <v>46343</v>
      </c>
      <c r="L172" t="s">
        <v>469</v>
      </c>
      <c r="M172" s="25"/>
      <c r="N172" t="s">
        <v>448</v>
      </c>
      <c r="O172" s="25">
        <v>1500000</v>
      </c>
      <c r="Q172" s="260">
        <v>46343</v>
      </c>
    </row>
    <row r="173" spans="1:17" hidden="1" x14ac:dyDescent="0.25">
      <c r="A173">
        <v>351</v>
      </c>
      <c r="B173">
        <v>15407</v>
      </c>
      <c r="C173" t="s">
        <v>772</v>
      </c>
      <c r="D173" s="260">
        <v>45980</v>
      </c>
      <c r="E173" t="s">
        <v>754</v>
      </c>
      <c r="F173" t="s">
        <v>448</v>
      </c>
      <c r="G173" s="25">
        <v>50000</v>
      </c>
      <c r="H173" s="25">
        <v>50000</v>
      </c>
      <c r="J173" s="260">
        <v>46345</v>
      </c>
      <c r="L173" t="s">
        <v>455</v>
      </c>
      <c r="M173" s="25"/>
      <c r="N173" t="s">
        <v>448</v>
      </c>
      <c r="O173" s="25">
        <v>50000</v>
      </c>
      <c r="Q173" s="260">
        <v>46345</v>
      </c>
    </row>
    <row r="174" spans="1:17" hidden="1" x14ac:dyDescent="0.25">
      <c r="A174">
        <v>198</v>
      </c>
      <c r="B174">
        <v>12596</v>
      </c>
      <c r="C174" t="s">
        <v>262</v>
      </c>
      <c r="D174" s="260">
        <v>45831</v>
      </c>
      <c r="E174" t="s">
        <v>639</v>
      </c>
      <c r="F174" t="s">
        <v>448</v>
      </c>
      <c r="G174" s="25">
        <v>1375000</v>
      </c>
      <c r="H174" s="25">
        <v>1375000</v>
      </c>
      <c r="J174" s="260"/>
      <c r="L174" t="s">
        <v>455</v>
      </c>
      <c r="M174" s="25"/>
      <c r="N174" t="s">
        <v>448</v>
      </c>
      <c r="O174" s="25">
        <v>1375000</v>
      </c>
      <c r="Q174" s="260">
        <v>46196</v>
      </c>
    </row>
    <row r="175" spans="1:17" hidden="1" x14ac:dyDescent="0.25">
      <c r="A175">
        <v>389</v>
      </c>
      <c r="B175">
        <v>14766</v>
      </c>
      <c r="C175" t="s">
        <v>822</v>
      </c>
      <c r="D175" s="260">
        <v>46035</v>
      </c>
      <c r="E175" t="s">
        <v>684</v>
      </c>
      <c r="F175" t="s">
        <v>448</v>
      </c>
      <c r="G175" s="25">
        <v>200000</v>
      </c>
      <c r="H175" s="25">
        <v>200000</v>
      </c>
      <c r="J175" s="260">
        <v>46400</v>
      </c>
      <c r="K175">
        <v>30</v>
      </c>
      <c r="L175" t="s">
        <v>455</v>
      </c>
      <c r="M175" s="25"/>
      <c r="N175" t="s">
        <v>448</v>
      </c>
      <c r="O175" s="25">
        <v>200000</v>
      </c>
      <c r="Q175" s="260">
        <v>46400</v>
      </c>
    </row>
    <row r="176" spans="1:17" hidden="1" x14ac:dyDescent="0.25">
      <c r="A176">
        <v>387</v>
      </c>
      <c r="B176">
        <v>9295</v>
      </c>
      <c r="C176" t="s">
        <v>382</v>
      </c>
      <c r="D176" s="260">
        <v>46030</v>
      </c>
      <c r="E176" t="s">
        <v>836</v>
      </c>
      <c r="F176" t="s">
        <v>448</v>
      </c>
      <c r="G176" s="25">
        <v>990000</v>
      </c>
      <c r="H176" s="25">
        <v>990000</v>
      </c>
      <c r="J176" s="260">
        <v>46395</v>
      </c>
      <c r="L176" t="s">
        <v>455</v>
      </c>
      <c r="M176" s="25"/>
      <c r="N176" t="s">
        <v>448</v>
      </c>
      <c r="O176" s="25">
        <v>990000</v>
      </c>
      <c r="Q176" s="260">
        <v>46395</v>
      </c>
    </row>
  </sheetData>
  <autoFilter ref="A1:Q176" xr:uid="{5B539DC2-5FDB-4BE7-96C1-31ACE1BC57BA}">
    <filterColumn colId="2">
      <filters>
        <filter val="SOLINAG CÍA.LTDA - EQUADOR"/>
      </filters>
    </filterColumn>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FC8-EA45-48E8-B951-F717F15FEBAC}">
  <dimension ref="A3:D45"/>
  <sheetViews>
    <sheetView workbookViewId="0">
      <selection activeCell="S11" sqref="S11"/>
    </sheetView>
  </sheetViews>
  <sheetFormatPr defaultRowHeight="13.2" x14ac:dyDescent="0.25"/>
  <cols>
    <col min="1" max="1" width="47.44140625" bestFit="1" customWidth="1"/>
    <col min="2" max="2" width="20.5546875" bestFit="1" customWidth="1"/>
    <col min="4" max="4" width="13.109375" bestFit="1" customWidth="1"/>
  </cols>
  <sheetData>
    <row r="3" spans="1:4" x14ac:dyDescent="0.25">
      <c r="A3" s="226" t="s">
        <v>690</v>
      </c>
      <c r="B3" t="s">
        <v>609</v>
      </c>
    </row>
    <row r="4" spans="1:4" x14ac:dyDescent="0.25">
      <c r="A4" s="227" t="s">
        <v>210</v>
      </c>
      <c r="B4" s="25">
        <v>91345.527599999972</v>
      </c>
      <c r="D4" s="32">
        <f>SUMIFS('AR - slide BoD'!$I:$I,'AR - slide BoD'!B:B,A4)</f>
        <v>3044850.9199999995</v>
      </c>
    </row>
    <row r="5" spans="1:4" x14ac:dyDescent="0.25">
      <c r="A5" s="227" t="s">
        <v>149</v>
      </c>
      <c r="B5" s="25">
        <v>3796</v>
      </c>
      <c r="D5" s="32">
        <f>SUMIFS('AR - slide BoD'!$I:$I,'AR - slide BoD'!B:B,A5)</f>
        <v>0</v>
      </c>
    </row>
    <row r="6" spans="1:4" x14ac:dyDescent="0.25">
      <c r="A6" s="227" t="s">
        <v>146</v>
      </c>
      <c r="B6" s="25">
        <v>15820</v>
      </c>
      <c r="D6" s="32">
        <f>SUMIFS('AR - slide BoD'!$I:$I,'AR - slide BoD'!B:B,A6)</f>
        <v>0</v>
      </c>
    </row>
    <row r="7" spans="1:4" x14ac:dyDescent="0.25">
      <c r="A7" s="227" t="s">
        <v>199</v>
      </c>
      <c r="B7" s="25">
        <v>1716645.3400000003</v>
      </c>
      <c r="D7" s="32">
        <f>SUMIFS('AR - slide BoD'!$I:$I,'AR - slide BoD'!B:B,A7)</f>
        <v>1704711.9409000003</v>
      </c>
    </row>
    <row r="8" spans="1:4" x14ac:dyDescent="0.25">
      <c r="A8" s="227" t="s">
        <v>207</v>
      </c>
      <c r="B8" s="25">
        <v>1010345</v>
      </c>
      <c r="D8" s="32">
        <f>SUMIFS('AR - slide BoD'!$I:$I,'AR - slide BoD'!B:B,A8)</f>
        <v>0</v>
      </c>
    </row>
    <row r="9" spans="1:4" x14ac:dyDescent="0.25">
      <c r="A9" s="227" t="s">
        <v>177</v>
      </c>
      <c r="B9" s="25">
        <v>3780363.9000000008</v>
      </c>
      <c r="D9" s="32">
        <f>SUMIFS('AR - slide BoD'!$I:$I,'AR - slide BoD'!B:B,A9)</f>
        <v>0</v>
      </c>
    </row>
    <row r="10" spans="1:4" x14ac:dyDescent="0.25">
      <c r="A10" s="227" t="s">
        <v>566</v>
      </c>
      <c r="B10" s="25">
        <v>84291.45</v>
      </c>
      <c r="D10" s="32">
        <f>SUMIFS('AR - slide BoD'!$I:$I,'AR - slide BoD'!B:B,A10)</f>
        <v>0</v>
      </c>
    </row>
    <row r="11" spans="1:4" x14ac:dyDescent="0.25">
      <c r="A11" s="227" t="s">
        <v>137</v>
      </c>
      <c r="B11" s="25">
        <v>259.37</v>
      </c>
      <c r="D11" s="32">
        <f>SUMIFS('AR - slide BoD'!$I:$I,'AR - slide BoD'!B:B,A11)</f>
        <v>0</v>
      </c>
    </row>
    <row r="12" spans="1:4" x14ac:dyDescent="0.25">
      <c r="A12" s="227" t="s">
        <v>151</v>
      </c>
      <c r="B12" s="25">
        <v>22222.25</v>
      </c>
      <c r="D12" s="32">
        <f>SUMIFS('AR - slide BoD'!$I:$I,'AR - slide BoD'!B:B,A12)</f>
        <v>0</v>
      </c>
    </row>
    <row r="13" spans="1:4" x14ac:dyDescent="0.25">
      <c r="A13" s="227" t="s">
        <v>152</v>
      </c>
      <c r="B13" s="25">
        <v>7900</v>
      </c>
      <c r="D13" s="32">
        <f>SUMIFS('AR - slide BoD'!$I:$I,'AR - slide BoD'!B:B,A13)</f>
        <v>0</v>
      </c>
    </row>
    <row r="14" spans="1:4" x14ac:dyDescent="0.25">
      <c r="A14" s="227" t="s">
        <v>153</v>
      </c>
      <c r="B14" s="25">
        <v>41379</v>
      </c>
      <c r="D14" s="32">
        <f>SUMIFS('AR - slide BoD'!$I:$I,'AR - slide BoD'!B:B,A14)</f>
        <v>0</v>
      </c>
    </row>
    <row r="15" spans="1:4" x14ac:dyDescent="0.25">
      <c r="A15" s="227" t="s">
        <v>91</v>
      </c>
      <c r="B15" s="25">
        <v>20940</v>
      </c>
      <c r="D15" s="32">
        <f>SUMIFS('AR - slide BoD'!$I:$I,'AR - slide BoD'!B:B,A15)</f>
        <v>20940</v>
      </c>
    </row>
    <row r="16" spans="1:4" x14ac:dyDescent="0.25">
      <c r="A16" s="227" t="s">
        <v>418</v>
      </c>
      <c r="B16" s="25">
        <v>267.27</v>
      </c>
      <c r="D16" s="32">
        <f>SUMIFS('AR - slide BoD'!$I:$I,'AR - slide BoD'!B:B,A16)</f>
        <v>0</v>
      </c>
    </row>
    <row r="17" spans="1:4" x14ac:dyDescent="0.25">
      <c r="A17" s="227" t="s">
        <v>416</v>
      </c>
      <c r="B17" s="25">
        <v>36</v>
      </c>
      <c r="D17" s="32">
        <f>SUMIFS('AR - slide BoD'!$I:$I,'AR - slide BoD'!B:B,A17)</f>
        <v>0</v>
      </c>
    </row>
    <row r="18" spans="1:4" x14ac:dyDescent="0.25">
      <c r="A18" s="227" t="s">
        <v>532</v>
      </c>
      <c r="B18" s="25">
        <v>36594</v>
      </c>
      <c r="D18" s="32">
        <f>SUMIFS('AR - slide BoD'!$I:$I,'AR - slide BoD'!B:B,A18)</f>
        <v>0</v>
      </c>
    </row>
    <row r="19" spans="1:4" x14ac:dyDescent="0.25">
      <c r="A19" s="227" t="s">
        <v>578</v>
      </c>
      <c r="B19" s="25">
        <v>1800</v>
      </c>
      <c r="D19" s="32">
        <f>SUMIFS('AR - slide BoD'!$I:$I,'AR - slide BoD'!B:B,A19)</f>
        <v>0</v>
      </c>
    </row>
    <row r="20" spans="1:4" x14ac:dyDescent="0.25">
      <c r="A20" s="227" t="s">
        <v>429</v>
      </c>
      <c r="B20" s="25">
        <v>3088531.0700000008</v>
      </c>
      <c r="D20" s="32">
        <f>SUMIFS('AR - slide BoD'!$I:$I,'AR - slide BoD'!B:B,A20)</f>
        <v>3088531.0700000008</v>
      </c>
    </row>
    <row r="21" spans="1:4" x14ac:dyDescent="0.25">
      <c r="A21" s="227" t="s">
        <v>500</v>
      </c>
      <c r="B21" s="25">
        <v>66396.317999999999</v>
      </c>
      <c r="D21" s="32">
        <f>SUMIFS('AR - slide BoD'!$I:$I,'AR - slide BoD'!B:B,A21)</f>
        <v>16756.646000000001</v>
      </c>
    </row>
    <row r="22" spans="1:4" x14ac:dyDescent="0.25">
      <c r="A22" s="227" t="s">
        <v>531</v>
      </c>
      <c r="B22" s="25">
        <v>15336</v>
      </c>
      <c r="D22" s="32">
        <f>SUMIFS('AR - slide BoD'!$I:$I,'AR - slide BoD'!B:B,A22)</f>
        <v>0</v>
      </c>
    </row>
    <row r="23" spans="1:4" x14ac:dyDescent="0.25">
      <c r="A23" s="227" t="s">
        <v>424</v>
      </c>
      <c r="B23" s="25">
        <v>19772.22</v>
      </c>
      <c r="D23" s="32">
        <f>SUMIFS('AR - slide BoD'!$I:$I,'AR - slide BoD'!B:B,A23)</f>
        <v>0</v>
      </c>
    </row>
    <row r="24" spans="1:4" x14ac:dyDescent="0.25">
      <c r="A24" s="227" t="s">
        <v>422</v>
      </c>
      <c r="B24" s="25">
        <v>3060.2459999999996</v>
      </c>
      <c r="D24" s="32">
        <f>SUMIFS('AR - slide BoD'!$I:$I,'AR - slide BoD'!B:B,A24)</f>
        <v>0</v>
      </c>
    </row>
    <row r="25" spans="1:4" x14ac:dyDescent="0.25">
      <c r="A25" s="227" t="s">
        <v>420</v>
      </c>
      <c r="B25" s="25">
        <v>51035.049599999991</v>
      </c>
      <c r="D25" s="32">
        <f>SUMIFS('AR - slide BoD'!$I:$I,'AR - slide BoD'!B:B,A25)</f>
        <v>5626.32</v>
      </c>
    </row>
    <row r="26" spans="1:4" x14ac:dyDescent="0.25">
      <c r="A26" s="227" t="s">
        <v>361</v>
      </c>
      <c r="B26" s="25">
        <v>5907.1142999999993</v>
      </c>
      <c r="D26" s="32">
        <f>SUMIFS('AR - slide BoD'!$I:$I,'AR - slide BoD'!B:B,A26)</f>
        <v>0</v>
      </c>
    </row>
    <row r="27" spans="1:4" x14ac:dyDescent="0.25">
      <c r="A27" s="227" t="s">
        <v>294</v>
      </c>
      <c r="B27" s="25">
        <v>6412.5</v>
      </c>
      <c r="D27" s="32">
        <f>SUMIFS('AR - slide BoD'!$I:$I,'AR - slide BoD'!B:B,A27)</f>
        <v>213750</v>
      </c>
    </row>
    <row r="28" spans="1:4" x14ac:dyDescent="0.25">
      <c r="A28" s="227" t="s">
        <v>154</v>
      </c>
      <c r="B28" s="25">
        <v>26080</v>
      </c>
      <c r="D28" s="32">
        <f>SUMIFS('AR - slide BoD'!$I:$I,'AR - slide BoD'!B:B,A28)</f>
        <v>0</v>
      </c>
    </row>
    <row r="29" spans="1:4" x14ac:dyDescent="0.25">
      <c r="A29" s="227" t="s">
        <v>273</v>
      </c>
      <c r="B29" s="25">
        <v>28.799999999999997</v>
      </c>
      <c r="D29" s="32">
        <f>SUMIFS('AR - slide BoD'!$I:$I,'AR - slide BoD'!B:B,A29)</f>
        <v>0</v>
      </c>
    </row>
    <row r="30" spans="1:4" x14ac:dyDescent="0.25">
      <c r="A30" s="227" t="s">
        <v>265</v>
      </c>
      <c r="B30" s="25">
        <v>3</v>
      </c>
      <c r="D30" s="32">
        <f>SUMIFS('AR - slide BoD'!$I:$I,'AR - slide BoD'!B:B,A30)</f>
        <v>100</v>
      </c>
    </row>
    <row r="31" spans="1:4" x14ac:dyDescent="0.25">
      <c r="A31" s="227" t="s">
        <v>143</v>
      </c>
      <c r="B31" s="25">
        <v>11589.61</v>
      </c>
      <c r="D31" s="32">
        <f>SUMIFS('AR - slide BoD'!$I:$I,'AR - slide BoD'!B:B,A31)</f>
        <v>0</v>
      </c>
    </row>
    <row r="32" spans="1:4" x14ac:dyDescent="0.25">
      <c r="A32" s="227" t="s">
        <v>133</v>
      </c>
      <c r="B32" s="25">
        <v>256935.85</v>
      </c>
      <c r="D32" s="32">
        <f>SUMIFS('AR - slide BoD'!$I:$I,'AR - slide BoD'!B:B,A32)</f>
        <v>0</v>
      </c>
    </row>
    <row r="33" spans="1:4" x14ac:dyDescent="0.25">
      <c r="A33" s="227" t="s">
        <v>155</v>
      </c>
      <c r="B33" s="25">
        <v>1547.9599999999998</v>
      </c>
      <c r="D33" s="32">
        <f>SUMIFS('AR - slide BoD'!$I:$I,'AR - slide BoD'!B:B,A33)</f>
        <v>0</v>
      </c>
    </row>
    <row r="34" spans="1:4" x14ac:dyDescent="0.25">
      <c r="A34" s="227" t="s">
        <v>309</v>
      </c>
      <c r="B34" s="25">
        <v>1.5</v>
      </c>
      <c r="D34" s="32">
        <f>SUMIFS('AR - slide BoD'!$I:$I,'AR - slide BoD'!B:B,A34)</f>
        <v>50</v>
      </c>
    </row>
    <row r="35" spans="1:4" x14ac:dyDescent="0.25">
      <c r="A35" s="227" t="s">
        <v>100</v>
      </c>
      <c r="B35" s="25">
        <v>1800</v>
      </c>
      <c r="D35" s="32">
        <f>SUMIFS('AR - slide BoD'!$I:$I,'AR - slide BoD'!B:B,A35)</f>
        <v>0</v>
      </c>
    </row>
    <row r="36" spans="1:4" x14ac:dyDescent="0.25">
      <c r="A36" s="227" t="s">
        <v>156</v>
      </c>
      <c r="B36" s="25">
        <v>140872.6</v>
      </c>
      <c r="D36" s="32">
        <f>SUMIFS('AR - slide BoD'!$I:$I,'AR - slide BoD'!B:B,A36)</f>
        <v>0</v>
      </c>
    </row>
    <row r="37" spans="1:4" x14ac:dyDescent="0.25">
      <c r="A37" s="227" t="s">
        <v>157</v>
      </c>
      <c r="B37" s="25">
        <v>110527.99999999999</v>
      </c>
      <c r="D37" s="32">
        <f>SUMIFS('AR - slide BoD'!$I:$I,'AR - slide BoD'!B:B,A37)</f>
        <v>0</v>
      </c>
    </row>
    <row r="38" spans="1:4" x14ac:dyDescent="0.25">
      <c r="A38" s="227" t="s">
        <v>175</v>
      </c>
      <c r="B38" s="25">
        <v>1390.8</v>
      </c>
      <c r="D38" s="32">
        <f>SUMIFS('AR - slide BoD'!$I:$I,'AR - slide BoD'!B:B,A38)</f>
        <v>0</v>
      </c>
    </row>
    <row r="39" spans="1:4" x14ac:dyDescent="0.25">
      <c r="A39" s="227" t="s">
        <v>383</v>
      </c>
      <c r="B39" s="25">
        <v>9</v>
      </c>
      <c r="D39" s="32">
        <f>SUMIFS('AR - slide BoD'!$I:$I,'AR - slide BoD'!B:B,A39)</f>
        <v>300</v>
      </c>
    </row>
    <row r="40" spans="1:4" x14ac:dyDescent="0.25">
      <c r="A40" s="227" t="s">
        <v>158</v>
      </c>
      <c r="B40" s="25">
        <v>3521.7599999999998</v>
      </c>
      <c r="D40" s="32">
        <f>SUMIFS('AR - slide BoD'!$I:$I,'AR - slide BoD'!B:B,A40)</f>
        <v>0</v>
      </c>
    </row>
    <row r="41" spans="1:4" x14ac:dyDescent="0.25">
      <c r="A41" s="227" t="s">
        <v>187</v>
      </c>
      <c r="B41" s="25">
        <v>89153.696699999986</v>
      </c>
      <c r="D41" s="32">
        <f>SUMIFS('AR - slide BoD'!$I:$I,'AR - slide BoD'!B:B,A41)</f>
        <v>0</v>
      </c>
    </row>
    <row r="42" spans="1:4" x14ac:dyDescent="0.25">
      <c r="A42" s="227" t="s">
        <v>53</v>
      </c>
      <c r="B42" s="25">
        <v>62226</v>
      </c>
      <c r="D42" s="32">
        <f>SUMIFS('AR - slide BoD'!$I:$I,'AR - slide BoD'!B:B,A42)</f>
        <v>226233.60000000001</v>
      </c>
    </row>
    <row r="43" spans="1:4" x14ac:dyDescent="0.25">
      <c r="A43" s="227" t="s">
        <v>145</v>
      </c>
      <c r="B43" s="25">
        <v>1515.4999999999998</v>
      </c>
      <c r="D43" s="32">
        <f>SUMIFS('AR - slide BoD'!$I:$I,'AR - slide BoD'!B:B,A43)</f>
        <v>0</v>
      </c>
    </row>
    <row r="44" spans="1:4" x14ac:dyDescent="0.25">
      <c r="A44" s="227" t="s">
        <v>691</v>
      </c>
      <c r="B44" s="25"/>
    </row>
    <row r="45" spans="1:4" x14ac:dyDescent="0.25">
      <c r="A45" s="227" t="s">
        <v>692</v>
      </c>
      <c r="B45" s="25">
        <v>10797659.702200001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customXml/itemProps2.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8A6162-7F2F-4D98-8875-2958EB048B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19</vt:i4>
      </vt:variant>
    </vt:vector>
  </HeadingPairs>
  <TitlesOfParts>
    <vt:vector size="19" baseType="lpstr">
      <vt:lpstr>AR - slide BoD</vt:lpstr>
      <vt:lpstr>AR - slide</vt:lpstr>
      <vt:lpstr>AR</vt:lpstr>
      <vt:lpstr>freight debit notes</vt:lpstr>
      <vt:lpstr>Data total</vt:lpstr>
      <vt:lpstr>Data Additive</vt:lpstr>
      <vt:lpstr>Data International</vt:lpstr>
      <vt:lpstr>Data Fertilizers</vt:lpstr>
      <vt:lpstr>Clientes Consolidado</vt:lpstr>
      <vt:lpstr>Planilha1</vt:lpstr>
      <vt:lpstr>Painel Additive</vt:lpstr>
      <vt:lpstr>Painel Fertilizers</vt:lpstr>
      <vt:lpstr>Cliente Aditivo</vt:lpstr>
      <vt:lpstr>Cliente Fertilizante</vt:lpstr>
      <vt:lpstr>Cliente Internacional</vt:lpstr>
      <vt:lpstr>Painel International</vt:lpstr>
      <vt:lpstr>Bad Debt Provision</vt:lpstr>
      <vt:lpstr>Limite de crédito</vt:lpstr>
      <vt:lpstr>Sheet1</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Pedro Henrique</cp:lastModifiedBy>
  <cp:lastPrinted>2025-02-14T20:07:10Z</cp:lastPrinted>
  <dcterms:created xsi:type="dcterms:W3CDTF">2024-06-14T11:59:41Z</dcterms:created>
  <dcterms:modified xsi:type="dcterms:W3CDTF">2026-04-27T19:39:51Z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